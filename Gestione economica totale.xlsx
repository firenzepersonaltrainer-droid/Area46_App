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2015_16" sheetId="1" r:id="rId4"/>
    <sheet state="hidden" name="2016_2017" sheetId="2" r:id="rId5"/>
    <sheet state="hidden" name="2017_2018" sheetId="3" r:id="rId6"/>
    <sheet state="hidden" name="2018_2019" sheetId="4" r:id="rId7"/>
    <sheet state="hidden" name="2019_2020" sheetId="5" r:id="rId8"/>
    <sheet state="hidden" name="2020_2021" sheetId="6" r:id="rId9"/>
    <sheet state="hidden" name="fine 2021" sheetId="7" r:id="rId10"/>
    <sheet state="hidden" name="2022" sheetId="8" r:id="rId11"/>
    <sheet state="hidden" name="2023" sheetId="9" r:id="rId12"/>
    <sheet state="hidden" name="MODELLO" sheetId="10" r:id="rId13"/>
    <sheet state="visible" name="2026" sheetId="11" r:id="rId14"/>
    <sheet state="hidden" name="2024" sheetId="12" r:id="rId15"/>
    <sheet state="hidden" name="2025"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tc={29a7c73f-1241-4ce6-a2e6-52fbb38b2690}</author>
    <author>tc={41026f3b-2073-451e-aa7b-7cec752bab33}</author>
    <author>tc={4d62113d-549e-40c9-820d-186a3d88335f}</author>
    <author>tc={4e1ae3d9-268e-4eff-8c60-91b9644a9cb0}</author>
    <author>tc={5164bc8a-ef2b-4b67-ab03-0d09c6c5e34d}</author>
    <author>tc={52126d47-d121-4f26-a046-e8340cde5f9b}</author>
    <author>tc={55377abd-f656-496c-b11f-67996cd090f9}</author>
    <author>tc={5bac18c6-f7b4-47b0-a727-d6b99f48fdd1}</author>
    <author>tc={6ecd5b29-fae7-41a7-9569-5cbc8426b16c}</author>
    <author>tc={6fb194c9-9d0b-4a6e-b4a6-2e8ade83fe6b}</author>
    <author>tc={9035d223-d0ad-4bed-9044-2f2b29708013}</author>
    <author>tc={90922d19-4e3e-4350-bdcb-7e55e192a5d8}</author>
    <author>tc={9b451ef2-289c-4a80-9027-d4058c2c689c}</author>
    <author>tc={9e97e99b-cf19-443e-aecf-1393731db473}</author>
    <author>tc={a7c78d66-6d2f-496c-a788-2e5d04ae250f}</author>
    <author>tc={b661e29f-181e-4cd9-91e0-45fde03290d1}</author>
    <author>tc={e362ba00-b4c0-4907-9cf8-facd47bfd85c}</author>
    <author>tc={eaa0775d-b559-412a-bec0-e7ee12bdfe6a}</author>
  </authors>
  <commentList>
    <comment authorId="0" xr:uid="{29a7c73f-1241-4ce6-a2e6-52fbb38b2690}" ref="I489">
      <text>
        <t xml:space="preserve">[Threaded comment]
 Your version of Excel allows you to read this threaded comment; however, any edits to it will get removed if the file is opened in a newer version of Excel. Learn more: https://go.microsoft.com/fwlink/?linkid=870924
Comment:
	we a bellaria con stefy
</t>
      </text>
    </comment>
    <comment authorId="1" xr:uid="{41026f3b-2073-451e-aa7b-7cec752bab33}" ref="I521">
      <text>
        <t xml:space="preserve">[Threaded comment]
 Your version of Excel allows you to read this threaded comment; however, any edits to it will get removed if the file is opened in a newer version of Excel. Learn more: https://go.microsoft.com/fwlink/?linkid=870924
Comment:
	DI CUI 360 PER SOFTWARE EVOLUTION FIT
</t>
      </text>
    </comment>
    <comment authorId="2" xr:uid="{4d62113d-549e-40c9-820d-186a3d88335f}" ref="I16">
      <text>
        <t xml:space="preserve">[Threaded comment]
 Your version of Excel allows you to read this threaded comment; however, any edits to it will get removed if the file is opened in a newer version of Excel. Learn more: https://go.microsoft.com/fwlink/?linkid=870924
Comment:
	ricettario
</t>
      </text>
    </comment>
    <comment authorId="3" xr:uid="{4e1ae3d9-268e-4eff-8c60-91b9644a9cb0}" ref="I115">
      <text>
        <t xml:space="preserve">[Threaded comment]
 Your version of Excel allows you to read this threaded comment; however, any edits to it will get removed if the file is opened in a newer version of Excel. Learn more: https://go.microsoft.com/fwlink/?linkid=870924
Comment:
	allestimento area personal, acquisto gestionale
</t>
      </text>
    </comment>
    <comment authorId="4" xr:uid="{5164bc8a-ef2b-4b67-ab03-0d09c6c5e34d}" ref="I526">
      <text>
        <t xml:space="preserve">[Threaded comment]
 Your version of Excel allows you to read this threaded comment; however, any edits to it will get removed if the file is opened in a newer version of Excel. Learn more: https://go.microsoft.com/fwlink/?linkid=870924
Comment:
	ritiro wushin
</t>
      </text>
    </comment>
    <comment authorId="5" xr:uid="{52126d47-d121-4f26-a046-e8340cde5f9b}" ref="I502">
      <text>
        <t xml:space="preserve">[Threaded comment]
 Your version of Excel allows you to read this threaded comment; however, any edits to it will get removed if the file is opened in a newer version of Excel. Learn more: https://go.microsoft.com/fwlink/?linkid=870924
Comment:
	440 euro di inps suddiviso in 5 rate, la prima pagata questo mese + 500 euro di imu maggiano che ho pagato io e che non mi farò rendere da babbo dati tutti i soldi che fino ad oggi mi ha prestato
</t>
      </text>
    </comment>
    <comment authorId="6" xr:uid="{55377abd-f656-496c-b11f-67996cd090f9}" ref="J328">
      <text>
        <t xml:space="preserve">[Threaded comment]
 Your version of Excel allows you to read this threaded comment; however, any edits to it will get removed if the file is opened in a newer version of Excel. Learn more: https://go.microsoft.com/fwlink/?linkid=870924
Comment:
	shoot foto
</t>
      </text>
    </comment>
    <comment authorId="7" xr:uid="{5bac18c6-f7b4-47b0-a727-d6b99f48fdd1}" ref="I56">
      <text>
        <t xml:space="preserve">[Threaded comment]
 Your version of Excel allows you to read this threaded comment; however, any edits to it will get removed if the file is opened in a newer version of Excel. Learn more: https://go.microsoft.com/fwlink/?linkid=870924
Comment:
	spicuglia e dentista, farmacia
</t>
      </text>
    </comment>
    <comment authorId="8" xr:uid="{6ecd5b29-fae7-41a7-9569-5cbc8426b16c}" ref="I532">
      <text>
        <t xml:space="preserve">[Threaded comment]
 Your version of Excel allows you to read this threaded comment; however, any edits to it will get removed if the file is opened in a newer version of Excel. Learn more: https://go.microsoft.com/fwlink/?linkid=870924
Comment:
	bollo
</t>
      </text>
    </comment>
    <comment authorId="9" xr:uid="{6fb194c9-9d0b-4a6e-b4a6-2e8ade83fe6b}" ref="I170">
      <text>
        <t xml:space="preserve">[Threaded comment]
 Your version of Excel allows you to read this threaded comment; however, any edits to it will get removed if the file is opened in a newer version of Excel. Learn more: https://go.microsoft.com/fwlink/?linkid=870924
Comment:
	avvocato per incidente scooter
</t>
      </text>
    </comment>
    <comment authorId="10" xr:uid="{9035d223-d0ad-4bed-9044-2f2b29708013}" ref="I59">
      <text>
        <t xml:space="preserve">[Threaded comment]
 Your version of Excel allows you to read this threaded comment; however, any edits to it will get removed if the file is opened in a newer version of Excel. Learn more: https://go.microsoft.com/fwlink/?linkid=870924
Comment:
	timbri
</t>
      </text>
    </comment>
    <comment authorId="11" xr:uid="{90922d19-4e3e-4350-bdcb-7e55e192a5d8}" ref="I465">
      <text>
        <t xml:space="preserve">[Threaded comment]
 Your version of Excel allows you to read this threaded comment; however, any edits to it will get removed if the file is opened in a newer version of Excel. Learn more: https://go.microsoft.com/fwlink/?linkid=870924
Comment:
	REGALO TIFFANY STEFY
</t>
      </text>
    </comment>
    <comment authorId="12" xr:uid="{9b451ef2-289c-4a80-9027-d4058c2c689c}" ref="J368">
      <text>
        <t xml:space="preserve">[Threaded comment]
 Your version of Excel allows you to read this threaded comment; however, any edits to it will get removed if the file is opened in a newer version of Excel. Learn more: https://go.microsoft.com/fwlink/?linkid=870924
Comment:
	elastici e angolari
</t>
      </text>
    </comment>
    <comment authorId="13" xr:uid="{9e97e99b-cf19-443e-aecf-1393731db473}" ref="I534">
      <text>
        <t xml:space="preserve">[Threaded comment]
 Your version of Excel allows you to read this threaded comment; however, any edits to it will get removed if the file is opened in a newer version of Excel. Learn more: https://go.microsoft.com/fwlink/?linkid=870924
Comment:
	marilu
</t>
      </text>
    </comment>
    <comment authorId="14" xr:uid="{a7c78d66-6d2f-496c-a788-2e5d04ae250f}" ref="I485">
      <text>
        <t xml:space="preserve">[Threaded comment]
 Your version of Excel allows you to read this threaded comment; however, any edits to it will get removed if the file is opened in a newer version of Excel. Learn more: https://go.microsoft.com/fwlink/?linkid=870924
Comment:
	comprato cellulare nuovo
</t>
      </text>
    </comment>
    <comment authorId="15" xr:uid="{b661e29f-181e-4cd9-91e0-45fde03290d1}" ref="I106">
      <text>
        <t xml:space="preserve">[Threaded comment]
 Your version of Excel allows you to read this threaded comment; however, any edits to it will get removed if the file is opened in a newer version of Excel. Learn more: https://go.microsoft.com/fwlink/?linkid=870924
Comment:
	lavanderia, ragali stefi e roberto)
</t>
      </text>
    </comment>
    <comment authorId="16" xr:uid="{e362ba00-b4c0-4907-9cf8-facd47bfd85c}" ref="I78">
      <text>
        <t xml:space="preserve">[Threaded comment]
 Your version of Excel allows you to read this threaded comment; however, any edits to it will get removed if the file is opened in a newer version of Excel. Learn more: https://go.microsoft.com/fwlink/?linkid=870924
Comment:
	lavanderia piu saldo conto fineco
</t>
      </text>
    </comment>
    <comment authorId="17" xr:uid="{eaa0775d-b559-412a-bec0-e7ee12bdfe6a}" ref="I49">
      <text>
        <t xml:space="preserve">[Threaded comment]
 Your version of Excel allows you to read this threaded comment; however, any edits to it will get removed if the file is opened in a newer version of Excel. Learn more: https://go.microsoft.com/fwlink/?linkid=870924
Comment:
	veterinario, casco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tc={1570b2d9-e807-41a6-b473-a772efb8f747}</author>
    <author>tc={18ba3afc-4164-4c32-9d54-0f55971c085b}</author>
    <author>tc={3de9c3e8-d4d5-4f6d-87ed-4d91a9cb80e2}</author>
    <author>tc={5fbf5f90-3660-4269-8375-6f99b18a4baa}</author>
    <author>tc={79d88550-40ce-4dbc-bb81-fa20ff95f33c}</author>
    <author>tc={88046c42-29fb-4269-8532-82f7b4394dde}</author>
    <author>tc={881cb1d3-68e1-4a90-a324-845b8ab238e8}</author>
    <author>tc={99002a33-88d2-42b0-9ce3-f8991e2e6dc8}</author>
    <author>tc={b2c04818-1484-487d-82e1-683dc7c27d94}</author>
    <author>tc={b48c9869-05b6-4db4-a3a6-bd8b8c4ff646}</author>
    <author>tc={c6ac39db-0d89-4625-8ed1-bd8d82f707a9}</author>
    <author>tc={d7835655-8056-4f5d-bc43-73f443a3325a}</author>
    <author>tc={dd2551e1-c226-40c1-b84a-d6c8f80ab854}</author>
    <author>tc={e4666881-8dfb-4a36-a347-2092e43a005d}</author>
    <author>tc={e5cfd1b6-b3f6-49be-94f5-bb9867166a61}</author>
  </authors>
  <commentList>
    <comment authorId="0" xr:uid="{1570b2d9-e807-41a6-b473-a772efb8f747}" ref="J144">
      <text>
        <t xml:space="preserve">[Threaded comment]
 Your version of Excel allows you to read this threaded comment; however, any edits to it will get removed if the file is opened in a newer version of Excel. Learn more: https://go.microsoft.com/fwlink/?linkid=870924
Comment:
	ANTICIPO PER CROCIERA
</t>
      </text>
    </comment>
    <comment authorId="1" xr:uid="{18ba3afc-4164-4c32-9d54-0f55971c085b}" ref="J96">
      <text>
        <t xml:space="preserve">[Threaded comment]
 Your version of Excel allows you to read this threaded comment; however, any edits to it will get removed if the file is opened in a newer version of Excel. Learn more: https://go.microsoft.com/fwlink/?linkid=870924
Comment:
	cartucce stampamte e multa
</t>
      </text>
    </comment>
    <comment authorId="2" xr:uid="{3de9c3e8-d4d5-4f6d-87ed-4d91a9cb80e2}" ref="J224">
      <text>
        <t xml:space="preserve">[Threaded comment]
 Your version of Excel allows you to read this threaded comment; however, any edits to it will get removed if the file is opened in a newer version of Excel. Learn more: https://go.microsoft.com/fwlink/?linkid=870924
Comment:
	DIETA LEMME, CASCO,
</t>
      </text>
    </comment>
    <comment authorId="3" xr:uid="{5fbf5f90-3660-4269-8375-6f99b18a4baa}" ref="J8">
      <text>
        <t xml:space="preserve">[Threaded comment]
 Your version of Excel allows you to read this threaded comment; however, any edits to it will get removed if the file is opened in a newer version of Excel. Learn more: https://go.microsoft.com/fwlink/?linkid=870924
Comment:
	newsletter: 131 Eu
Fb (compreso agosto): 526 Eu
</t>
      </text>
    </comment>
    <comment authorId="4" xr:uid="{79d88550-40ce-4dbc-bb81-fa20ff95f33c}" ref="J224">
      <text>
        <t xml:space="preserve">[Threaded comment]
 Your version of Excel allows you to read this threaded comment; however, any edits to it will get removed if the file is opened in a newer version of Excel. Learn more: https://go.microsoft.com/fwlink/?linkid=870924
Comment:
	DIETA LEMME, IMBIANCATURA MAGGIANO, CASCO MOTO
</t>
      </text>
    </comment>
    <comment authorId="5" xr:uid="{88046c42-29fb-4269-8532-82f7b4394dde}" ref="H43">
      <text>
        <t xml:space="preserve">[Threaded comment]
 Your version of Excel allows you to read this threaded comment; however, any edits to it will get removed if the file is opened in a newer version of Excel. Learn more: https://go.microsoft.com/fwlink/?linkid=870924
Comment:
	attrezzature,  cancelleria ecc
</t>
      </text>
    </comment>
    <comment authorId="6" xr:uid="{881cb1d3-68e1-4a90-a324-845b8ab238e8}" ref="J320">
      <text>
        <t xml:space="preserve">[Threaded comment]
 Your version of Excel allows you to read this threaded comment; however, any edits to it will get removed if the file is opened in a newer version of Excel. Learn more: https://go.microsoft.com/fwlink/?linkid=870924
Comment:
	regalo compleanno natalia
</t>
      </text>
    </comment>
    <comment authorId="7" xr:uid="{99002a33-88d2-42b0-9ce3-f8991e2e6dc8}" ref="J7">
      <text>
        <t xml:space="preserve">[Threaded comment]
 Your version of Excel allows you to read this threaded comment; however, any edits to it will get removed if the file is opened in a newer version of Excel. Learn more: https://go.microsoft.com/fwlink/?linkid=870924
Comment:
	spicuglia
</t>
      </text>
    </comment>
    <comment authorId="8" xr:uid="{b2c04818-1484-487d-82e1-683dc7c27d94}" ref="A2">
      <text>
        <t xml:space="preserve">[Threaded comment]
 Your version of Excel allows you to read this threaded comment; however, any edits to it will get removed if the file is opened in a newer version of Excel. Learn more: https://go.microsoft.com/fwlink/?linkid=870924
Comment:
	ferie totali per tutto agosto fino al 5 settembre
</t>
      </text>
    </comment>
    <comment authorId="9" xr:uid="{b48c9869-05b6-4db4-a3a6-bd8b8c4ff646}" ref="J25">
      <text>
        <t xml:space="preserve">[Threaded comment]
 Your version of Excel allows you to read this threaded comment; however, any edits to it will get removed if the file is opened in a newer version of Excel. Learn more: https://go.microsoft.com/fwlink/?linkid=870924
Comment:
	settembre _ottobre + extra
</t>
      </text>
    </comment>
    <comment authorId="10" xr:uid="{c6ac39db-0d89-4625-8ed1-bd8d82f707a9}" ref="J287">
      <text>
        <t xml:space="preserve">[Threaded comment]
 Your version of Excel allows you to read this threaded comment; however, any edits to it will get removed if the file is opened in a newer version of Excel. Learn more: https://go.microsoft.com/fwlink/?linkid=870924
Comment:
	3793 di tasse (saldi acconti e tasse) + 300 euro di commercialista.
questo mese ho sottratto, dalle spese, solo i 300 euro del commercialista poichè sono gli unici soldi già usciti.
</t>
      </text>
    </comment>
    <comment authorId="11" xr:uid="{d7835655-8056-4f5d-bc43-73f443a3325a}" ref="J17">
      <text>
        <t xml:space="preserve">[Threaded comment]
 Your version of Excel allows you to read this threaded comment; however, any edits to it will get removed if the file is opened in a newer version of Excel. Learn more: https://go.microsoft.com/fwlink/?linkid=870924
Comment:
	lezioni di inglese
libro strenght project
</t>
      </text>
    </comment>
    <comment authorId="12" xr:uid="{dd2551e1-c226-40c1-b84a-d6c8f80ab854}" ref="J64">
      <text>
        <t xml:space="preserve">[Threaded comment]
 Your version of Excel allows you to read this threaded comment; however, any edits to it will get removed if the file is opened in a newer version of Excel. Learn more: https://go.microsoft.com/fwlink/?linkid=870924
Comment:
	multa auto
</t>
      </text>
    </comment>
    <comment authorId="13" xr:uid="{e4666881-8dfb-4a36-a347-2092e43a005d}" ref="J54">
      <text>
        <t xml:space="preserve">[Threaded comment]
 Your version of Excel allows you to read this threaded comment; however, any edits to it will get removed if the file is opened in a newer version of Excel. Learn more: https://go.microsoft.com/fwlink/?linkid=870924
Comment:
	assicurazione
</t>
      </text>
    </comment>
    <comment authorId="14" xr:uid="{e5cfd1b6-b3f6-49be-94f5-bb9867166a61}" ref="J176">
      <text>
        <t xml:space="preserve">[Threaded comment]
 Your version of Excel allows you to read this threaded comment; however, any edits to it will get removed if the file is opened in a newer version of Excel. Learn more: https://go.microsoft.com/fwlink/?linkid=870924
Comment:
	ANTICIPO PER FERIE A CEFALONIA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96">
      <text>
        <t xml:space="preserve">150 saldo 2017 + 300 acconto 2018</t>
      </text>
    </comment>
    <comment authorId="0" ref="J324">
      <text>
        <t xml:space="preserve">tasse
</t>
      </text>
    </comment>
    <comment authorId="0" ref="I355">
      <text>
        <t xml:space="preserve">MULTA PER BOLLO SCOOTER 17/18</t>
      </text>
    </comment>
    <comment authorId="0" ref="J287">
      <text>
        <t xml:space="preserve">60 marilù
</t>
      </text>
    </comment>
    <comment authorId="0" ref="J351">
      <text>
        <t xml:space="preserve">201 di attivazione + 93 di bolletta</t>
      </text>
    </comment>
    <comment authorId="0" ref="J156">
      <text>
        <t xml:space="preserve">cambio pneumatici
</t>
      </text>
    </comment>
    <comment authorId="0" ref="J220">
      <text>
        <t xml:space="preserve">assicurazione
</t>
      </text>
    </comment>
    <comment authorId="0" ref="J152">
      <text>
        <t xml:space="preserve">prima rata 2018</t>
      </text>
    </comment>
    <comment authorId="0" ref="J215">
      <text>
        <t xml:space="preserve">DOHA</t>
      </text>
    </comment>
    <comment authorId="0" ref="J274">
      <text>
        <t xml:space="preserve">cartuccia nero stampante
</t>
      </text>
    </comment>
    <comment authorId="0" ref="J145">
      <text>
        <t xml:space="preserve">elastici su amazon + abbonamento annuale a myfitnesspal + 
400 euro grenke
</t>
      </text>
    </comment>
    <comment authorId="0" ref="J177">
      <text>
        <t xml:space="preserve">300 sostituzione finestra + 60 tappetini decontaminanti</t>
      </text>
    </comment>
    <comment authorId="0" ref="J241">
      <text>
        <t xml:space="preserve">acquisto rig usato e rata grenke (500 + 230)</t>
      </text>
    </comment>
    <comment authorId="0" ref="J273">
      <text>
        <t xml:space="preserve">acconto nuovo sito francioni e 35+10 euro di rinnovo acocunt stefanotronconi.com</t>
      </text>
    </comment>
    <comment authorId="0" ref="J305">
      <text>
        <t xml:space="preserve">-acquisto foto per sito nuovo fisicoideale.it. 25Euro
-</t>
      </text>
    </comment>
    <comment authorId="0" ref="J176">
      <text>
        <t xml:space="preserve">rinnovo dominio aruba per personaltrainer.firenze.it
</t>
      </text>
    </comment>
    <comment authorId="0" ref="J272">
      <text>
        <t xml:space="preserve">test promozione instagram (10 euro) e FB (30 euro)
120 per local maps
</t>
      </text>
    </comment>
    <comment authorId="0" ref="J304">
      <text>
        <t xml:space="preserve">local maps 120 euro+40 instagram e FB</t>
      </text>
    </comment>
    <comment authorId="0" ref="J206">
      <text>
        <t xml:space="preserve">spicuglia</t>
      </text>
    </comment>
    <comment authorId="0" ref="J334">
      <text>
        <t xml:space="preserve">local maps 120 euro
FB 52 EURO</t>
      </text>
    </comment>
    <comment authorId="0" ref="J333">
      <text>
        <t xml:space="preserve">SPICUGLIA e RICIGNOLO</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1">
      <text>
        <t xml:space="preserve">Duccio 280</t>
      </text>
    </comment>
    <comment authorId="0" ref="H133">
      <text>
        <t xml:space="preserve">local maps 120 euro
FB:142</t>
      </text>
    </comment>
    <comment authorId="0" ref="B30">
      <text>
        <t xml:space="preserve">PAGATO INOLTRE:
---500 euro ditta Mazzei (idraulico), come ulteriore acconto su saldo lavori
---500 euro cartongessista come acconto lavori
---200 euro frezza acconto lavori
---500euro elettricista acconto lavori
TOT: 1700 EURO nel mese di ottobre</t>
      </text>
    </comment>
    <comment authorId="0" ref="H100">
      <text>
        <t xml:space="preserve">Servizio elettrico Nazionale: 193euro</t>
      </text>
    </comment>
    <comment authorId="0" ref="H162">
      <text>
        <t xml:space="preserve">20 mobile
16 fisso</t>
      </text>
    </comment>
    <comment authorId="0" ref="H290">
      <text>
        <t xml:space="preserve">40 mobile
32 fisso</t>
      </text>
    </comment>
    <comment authorId="0" ref="H96">
      <text>
        <t xml:space="preserve">CONDOMINIO:100</t>
      </text>
    </comment>
    <comment authorId="0" ref="H158">
      <text>
        <t xml:space="preserve">100 Francioni gestione social
232 Facebook febbraio marzo</t>
      </text>
    </comment>
    <comment authorId="0" ref="H286">
      <text>
        <t xml:space="preserve">FB: 640
IG: 50
</t>
      </text>
    </comment>
    <comment authorId="0" ref="B55">
      <text>
        <t xml:space="preserve">PAGATO INOLTRE:
Beba: 930euro
Frezza: 200euro
elettricista: 500
Cartongessista:500</t>
      </text>
    </comment>
    <comment authorId="0" ref="B183">
      <text>
        <t xml:space="preserve">pagato inoltre:
200 euro FREZZA ULTIMI!!!!!!
700 euro elettricista ULTIMI!!!!!!</t>
      </text>
    </comment>
    <comment authorId="0" ref="H220">
      <text>
        <t xml:space="preserve">BOLLO TWINGO: 183</t>
      </text>
    </comment>
    <comment authorId="0" ref="H88">
      <text>
        <t xml:space="preserve">libro project bodybuilding :45euto</t>
      </text>
    </comment>
    <comment authorId="0" ref="I216">
      <text>
        <t xml:space="preserve">pagati dal conto di Stefania</t>
      </text>
    </comment>
    <comment authorId="0" ref="B80">
      <text>
        <t xml:space="preserve">Piemonte: 380euro
Capaccioli: 90
Brenzini: 180euro
Giovinetti:120
Sandra: 60
Visconte: 620
Panelli: 120euro
Cerino: 90 euro
Ciappi: 90 euro
Dainelli: 450 euro per vendita materiale combat
Ilaria Pini: 120 euro
Sottani: 120euro
Franco: 1000euro
iengo: 50euro
Cacciaguerra: 360euro
Bini: 800
Patty: 300euro
</t>
      </text>
    </comment>
    <comment authorId="0" ref="H150">
      <text>
        <t xml:space="preserve">tenda ingresso</t>
      </text>
    </comment>
    <comment authorId="0" ref="H278">
      <text>
        <t xml:space="preserve">123 rinnovo contratto 
lavori manutenzione: 61+30+112</t>
      </text>
    </comment>
    <comment authorId="0" ref="H113">
      <text>
        <t xml:space="preserve">LIBRO PROJECT CALISTENICHS: EURO 45</t>
      </text>
    </comment>
    <comment authorId="0" ref="H208">
      <text>
        <t xml:space="preserve">vaccini ROSCO:  90 euro</t>
      </text>
    </comment>
    <comment authorId="0" ref="H47">
      <text>
        <t xml:space="preserve">servizio elettrico: 130 euro</t>
      </text>
    </comment>
    <comment authorId="0" ref="B105">
      <text>
        <t xml:space="preserve">De angelis: 80 euro
Panelli: 120 euro
Franco: 300
zaino: 160euro
pavone: 80 euro 
arvia: 120euro
D'anna: 120euro
BRENZINI:60EURO
cerino: 90 euro
Zano: 360
ILARIA PINI: 120
</t>
      </text>
    </comment>
    <comment authorId="0" ref="H303">
      <text>
        <t xml:space="preserve">enel:144
Eni gas: 27+248</t>
      </text>
    </comment>
    <comment authorId="0" ref="H237">
      <text>
        <t xml:space="preserve">RETE DA PALLAVOLO : 20euro</t>
      </text>
    </comment>
    <comment authorId="0" ref="H266">
      <text>
        <t xml:space="preserve">42eu: libro project 
23: video su Fascia
rinnovo tesseramento AICS: 97euro</t>
      </text>
    </comment>
    <comment authorId="0" ref="B130">
      <text>
        <t xml:space="preserve">Iengo: 50 euro
BASSANTI:480
Capaccioli:90euro
Alex Dea: 80 euro
Chef: 620
Enrica Cappelli: 90 euro
Piccione: 120
Feraru: 90 euro
gudini: 120
Esposito: 90 euro
Dorothea:100euro
Ciappi: 480
Cerino: 90euro
ALICE 100euro (pacchetto 30 sessioni)
Zaino: 80euro
Brenza: 60 euro
Crescente: 90euro
Caccia: 360euro</t>
      </text>
    </comment>
    <comment authorId="0" ref="H200">
      <text>
        <t xml:space="preserve">Sen (enrgia elettrica): 243
ENI: 578
rata ENI 248</t>
      </text>
    </comment>
    <comment authorId="0" ref="B258">
      <text>
        <t xml:space="preserve">Franco: 400 a saldo
Capaccioli: 70
Alice fiamma: 60
Cappelli: 60 euro
Caccia: 360+640
bassa: 400
Salazar: 120
Buono/vanni: 600 euro 
Brenza: 120
Caini: 120
Casci: 750
Zano: 640
Giovinetti: 495
iengo: 1600</t>
      </text>
    </comment>
    <comment authorId="0" ref="H39">
      <text>
        <t xml:space="preserve">zurich: rischio conto terzi per infortuni</t>
      </text>
    </comment>
    <comment authorId="0" ref="H262">
      <text>
        <t xml:space="preserve">Deborah: 150xVideo Fabio</t>
      </text>
    </comment>
    <comment authorId="0" ref="H291">
      <text>
        <t xml:space="preserve">libro HIIT: 41eu
libro corsa: 36
programma allenamento OCR</t>
      </text>
    </comment>
    <comment authorId="0" ref="B155">
      <text>
        <t xml:space="preserve">Sasso: 360euro
PANELLI: 120
CASCI: 700euro
FRANCO: 1400
Piemonte: 120euro
zano: 360
Visconte: 620
Pavone: 100
Zampiga: 180
gARRISI: 100EURO
Casci: 600
pini 100euro
Cerino: 90euro
Nencini: 90euro
Alice: 60
Carmen 60euro
Sabina Pettorali: 120
Sara Di Tocco: 45Euro
Bassa: 480
D'isanto: ACC.100euro
CACCIA: 360
CAPPELLI: 60 euro</t>
      </text>
    </comment>
    <comment authorId="0" ref="H225">
      <text>
        <t xml:space="preserve">periodo APRILE-MAGGIO-GIUGNO 2019</t>
      </text>
    </comment>
    <comment authorId="0" ref="B283">
      <text>
        <t xml:space="preserve">Arvia 120 di scheda vecchia
Alberto: 640
Caini: 120
brenza 100
Carmen: 50
Cerino:80
Niccolo morelli: 210
Franco: 1100
piemonte: 120
romanello: 120
Fanfani: 540
Vannucchi: 300
BASSA: 600
CASCI 690</t>
      </text>
    </comment>
    <comment authorId="0" ref="H31">
      <text>
        <t xml:space="preserve">local maps 120 euro
FB: 305</t>
      </text>
    </comment>
    <comment authorId="0" ref="H159">
      <text>
        <t xml:space="preserve">sito fisicoideale: 700euro
social marzo: 100euro
</t>
      </text>
    </comment>
    <comment authorId="0" ref="H287">
      <text>
        <t xml:space="preserve">fotolia per FB: 50 euro
Francioni. 300 euro su 400 (100 ancora da dare)</t>
      </text>
    </comment>
    <comment authorId="0" ref="H188">
      <text>
        <t xml:space="preserve">20 mobile
16 fisso</t>
      </text>
    </comment>
    <comment authorId="0" ref="H122">
      <text>
        <t xml:space="preserve">DUCCIO: 160 euro</t>
      </text>
    </comment>
    <comment authorId="0" ref="H56">
      <text>
        <t xml:space="preserve">local maps 120 euro</t>
      </text>
    </comment>
    <comment authorId="0" ref="H184">
      <text>
        <t xml:space="preserve">social: 160euro</t>
      </text>
    </comment>
    <comment authorId="0" ref="H85">
      <text>
        <t xml:space="preserve">Cartucce Stampante: 21euro
plyo BOX: 96</t>
      </text>
    </comment>
    <comment authorId="0" ref="H213">
      <text>
        <t xml:space="preserve">20 mobile
16 fisso</t>
      </text>
    </comment>
    <comment authorId="0" ref="H209">
      <text>
        <t xml:space="preserve">v card e flyer Stefy: 63 euro</t>
      </text>
    </comment>
    <comment authorId="0" ref="H48">
      <text>
        <t xml:space="preserve">zanzariere 30eu///</t>
      </text>
    </comment>
    <comment authorId="0" ref="H304">
      <text>
        <t xml:space="preserve">prodotto zanzare e varie</t>
      </text>
    </comment>
    <comment authorId="0" ref="H110">
      <text>
        <t xml:space="preserve">cartucce stampante:28euro</t>
      </text>
    </comment>
    <comment authorId="0" ref="H172">
      <text>
        <t xml:space="preserve">conteggiato anche 180 di Bassa</t>
      </text>
    </comment>
    <comment authorId="0" ref="H73">
      <text>
        <t xml:space="preserve">130 euro:  energia elettrica</t>
      </text>
    </comment>
    <comment authorId="0" ref="B3">
      <text>
        <t xml:space="preserve">Manuela D'anna: 100eu
Marta Lenci: 280eu
Visconte: 620eu
Smedile: 120eu
Iengo: 50eu
Caccia: 600eu
Brenza: 90eu
Cerino: 90euro
Piccione: 350euro
Zano: 360euro
Giovinetti 420
A. Franco: 1320euro
Cristina piemonte: 380
Sara Vignolini: 120eu
</t>
      </text>
    </comment>
    <comment authorId="0" ref="H69">
      <text>
        <t xml:space="preserve">CONDOMINIO</t>
      </text>
    </comment>
    <comment authorId="0" ref="H36">
      <text>
        <t xml:space="preserve">viaggio a Milano per conferenza</t>
      </text>
    </comment>
    <comment authorId="0" ref="H98">
      <text>
        <t xml:space="preserve">Duccio 180</t>
      </text>
    </comment>
    <comment authorId="0" ref="B28">
      <text>
        <t xml:space="preserve">Ilaria Pavone: 80euro
Marta Lenci: 670 euro
Giannina: 100
De Biggio: 540
Susanna Russo: 600
Salomone: 90 euro
Giovinetti x BIA+consulenza: 180Eu
donatella morandi: 120 eu
brenza: 60
Zano: 360 eu
iengo:50eu
Arvia: 120euro
Terribile: 80euro
Zaino: 280
sottani. 300 euro</t>
      </text>
    </comment>
    <comment authorId="0" ref="H226">
      <text>
        <t xml:space="preserve">PASSO CARRABILE:
70 EURO</t>
      </text>
    </comment>
    <comment authorId="0" ref="H160">
      <text>
        <t xml:space="preserve">99EURO: attrezzatura e giochi DECATHLON
74EURO: bosu+foam roller+palle spugna
30euro: elastico
70euro tappeto decontaminante</t>
      </text>
    </comment>
    <comment authorId="0" ref="B53">
      <text>
        <t xml:space="preserve">vignolini: 120
marta 520
piemonte 380
casci. 1540
iengo. 100
Visconte: 620
Riccio: 90euro
Pavone. 80euro
Cacciaguerra: 350
Bassanti: 480euro
Zano: 390eu
Bini: 800 euro
Piccione: 120euro
Ilaria Grandini. 90
</t>
      </text>
    </comment>
    <comment authorId="0" ref="B181">
      <text>
        <t xml:space="preserve">Di Tocco: 270
Brenzini: 170
Sasso: 320
Visconte: 620
iengo: 520
vanni: 1400
Finocchi :120
zano: 360
zampiga: 120
Caccia: 360
Capaccioli. 60
Pettorali: 100
Pini: 120
De Angelis: 120
Patty: 50</t>
      </text>
    </comment>
    <comment authorId="0" ref="H57">
      <text>
        <t xml:space="preserve">pannello logo ingresso studio: 42euro</t>
      </text>
    </comment>
    <comment authorId="0" ref="H185">
      <text>
        <t xml:space="preserve">Francioni gestione post social: 100</t>
      </text>
    </comment>
    <comment authorId="0" ref="B82">
      <text>
        <t xml:space="preserve">pagato inoltre euro 1900
200 frezza
500 Elettricista 
500cartongessista
700 Perrucci</t>
      </text>
    </comment>
    <comment authorId="0" ref="B206">
      <text>
        <t xml:space="preserve">GUDINI: 120
MAESTRELLI: 195
CERINO: 90
BRENZINI:130
CARMEN: 60
PATTY: 350
PANELLI. 120
VISCONTE: 620
MOSCATELLI: 90
CAPPELLI: 120
PIEMONTE: 120
ALICE: 60 Euro per Fiamma 
CAPACCIOLI: 60
ARVIA: 120
DI TOCCO: 120
PETTORALI: 100 EURO
BASSANTI: 480
ZANOBINI: 360
CASCI 700 EURO
</t>
      </text>
    </comment>
    <comment authorId="0" ref="H210">
      <text>
        <t xml:space="preserve">Francioni gestione post social: 100
Deborah per realizzazione video Annamaria: 159</t>
      </text>
    </comment>
    <comment authorId="0" ref="B107">
      <text>
        <t xml:space="preserve">pagato inoltre
Frezza: 200euro
elettricista: 500euro
Cartongesso: 500 euro</t>
      </text>
    </comment>
    <comment authorId="0" ref="H239">
      <text>
        <t xml:space="preserve">20 mobile
16 fisso</t>
      </text>
    </comment>
    <comment authorId="0" ref="H45">
      <text>
        <t xml:space="preserve">duccio 50</t>
      </text>
    </comment>
    <comment authorId="0" ref="B132">
      <text>
        <t xml:space="preserve">pagato inoltre:
elettricista 500euro
Frezza 200euro
TOT 700 euro
</t>
      </text>
    </comment>
    <comment authorId="0" ref="H8">
      <text>
        <t xml:space="preserve">135 x software
43 per rivista
250 per attrezzatura riprese video</t>
      </text>
    </comment>
    <comment authorId="0" ref="I293">
      <text>
        <t xml:space="preserve">settembre pagato da conto stefania</t>
      </text>
    </comment>
    <comment authorId="0" ref="B157">
      <text>
        <t xml:space="preserve">pagato inoltre
500euro elettricista
200euro frezza
</t>
      </text>
    </comment>
    <comment authorId="0" ref="H289">
      <text>
        <t xml:space="preserve">scarpe vibram: 119</t>
      </text>
    </comment>
    <comment authorId="0" ref="H95">
      <text>
        <t xml:space="preserve">tagliando Twingo: 150euro</t>
      </text>
    </comment>
    <comment authorId="0" ref="H157">
      <text>
        <t xml:space="preserve">150 operazione 
100 prelievo e primo vaccino
100 seresto-cbd-frontline
</t>
      </text>
    </comment>
    <comment authorId="0" ref="H219">
      <text>
        <t xml:space="preserve">bollo moto 2018: 87 euro (con tassa per aumento)
bollo moto 2019: 68 euro</t>
      </text>
    </comment>
    <comment authorId="0" ref="H215">
      <text>
        <t xml:space="preserve">DUCCIO: 50 euro
MARILÙ/VERONICA: 50EURO</t>
      </text>
    </comment>
    <comment authorId="0" ref="H149">
      <text>
        <t xml:space="preserve">Servizio Elettrico nazionale: 293,42
52.19</t>
      </text>
    </comment>
    <comment authorId="0" ref="H83">
      <text>
        <t xml:space="preserve">local maps 120 euro
Inserzioni FB:87</t>
      </text>
    </comment>
    <comment authorId="0" ref="H211">
      <text>
        <t xml:space="preserve">cartucce stampante</t>
      </text>
    </comment>
    <comment authorId="0" ref="H112">
      <text>
        <t xml:space="preserve">20 mobile
42 fisso</t>
      </text>
    </comment>
    <comment authorId="0" ref="H207">
      <text>
        <t xml:space="preserve">90felix</t>
      </text>
    </comment>
    <comment authorId="0" ref="H174">
      <text>
        <t xml:space="preserve">acqua: 104 euro</t>
      </text>
    </comment>
    <comment authorId="0" ref="B232">
      <text>
        <t xml:space="preserve">PAVONE: 160
BRENZINI: 250
MOSCATELLI: 120
CASCI: 600
VISCONTE: 620
IENGO: 480
VANNI: 900 saldo
PIEMONTE: 90
FRANCO: 900
CAPPELLI: 65 
ZAINO: 80
ZANO: 360</t>
      </text>
    </comment>
    <comment authorId="0" ref="H108">
      <text>
        <t xml:space="preserve">local maps 120 euro</t>
      </text>
    </comment>
    <comment authorId="0" ref="H236">
      <text>
        <t xml:space="preserve">Francioni gestione post social + CP ADDWORD+fliers stefania+realizzazione landing page per addword</t>
      </text>
    </comment>
    <comment authorId="0" ref="H137">
      <text>
        <t xml:space="preserve">20 mobile
16 fisso</t>
      </text>
    </comment>
    <comment authorId="0" ref="H265">
      <text>
        <t xml:space="preserve">20 mobile
50 fisso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1">
      <text>
        <t xml:space="preserve">fisso:  24.90eu del mese di novembre (dal primo al 30)/
mobile: 20 eu pagati in data 29/12/2019</t>
      </text>
    </comment>
    <comment authorId="0" ref="B96">
      <text>
        <t xml:space="preserve">Zenoni : 365
LOSA: 260
Iengo: 30
VITRANO: 120 fatturati
CARMEN: 360 (dato 350, mancano 10 euro)
Cerino: 60
ZANO: 520 fatturati
Morelli: 140
ZICOLELLA: 60
NICCOLò BIAGI: 120
FRATELLI CAMBO': 180
PULITI: da fatturare
BENEDETTO: 200
MANRICO: 295 da fatturare
Lombardi: 60
Cordaro: 90euro (scontati per invio noemi Vitrano)
BASSANTI: 900 (controlla e fai fattura)
Iengo: 50 euro
ghinassi: 245 DA FATTURARE
Brenzini: 35</t>
      </text>
    </comment>
    <comment authorId="0" ref="B158">
      <text>
        <t xml:space="preserve">Zenoni: 265
BRENZA: 35
vagni: 72
cASCI: 800
Annalisa Dominici: 220 fatturati</t>
      </text>
    </comment>
    <comment authorId="0" ref="H100">
      <text>
        <t xml:space="preserve">rinnovo personaltrainer.firenze: 61 euro
pagamento FRANCIONI: 300</t>
      </text>
    </comment>
    <comment authorId="0" ref="H228">
      <text>
        <t xml:space="preserve">225 gas arretrato dicembre gennaio
113 gaS Febbraio Apriole
</t>
      </text>
    </comment>
    <comment authorId="0" ref="C286">
      <text>
        <t xml:space="preserve">ancora da poter versare:
500 falanga
120  Pezone</t>
      </text>
    </comment>
    <comment authorId="0" ref="H191">
      <text>
        <t xml:space="preserve">windtre: 17 euro</t>
      </text>
    </comment>
    <comment authorId="0" ref="H26">
      <text>
        <t xml:space="preserve">ENEL: 22euro</t>
      </text>
    </comment>
    <comment authorId="0" ref="H55">
      <text>
        <t xml:space="preserve">Eni GAS: 17
Enel Energia: 151</t>
      </text>
    </comment>
    <comment authorId="0" ref="H150">
      <text>
        <t xml:space="preserve">03/02: 15
scheda manrico: 15
05/02: 30
07/02: 30
---: 50
13/02: 25
15/02: 70
17/05: 40euro
21/02/2020: 80
27/02/2020: 75</t>
      </text>
    </comment>
    <comment authorId="0" ref="H84">
      <text>
        <t xml:space="preserve">230 Energia elettrica (nov-Dic)
173 Acqua (Giugno-Dicembre 2019)</t>
      </text>
    </comment>
    <comment authorId="0" ref="H212">
      <text>
        <t xml:space="preserve">local maps 120 euro</t>
      </text>
    </comment>
    <comment authorId="0" ref="H113">
      <text>
        <t xml:space="preserve">Settimana dal 30/12 al 4/01: 380 euro
settimana dal 6/01: 205 euro
settimana dal 13/01: 255
23/01: 15 euro
Settimana dal 20/01: 190euro
Settimana del 27/01: 230</t>
      </text>
    </comment>
    <comment authorId="0" ref="H175">
      <text>
        <t xml:space="preserve">03/03/2020
06/03: 50euro</t>
      </text>
    </comment>
    <comment authorId="0" ref="B6">
      <text>
        <t xml:space="preserve">PULITI: 120 euro
FRANCO:300
CACCIA: 900
BRENZA: 200
ROMANELLO: 500
AGOSTINI: 540
GIOVINETTI: 375
CARMEN: 50
BIONDO: 700acconto pacchetto 3 mesi
PIEMONTE:120
LOSA: 110euro
VANNUCCHI: 240
SARA TUROLLA (da Andrea): 120euro
ZENONI: 120 euro
CAPACCIOLI: 60euro
</t>
      </text>
    </comment>
    <comment authorId="0" ref="H171">
      <text>
        <t xml:space="preserve">bollo 2020</t>
      </text>
    </comment>
    <comment authorId="0" ref="B35">
      <text>
        <t xml:space="preserve">MORELLI: 100 euro
CAPACCIOLI: 60 euro
TUROLLA: 500 (andrea)
GIOVANNA:500 euro
BRENZA: 200 euro
irene  Puccioni: 450 euro
LOSA: 100 euro
FANFANI: 540
CORDARO: 120
CARMEN:  350
AGO: 1750
DE ANGELIS: 120
PULITI MARTA: 60euro
CAVICCHI: 540
BIONDO: 700
DE SEPIO: 279
SCUCCIMARRA: 120
GHINASSI: 495
SEGHI MANRICO: 300
DI TOCCO: 120
PIEMONTE: 120
</t>
      </text>
    </comment>
    <comment authorId="0" ref="H105">
      <text>
        <t xml:space="preserve">Veronica: 160
Jacopo: 160</t>
      </text>
    </comment>
    <comment authorId="0" ref="H72">
      <text>
        <t xml:space="preserve">Libri natural peaking: 70euro</t>
      </text>
    </comment>
    <comment authorId="0" ref="H39">
      <text>
        <t xml:space="preserve">francioni 500</t>
      </text>
    </comment>
    <comment authorId="0" ref="B64">
      <text>
        <t xml:space="preserve">ZENONI: 340
VANNUCCHI: 240
BRENZINI: 120 euro
FRANCO: acconto 450
DE SEPIO: 500
DI TOCCO: 495
AGO: 875 già fatturati
TURRINI: 240
PULITI: 200
ROMANELLO: 1100 già fatturati
PIEMONTE:  495
SEGHI:200 già fatturati
ZANO 520
CAVICCHI: 400
CAPACCIOLI: 60euro
BIONDO: 593
FANFANI: 500
RUSCICA: 300 euro
BASSANTI: 600
FRANCO 150
turolla:500 euro
</t>
      </text>
    </comment>
    <comment authorId="0" ref="H101">
      <text>
        <t xml:space="preserve">cartucce stampante: 29 euro
salviette bagni:  23</t>
      </text>
    </comment>
    <comment authorId="0" ref="I291">
      <text>
        <t xml:space="preserve">Pantaloni moto + stivaletti</t>
      </text>
    </comment>
    <comment authorId="0" ref="B184">
      <text>
        <t xml:space="preserve">giovinetti a saldo 375 fatturati
Macciachini: 41 fatturati
Vagni: 49 Fatturati
49: Biagi fatturati
540: Furio Fatturati</t>
      </text>
    </comment>
    <comment authorId="0" ref="H23">
      <text>
        <t xml:space="preserve">SETTIMANA 7-12/10:  260euro
SETTIMANA 14-19/10: 185euro
SETTIMANA  21-25/10: 225 euro (dato 240, mi deve 15)</t>
      </text>
    </comment>
    <comment authorId="0" ref="B209">
      <text>
        <t xml:space="preserve">Luchi: 402 fatturati
Ilacqua roberto:41fatturati
Guidi: 270
Gandolfi:99
Vagni: 49
Vallini: 549
bellavia: 90
brenzini:140
Rinaldi: 90
audisio: 149
lascialfari 69
panfili 79
Vivi: 449
Vallini 120
bassanti 440
Covelli 70
armen 300
Andreoli: 100 fatturati + 400 pacchetto da 8
Giovinetti: 70
Matilde 30
cordaro: 150
Macciahcini: 69
Falanga 360 fatturati</t>
      </text>
    </comment>
    <comment authorId="0" ref="H52">
      <text>
        <t xml:space="preserve">225: SETTIMANE DA L 29/09 AL 10/10
settimane dall'11 al 23/09: 160 euro
settimana:  25--&gt; 30/11
</t>
      </text>
    </comment>
    <comment authorId="0" ref="H147">
      <text>
        <t xml:space="preserve">Cuccia Rosco 179</t>
      </text>
    </comment>
    <comment authorId="0" ref="H114">
      <text>
        <t xml:space="preserve">per il 07/01: 15 euro
08/01: 15 euro
09/01: 15
10 e 11/01: 60euro
14/01: 15 euro
16/01: 60
20/01: 30
22/01: 45
24/01: 45
29/01:35
30/01: 15
31/01:50</t>
      </text>
    </comment>
    <comment authorId="0" ref="H81">
      <text>
        <t xml:space="preserve">settimana dal 9/12: 185 euro
SETTIMANA del 16: 255 euro</t>
      </text>
    </comment>
    <comment authorId="0" ref="H176">
      <text>
        <t xml:space="preserve">06/03: 185euro</t>
      </text>
    </comment>
    <comment authorId="0" ref="B234">
      <text>
        <t xml:space="preserve">Carresi: 45
giovinetti: 85
Bassanti: 400
Bellanti: 540
brenzini: 90
matilde: 60
zeno: 30
Luchi 400
Fiaschi: 180
FANFANI: 360 fatturati
Bellavia: 540 fatturati
Macchiachini 49: fatturati
Castellucci: 49 euro fatturatri
Loris Costa: 59.00
Vallini: 265 (fatturati tutti e 715)
Irò: 80euro fatturati +45 +
Guidi: 150
Carresi: 360 fatturati
Lapo: 75 euro
Armallini 200 fatturati
Carmen:350
Ilacqua: 59 euro
mina 250 accnto di 500
Ruscica: 120
</t>
      </text>
    </comment>
    <comment authorId="0" ref="H15">
      <text>
        <t xml:space="preserve">già pagato:
</t>
      </text>
    </comment>
    <comment authorId="0" ref="H77">
      <text>
        <t xml:space="preserve">Acconto lavori Cristinel: 300</t>
      </text>
    </comment>
    <comment authorId="0" ref="H11">
      <text>
        <t xml:space="preserve">Salviette bagni: 30 euro
tappeto decontaminante: 84</t>
      </text>
    </comment>
    <comment authorId="0" ref="H139">
      <text>
        <t xml:space="preserve">cellulare il 24/02/2020: 20 euro</t>
      </text>
    </comment>
    <comment authorId="0" ref="I172">
      <text>
        <t xml:space="preserve">bollo twingo</t>
      </text>
    </comment>
    <comment authorId="0" ref="H73">
      <text>
        <t xml:space="preserve">per il 7 e il 14: 80 GIà PAGATI
NB: il 14 non sono venute per l'incidente in scooter di Veronica e marilù non stava bene, quindi i 40 già pagati si considerano per le pulizie del 21
</t>
      </text>
    </comment>
    <comment authorId="0" ref="H40">
      <text>
        <t xml:space="preserve">mouquette: 85 euro
rata Top Skills: 800euro (ottobre e novembre)
portaombrelli e attaccapanni: 70euro
cronometri: 20 euro</t>
      </text>
    </comment>
    <comment authorId="0" ref="H135">
      <text>
        <t xml:space="preserve">dicembre-gennaio Facebook e instagram
</t>
      </text>
    </comment>
    <comment authorId="0" ref="H263">
      <text>
        <t xml:space="preserve">local maps 120 euro</t>
      </text>
    </comment>
    <comment authorId="0" ref="H69">
      <text>
        <t xml:space="preserve">ultima rata top skills, 400 euro a saldo di tutto</t>
      </text>
    </comment>
    <comment authorId="0" ref="H164">
      <text>
        <t xml:space="preserve">giacca</t>
      </text>
    </comment>
    <comment authorId="0" ref="H226">
      <text>
        <t xml:space="preserve">al 30/05/2020</t>
      </text>
    </comment>
    <comment authorId="0" ref="H65">
      <text>
        <t xml:space="preserve">Bambini cugine: 80euro
Zizza e tommy: 26
isa e bianca: 20
Stefy: 583</t>
      </text>
    </comment>
    <comment authorId="0" ref="H288">
      <text>
        <t xml:space="preserve">local maps 120 euro</t>
      </text>
    </comment>
    <comment authorId="0" ref="H218">
      <text>
        <t xml:space="preserve">jacob</t>
      </text>
    </comment>
    <comment authorId="0" ref="H152">
      <text>
        <t xml:space="preserve">Acqua condominiale. 173
sen: 196</t>
      </text>
    </comment>
    <comment authorId="0" ref="H214">
      <text>
        <t xml:space="preserve">nuovo notebook: 750 euro
filmora editing video: 70 euro
30 euro porta stampati norme covid</t>
      </text>
    </comment>
    <comment authorId="0" ref="H53">
      <text>
        <t xml:space="preserve">? ? ? ? : 30euro
11/11/2019: 60euro
13/11/2019: 30euro
14/11/2019: 20 euro
20/11/2019: 30 euro
21/11/2019: 40 euro
22/11/2019: 15 euro
25/11/2019: 80 euro
26/11: 45 EURO
27/11/2019: 45 euro
29/11/2019: 75
</t>
      </text>
    </comment>
    <comment authorId="0" ref="H115">
      <text>
        <t xml:space="preserve">274+130
</t>
      </text>
    </comment>
    <comment authorId="0" ref="H82">
      <text>
        <t xml:space="preserve">02/12 - 30 euro
04/12 - 50 euro
05/12: 45 euro
09/12: 90 euro
16/12/2019: 30 euro
17/12: 30 Euro
18/12 : 60
19/12: 20
20/12/2019: 55 euro
</t>
      </text>
    </comment>
    <comment authorId="0" ref="H140">
      <text>
        <t xml:space="preserve">Ricomposizione corporea: 97,00</t>
      </text>
    </comment>
    <comment authorId="0" ref="B132">
      <text>
        <t xml:space="preserve">vitrano: 90 euro
Brenzini: 135
FANFANI: FARE FATTURA
Zenoni: 265
Franco: 300
CASCI:800
Buono: 600
BIONDO:  593 di gennaio
BENEDETTO: 290
BIAGI: 95
RUSCICA: 300
ROMAGNOLI: 122 fatturare
Carmen: 350
FIERLI SARA: fatturare (dati in drive)
</t>
      </text>
    </comment>
    <comment authorId="0" ref="B260">
      <text>
        <t xml:space="preserve">vivi: 200 euro
pettorali: 59 euro
cordaro: 150 saldo
Lapo 40
Carresi: 1200
panfili: 30 euro
Vallini 400 acconto
Fanfani: 360
Falanga: 700 acconto
Giovinetti:  175
Blanca Tomassini: 49
Mina: 250
Furio: 1000
Letizia: 380
Luchi 800</t>
      </text>
    </comment>
    <comment authorId="0" ref="H136">
      <text>
        <t xml:space="preserve">francioni  a saldo: 400 euro
</t>
      </text>
    </comment>
    <comment authorId="0" ref="H165">
      <text>
        <t xml:space="preserve">26euro telefono fisso studio</t>
      </text>
    </comment>
    <comment authorId="0" ref="H99">
      <text>
        <t xml:space="preserve">un mese di palestra alle gemelle: 300</t>
      </text>
    </comment>
    <comment authorId="0" ref="B285">
      <text>
        <t xml:space="preserve">Clara pagato 200 euro
Alessio Valenti 280
Macciachini 59 DA FATTURARE
Fiuzzi Neri: 200 euro acconto 
Unitulli: 90 euro
Franco 750 acconto saldo vecchio pacchetto NO FATT
80 Lapo
Alessio Valenti: 50 euro no fatt
350 feraru
700 Elga
120 Bea
AGO: 4000 
25 Giovinetti
Maggio: 200
Fiaschi: 180
Seghi: 100
Carres: 3000 fatturati 1500
luchi: 800 no fatt
160 coaching stefano simoneschi
Falanga: 590 no fatt
Vignaroli: 90 euro
600: forastiere fatturati
vallini: 400 non fatt
360 fanfani Fatturati
Lascialfari 110 fatturati
Mimma: 20 
Cerino: 50
Lapo 30+40
Clara: 40 euro
Mimma: 65
Pezone Giovanni: 120 già fatturati
Piero Valenti: 330 no fatt
Samuele Bacci: 90
giovinetti 50
Mugnai:50</t>
      </text>
    </comment>
    <comment authorId="0" ref="H161">
      <text>
        <t xml:space="preserve">facebook 50 euro</t>
      </text>
    </comment>
    <comment authorId="0" ref="H252">
      <text>
        <t xml:space="preserve">duccio 1085
CROPPI: 259
Vince: 260
</t>
      </text>
    </comment>
    <comment authorId="0" ref="H87">
      <text>
        <t xml:space="preserve">MIA: divieto di sosta palazzo bruciato</t>
      </text>
    </comment>
    <comment authorId="0" ref="H21">
      <text>
        <t xml:space="preserve">LAVORI VELLANO: 50euro</t>
      </text>
    </comment>
    <comment authorId="0" ref="H149">
      <text>
        <t xml:space="preserve">SETTIMANA DEL 3: 210 euro
Settimama del 11: 200euro
21/02/2020: 190
28/02: 240</t>
      </text>
    </comment>
    <comment authorId="0" ref="H116">
      <text>
        <t xml:space="preserve">ENI GAS: 199</t>
      </text>
    </comment>
    <comment authorId="0" ref="H240">
      <text>
        <t xml:space="preserve">buddyfit x 6 mesi: 414</t>
      </text>
    </comment>
    <comment authorId="0" ref="H13">
      <text>
        <t xml:space="preserve">40 MOBILE</t>
      </text>
    </comment>
    <comment authorId="0" ref="H203">
      <text>
        <t xml:space="preserve">elettricità wekiwi: 126</t>
      </text>
    </comment>
    <comment authorId="0" ref="H42">
      <text>
        <t xml:space="preserve">49.81 telefono fisso (bimestre dal 22/08 al 21/10)
20 euro cellulare in data 29/11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tc={1cd6b81f-3742-40f1-be8b-c0a186bee07f}</author>
    <author>tc={2d5aea10-6f61-4f23-996c-a786fd3d9451}</author>
    <author>tc={5079472d-3498-4637-8e5e-ecba1bb1f1ab}</author>
    <author>tc={8affe91a-b104-4e7b-b206-10683a942998}</author>
    <author>tc={bd3f6049-a587-452e-b669-eb9e5a30a3ac}</author>
    <author>tc={c40cb61f-d878-41b8-8a9e-6087022f7226}</author>
    <author>tc={d5a2347a-4707-4cd2-9bc3-67194e8dde9b}</author>
    <author>tc={d5c05ab8-4ebe-4181-9756-7c01139e0b4d}</author>
    <author>tc={e587c20e-30f4-4115-96b2-d2f969b5b385}</author>
    <author>tc={e90744ce-e843-4def-aff8-be30bf829b2e}</author>
    <author>tc={f22f4cf2-558c-4225-974a-58fc21e6eda2}</author>
    <author>tc={fa9f8aa1-b1dd-4ffa-b003-5b6661fdfad8}</author>
  </authors>
  <commentList>
    <comment authorId="0" ref="J170">
      <text>
        <t xml:space="preserve">wind tre 46</t>
      </text>
    </comment>
    <comment authorId="0" ref="F290">
      <text>
        <t xml:space="preserve">370 MALENA + 80 GIULIA</t>
      </text>
    </comment>
    <comment authorId="0" ref="G224">
      <text>
        <t xml:space="preserve">aspetta il rinnovo del pacchetto così farai una sola Fattura totale</t>
      </text>
    </comment>
    <comment authorId="0" ref="M228">
      <text>
        <t xml:space="preserve">+ 40 pistola massaggiatrice
+12 maniglia porta
+12 swiffer
+21 bicchieri di plastica</t>
      </text>
    </comment>
    <comment authorId="0" ref="E154">
      <text>
        <t xml:space="preserve">FANFANI GIORGIO</t>
      </text>
    </comment>
    <comment authorId="0" ref="E88">
      <text>
        <t xml:space="preserve">Andrea
Edda
Montella
</t>
      </text>
    </comment>
    <comment authorId="0" ref="F183">
      <text>
        <t xml:space="preserve">altro acconto: adesso è a 1750 euro su 2790 totali</t>
      </text>
    </comment>
    <comment authorId="0" ref="L253">
      <text>
        <t xml:space="preserve">periodo 16 aprile 17 giugno pagato in data 12/07/2021</t>
      </text>
    </comment>
    <comment authorId="0" ref="F278">
      <text>
        <t xml:space="preserve">ad oggi versato 790 su 1000 euro</t>
      </text>
    </comment>
    <comment authorId="0" ref="F84">
      <text>
        <t xml:space="preserve">terzo acconto, siamo a 1000 di 2780 euro</t>
      </text>
    </comment>
    <comment authorId="0" ref="L154">
      <text>
        <t xml:space="preserve">lavori spogliatoio: 270
doccia nuova: 153
attrezzatura montaggio doccia: 100
mobilio ingresso: 300</t>
      </text>
    </comment>
    <comment authorId="0" ref="L311">
      <text>
        <t xml:space="preserve">Revisione e tagliando
casco_127 eu
tuta +saponette_472
Prodotti pulizia 23 euro</t>
      </text>
    </comment>
    <comment authorId="0" ref="L303">
      <text>
        <t xml:space="preserve">Bastoni legno: 20 euro
+
50€ caffè
+
13€ sacchetti aspirapolvere 
+
stampante per stefania 100€
+
25€ sacchetti immondizia e maniglia porta corte</t>
      </text>
    </comment>
    <comment authorId="0" ref="L138">
      <text>
        <t xml:space="preserve">evolutionfit: 58 euro
Salviette bagni: 20 euro</t>
      </text>
    </comment>
    <comment authorId="0" ref="F196">
      <text>
        <t xml:space="preserve">primo acconto di 400 euro sui 1150 che mi deve dell'attuale pacchetto)</t>
      </text>
    </comment>
    <comment authorId="0" ref="F254">
      <text>
        <t xml:space="preserve">applicazione x 6 mesi + consulenza</t>
      </text>
    </comment>
    <comment authorId="0" ref="G283">
      <text>
        <t xml:space="preserve">Fatta ad agosto comprensiva del saldo</t>
      </text>
    </comment>
    <comment authorId="0" ref="E118">
      <text>
        <t xml:space="preserve">eleonora amato 50
giovanni carapelli: 50
-</t>
      </text>
    </comment>
    <comment authorId="0" ref="M93">
      <text>
        <t xml:space="preserve">l'ho voluto pagare io al posto di Silvia come sdebitamento per gratiuità canone affitto </t>
      </text>
    </comment>
    <comment authorId="0" ref="F180">
      <text>
        <t xml:space="preserve">100+150+250
Vedi drive
</t>
      </text>
    </comment>
    <comment authorId="0" ref="L217">
      <text>
        <t xml:space="preserve">neon di ricambio per Stefania
</t>
      </text>
    </comment>
    <comment authorId="0" ref="M89">
      <text>
        <t xml:space="preserve">natale + compleanno</t>
      </text>
    </comment>
    <comment authorId="0" ref="F44">
      <text>
        <t xml:space="preserve">ad oggi  ha saldato il vecchio pacchetto (1000 euro) ed è a 300 euro di acconto del corrente (1190 euro x 30 incontri)</t>
      </text>
    </comment>
    <comment authorId="0" ref="E168">
      <text>
        <t xml:space="preserve">mimma 100 - iengo 50
</t>
      </text>
    </comment>
    <comment authorId="0" ref="F73">
      <text>
        <t xml:space="preserve">saldo del pacchetto
</t>
      </text>
    </comment>
    <comment authorId="0" ref="E102">
      <text>
        <t xml:space="preserve">altro acconto sul totale
acconto su totale</t>
      </text>
    </comment>
    <comment authorId="0" ref="E164">
      <text>
        <t xml:space="preserve">IZZO: 114</t>
      </text>
    </comment>
    <comment authorId="0" ref="L201">
      <text>
        <t xml:space="preserve">125 x parallele
41 x materiale bagni e spazzatura
65 x bicchierini, caffè e carta ig.
10 eu x 2 cronometri
</t>
      </text>
    </comment>
    <comment authorId="0" ref="L168">
      <text>
        <t xml:space="preserve">22 per espositori da banco
18 per 2 cornici spogliatoi
43 per cartucce stampante</t>
      </text>
    </comment>
    <comment authorId="0" ref="G313">
      <text>
        <t xml:space="preserve">Fatta sul totale di 1050 ad agosto</t>
      </text>
    </comment>
    <comment authorId="0" ref="F181">
      <text>
        <t xml:space="preserve">acconto di 400 euro su 420 de pacchetto da 12,in data 13/03</t>
      </text>
    </comment>
    <comment authorId="0" ref="F115">
      <text>
        <t xml:space="preserve">ad oggi versato 1250 su  2790
</t>
      </text>
    </comment>
    <comment authorId="0" ref="E177">
      <text>
        <t xml:space="preserve">60 Giorgio</t>
      </text>
    </comment>
    <comment authorId="0" ref="A107">
      <text>
        <t xml:space="preserve">40%
</t>
      </text>
    </comment>
    <comment authorId="0" ref="G305">
      <text>
        <t xml:space="preserve">fatta ad agosto</t>
      </text>
    </comment>
    <comment authorId="0" ref="G272">
      <text>
        <t xml:space="preserve">fatta ad agosto</t>
      </text>
    </comment>
    <comment authorId="0" ref="A41">
      <text>
        <t xml:space="preserve">40%</t>
      </text>
    </comment>
    <comment authorId="0" ref="L115">
      <text>
        <t xml:space="preserve">gomme casci (2 gomme): 360euro
sistemato apertura twingo: 60 euro
cambiato ganasce twingo: 223
</t>
      </text>
    </comment>
    <comment authorId="0" ref="E107">
      <text>
        <t xml:space="preserve">man cano 40 euro
</t>
      </text>
    </comment>
    <comment authorId="0" ref="G268">
      <text>
        <t xml:space="preserve">fatta ad agosto</t>
      </text>
    </comment>
    <comment authorId="0" ref="F330">
      <text>
        <t xml:space="preserve">solitamente 100 ma ha fatto due sessioni di test</t>
      </text>
    </comment>
    <comment authorId="0" ref="G264">
      <text>
        <t xml:space="preserve">fatta ad agosto</t>
      </text>
    </comment>
    <comment authorId="0" ref="L12">
      <text>
        <t xml:space="preserve">wind-tre 27</t>
      </text>
    </comment>
    <comment authorId="0" ref="L330">
      <text>
        <t xml:space="preserve">4 euro di rid</t>
      </text>
    </comment>
    <comment authorId="0" ref="F124">
      <text>
        <t xml:space="preserve">primo acconto sui 900 che deve pagare (mancano 550)</t>
      </text>
    </comment>
    <comment authorId="0" ref="E186">
      <text>
        <t xml:space="preserve">dato primo acconto di 345 su 690</t>
      </text>
    </comment>
    <comment authorId="0" ref="E87">
      <text>
        <t xml:space="preserve">-Jessica Corsani
-Lucia Scala
-</t>
      </text>
    </comment>
    <comment authorId="0" ref="F182">
      <text>
        <t xml:space="preserve">saldo vecchio pacchetto</t>
      </text>
    </comment>
    <comment authorId="0" ref="G116">
      <text>
        <t xml:space="preserve">la fattura sarà di 130 euro poichè ha pagato anche 50 euro di utilizzo APP</t>
      </text>
    </comment>
    <comment authorId="0" ref="F178">
      <text>
        <t xml:space="preserve">versa ulteriore acconto di 700 sui 1500 che deve (restano ancora 800 da dare al 12/03/2021)</t>
      </text>
    </comment>
    <comment authorId="0" ref="G306">
      <text>
        <t xml:space="preserve">fatta ad agosto</t>
      </text>
    </comment>
    <comment authorId="0" ref="B108">
      <text>
        <t xml:space="preserve">Versato la differenza fra i 600 ed i 360 spesi per cambio gomme Cashquai</t>
      </text>
    </comment>
    <comment authorId="0" ref="F207">
      <text>
        <t xml:space="preserve">100+150+250+100 vedi drive</t>
      </text>
    </comment>
    <comment authorId="0" ref="L211">
      <text>
        <t xml:space="preserve">wekiwy
</t>
      </text>
    </comment>
    <comment authorId="0" ref="F265">
      <text>
        <t xml:space="preserve">Fi fattura solo per  349 euro dell'app</t>
      </text>
    </comment>
    <comment authorId="1" xr:uid="{1cd6b81f-3742-40f1-be8b-c0a186bee07f}" ref="B109">
      <text>
        <t xml:space="preserve">[Threaded comment]
 Your version of Excel allows you to read this threaded comment; however, any edits to it will get removed if the file is opened in a newer version of Excel. Learn more: https://go.microsoft.com/fwlink/?linkid=870924
Comment:
	Ci sono 2000 euro di rimborso statale covid
</t>
      </text>
    </comment>
    <comment authorId="2" xr:uid="{2d5aea10-6f61-4f23-996c-a786fd3d9451}" ref="G211">
      <text>
        <t xml:space="preserve">[Threaded comment]
 Your version of Excel allows you to read this threaded comment; however, any edits to it will get removed if the file is opened in a newer version of Excel. Learn more: https://go.microsoft.com/fwlink/?linkid=870924
Comment:
	fatte 2 fatture da 60
</t>
      </text>
    </comment>
    <comment authorId="3" xr:uid="{5079472d-3498-4637-8e5e-ecba1bb1f1ab}" ref="G266">
      <text>
        <t xml:space="preserve">[Threaded comment]
 Your version of Excel allows you to read this threaded comment; however, any edits to it will get removed if the file is opened in a newer version of Excel. Learn more: https://go.microsoft.com/fwlink/?linkid=870924
Comment:
	aspetta prossimo pagamento per fatturare)
</t>
      </text>
    </comment>
    <comment authorId="4" xr:uid="{8affe91a-b104-4e7b-b206-10683a942998}" ref="G267">
      <text>
        <t xml:space="preserve">[Threaded comment]
 Your version of Excel allows you to read this threaded comment; however, any edits to it will get removed if the file is opened in a newer version of Excel. Learn more: https://go.microsoft.com/fwlink/?linkid=870924
Comment:
	acconto di 900
</t>
      </text>
    </comment>
    <comment authorId="5" xr:uid="{bd3f6049-a587-452e-b669-eb9e5a30a3ac}" ref="L257">
      <text>
        <t xml:space="preserve">[Threaded comment]
 Your version of Excel allows you to read this threaded comment; however, any edits to it will get removed if the file is opened in a newer version of Excel. Learn more: https://go.microsoft.com/fwlink/?linkid=870924
Comment:
	+ 18 sapone mani ricarica + 8,50 lavanderia
Reply:
	Contrassegnato come risolto
Reply:
	Riaperto
</t>
      </text>
    </comment>
    <comment authorId="6" xr:uid="{c40cb61f-d878-41b8-8a9e-6087022f7226}" ref="F281">
      <text>
        <t xml:space="preserve">[Threaded comment]
 Your version of Excel allows you to read this threaded comment; however, any edits to it will get removed if the file is opened in a newer version of Excel. Learn more: https://go.microsoft.com/fwlink/?linkid=870924
Comment:
	saldato il pacchetto da 10 x 400 euro
</t>
      </text>
    </comment>
    <comment authorId="7" xr:uid="{d5a2347a-4707-4cd2-9bc3-67194e8dde9b}" ref="F282">
      <text>
        <t xml:space="preserve">[Threaded comment]
 Your version of Excel allows you to read this threaded comment; however, any edits to it will get removed if the file is opened in a newer version of Excel. Learn more: https://go.microsoft.com/fwlink/?linkid=870924
Comment:
	saldo pacchetto in corso
</t>
      </text>
    </comment>
    <comment authorId="8" xr:uid="{d5c05ab8-4ebe-4181-9756-7c01139e0b4d}" ref="L203">
      <text>
        <t xml:space="preserve">[Threaded comment]
 Your version of Excel allows you to read this threaded comment; however, any edits to it will get removed if the file is opened in a newer version of Excel. Learn more: https://go.microsoft.com/fwlink/?linkid=870924
Comment:
	wind3 28 euro+12+6
</t>
      </text>
    </comment>
    <comment authorId="9" xr:uid="{e587c20e-30f4-4115-96b2-d2f969b5b385}" ref="F276">
      <text>
        <t xml:space="preserve">[Threaded comment]
 Your version of Excel allows you to read this threaded comment; however, any edits to it will get removed if the file is opened in a newer version of Excel. Learn more: https://go.microsoft.com/fwlink/?linkid=870924
Comment:
	primo acconto di 500 su 1490 (restano 990)
</t>
      </text>
    </comment>
    <comment authorId="10" xr:uid="{e90744ce-e843-4def-aff8-be30bf829b2e}" ref="F245">
      <text>
        <t xml:space="preserve">[Threaded comment]
 Your version of Excel allows you to read this threaded comment; however, any edits to it will get removed if the file is opened in a newer version of Excel. Learn more: https://go.microsoft.com/fwlink/?linkid=870924
Comment:
	primo acconto su pacchetto futuro
</t>
      </text>
    </comment>
    <comment authorId="11" xr:uid="{f22f4cf2-558c-4225-974a-58fc21e6eda2}" ref="J166">
      <text>
        <t xml:space="preserve">[Threaded comment]
 Your version of Excel allows you to read this threaded comment; however, any edits to it will get removed if the file is opened in a newer version of Excel. Learn more: https://go.microsoft.com/fwlink/?linkid=870924
Comment:
	600 di cp promo FB
</t>
      </text>
    </comment>
    <comment authorId="12" xr:uid="{fa9f8aa1-b1dd-4ffa-b003-5b6661fdfad8}" ref="L257">
      <text>
        <t xml:space="preserve">[Threaded comment]
 Your version of Excel allows you to read this threaded comment; however, any edits to it will get removed if the file is opened in a newer version of Excel. Learn more: https://go.microsoft.com/fwlink/?linkid=870924
Comment:
	+ 18 euro ricarica sapone mani +16 5 lt alcool+viacal + mouse + 3500 per isoinerziale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2">
      <text>
        <t xml:space="preserve">40%</t>
      </text>
    </comment>
    <comment authorId="0" ref="A448">
      <text>
        <t xml:space="preserve">E'  UN UTILE REALE MA E' SOVRASTIMATO FINO AL PAGAMENTO DI TASSE E IMPOSTE. PERCIO' PER FARE DELLE VALUTAZIONI TIENI SEMPRE IN CONSIDERAZIONE L'UTILE TEORICO E NON QUESTO</t>
      </text>
    </comment>
    <comment authorId="0" ref="A446">
      <text>
        <t xml:space="preserve">L'UTILE CHE TEORICAMENTE RESTERA' IN CASSA QUANDO AVRO' PAGATO LE TASSE DOVUTE. E' UNA STIMA CALCOLATA TEORICA</t>
      </text>
    </comment>
    <comment authorId="0" ref="A156">
      <text>
        <t xml:space="preserve">40%</t>
      </text>
    </comment>
    <comment authorId="0" ref="C27">
      <text>
        <t xml:space="preserve">+ 118 euro di materasso segnato nelle uscite in bianco: totale LCO:
2149</t>
      </text>
    </comment>
    <comment authorId="0" ref="A120">
      <text>
        <t xml:space="preserve">40%</t>
      </text>
    </comment>
    <comment authorId="0" ref="D58">
      <text>
        <t xml:space="preserve">attivazione e prima bolletta</t>
      </text>
    </comment>
    <comment authorId="0" ref="F92">
      <text>
        <t xml:space="preserve">acconto sul totale di 360</t>
      </text>
    </comment>
    <comment authorId="0" ref="A84">
      <text>
        <t xml:space="preserve">40%</t>
      </text>
    </comment>
    <comment authorId="0" ref="A372">
      <text>
        <t xml:space="preserve">40%</t>
      </text>
    </comment>
    <comment authorId="0" ref="D54">
      <text>
        <t xml:space="preserve">attivazione e bolletta nov-dic mugellonet
</t>
      </text>
    </comment>
    <comment authorId="0" ref="F88">
      <text>
        <t xml:space="preserve">prima metà del pacchetto che sta per iniziare ancora al 21/12/2021 sul totale di 900 euro</t>
      </text>
    </comment>
    <comment authorId="0" ref="G88">
      <text>
        <t xml:space="preserve">acconto di 450 su 900, attendi il saldo e fattura tutto insieme</t>
      </text>
    </comment>
    <comment authorId="0" ref="A336">
      <text>
        <t xml:space="preserve">40%</t>
      </text>
    </comment>
    <comment authorId="0" ref="A47">
      <text>
        <t xml:space="preserve">40%</t>
      </text>
    </comment>
    <comment authorId="0" ref="G85">
      <text>
        <t xml:space="preserve">secondo acconto, fatturare tutto insieme, ad oggi mancano ancora 260 euro degli 860 che deve (17/12/2021)
</t>
      </text>
    </comment>
    <comment authorId="0" ref="G51">
      <text>
        <t xml:space="preserve">aspetta il saldo (ad oggi ha dato questi 300 su 860 che deve)</t>
      </text>
    </comment>
    <comment authorId="0" ref="A300">
      <text>
        <t xml:space="preserve">40%</t>
      </text>
    </comment>
    <comment authorId="0" ref="A10">
      <text>
        <t xml:space="preserve">40%</t>
      </text>
    </comment>
    <comment authorId="0" ref="A264">
      <text>
        <t xml:space="preserve">40%</t>
      </text>
    </comment>
    <comment authorId="0" ref="G45">
      <text>
        <t xml:space="preserve">aspetta prossimi pagamenti</t>
      </text>
    </comment>
    <comment authorId="0" ref="A228">
      <text>
        <t xml:space="preserve">40%</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tc={018d6622-ad33-40cb-99e2-e106e14e432c}</author>
    <author>tc={01e847cf-b885-4242-821d-1eaf08fe1df6}</author>
    <author>tc={0463378f-7c3d-40a5-b28a-375d0dd51383}</author>
    <author>tc={0ccc13cc-c13a-454b-b3d6-e7ea3fee0523}</author>
    <author>tc={0d6664de-0765-46ab-9aa6-f352df70e04e}</author>
    <author>tc={18e13c60-c661-4178-afd6-785dbb1469ac}</author>
    <author>tc={1beaa689-54fa-4c18-9ed6-86bb14d36cd1}</author>
    <author>tc={1ed65e35-bc51-4231-a052-3ddba3a33084}</author>
    <author>tc={211d80e8-3ad1-478f-93be-dc8fbe9555e2}</author>
    <author>tc={24ef5a18-cfa8-404d-abff-cf769683dd15}</author>
    <author>tc={253402eb-a75d-4019-8411-4efd46fa7714}</author>
    <author>tc={3276e143-c50a-45e3-bd13-1eb8d8701b41}</author>
    <author>tc={335cf5f8-7334-4456-aed7-70132e36937e}</author>
    <author>tc={339b9b6a-317a-4f17-b653-dd36fcec3f7c}</author>
    <author>tc={34bb1cae-a459-4ff4-93c3-ada6babe3c30}</author>
    <author>tc={43c60652-9510-4034-b0f8-228e90b5724f}</author>
    <author>tc={44907bdf-f7ae-45bd-8618-f8d500a56e81}</author>
    <author>tc={45655380-932a-47bf-8230-5b7cb1eb6610}</author>
    <author>tc={46e3ee41-2cb4-4b03-b376-11ddf3836c52}</author>
    <author>tc={50b988ea-528e-4dc8-b283-108926630df4}</author>
    <author>tc={5b566c02-abd0-4e8a-920c-ad7523d51ddc}</author>
    <author>tc={61e39b82-5d6f-4a05-b990-73703d018110}</author>
    <author>tc={65d7e40b-6b4d-4f5c-9f30-35356bd4d025}</author>
    <author>tc={697001f6-851f-41c2-9aee-36ef510521d7}</author>
    <author>tc={7123d5c8-d777-443b-8f03-05be9376cfd8}</author>
    <author>tc={73665b4f-10fc-4f85-bafe-f931c5da43b5}</author>
    <author>tc={75c8e9ac-9448-4004-860d-d721b0b8d84f}</author>
    <author>tc={78615b6a-a5fc-4740-8c08-e4eecce8376f}</author>
    <author>tc={7e3c847a-7c48-473f-9e1c-d10965f727b6}</author>
    <author>tc={7f4add51-bbff-4afd-b369-0272ebb47be7}</author>
    <author>tc={821ec467-6415-42d3-b4ef-5047c4a88924}</author>
    <author>tc={83a1697e-c1ee-4c60-ba0e-718347aaa680}</author>
    <author>tc={85017b83-c128-4acc-afea-0a763f8de24d}</author>
    <author>tc={8b400bd2-81fb-4a7e-bd0c-85f16b67670d}</author>
    <author>tc={9fbeb4f1-dc76-4dd0-bd29-db88d8b6b0f9}</author>
    <author>tc={a672a56a-9417-49ea-aacd-3e0d46248f92}</author>
    <author>tc={aa6ee2f9-921e-4e49-afb0-701bbb58d929}</author>
    <author>tc={aadc8a72-a2a4-4f83-8119-f3a2bceacb69}</author>
    <author>tc={b3ff097e-2b96-4185-97f6-c35cb69a1ea0}</author>
    <author>tc={b755adfb-db41-4395-a798-a7a760976b0a}</author>
    <author>tc={c081a386-9857-4481-bd36-e3873c0e4afe}</author>
    <author>tc={c18ea88a-7d5c-4eac-ba91-b2f363d75496}</author>
    <author>tc={c4ab7d32-62af-486c-af10-9ea674a5878c}</author>
    <author>tc={c95216b8-2569-441b-b181-1a04cbda8006}</author>
    <author>tc={c96cc30a-ed32-4036-a6c8-3809e30b860b}</author>
    <author>tc={d7feff42-e7ef-4cde-9552-62166763acca}</author>
    <author>tc={e6cc88ca-ae21-46d0-848f-4401b290da15}</author>
    <author>tc={ee0f8742-e5a3-4a7f-8e0c-897479141086}</author>
    <author>tc={ee4fd387-a463-4558-95de-80748d99f295}</author>
    <author>tc={f0e3d663-7599-47e8-9b83-05003dc18850}</author>
    <author>tc={f50cf948-0991-441c-abd9-6a4e850a0345}</author>
    <author>tc={f6a8c326-41ef-4288-8ffd-da81cfc18777}</author>
    <author>tc={f7260de4-97c0-40d7-b7ef-54bae752fe9e}</author>
    <author>tc={fbb78094-b779-40e3-9b68-c5dd8f271eda}</author>
  </authors>
  <commentList>
    <comment authorId="0" ref="G134">
      <text>
        <t xml:space="preserve">falle la fattura solo dopo che avrà fatto un pacchetto</t>
      </text>
    </comment>
    <comment authorId="0" ref="F165">
      <text>
        <t xml:space="preserve">acconto sul primo preventivo il cui totale era di 340€</t>
      </text>
    </comment>
    <comment authorId="0" ref="G179">
      <text>
        <t xml:space="preserve">da fatturare quando ti darà il saldo di 900€</t>
      </text>
    </comment>
    <comment authorId="0" ref="D219">
      <text>
        <t xml:space="preserve">Cosi 100
</t>
      </text>
    </comment>
    <comment authorId="0" ref="D442">
      <text>
        <t xml:space="preserve">Servizio elettrico nazionale intestato a Sara</t>
      </text>
    </comment>
    <comment authorId="0" ref="F411">
      <text>
        <t xml:space="preserve">saldato vecchio pacchetto e acconto di 50€ sul prossimo da iniziare (considerare nella fattura che le farai)
</t>
      </text>
    </comment>
    <comment authorId="0" ref="G331">
      <text>
        <t xml:space="preserve">secondo acconto su 900 (da fatturare quando arriva a 900)...attualmente mancano 100€
</t>
      </text>
    </comment>
    <comment authorId="0" ref="G57">
      <text>
        <t xml:space="preserve">fai unica fattura con pagamenti precedenti</t>
      </text>
    </comment>
    <comment authorId="1" xr:uid="{018d6622-ad33-40cb-99e2-e106e14e432c}" ref="F319">
      <text>
        <t xml:space="preserve">[Threaded comment]
 Your version of Excel allows you to read this threaded comment; however, any edits to it will get removed if the file is opened in a newer version of Excel. Learn more: https://go.microsoft.com/fwlink/?linkid=870924
Comment:
	acconto su 300
</t>
      </text>
    </comment>
    <comment authorId="2" xr:uid="{01e847cf-b885-4242-821d-1eaf08fe1df6}" ref="F404">
      <text>
        <t xml:space="preserve">[Threaded comment]
 Your version of Excel allows you to read this threaded comment; however, any edits to it will get removed if the file is opened in a newer version of Excel. Learn more: https://go.microsoft.com/fwlink/?linkid=870924
Comment:
	saldo pacchetto appena terminato
</t>
      </text>
    </comment>
    <comment authorId="3" xr:uid="{0463378f-7c3d-40a5-b28a-375d0dd51383}" ref="D97">
      <text>
        <t xml:space="preserve">[Threaded comment]
 Your version of Excel allows you to read this threaded comment; however, any edits to it will get removed if the file is opened in a newer version of Excel. Learn more: https://go.microsoft.com/fwlink/?linkid=870924
Comment:
	50€pasticche freni anteriori
</t>
      </text>
    </comment>
    <comment authorId="4" xr:uid="{0ccc13cc-c13a-454b-b3d6-e7ea3fee0523}" ref="D105">
      <text>
        <t xml:space="preserve">[Threaded comment]
 Your version of Excel allows you to read this threaded comment; however, any edits to it will get removed if the file is opened in a newer version of Excel. Learn more: https://go.microsoft.com/fwlink/?linkid=870924
Comment:
	Artikrill, acido ialuronico, prelievo, sacco cibo 12,5.kg, pallina, frontline
</t>
      </text>
    </comment>
    <comment authorId="5" xr:uid="{0d6664de-0765-46ab-9aa6-f352df70e04e}" ref="L223">
      <text>
        <t xml:space="preserve">[Threaded comment]
 Your version of Excel allows you to read this threaded comment; however, any edits to it will get removed if the file is opened in a newer version of Excel. Learn more: https://go.microsoft.com/fwlink/?linkid=870924
Comment:
	230+190+265+305
</t>
      </text>
    </comment>
    <comment authorId="6" xr:uid="{18e13c60-c661-4178-afd6-785dbb1469ac}" ref="D255">
      <text>
        <t xml:space="preserve">[Threaded comment]
 Your version of Excel allows you to read this threaded comment; however, any edits to it will get removed if the file is opened in a newer version of Excel. Learn more: https://go.microsoft.com/fwlink/?linkid=870924
Comment:
	Settimana a Levico+spootify
</t>
      </text>
    </comment>
    <comment authorId="7" xr:uid="{1beaa689-54fa-4c18-9ed6-86bb14d36cd1}" ref="L110">
      <text>
        <t xml:space="preserve">[Threaded comment]
 Your version of Excel allows you to read this threaded comment; however, any edits to it will get removed if the file is opened in a newer version of Excel. Learn more: https://go.microsoft.com/fwlink/?linkid=870924
Comment:
	tari Luco: 58€+sanzione della dichiarazione del 2018 di 283.20€
</t>
      </text>
    </comment>
    <comment authorId="8" xr:uid="{1ed65e35-bc51-4231-a052-3ddba3a33084}" ref="D178">
      <text>
        <t xml:space="preserve">[Threaded comment]
 Your version of Excel allows you to read this threaded comment; however, any edits to it will get removed if the file is opened in a newer version of Excel. Learn more: https://go.microsoft.com/fwlink/?linkid=870924
Comment:
	Lavanderia 20€ + 60 coop + 20€spese bancarie bancomat + 50serratura Firenze
</t>
      </text>
    </comment>
    <comment authorId="9" xr:uid="{211d80e8-3ad1-478f-93be-dc8fbe9555e2}" ref="D370">
      <text>
        <t xml:space="preserve">[Threaded comment]
 Your version of Excel allows you to read this threaded comment; however, any edits to it will get removed if the file is opened in a newer version of Excel. Learn more: https://go.microsoft.com/fwlink/?linkid=870924
Comment:
	cambio gomme 50€
</t>
      </text>
    </comment>
    <comment authorId="10" xr:uid="{24ef5a18-cfa8-404d-abff-cf769683dd15}" ref="D24">
      <text>
        <t xml:space="preserve">[Threaded comment]
 Your version of Excel allows you to read this threaded comment; however, any edits to it will get removed if the file is opened in a newer version of Excel. Learn more: https://go.microsoft.com/fwlink/?linkid=870924
Comment:
	psicologi + integratori x covid
</t>
      </text>
    </comment>
    <comment authorId="11" xr:uid="{253402eb-a75d-4019-8411-4efd46fa7714}" ref="D333">
      <text>
        <t xml:space="preserve">[Threaded comment]
 Your version of Excel allows you to read this threaded comment; however, any edits to it will get removed if the file is opened in a newer version of Excel. Learn more: https://go.microsoft.com/fwlink/?linkid=870924
Comment:
	5€ yoni Slesinger
</t>
      </text>
    </comment>
    <comment authorId="12" xr:uid="{3276e143-c50a-45e3-bd13-1eb8d8701b41}" ref="D176">
      <text>
        <t xml:space="preserve">[Threaded comment]
 Your version of Excel allows you to read this threaded comment; however, any edits to it will get removed if the file is opened in a newer version of Excel. Learn more: https://go.microsoft.com/fwlink/?linkid=870924
Comment:
	lavaggio 15€
</t>
      </text>
    </comment>
    <comment authorId="13" xr:uid="{335cf5f8-7334-4456-aed7-70132e36937e}" ref="D137">
      <text>
        <t xml:space="preserve">[Threaded comment]
 Your version of Excel allows you to read this threaded comment; however, any edits to it will get removed if the file is opened in a newer version of Excel. Learn more: https://go.microsoft.com/fwlink/?linkid=870924
Comment:
	34€ (Cinghie per legare) + 10 euro (lavaggio) +20€ (controllo da Proietto)
</t>
      </text>
    </comment>
    <comment authorId="14" xr:uid="{339b9b6a-317a-4f17-b653-dd36fcec3f7c}" ref="D175">
      <text>
        <t xml:space="preserve">[Threaded comment]
 Your version of Excel allows you to read this threaded comment; however, any edits to it will get removed if the file is opened in a newer version of Excel. Learn more: https://go.microsoft.com/fwlink/?linkid=870924
Comment:
	lavaggio20€+10€ autostrada
</t>
      </text>
    </comment>
    <comment authorId="15" xr:uid="{34bb1cae-a459-4ff4-93c3-ada6babe3c30}" ref="D300">
      <text>
        <t xml:space="preserve">[Threaded comment]
 Your version of Excel allows you to read this threaded comment; however, any edits to it will get removed if the file is opened in a newer version of Excel. Learn more: https://go.microsoft.com/fwlink/?linkid=870924
Comment:
	Pappa Rosco 50€+collirio Rosco 10€
</t>
      </text>
    </comment>
    <comment authorId="16" xr:uid="{43c60652-9510-4034-b0f8-228e90b5724f}" ref="D21">
      <text>
        <t xml:space="preserve">[Threaded comment]
 Your version of Excel allows you to read this threaded comment; however, any edits to it will get removed if the file is opened in a newer version of Excel. Learn more: https://go.microsoft.com/fwlink/?linkid=870924
Comment:
	spotify 10 €+yoni 5 euro
</t>
      </text>
    </comment>
    <comment authorId="17" xr:uid="{44907bdf-f7ae-45bd-8618-f8d500a56e81}" ref="D139">
      <text>
        <t xml:space="preserve">[Threaded comment]
 Your version of Excel allows you to read this threaded comment; however, any edits to it will get removed if the file is opened in a newer version of Excel. Learn more: https://go.microsoft.com/fwlink/?linkid=870924
Comment:
	52€ spesa +
Reply:
	Contrassegnato come risolto
Reply:
	Riaperto
</t>
      </text>
    </comment>
    <comment authorId="18" xr:uid="{45655380-932a-47bf-8230-5b7cb1eb6610}" ref="D215">
      <text>
        <t xml:space="preserve">[Threaded comment]
 Your version of Excel allows you to read this threaded comment; however, any edits to it will get removed if the file is opened in a newer version of Excel. Learn more: https://go.microsoft.com/fwlink/?linkid=870924
Comment:
	Assicurazione 330€
</t>
      </text>
    </comment>
    <comment authorId="19" xr:uid="{46e3ee41-2cb4-4b03-b376-11ddf3836c52}" ref="D97">
      <text>
        <t xml:space="preserve">[Threaded comment]
 Your version of Excel allows you to read this threaded comment; however, any edits to it will get removed if the file is opened in a newer version of Excel. Learn more: https://go.microsoft.com/fwlink/?linkid=870924
Comment:
	50€ freni
</t>
      </text>
    </comment>
    <comment authorId="20" xr:uid="{50b988ea-528e-4dc8-b283-108926630df4}" ref="D339">
      <text>
        <t xml:space="preserve">[Threaded comment]
 Your version of Excel allows you to read this threaded comment; however, any edits to it will get removed if the file is opened in a newer version of Excel. Learn more: https://go.microsoft.com/fwlink/?linkid=870924
Comment:
	50€pappa Rosco+50 vaccino
</t>
      </text>
    </comment>
    <comment authorId="21" xr:uid="{5b566c02-abd0-4e8a-920c-ad7523d51ddc}" ref="D58">
      <text>
        <t xml:space="preserve">[Threaded comment]
 Your version of Excel allows you to read this threaded comment; however, any edits to it will get removed if the file is opened in a newer version of Excel. Learn more: https://go.microsoft.com/fwlink/?linkid=870924
Comment:
	538€ assicurazione
</t>
      </text>
    </comment>
    <comment authorId="22" xr:uid="{61e39b82-5d6f-4a05-b990-73703d018110}" ref="D378">
      <text>
        <t xml:space="preserve">[Threaded comment]
 Your version of Excel allows you to read this threaded comment; however, any edits to it will get removed if the file is opened in a newer version of Excel. Learn more: https://go.microsoft.com/fwlink/?linkid=870924
Comment:
	34 pappa Rosco 33 casetta Gina vaccino Rosco 150
</t>
      </text>
    </comment>
    <comment authorId="23" xr:uid="{65d7e40b-6b4d-4f5c-9f30-35356bd4d025}" ref="D139">
      <text>
        <t xml:space="preserve">[Threaded comment]
 Your version of Excel allows you to read this threaded comment; however, any edits to it will get removed if the file is opened in a newer version of Excel. Learn more: https://go.microsoft.com/fwlink/?linkid=870924
Comment:
	52 spesa+ 18 lavanderia + 15€ pizze cena Firenze+5€ prime amazon + 95 spesa coop+ 140 sedie Impagliate e cestino+85 porta pacchi auto
</t>
      </text>
    </comment>
    <comment authorId="24" xr:uid="{697001f6-851f-41c2-9aee-36ef510521d7}" ref="L145">
      <text>
        <t xml:space="preserve">[Threaded comment]
 Your version of Excel allows you to read this threaded comment; however, any edits to it will get removed if the file is opened in a newer version of Excel. Learn more: https://go.microsoft.com/fwlink/?linkid=870924
Comment:
	70 Marzo+266+162+290+225+186
</t>
      </text>
    </comment>
    <comment authorId="25" xr:uid="{7123d5c8-d777-443b-8f03-05be9376cfd8}" ref="D372">
      <text>
        <t xml:space="preserve">[Threaded comment]
 Your version of Excel allows you to read this threaded comment; however, any edits to it will get removed if the file is opened in a newer version of Excel. Learn more: https://go.microsoft.com/fwlink/?linkid=870924
Comment:
	tiger exp-+panini con Dainelli
</t>
      </text>
    </comment>
    <comment authorId="26" xr:uid="{73665b4f-10fc-4f85-bafe-f931c5da43b5}" ref="L224">
      <text>
        <t xml:space="preserve">[Threaded comment]
 Your version of Excel allows you to read this threaded comment; however, any edits to it will get removed if the file is opened in a newer version of Excel. Learn more: https://go.microsoft.com/fwlink/?linkid=870924
Comment:
	306+170+220
</t>
      </text>
    </comment>
    <comment authorId="27" xr:uid="{75c8e9ac-9448-4004-860d-d721b0b8d84f}" ref="D136">
      <text>
        <t xml:space="preserve">[Threaded comment]
 Your version of Excel allows you to read this threaded comment; however, any edits to it will get removed if the file is opened in a newer version of Excel. Learn more: https://go.microsoft.com/fwlink/?linkid=870924
Comment:
	Olio e filtri 90€+5€ autostrada+
</t>
      </text>
    </comment>
    <comment authorId="28" xr:uid="{78615b6a-a5fc-4740-8c08-e4eecce8376f}" ref="D261">
      <text>
        <t xml:space="preserve">[Threaded comment]
 Your version of Excel allows you to read this threaded comment; however, any edits to it will get removed if the file is opened in a newer version of Excel. Learn more: https://go.microsoft.com/fwlink/?linkid=870924
Comment:
	40€pappa Rosco
</t>
      </text>
    </comment>
    <comment authorId="29" xr:uid="{7e3c847a-7c48-473f-9e1c-d10965f727b6}" ref="D256">
      <text>
        <t xml:space="preserve">[Threaded comment]
 Your version of Excel allows you to read this threaded comment; however, any edits to it will get removed if the file is opened in a newer version of Excel. Learn more: https://go.microsoft.com/fwlink/?linkid=870924
Comment:
	coop: 100 + tenda sole 50+40 pulizie 30 euro buganville
</t>
      </text>
    </comment>
    <comment authorId="30" xr:uid="{7f4add51-bbff-4afd-b369-0272ebb47be7}" ref="L139">
      <text>
        <t xml:space="preserve">[Threaded comment]
 Your version of Excel allows you to read this threaded comment; however, any edits to it will get removed if the file is opened in a newer version of Excel. Learn more: https://go.microsoft.com/fwlink/?linkid=870924
Comment:
	t-shirt 35€+spotify 10€+10amazon prime+60 evolutionfit
</t>
      </text>
    </comment>
    <comment authorId="31" xr:uid="{821ec467-6415-42d3-b4ef-5047c4a88924}" ref="F88">
      <text>
        <t xml:space="preserve">[Threaded comment]
 Your version of Excel allows you to read this threaded comment; however, any edits to it will get removed if the file is opened in a newer version of Excel. Learn more: https://go.microsoft.com/fwlink/?linkid=870924
Comment:
	aconto di 360
</t>
      </text>
    </comment>
    <comment authorId="32" xr:uid="{83a1697e-c1ee-4c60-ba0e-718347aaa680}" ref="D222">
      <text>
        <t xml:space="preserve">[Threaded comment]
 Your version of Excel allows you to read this threaded comment; however, any edits to it will get removed if the file is opened in a newer version of Excel. Learn more: https://go.microsoft.com/fwlink/?linkid=870924
Comment:
	Pappa monge anatra x Rosco 50€ 40 frontline
</t>
      </text>
    </comment>
    <comment authorId="33" xr:uid="{85017b83-c128-4acc-afea-0a763f8de24d}" ref="D216">
      <text>
        <t xml:space="preserve">[Threaded comment]
 Your version of Excel allows you to read this threaded comment; however, any edits to it will get removed if the file is opened in a newer version of Excel. Learn more: https://go.microsoft.com/fwlink/?linkid=870924
Comment:
	molle ammortizzatori modellino 20€ estrattori viti 6 euro cacciaviti e viti 38€+10€ spootify+130€simulatore moto Palix
</t>
      </text>
    </comment>
    <comment authorId="34" xr:uid="{8b400bd2-81fb-4a7e-bd0c-85f16b67670d}" ref="F409">
      <text>
        <t xml:space="preserve">[Threaded comment]
 Your version of Excel allows you to read this threaded comment; however, any edits to it will get removed if the file is opened in a newer version of Excel. Learn more: https://go.microsoft.com/fwlink/?linkid=870924
Comment:
	acconto su 300 dato in data 28/11/22
</t>
      </text>
    </comment>
    <comment authorId="35" xr:uid="{9fbeb4f1-dc76-4dd0-bd29-db88d8b6b0f9}" ref="D292">
      <text>
        <t xml:space="preserve">[Threaded comment]
 Your version of Excel allows you to read this threaded comment; however, any edits to it will get removed if the file is opened in a newer version of Excel. Learn more: https://go.microsoft.com/fwlink/?linkid=870924
Comment:
	3 x multa eccesso velocità 162€
</t>
      </text>
    </comment>
    <comment authorId="36" xr:uid="{a672a56a-9417-49ea-aacd-3e0d46248f92}" ref="D441">
      <text>
        <t xml:space="preserve">[Threaded comment]
 Your version of Excel allows you to read this threaded comment; however, any edits to it will get removed if the file is opened in a newer version of Excel. Learn more: https://go.microsoft.com/fwlink/?linkid=870924
Comment:
	ho sottratto una parte di canone di acqua pagato in eccesso per errore mesi prima
</t>
      </text>
    </comment>
    <comment authorId="37" xr:uid="{aa6ee2f9-921e-4e49-afb0-701bbb58d929}" ref="F48">
      <text>
        <t xml:space="preserve">[Threaded comment]
 Your version of Excel allows you to read this threaded comment; however, any edits to it will get removed if the file is opened in a newer version of Excel. Learn more: https://go.microsoft.com/fwlink/?linkid=870924
Comment:
	SALDO SCORSO PACCHETTO già terminato
</t>
      </text>
    </comment>
    <comment authorId="38" xr:uid="{aadc8a72-a2a4-4f83-8119-f3a2bceacb69}" ref="D258">
      <text>
        <t xml:space="preserve">[Threaded comment]
 Your version of Excel allows you to read this threaded comment; however, any edits to it will get removed if the file is opened in a newer version of Excel. Learn more: https://go.microsoft.com/fwlink/?linkid=870924
Comment:
	cosi:50€+6€ provette per check up+104 ecografia addome+150 bellini
</t>
      </text>
    </comment>
    <comment authorId="39" xr:uid="{b3ff097e-2b96-4185-97f6-c35cb69a1ea0}" ref="D295">
      <text>
        <t xml:space="preserve">[Threaded comment]
 Your version of Excel allows you to read this threaded comment; however, any edits to it will get removed if the file is opened in a newer version of Excel. Learn more: https://go.microsoft.com/fwlink/?linkid=870924
Comment:
	399€ attrezzi + 40€ viveri
</t>
      </text>
    </comment>
    <comment authorId="40" xr:uid="{b755adfb-db41-4395-a798-a7a760976b0a}" ref="F320">
      <text>
        <t xml:space="preserve">[Threaded comment]
 Your version of Excel allows you to read this threaded comment; however, any edits to it will get removed if the file is opened in a newer version of Excel. Learn more: https://go.microsoft.com/fwlink/?linkid=870924
Comment:
	acconto di 1440
</t>
      </text>
    </comment>
    <comment authorId="41" xr:uid="{c081a386-9857-4481-bd36-e3873c0e4afe}" ref="L133">
      <text>
        <t xml:space="preserve">[Threaded comment]
 Your version of Excel allows you to read this threaded comment; however, any edits to it will get removed if the file is opened in a newer version of Excel. Learn more: https://go.microsoft.com/fwlink/?linkid=870924
Comment:
	70€ libri postura
</t>
      </text>
    </comment>
    <comment authorId="42" xr:uid="{c18ea88a-7d5c-4eac-ba91-b2f363d75496}" ref="L146">
      <text>
        <t xml:space="preserve">[Threaded comment]
 Your version of Excel allows you to read this threaded comment; however, any edits to it will get removed if the file is opened in a newer version of Excel. Learn more: https://go.microsoft.com/fwlink/?linkid=870924
Comment:
	70 aprile + 225 +155+205+249
</t>
      </text>
    </comment>
    <comment authorId="43" xr:uid="{c4ab7d32-62af-486c-af10-9ea674a5878c}" ref="D217">
      <text>
        <t xml:space="preserve">[Threaded comment]
 Your version of Excel allows you to read this threaded comment; however, any edits to it will get removed if the file is opened in a newer version of Excel. Learn more: https://go.microsoft.com/fwlink/?linkid=870924
Comment:
	200 tv + 163 viveri e spese +10 pomelli credenza+30 pulizie
Reply:
	Contrassegnato come risolto
Reply:
	Riaperto
</t>
      </text>
    </comment>
    <comment authorId="44" xr:uid="{c95216b8-2569-441b-b181-1a04cbda8006}" ref="D183">
      <text>
        <t xml:space="preserve">[Threaded comment]
 Your version of Excel allows you to read this threaded comment; however, any edits to it will get removed if the file is opened in a newer version of Excel. Learn more: https://go.microsoft.com/fwlink/?linkid=870924
Comment:
	50€ pappa Rosco +
</t>
      </text>
    </comment>
    <comment authorId="45" xr:uid="{c96cc30a-ed32-4036-a6c8-3809e30b860b}" ref="O316">
      <text>
        <t xml:space="preserve">[Threaded comment]
 Your version of Excel allows you to read this threaded comment; however, any edits to it will get removed if the file is opened in a newer version of Excel. Learn more: https://go.microsoft.com/fwlink/?linkid=870924
Comment:
	Emesso fattura ma nessuna risposta da lei.... on ancora riscossa
</t>
      </text>
    </comment>
    <comment authorId="46" xr:uid="{d7feff42-e7ef-4cde-9552-62166763acca}" ref="F328">
      <text>
        <t xml:space="preserve">[Threaded comment]
 Your version of Excel allows you to read this threaded comment; however, any edits to it will get removed if the file is opened in a newer version of Excel. Learn more: https://go.microsoft.com/fwlink/?linkid=870924
Comment:
	saldo su 300
</t>
      </text>
    </comment>
    <comment authorId="47" xr:uid="{e6cc88ca-ae21-46d0-848f-4401b290da15}" ref="D180">
      <text>
        <t xml:space="preserve">[Threaded comment]
 Your version of Excel allows you to read this threaded comment; however, any edits to it will get removed if the file is opened in a newer version of Excel. Learn more: https://go.microsoft.com/fwlink/?linkid=870924
Comment:
	Cosi: 200€
</t>
      </text>
    </comment>
    <comment authorId="48" xr:uid="{ee0f8742-e5a3-4a7f-8e0c-897479141086}" ref="D334">
      <text>
        <t xml:space="preserve">[Threaded comment]
 Your version of Excel allows you to read this threaded comment; however, any edits to it will get removed if the file is opened in a newer version of Excel. Learn more: https://go.microsoft.com/fwlink/?linkid=870924
Comment:
	120€ per pulizia canna fumaria+127€ spesa
</t>
      </text>
    </comment>
    <comment authorId="49" xr:uid="{ee4fd387-a463-4558-95de-80748d99f295}" ref="D98">
      <text>
        <t xml:space="preserve">[Threaded comment]
 Your version of Excel allows you to read this threaded comment; however, any edits to it will get removed if the file is opened in a newer version of Excel. Learn more: https://go.microsoft.com/fwlink/?linkid=870924
Comment:
	121€ di bollo
</t>
      </text>
    </comment>
    <comment authorId="50" xr:uid="{f0e3d663-7599-47e8-9b83-05003dc18850}" ref="D138">
      <text>
        <t xml:space="preserve">[Threaded comment]
 Your version of Excel allows you to read this threaded comment; however, any edits to it will get removed if the file is opened in a newer version of Excel. Learn more: https://go.microsoft.com/fwlink/?linkid=870924
Comment:
	Carrelli regalo Stefy 84€+noleggio furgone per moto 60€+8€ corde chitarra
</t>
      </text>
    </comment>
    <comment authorId="51" xr:uid="{f50cf948-0991-441c-abd9-6a4e850a0345}" ref="F100">
      <text>
        <t xml:space="preserve">[Threaded comment]
 Your version of Excel allows you to read this threaded comment; however, any edits to it will get removed if the file is opened in a newer version of Excel. Learn more: https://go.microsoft.com/fwlink/?linkid=870924
Comment:
	terzo acconto: fino ad ora ha versato 550€ sul totale di 850 del pacchetto in corso (al31/03/2022)
</t>
      </text>
    </comment>
    <comment authorId="52" xr:uid="{f6a8c326-41ef-4288-8ffd-da81cfc18777}" ref="D177">
      <text>
        <t xml:space="preserve">[Threaded comment]
 Your version of Excel allows you to read this threaded comment; however, any edits to it will get removed if the file is opened in a newer version of Excel. Learn more: https://go.microsoft.com/fwlink/?linkid=870924
Comment:
	Biglietti Mugello 100 euro +162 accessori modellino
</t>
      </text>
    </comment>
    <comment authorId="53" xr:uid="{f7260de4-97c0-40d7-b7ef-54bae752fe9e}" ref="L63">
      <text>
        <t xml:space="preserve">[Threaded comment]
 Your version of Excel allows you to read this threaded comment; however, any edits to it will get removed if the file is opened in a newer version of Excel. Learn more: https://go.microsoft.com/fwlink/?linkid=870924
Comment:
	saldo lavoro già eseguito +10 euro di rinnovo PEC
</t>
      </text>
    </comment>
    <comment authorId="54" xr:uid="{fbb78094-b779-40e3-9b68-c5dd8f271eda}" ref="F90">
      <text>
        <t xml:space="preserve">[Threaded comment]
 Your version of Excel allows you to read this threaded comment; however, any edits to it will get removed if the file is opened in a newer version of Excel. Learn more: https://go.microsoft.com/fwlink/?linkid=870924
Comment:
	secondo acconto su 800€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tc={016fec97-9500-42bc-b922-c473ca059d1a}</author>
    <author>tc={4bbd1e8f-3f05-4c09-bc8c-475dcc078064}</author>
    <author>tc={60381dd0-4613-414f-a569-6ab87878c496}</author>
    <author>tc={87f76fd3-405d-4835-b9eb-516430e6215e}</author>
    <author>tc={b3c38feb-09d1-4352-917c-36c943acb75e}</author>
    <author>tc={ef2a32a9-b11e-4b62-a853-6c3b25dad0de}</author>
  </authors>
  <commentList>
    <comment authorId="0" ref="F162">
      <text>
        <t xml:space="preserve">piagentini 50 (saldo pacchetto)
Lami 160
Martha: 120
----------: 90
rashi: 60
Agata e angelica: 60
Duccio: 200
Mimma: 120
Beatrice: 80
Maricarmen 125
</t>
      </text>
    </comment>
    <comment authorId="0" ref="G323">
      <text>
        <t xml:space="preserve">fattura insieme al precedente</t>
      </text>
    </comment>
    <comment authorId="0" ref="F125">
      <text>
        <t xml:space="preserve">100+150</t>
      </text>
    </comment>
    <comment authorId="0" ref="G439">
      <text>
        <t xml:space="preserve">fattura insieme alla precedente e successiva</t>
      </text>
    </comment>
    <comment authorId="0" ref="F245">
      <text>
        <t xml:space="preserve">ultimo acconto, mancano 225€ al saldo di 2500</t>
      </text>
    </comment>
    <comment authorId="0" ref="F84">
      <text>
        <t xml:space="preserve">Martah 110€ agata e ginevra 200€ Mimma 100€ semoli 80€ Lami 40€
</t>
      </text>
    </comment>
    <comment authorId="0" ref="F435">
      <text>
        <t xml:space="preserve">Cianciotta: 200
Antonini: 50
Semoli: 90
Piero Valenti: 60
Mimma 150</t>
      </text>
    </comment>
    <comment authorId="0" ref="F402">
      <text>
        <t xml:space="preserve">acconto su 2082</t>
      </text>
    </comment>
    <comment authorId="0" ref="F241">
      <text>
        <t xml:space="preserve">acconto sul pacchetto da 300 iniziato il 12/06/23</t>
      </text>
    </comment>
    <comment authorId="0" ref="F369">
      <text>
        <t xml:space="preserve">seconda tranche di 3 da 720€</t>
      </text>
    </comment>
    <comment authorId="0" ref="F47">
      <text>
        <t xml:space="preserve">altro acconto sul totale di 2160 che deve versare entro metà Febbraio. Ad oggi ha versato 1360€ su 2160</t>
      </text>
    </comment>
    <comment authorId="0" ref="F398">
      <text>
        <t xml:space="preserve">saldo del pacchetto ... mancano 82€</t>
      </text>
    </comment>
    <comment authorId="0" ref="G365">
      <text>
        <t xml:space="preserve">fatturati insieme alle precedenti 2 rate da260 cad</t>
      </text>
    </comment>
    <comment authorId="0" ref="F204">
      <text>
        <t xml:space="preserve">acconto del 50€ sul pacchetto dato in data 09/0623</t>
      </text>
    </comment>
    <comment authorId="0" ref="F171">
      <text>
        <t xml:space="preserve">100 per il pacchetto di Roberto + 160 di 4 sessioni PT fatte a lui</t>
      </text>
    </comment>
    <comment authorId="0" ref="F10">
      <text>
        <t xml:space="preserve">acconto sul totale di 1090€ (1090 è il 50% del suop percorso di 6 mesi, dovrebbe versare tutta la cifra intera entro metà Febbraio</t>
      </text>
    </comment>
    <comment authorId="0" ref="F6">
      <text>
        <t xml:space="preserve">70 Piemonte 120 lami 60Stafanino 80vanni 100 mimma</t>
      </text>
    </comment>
    <comment authorId="0" ref="E357">
      <text>
        <t xml:space="preserve">antonini 150
Cianciotta 420
A. Valenti: 160
Semoli: 50€
mimma: 100
Montanelli: 60</t>
      </text>
    </comment>
    <comment authorId="0" ref="G134">
      <text>
        <t xml:space="preserve">falle la fattura solo dopo che avrà fatto un pacchetto</t>
      </text>
    </comment>
    <comment authorId="0" ref="F324">
      <text>
        <t xml:space="preserve">saldopacchetto attuale di 2250</t>
      </text>
    </comment>
    <comment authorId="0" ref="M200">
      <text>
        <t xml:space="preserve">pagata in ritardo il giorno 03 agosto 2023 tamite cbill dopo chiamata con operatore che mi ha inviato mail con estremi per il pagamento</t>
      </text>
    </comment>
    <comment authorId="0" ref="F320">
      <text>
        <t xml:space="preserve">pacchetto da 300 ma ero in debito di 50</t>
      </text>
    </comment>
    <comment authorId="0" ref="F85">
      <text>
        <t xml:space="preserve">saldo sul totale di 2160 </t>
      </text>
    </comment>
    <comment authorId="0" ref="G213">
      <text>
        <t xml:space="preserve">Fattura insieme al prossimo mese</t>
      </text>
    </comment>
    <comment authorId="0" ref="F436">
      <text>
        <t xml:space="preserve">50% del saldo
</t>
      </text>
    </comment>
    <comment authorId="0" ref="D168">
      <text>
        <t xml:space="preserve">46.46 internet
</t>
      </text>
    </comment>
    <comment authorId="0" ref="F201">
      <text>
        <t xml:space="preserve">Carmen 360
Lami 40
Agata 10
dUCCIO 240
CianciottaLorenzo: 60
</t>
      </text>
    </comment>
    <comment authorId="0" ref="F7">
      <text>
        <t xml:space="preserve">saldo del programma in corso</t>
      </text>
    </comment>
    <comment authorId="0" ref="F164">
      <text>
        <t xml:space="preserve">saldo pacchetto iniziato il 03/05
</t>
      </text>
    </comment>
    <comment authorId="0" ref="F321">
      <text>
        <t xml:space="preserve">primo acconto su pacchetto di 2160</t>
      </text>
    </comment>
    <comment authorId="0" ref="D90">
      <text>
        <t xml:space="preserve">46.46 internet
</t>
      </text>
    </comment>
    <comment authorId="0" ref="F123">
      <text>
        <t xml:space="preserve">Lami:140€
Mimma: 220
Agata e Gin: 130
Rashy-Luigi: 80
Piemo: 50
Marta 90€
</t>
      </text>
    </comment>
    <comment authorId="0" ref="D53">
      <text>
        <t xml:space="preserve">tera ed ultima rata bolletta (totale rata bolletta: 82.50)</t>
      </text>
    </comment>
    <comment authorId="0" ref="F247">
      <text>
        <t xml:space="preserve">saldo scorso pacchetto</t>
      </text>
    </comment>
    <comment authorId="0" ref="G408">
      <text>
        <t xml:space="preserve">fatturare...le precedenti tre devono ancora essere fatturate</t>
      </text>
    </comment>
    <comment authorId="0" ref="F437">
      <text>
        <t xml:space="preserve">saldo pacchetto</t>
      </text>
    </comment>
    <comment authorId="0" ref="F371">
      <text>
        <t xml:space="preserve">secondo acconto di 500 sul totale di 2250
</t>
      </text>
    </comment>
    <comment authorId="0" ref="G404">
      <text>
        <t xml:space="preserve">fatturare insieme alle prossime 2</t>
      </text>
    </comment>
    <comment authorId="0" ref="F45">
      <text>
        <t xml:space="preserve">Agata e Ginevra 160€+85 Martha+150FRanco+120 Lami+20Semoli+100 Mimma</t>
      </text>
    </comment>
    <comment authorId="0" ref="F396">
      <text>
        <t xml:space="preserve">semoli 100
cianciotta 390
Antonini: 100
Mimma: 100
Lippo: 80
</t>
      </text>
    </comment>
    <comment authorId="0" ref="F202">
      <text>
        <t xml:space="preserve">sesisone di test + programmazione di allenamento</t>
      </text>
    </comment>
    <comment authorId="0" ref="F165">
      <text>
        <t xml:space="preserve">clienti e allenamenti
</t>
      </text>
    </comment>
    <comment authorId="0" ref="G326">
      <text>
        <t xml:space="preserve">acconto del 50% su pacchetto, già fatturato 2082€</t>
      </text>
    </comment>
    <comment authorId="0" ref="F318">
      <text>
        <t xml:space="preserve">antonini 100
Cianciotta 180
calandrini 90
Mimma 120</t>
      </text>
    </comment>
    <comment authorId="0" ref="G91">
      <text>
        <t xml:space="preserve">fai unica fattura con pagamento mese scorso</t>
      </text>
    </comment>
    <comment authorId="0" ref="F409">
      <text>
        <t xml:space="preserve">saldo pacchetto</t>
      </text>
    </comment>
    <comment authorId="0" ref="F248">
      <text>
        <t xml:space="preserve">acconto pacchetto in corso</t>
      </text>
    </comment>
    <comment authorId="0" ref="F372">
      <text>
        <t xml:space="preserve">saldo pacchetto</t>
      </text>
    </comment>
    <comment authorId="0" ref="G244">
      <text>
        <t xml:space="preserve">fattura ogni 3 pagamenti - questo è il secondo di 3</t>
      </text>
    </comment>
    <comment authorId="0" ref="G211">
      <text>
        <t xml:space="preserve">fattura ogni 3 pagamenti - questo è il primo di 3</t>
      </text>
    </comment>
    <comment authorId="0" ref="F240">
      <text>
        <t xml:space="preserve">Agata 30
Lorenzo 240
mimma: 180
corinne: 200+250
Senmoli: 55
piemonte 30</t>
      </text>
    </comment>
    <comment authorId="0" ref="F327">
      <text>
        <t xml:space="preserve">acxconto su pacchetto da 2250</t>
      </text>
    </comment>
    <comment authorId="0" ref="G360">
      <text>
        <t xml:space="preserve">da fatturare ogni 3 pagamenti, questo appunto è ilterzo
</t>
      </text>
    </comment>
    <comment authorId="1" xr:uid="{016fec97-9500-42bc-b922-c473ca059d1a}" ref="F94">
      <text>
        <t xml:space="preserve">[Threaded comment]
 Your version of Excel allows you to read this threaded comment; however, any edits to it will get removed if the file is opened in a newer version of Excel. Learn more: https://go.microsoft.com/fwlink/?linkid=870924
Comment:
	acconto su 300€
</t>
      </text>
    </comment>
    <comment authorId="2" xr:uid="{4bbd1e8f-3f05-4c09-bc8c-475dcc078064}" ref="A58">
      <text>
        <t xml:space="preserve">[Threaded comment]
 Your version of Excel allows you to read this threaded comment; however, any edits to it will get removed if the file is opened in a newer version of Excel. Learn more: https://go.microsoft.com/fwlink/?linkid=870924
Comment:
	pagata il 17/02/23 tramite CBILL da conto
</t>
      </text>
    </comment>
    <comment authorId="3" xr:uid="{60381dd0-4613-414f-a569-6ab87878c496}" ref="D51">
      <text>
        <t xml:space="preserve">[Threaded comment]
 Your version of Excel allows you to read this threaded comment; however, any edits to it will get removed if the file is opened in a newer version of Excel. Learn more: https://go.microsoft.com/fwlink/?linkid=870924
Comment:
	46.46 internet
</t>
      </text>
    </comment>
    <comment authorId="4" xr:uid="{87f76fd3-405d-4835-b9eb-516430e6215e}" ref="F8">
      <text>
        <t xml:space="preserve">[Threaded comment]
 Your version of Excel allows you to read this threaded comment; however, any edits to it will get removed if the file is opened in a newer version of Excel. Learn more: https://go.microsoft.com/fwlink/?linkid=870924
Comment:
	a saldo del suo pacchetto da 6 mesi
</t>
      </text>
    </comment>
    <comment authorId="5" xr:uid="{b3c38feb-09d1-4352-917c-36c943acb75e}" ref="D13">
      <text>
        <t xml:space="preserve">[Threaded comment]
 Your version of Excel allows you to read this threaded comment; however, any edits to it will get removed if the file is opened in a newer version of Excel. Learn more: https://go.microsoft.com/fwlink/?linkid=870924
Comment:
	dicembre Gennaio 23
</t>
      </text>
    </comment>
    <comment authorId="6" xr:uid="{ef2a32a9-b11e-4b62-a853-6c3b25dad0de}" ref="A27">
      <text>
        <t xml:space="preserve">[Threaded comment]
 Your version of Excel allows you to read this threaded comment; however, any edits to it will get removed if the file is opened in a newer version of Excel. Learn more: https://go.microsoft.com/fwlink/?linkid=870924
Comment:
	natural pet pollo e manzo per Rosco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34">
      <text>
        <t xml:space="preserve">falle la fattura solo dopo che avrà fatto un pacchetto</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tc={adb228bf-818c-4666-8896-2eabc641b773}</author>
    <author>tc={eea964c9-4748-4606-86c4-4b000b45f752}</author>
  </authors>
  <commentList>
    <comment authorId="0" ref="F326">
      <text>
        <t xml:space="preserve">sconto 10%</t>
      </text>
    </comment>
    <comment authorId="0" ref="F358">
      <text>
        <t xml:space="preserve">02/10</t>
      </text>
    </comment>
    <comment authorId="0" ref="G134">
      <text>
        <t xml:space="preserve">prima il 11/05/26</t>
      </text>
    </comment>
    <comment authorId="0" ref="F164">
      <text>
        <t xml:space="preserve">06/05-</t>
      </text>
    </comment>
    <comment authorId="0" ref="G165">
      <text>
        <t xml:space="preserve">prima il 11/05/26</t>
      </text>
    </comment>
    <comment authorId="0" ref="F320">
      <text>
        <t xml:space="preserve">01-03/08/26</t>
      </text>
    </comment>
    <comment authorId="0" ref="F127">
      <text>
        <t xml:space="preserve">21/04-28/04</t>
      </text>
    </comment>
    <comment authorId="0" ref="F319">
      <text>
        <t xml:space="preserve">180 di start up + 250 x 10 sessioni la prima delle quali il 24/09/26</t>
      </text>
    </comment>
    <comment authorId="0" ref="F126">
      <text>
        <t xml:space="preserve">13-15-20-27/04/2026</t>
      </text>
    </comment>
    <comment authorId="0" ref="F125">
      <text>
        <t xml:space="preserve">36 sessioni)</t>
      </text>
    </comment>
    <comment authorId="0" ref="F243">
      <text>
        <t xml:space="preserve">3 pagate delle quali la prima è l'08/07/26
20/07/22/07</t>
      </text>
    </comment>
    <comment authorId="0" ref="F242">
      <text>
        <t xml:space="preserve">09/07/26- 13/07 e le due precedenti</t>
      </text>
    </comment>
    <comment authorId="0" ref="F16">
      <text>
        <t xml:space="preserve">prima sessione il 24/04/26</t>
      </text>
    </comment>
    <comment authorId="0" ref="F15">
      <text>
        <t xml:space="preserve">tolti 2 appuntamenti di Pat</t>
      </text>
    </comment>
    <comment authorId="0" ref="F207">
      <text>
        <t xml:space="preserve">prima sessione il 05/06</t>
      </text>
    </comment>
    <comment authorId="0" ref="F203">
      <text>
        <t xml:space="preserve">01-03/06
15/06
17/06
</t>
      </text>
    </comment>
    <comment authorId="0" ref="F170">
      <text>
        <t xml:space="preserve">28-05
</t>
      </text>
    </comment>
    <comment authorId="0" ref="F202">
      <text>
        <t xml:space="preserve">04/06/26
09/06/26
12/06/26</t>
      </text>
    </comment>
    <comment authorId="0" ref="F167">
      <text>
        <t xml:space="preserve">pagato il
11/05 e 13/05
18 e 20/05
25-27/05</t>
      </text>
    </comment>
    <comment authorId="1" xr:uid="{adb228bf-818c-4666-8896-2eabc641b773}" ref="A1">
      <text>
        <t xml:space="preserve">[Threaded comment]
 Your version of Excel allows you to read this threaded comment; however, any edits to it will get removed if the file is opened in a newer version of Excel. Learn more: https://go.microsoft.com/fwlink/?linkid=870924
Comment:
	da questo totale andranno tolti circa 13100€ di tasse
</t>
      </text>
    </comment>
    <comment authorId="2" xr:uid="{eea964c9-4748-4606-86c4-4b000b45f752}" ref="A1">
      <text>
        <t xml:space="preserve">[Threaded comment]
 Your version of Excel allows you to read this threaded comment; however, any edits to it will get removed if the file is opened in a newer version of Excel. Learn more: https://go.microsoft.com/fwlink/?linkid=870924
Comment:
	veterinario,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saldo pacchetto in corso già fatturato a Dicembre
</t>
      </text>
    </comment>
    <comment authorId="0" ref="G133">
      <text>
        <t xml:space="preserve">mancano ancora 300€</t>
      </text>
    </comment>
    <comment authorId="0" ref="H323">
      <text>
        <t xml:space="preserve">mancano ancora 450 che deve versare sempre in questo mese e poi saremo in pari</t>
      </text>
    </comment>
    <comment authorId="0" ref="H162">
      <text>
        <t xml:space="preserve">cianciotta 165
mimma 120
Trisciuoglio 50
Klaudia: 40
rubina 160
</t>
      </text>
    </comment>
    <comment authorId="0" ref="H321">
      <text>
        <t xml:space="preserve">65+65+65
</t>
      </text>
    </comment>
    <comment authorId="0" ref="I129">
      <text>
        <t xml:space="preserve">Fatturata l'intera cifra di 2080€ il mese di giugno 2024
</t>
      </text>
    </comment>
    <comment authorId="0" ref="H445">
      <text>
        <t xml:space="preserve">versati a Gennaio
</t>
      </text>
    </comment>
    <comment authorId="0" ref="H123">
      <text>
        <t xml:space="preserve">Morandi 190
Cianciotta 225
Mimma 120
Canestri: 171
</t>
      </text>
    </comment>
    <comment authorId="0" ref="I406">
      <text>
        <t xml:space="preserve">da fatturare tutto insieme al terzo pagamento (640€ X 3)</t>
      </text>
    </comment>
    <comment authorId="0" ref="H84">
      <text>
        <t xml:space="preserve">cianciotta 220
mimma 100
MArco: 195
Bernacchioni 85
</t>
      </text>
    </comment>
    <comment authorId="0" ref="H45">
      <text>
        <t xml:space="preserve">Cianciotta 275
Trisciuoglio 180
mimma 100€
</t>
      </text>
    </comment>
    <comment authorId="0" ref="H365">
      <text>
        <t xml:space="preserve">130 FATTURATI E ANCORA DA RISCUOTERE al26/10 - fatture 31 e 32 
UNA VOLTA INCASSATI SEGNALI
probabilmente farà un bonifico unico comprendente questa fattura ed il pacchetto</t>
      </text>
    </comment>
    <comment authorId="0" ref="H204">
      <text>
        <t xml:space="preserve">Saldo pacchetto</t>
      </text>
    </comment>
    <comment authorId="0" ref="H171">
      <text>
        <t xml:space="preserve">ha pagato 132 circa ... io ho segnato la differenza nelle spese dei prodotti e della manutensione perchè ha comprato lei saviette ecc...</t>
      </text>
    </comment>
    <comment authorId="0" ref="I169">
      <text>
        <t xml:space="preserve">Vedi anche mesi scorsi</t>
      </text>
    </comment>
    <comment authorId="0" ref="H6">
      <text>
        <t xml:space="preserve">P.Valenti 130
Cianciotta 110
mimma 100
</t>
      </text>
    </comment>
    <comment authorId="0" ref="H134">
      <text>
        <t xml:space="preserve">in realtà 300 perchè ha scalato 50 degli elastici che mi ha venduto (segnati in attrezzature come uscita)</t>
      </text>
    </comment>
    <comment authorId="0" ref="H165">
      <text>
        <t xml:space="preserve">pagato con pay pal 130€ cad ma a me ne arrivano 122, il resto lo trattiene paypal
</t>
      </text>
    </comment>
    <comment authorId="0" ref="H322">
      <text>
        <t xml:space="preserve">saldo pacchetto iniziato a giugno</t>
      </text>
    </comment>
    <comment authorId="0" ref="H320">
      <text>
        <t xml:space="preserve">220x3</t>
      </text>
    </comment>
    <comment authorId="0" ref="N419">
      <text>
        <t xml:space="preserve">165+130 (per 3 volte settimanali
+130</t>
      </text>
    </comment>
    <comment authorId="0" ref="H444">
      <text>
        <t xml:space="preserve">saldo del pacchetto che ha fatto però a gennaio, è segnato nel mese di gennaio 2025</t>
      </text>
    </comment>
    <comment authorId="0" ref="I409">
      <text>
        <t xml:space="preserve">conmtrolla che abbia fatto il bonifico
</t>
      </text>
    </comment>
    <comment authorId="0" ref="H438">
      <text>
        <t xml:space="preserve">550cash + 600 fatturati
</t>
      </text>
    </comment>
    <comment authorId="0" ref="G52">
      <text>
        <t xml:space="preserve">fai fattura totale al saldo
</t>
      </text>
    </comment>
    <comment authorId="0" ref="N378">
      <text>
        <t xml:space="preserve">benzina e materiale in parte usato per lavoro da Rino + realizzazione video Drone con Vannini+paracord e fiaccole per finire lavoro in roveta</t>
      </text>
    </comment>
    <comment authorId="0" ref="H401">
      <text>
        <t xml:space="preserve">da fatturare
prima metà nuovo pacchetto da iniziare mese prossimo
</t>
      </text>
    </comment>
    <comment authorId="0" ref="H240">
      <text>
        <t xml:space="preserve">cianciotta 155 euro
Trisciuoglio: 100
mimma 120
Elena Rosati 150</t>
      </text>
    </comment>
    <comment authorId="0" ref="H399">
      <text>
        <t xml:space="preserve">50€ di una singola + 1970 del pacchetto</t>
      </text>
    </comment>
    <comment authorId="0" ref="I207">
      <text>
        <t xml:space="preserve">fatturato mese scorso)</t>
      </text>
    </comment>
    <comment authorId="0" ref="H201">
      <text>
        <t xml:space="preserve">cianciotta 165
mimma: 120
Trisciuoglio:50
Donatella 120</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25">
      <text>
        <t xml:space="preserve">800 cash e 1040 bonifico</t>
      </text>
    </comment>
    <comment authorId="0" ref="F324">
      <text>
        <t xml:space="preserve">220 il 12/09
220 il 25/09/25</t>
      </text>
    </comment>
    <comment authorId="0" ref="F442">
      <text>
        <t xml:space="preserve">dati il 12/12/25</t>
      </text>
    </comment>
    <comment authorId="0" ref="F16">
      <text>
        <t xml:space="preserve">seconda rata di 3, la prossima a FEBBRAIO CATEGORICA
</t>
      </text>
    </comment>
    <comment authorId="0" ref="F400">
      <text>
        <t xml:space="preserve">19/11/25</t>
      </text>
    </comment>
    <comment authorId="0" ref="F46">
      <text>
        <t xml:space="preserve">deve saldare il pacchetto- al saldo trasforma il proforma in fattura
</t>
      </text>
    </comment>
    <comment authorId="0" ref="F206">
      <text>
        <t xml:space="preserve">acconto di 260</t>
      </text>
    </comment>
    <comment authorId="0" ref="G46">
      <text>
        <t xml:space="preserve">fattura da proforma</t>
      </text>
    </comment>
    <comment authorId="0" ref="F397">
      <text>
        <t xml:space="preserve">il 07/11/22</t>
      </text>
    </comment>
    <comment authorId="0" ref="F12">
      <text>
        <t xml:space="preserve">fatto proforma del totale (2080€) che salderà il prossimo mese. al saldo le fai la fattura</t>
      </text>
    </comment>
    <comment authorId="0" ref="G172">
      <text>
        <t xml:space="preserve">FATTO PROFORMA, TRASFORMA IN FATTURA
</t>
      </text>
    </comment>
    <comment authorId="0" ref="F8">
      <text>
        <t xml:space="preserve">me li doveva a Dicembre ma li ha versati a gennaio, la fattura è complessiva (2040) a Dicembre dello scorso anno</t>
      </text>
    </comment>
  </commentList>
</comments>
</file>

<file path=xl/sharedStrings.xml><?xml version="1.0" encoding="utf-8"?>
<sst xmlns="http://schemas.openxmlformats.org/spreadsheetml/2006/main" count="10095" uniqueCount="1553">
  <si>
    <t>USCITE</t>
  </si>
  <si>
    <t>Aprile</t>
  </si>
  <si>
    <t>utile: 625 euro</t>
  </si>
  <si>
    <t>personal training</t>
  </si>
  <si>
    <t>Benzina:</t>
  </si>
  <si>
    <t>pranzi e cene:</t>
  </si>
  <si>
    <t>Spese mediche</t>
  </si>
  <si>
    <t>Pubblicità</t>
  </si>
  <si>
    <t>Gestione siti WEB</t>
  </si>
  <si>
    <t>Attrezzature</t>
  </si>
  <si>
    <t>Abbigliamento</t>
  </si>
  <si>
    <t>Trasferte lavoro</t>
  </si>
  <si>
    <t>Trasferte AM</t>
  </si>
  <si>
    <t>Ferie</t>
  </si>
  <si>
    <t>Formazione</t>
  </si>
  <si>
    <t>Consulenze e lavori esterni</t>
  </si>
  <si>
    <t>assicurazione medica</t>
  </si>
  <si>
    <t>Spese scooter</t>
  </si>
  <si>
    <t>Spese auto</t>
  </si>
  <si>
    <t>spese domestiche</t>
  </si>
  <si>
    <t>condominio</t>
  </si>
  <si>
    <t>Svago</t>
  </si>
  <si>
    <t>Maggio</t>
  </si>
  <si>
    <t>utile: 674</t>
  </si>
  <si>
    <t>integratori</t>
  </si>
  <si>
    <t>pranzi, cene, bibite</t>
  </si>
  <si>
    <t>abbigliamento</t>
  </si>
  <si>
    <t>pacchetti</t>
  </si>
  <si>
    <t>Abbigliamento clienti</t>
  </si>
  <si>
    <t>Percentuale palestra</t>
  </si>
  <si>
    <t>commercialista</t>
  </si>
  <si>
    <t>Altro</t>
  </si>
  <si>
    <t>Giugno</t>
  </si>
  <si>
    <t>utile:29</t>
  </si>
  <si>
    <t>telefono</t>
  </si>
  <si>
    <t>Luglio</t>
  </si>
  <si>
    <t>utile negativo: 1571</t>
  </si>
  <si>
    <t>attrezzature</t>
  </si>
  <si>
    <t>Agosto</t>
  </si>
  <si>
    <t>utile negativo: 2935</t>
  </si>
  <si>
    <t>F24 VICINA</t>
  </si>
  <si>
    <t>STEFANIA FRILLI</t>
  </si>
  <si>
    <t>STEFY</t>
  </si>
  <si>
    <t>FIT VILLAGE</t>
  </si>
  <si>
    <t>Settembre</t>
  </si>
  <si>
    <t>utile 35 euro</t>
  </si>
  <si>
    <t>personal training/am</t>
  </si>
  <si>
    <t>AttrezzatureAllestimento area</t>
  </si>
  <si>
    <t>Cassa Famiglia</t>
  </si>
  <si>
    <t>ottobre</t>
  </si>
  <si>
    <t>utile negativo: 210</t>
  </si>
  <si>
    <t>Ottobre</t>
  </si>
  <si>
    <t>AM</t>
  </si>
  <si>
    <t>novembre</t>
  </si>
  <si>
    <t>Utile: 2077</t>
  </si>
  <si>
    <t>dicembre</t>
  </si>
  <si>
    <t>UTILE: 328€</t>
  </si>
  <si>
    <t>Gennaio</t>
  </si>
  <si>
    <t>UTILE NEGATIVO DI 759 euro</t>
  </si>
  <si>
    <t>entrate:</t>
  </si>
  <si>
    <t>Uscite</t>
  </si>
  <si>
    <t>TOTALE ENTRATE: 1285 euro</t>
  </si>
  <si>
    <t>TOTALE USCITE: 2044 euro</t>
  </si>
  <si>
    <t>Febbraio</t>
  </si>
  <si>
    <t>UTILE: 222,40</t>
  </si>
  <si>
    <t>TOTALE ENTRATE: 1492 euro</t>
  </si>
  <si>
    <t>TOTALE USCITE: 1269 euro</t>
  </si>
  <si>
    <t>Marzo</t>
  </si>
  <si>
    <t>UTILE 491 Euro</t>
  </si>
  <si>
    <t>TOTALE ENTRATE: 2148 euro</t>
  </si>
  <si>
    <t>TOTALE USCITE: 1657 euro</t>
  </si>
  <si>
    <t>APRILE</t>
  </si>
  <si>
    <t>UTILE: 17 EURO</t>
  </si>
  <si>
    <t>TOTALE ENTRATE:    euro 1925</t>
  </si>
  <si>
    <t>TOTALE USCITE: 1908</t>
  </si>
  <si>
    <t>MAGGIO</t>
  </si>
  <si>
    <t>UTILE MESE: 949,5</t>
  </si>
  <si>
    <t>TOTALE ENTRATE: 2980</t>
  </si>
  <si>
    <t>TOTALE USCITE: 2030,5</t>
  </si>
  <si>
    <t>GIUGNO</t>
  </si>
  <si>
    <t xml:space="preserve">UTILE MESE: 1359,5 </t>
  </si>
  <si>
    <t>Pubblicità e FB</t>
  </si>
  <si>
    <t>TOTALE ENTRATE: 4220</t>
  </si>
  <si>
    <t>commercialista e tasse</t>
  </si>
  <si>
    <t>TOTALE USCITE: 2860,5</t>
  </si>
  <si>
    <t>LUGLIO</t>
  </si>
  <si>
    <t>UTILE NEGATIVO MESE: 529</t>
  </si>
  <si>
    <t>TOTALE ENTRATE: 1350</t>
  </si>
  <si>
    <t>Musica_chitarra</t>
  </si>
  <si>
    <t>TOTALE USCITE: 1879 Euro</t>
  </si>
  <si>
    <t>AGO/SETTEMBRE</t>
  </si>
  <si>
    <t>UTILE MESE:  682</t>
  </si>
  <si>
    <t>TOT entrate: 4110</t>
  </si>
  <si>
    <t>TOT uscite: 3428</t>
  </si>
  <si>
    <t>Attrezzature e Allestimento area</t>
  </si>
  <si>
    <t>Ferie/svago</t>
  </si>
  <si>
    <t>accantonamento pensione</t>
  </si>
  <si>
    <t>tot: 5162</t>
  </si>
  <si>
    <t>OTTOBRE</t>
  </si>
  <si>
    <t>UTILE MESE:  1850</t>
  </si>
  <si>
    <t>TOT entrate: 3855</t>
  </si>
  <si>
    <t>TOT uscite: 2005</t>
  </si>
  <si>
    <t>spese sede palestra</t>
  </si>
  <si>
    <t>pulizie palestra</t>
  </si>
  <si>
    <t>NOVEMBRE</t>
  </si>
  <si>
    <t>UTILE MESE:  1623 - 1000 di accantonamenti</t>
  </si>
  <si>
    <t>TOT entrate: 4840</t>
  </si>
  <si>
    <t>TOT uscite: 3217 + 1000acc</t>
  </si>
  <si>
    <t>pulizia palestra</t>
  </si>
  <si>
    <t>DICEMBRE</t>
  </si>
  <si>
    <t>utile mese: 2258 - 1000 euro di accantonamenti</t>
  </si>
  <si>
    <t>TOT entrate: 4195</t>
  </si>
  <si>
    <t>TOT uscite: 1937</t>
  </si>
  <si>
    <t>GENNAIO</t>
  </si>
  <si>
    <t>UTILE MESE:  2425 - 1000 di accantonamenti</t>
  </si>
  <si>
    <t>TOT entrate: 5900</t>
  </si>
  <si>
    <t>TOT uscite: 3475</t>
  </si>
  <si>
    <t>FEBBRAIO</t>
  </si>
  <si>
    <t>UTILE MESE:  1678 - 1000 DI ACCANTONAMENTI</t>
  </si>
  <si>
    <t>TOT entrate: 3935</t>
  </si>
  <si>
    <t>TOT uscite: 2257</t>
  </si>
  <si>
    <t>Cassa Famiglia da nn sottrarre</t>
  </si>
  <si>
    <t>accantonamento pensione da nn sottrarre</t>
  </si>
  <si>
    <t>80 DUCCIO</t>
  </si>
  <si>
    <t>100 NETWORK PAGHERA</t>
  </si>
  <si>
    <t>136 EURO ATTREZZO</t>
  </si>
  <si>
    <t>60 EURO REGALO PAOLA</t>
  </si>
  <si>
    <t>MARZO</t>
  </si>
  <si>
    <t>UTILE NEGATIVO:  2030,5 MENO 1000 DI ACCANTONAMENTI</t>
  </si>
  <si>
    <t>TOT entrate: 2940</t>
  </si>
  <si>
    <t>TOT uscite: 4970</t>
  </si>
  <si>
    <t>Spese MOTO</t>
  </si>
  <si>
    <t>UTILE MESE:  704 Euro meno 1000 di accantnon.</t>
  </si>
  <si>
    <t>TOT entrate: 1560</t>
  </si>
  <si>
    <t>TOT uscite: 856</t>
  </si>
  <si>
    <t>UTILE MESE:  2785 - 1000 di accantonamenti</t>
  </si>
  <si>
    <t>TOT entrate: 3745</t>
  </si>
  <si>
    <t>TOT uscite: 960</t>
  </si>
  <si>
    <t>40 dentista</t>
  </si>
  <si>
    <t>60 dominio stefanotronconi x 2 anni</t>
  </si>
  <si>
    <t>10 libro lemme</t>
  </si>
  <si>
    <t>40 marilu</t>
  </si>
  <si>
    <t>75 vg</t>
  </si>
  <si>
    <t>UTILE MESE: 603 - 1000 di accantonamenti</t>
  </si>
  <si>
    <t>TOT entrate: 3320</t>
  </si>
  <si>
    <t>TOT uscite: 2717</t>
  </si>
  <si>
    <t>luglio-agosto</t>
  </si>
  <si>
    <t>UTILE NEGATIVO: 3202 + 300di accantonamenti</t>
  </si>
  <si>
    <t xml:space="preserve">TOT entrate: </t>
  </si>
  <si>
    <t xml:space="preserve">TOT uscite: </t>
  </si>
  <si>
    <t>SETTEMBRE</t>
  </si>
  <si>
    <t>UTILE MESE NEGATIVO: 741 EURO</t>
  </si>
  <si>
    <t>CASSA DOMESTICA: 600</t>
  </si>
  <si>
    <t>ACCANTONAMENTI: /////</t>
  </si>
  <si>
    <t>TOT entrate: 3035</t>
  </si>
  <si>
    <t>TOT uscite: 3776</t>
  </si>
  <si>
    <t>affitto palestra</t>
  </si>
  <si>
    <t>UTILE MESE: 1660</t>
  </si>
  <si>
    <t xml:space="preserve">ACCANTONAMENTI: </t>
  </si>
  <si>
    <t>TOT entrate: 5135</t>
  </si>
  <si>
    <t>UTILE MESE: 952</t>
  </si>
  <si>
    <t>CASSA DOMESTICA: 50</t>
  </si>
  <si>
    <t>TOT entrate: 4940</t>
  </si>
  <si>
    <t>TOT uscite: 3988</t>
  </si>
  <si>
    <t>Spese area 46</t>
  </si>
  <si>
    <t>gadget</t>
  </si>
  <si>
    <t>formazione e trasferte</t>
  </si>
  <si>
    <t>Pacchetti annuali</t>
  </si>
  <si>
    <t>UTILE NEGATIVO: 2050</t>
  </si>
  <si>
    <t>TOT entrate: 2350</t>
  </si>
  <si>
    <t>TOT uscite:  4400</t>
  </si>
  <si>
    <t>UTILE MESE: 440</t>
  </si>
  <si>
    <t>TOT entrate: 3325</t>
  </si>
  <si>
    <t>TOT uscite: 2885</t>
  </si>
  <si>
    <t>200 Keysi world</t>
  </si>
  <si>
    <t>1100 P</t>
  </si>
  <si>
    <t>600 P</t>
  </si>
  <si>
    <t>pagamento assistenti</t>
  </si>
  <si>
    <t>UTILE NEGATIVO MESE: 451</t>
  </si>
  <si>
    <t>TOT entrate:</t>
  </si>
  <si>
    <t>TOT uscite: 3676</t>
  </si>
  <si>
    <t>340 FB x keysi</t>
  </si>
  <si>
    <t>95 decathlon</t>
  </si>
  <si>
    <t>300 euro spagna</t>
  </si>
  <si>
    <t>UTILE MESE: 840</t>
  </si>
  <si>
    <t>TOT entrate: 3460</t>
  </si>
  <si>
    <t>TOT uscite: 2620</t>
  </si>
  <si>
    <t>UTILE MESE: 595</t>
  </si>
  <si>
    <t>ACCANTONAMENTI: zero</t>
  </si>
  <si>
    <t>TOT entrate: 3965</t>
  </si>
  <si>
    <t>TOT uscite: 2770</t>
  </si>
  <si>
    <t>assicurazione infortuni</t>
  </si>
  <si>
    <t>assistenti</t>
  </si>
  <si>
    <t>UTILE NEGATIVO:  - 275 euro</t>
  </si>
  <si>
    <t>TOT entrate: 2085</t>
  </si>
  <si>
    <t>TOT uscite: 2360</t>
  </si>
  <si>
    <t>nuovo fondo</t>
  </si>
  <si>
    <t>ASSISTENTI</t>
  </si>
  <si>
    <t>GIUNGNO</t>
  </si>
  <si>
    <t>UTILE MESE:</t>
  </si>
  <si>
    <t xml:space="preserve">CASSA DOMESTICA: </t>
  </si>
  <si>
    <t>TOT uscite:</t>
  </si>
  <si>
    <t>grenke</t>
  </si>
  <si>
    <t>LUGLIO/AGOSTO</t>
  </si>
  <si>
    <t>50 iengo</t>
  </si>
  <si>
    <t>ENEL</t>
  </si>
  <si>
    <t>BOLLO AUTO/MOTO</t>
  </si>
  <si>
    <t>Svago e quotidiano</t>
  </si>
  <si>
    <t>cp FB</t>
  </si>
  <si>
    <r>
      <rPr>
        <rFont val="arial,sans,sans-serif"/>
        <b val="0"/>
        <color rgb="FF000000"/>
      </rPr>
      <t xml:space="preserve">escluso cassa e accantonamenti </t>
    </r>
    <r>
      <rPr>
        <rFont val="arial,sans,sans-serif"/>
        <b/>
        <color rgb="FF000000"/>
      </rPr>
      <t>UTILE MESE</t>
    </r>
  </si>
  <si>
    <t>siti web_grafica_</t>
  </si>
  <si>
    <t xml:space="preserve">Attrezzature </t>
  </si>
  <si>
    <t>fitnessitaly software + abbonamento a project magazine</t>
  </si>
  <si>
    <t>abbigliamento lavoro</t>
  </si>
  <si>
    <t>CASSA DOMESTICA:</t>
  </si>
  <si>
    <t>ACCANTONAMENTI:</t>
  </si>
  <si>
    <t>Trasferte e formazione</t>
  </si>
  <si>
    <t>assicurazione fondo</t>
  </si>
  <si>
    <t>assicurazione professionale</t>
  </si>
  <si>
    <t>consumi</t>
  </si>
  <si>
    <t>manutensione fondo</t>
  </si>
  <si>
    <t>manut. caldaia</t>
  </si>
  <si>
    <r>
      <rPr>
        <rFont val="arial,sans,sans-serif"/>
        <b val="0"/>
        <color rgb="FF000000"/>
      </rPr>
      <t xml:space="preserve">escluso cassa e accantonamenti </t>
    </r>
    <r>
      <rPr>
        <rFont val="arial,sans,sans-serif"/>
        <b/>
        <color rgb="FF000000"/>
      </rPr>
      <t>UTILE MESE</t>
    </r>
  </si>
  <si>
    <r>
      <rPr>
        <rFont val="arial,sans,sans-serif"/>
        <b val="0"/>
        <color rgb="FF000000"/>
      </rPr>
      <t xml:space="preserve">escluso cassa e accantonamenti </t>
    </r>
    <r>
      <rPr>
        <rFont val="arial,sans,sans-serif"/>
        <b/>
        <color rgb="FF000000"/>
      </rPr>
      <t>UTILE MESE</t>
    </r>
  </si>
  <si>
    <t>Rata Mutuo</t>
  </si>
  <si>
    <t>tasse</t>
  </si>
  <si>
    <r>
      <rPr>
        <rFont val="arial,sans,sans-serif"/>
        <b val="0"/>
        <color rgb="FF000000"/>
      </rPr>
      <t xml:space="preserve">escluso cassa e accantonamenti </t>
    </r>
    <r>
      <rPr>
        <rFont val="arial,sans,sans-serif"/>
        <b/>
        <color rgb="FF000000"/>
      </rPr>
      <t>UTILE MESE</t>
    </r>
  </si>
  <si>
    <t>600 già versati con bonifico</t>
  </si>
  <si>
    <r>
      <rPr>
        <rFont val="arial,sans,sans-serif"/>
        <b val="0"/>
        <color rgb="FF000000"/>
      </rPr>
      <t xml:space="preserve">escluso cassa e accantonamenti </t>
    </r>
    <r>
      <rPr>
        <rFont val="arial,sans,sans-serif"/>
        <b/>
        <color rgb="FF000000"/>
      </rPr>
      <t>UTILE MESE</t>
    </r>
  </si>
  <si>
    <t xml:space="preserve">600 già dati in contanti </t>
  </si>
  <si>
    <r>
      <rPr>
        <rFont val="arial,sans,sans-serif"/>
        <b val="0"/>
        <color rgb="FF000000"/>
      </rPr>
      <t xml:space="preserve">escluso cassa e accantonamenti </t>
    </r>
    <r>
      <rPr>
        <rFont val="arial,sans,sans-serif"/>
        <b/>
        <color rgb="FF000000"/>
      </rPr>
      <t>UTILE MESE</t>
    </r>
  </si>
  <si>
    <t>600 euro già versati</t>
  </si>
  <si>
    <t>Duccio</t>
  </si>
  <si>
    <t>Spese mediche e cane</t>
  </si>
  <si>
    <r>
      <rPr>
        <rFont val="arial,sans,sans-serif"/>
        <b val="0"/>
        <color rgb="FF000000"/>
      </rPr>
      <t xml:space="preserve">escluso cassa e accantonamenti </t>
    </r>
    <r>
      <rPr>
        <rFont val="arial,sans,sans-serif"/>
        <b/>
        <color rgb="FF000000"/>
      </rPr>
      <t>UTILE MESE</t>
    </r>
  </si>
  <si>
    <t>siti web_grafica_social</t>
  </si>
  <si>
    <t>600 già dati</t>
  </si>
  <si>
    <t>pagato</t>
  </si>
  <si>
    <t>mutuo</t>
  </si>
  <si>
    <t>FINE PAGAMENTI LAVORI</t>
  </si>
  <si>
    <r>
      <rPr>
        <rFont val="arial,sans,sans-serif"/>
        <b val="0"/>
        <color rgb="FF000000"/>
      </rPr>
      <t xml:space="preserve">escluso cassa e accantonamenti </t>
    </r>
    <r>
      <rPr>
        <rFont val="arial,sans,sans-serif"/>
        <b/>
        <color rgb="FF000000"/>
      </rPr>
      <t>UTILE MESE</t>
    </r>
  </si>
  <si>
    <t>consulenze web e grafica</t>
  </si>
  <si>
    <r>
      <rPr>
        <rFont val="arial,sans,sans-serif"/>
        <b val="0"/>
        <color rgb="FF000000"/>
      </rPr>
      <t xml:space="preserve">escluso cassa e accantonamenti </t>
    </r>
    <r>
      <rPr>
        <rFont val="arial,sans,sans-serif"/>
        <b/>
        <color rgb="FF000000"/>
      </rPr>
      <t>UTILE MESE</t>
    </r>
  </si>
  <si>
    <t>600 già versati</t>
  </si>
  <si>
    <t>Vincenzo</t>
  </si>
  <si>
    <t>consumi e passo carrabile</t>
  </si>
  <si>
    <t>FB</t>
  </si>
  <si>
    <r>
      <rPr>
        <rFont val="arial,sans,sans-serif"/>
        <b val="0"/>
        <color rgb="FF000000"/>
      </rPr>
      <t xml:space="preserve">escluso cassa e accantonamenti </t>
    </r>
    <r>
      <rPr>
        <rFont val="arial,sans,sans-serif"/>
        <b/>
        <color rgb="FF000000"/>
      </rPr>
      <t>UTILE MESE</t>
    </r>
  </si>
  <si>
    <t>assicurazione twingo</t>
  </si>
  <si>
    <t>Enel elettricità</t>
  </si>
  <si>
    <t>Eni GAS</t>
  </si>
  <si>
    <t xml:space="preserve">regalo stefy </t>
  </si>
  <si>
    <t>collirio e antibiotico rosco</t>
  </si>
  <si>
    <r>
      <rPr>
        <rFont val="arial,sans,sans-serif"/>
        <b val="0"/>
        <color rgb="FF000000"/>
      </rPr>
      <t xml:space="preserve">escluso cassa e accantonamenti </t>
    </r>
    <r>
      <rPr>
        <rFont val="arial,sans,sans-serif"/>
        <b/>
        <color rgb="FF000000"/>
      </rPr>
      <t>UTILE MESE</t>
    </r>
  </si>
  <si>
    <t>acconto ordine top skills</t>
  </si>
  <si>
    <t xml:space="preserve">600 già pagati </t>
  </si>
  <si>
    <t xml:space="preserve">pagato </t>
  </si>
  <si>
    <t>AGOSTO_SETTEMBRE</t>
  </si>
  <si>
    <r>
      <rPr>
        <rFont val="arial,sans,sans-serif"/>
        <b val="0"/>
        <color rgb="FF000000"/>
      </rPr>
      <t xml:space="preserve">escluso cassa e accantonamenti </t>
    </r>
    <r>
      <rPr>
        <rFont val="arial,sans,sans-serif"/>
        <b/>
        <color rgb="FF000000"/>
      </rPr>
      <t>UTILE MESE</t>
    </r>
  </si>
  <si>
    <t>seocnda e terza rata top skills</t>
  </si>
  <si>
    <t>1200 già versati</t>
  </si>
  <si>
    <t>multe</t>
  </si>
  <si>
    <t>4 eccessi velocità su Fi Pi Li</t>
  </si>
  <si>
    <t xml:space="preserve">TOTALE ENTRATE: </t>
  </si>
  <si>
    <t>MEDIA ENTRATE:</t>
  </si>
  <si>
    <t>TOTALE USCITE:</t>
  </si>
  <si>
    <t>MEDIA USCITE:</t>
  </si>
  <si>
    <t xml:space="preserve"> </t>
  </si>
  <si>
    <r>
      <rPr>
        <rFont val="arial,sans,sans-serif"/>
        <b/>
        <sz val="11.0"/>
      </rPr>
      <t xml:space="preserve">4025 </t>
    </r>
    <r>
      <rPr>
        <rFont val="arial,sans,sans-serif"/>
        <b val="0"/>
        <sz val="8.0"/>
      </rPr>
      <t>(+285eu su 2019)</t>
    </r>
  </si>
  <si>
    <r>
      <rPr>
        <rFont val="arial,sans,sans-serif"/>
        <b val="0"/>
        <color rgb="FF000000"/>
      </rPr>
      <t xml:space="preserve">escluso cassa e accantonamenti </t>
    </r>
    <r>
      <rPr>
        <rFont val="arial,sans,sans-serif"/>
        <b/>
        <color rgb="FF000000"/>
      </rPr>
      <t>UTILE MESE</t>
    </r>
  </si>
  <si>
    <t>Attrezzature e materiale</t>
  </si>
  <si>
    <r>
      <rPr>
        <rFont val="arial,sans,sans-serif"/>
        <b val="0"/>
        <color rgb="FF000000"/>
      </rPr>
      <t xml:space="preserve">escluso cassa e accantonamenti </t>
    </r>
    <r>
      <rPr>
        <rFont val="arial,sans,sans-serif"/>
        <b/>
        <color rgb="FF000000"/>
      </rPr>
      <t>UTILE MESE</t>
    </r>
  </si>
  <si>
    <t>SALDO CONTO</t>
  </si>
  <si>
    <t>già pagato</t>
  </si>
  <si>
    <t>compass</t>
  </si>
  <si>
    <t>??????</t>
  </si>
  <si>
    <t>buddyFIT</t>
  </si>
  <si>
    <t>Regali natale</t>
  </si>
  <si>
    <r>
      <rPr>
        <rFont val="arial,sans,sans-serif"/>
        <b val="0"/>
        <color rgb="FF000000"/>
      </rPr>
      <t xml:space="preserve">escluso cassa e accantonamenti </t>
    </r>
    <r>
      <rPr>
        <rFont val="arial,sans,sans-serif"/>
        <b/>
        <color rgb="FF000000"/>
      </rPr>
      <t>UTILE MESE</t>
    </r>
  </si>
  <si>
    <t>600 già pagati</t>
  </si>
  <si>
    <t>più 200 regalo laurea + 50 regalo natale</t>
  </si>
  <si>
    <t>più 50 regalo di natale</t>
  </si>
  <si>
    <t>terribile</t>
  </si>
  <si>
    <t>/////</t>
  </si>
  <si>
    <t>Commercialista</t>
  </si>
  <si>
    <r>
      <rPr>
        <rFont val="arial,sans,sans-serif"/>
        <b val="0"/>
        <color rgb="FF000000"/>
      </rPr>
      <t xml:space="preserve">escluso cassa e accantonamenti </t>
    </r>
    <r>
      <rPr>
        <rFont val="arial,sans,sans-serif"/>
        <b/>
        <color rgb="FF000000"/>
      </rPr>
      <t>UTILE MESE</t>
    </r>
  </si>
  <si>
    <t>600 già messi</t>
  </si>
  <si>
    <r>
      <rPr>
        <rFont val="arial,sans,sans-serif"/>
        <b val="0"/>
        <color rgb="FF000000"/>
      </rPr>
      <t xml:space="preserve">escluso cassa e accantonamenti </t>
    </r>
    <r>
      <rPr>
        <rFont val="arial,sans,sans-serif"/>
        <b/>
        <color rgb="FF000000"/>
      </rPr>
      <t>UTILE MESE</t>
    </r>
  </si>
  <si>
    <t>duccio</t>
  </si>
  <si>
    <t>vincenzo</t>
  </si>
  <si>
    <t>90 mese</t>
  </si>
  <si>
    <t>chiusura conto ing</t>
  </si>
  <si>
    <t xml:space="preserve"> MARZO cinese</t>
  </si>
  <si>
    <r>
      <rPr>
        <rFont val="arial,sans,sans-serif"/>
        <b val="0"/>
        <color rgb="FF000000"/>
      </rPr>
      <t xml:space="preserve">escluso cassa e accantonamenti </t>
    </r>
    <r>
      <rPr>
        <rFont val="arial,sans,sans-serif"/>
        <b/>
        <color rgb="FF000000"/>
      </rPr>
      <t>UTILE MESE</t>
    </r>
  </si>
  <si>
    <t>ZERO</t>
  </si>
  <si>
    <t>EURO 2016,00</t>
  </si>
  <si>
    <t>MUTUO</t>
  </si>
  <si>
    <t>APRILE cinese</t>
  </si>
  <si>
    <r>
      <rPr>
        <rFont val="arial,sans,sans-serif"/>
        <b val="0"/>
        <color rgb="FF000000"/>
      </rPr>
      <t xml:space="preserve">escluso cassa e accantonamenti </t>
    </r>
    <r>
      <rPr>
        <rFont val="arial,sans,sans-serif"/>
        <b/>
        <color rgb="FF000000"/>
      </rPr>
      <t>UTILE MESE</t>
    </r>
  </si>
  <si>
    <t>PAGATI</t>
  </si>
  <si>
    <t>Duccio 215</t>
  </si>
  <si>
    <t>Vince150</t>
  </si>
  <si>
    <t>MAGGIO covid 19 rientro in sede</t>
  </si>
  <si>
    <r>
      <rPr>
        <rFont val="arial,sans,sans-serif"/>
        <b val="0"/>
        <color rgb="FF000000"/>
      </rPr>
      <t xml:space="preserve">escluso cassa e accantonamenti </t>
    </r>
    <r>
      <rPr>
        <rFont val="arial,sans,sans-serif"/>
        <b/>
        <color rgb="FF000000"/>
      </rPr>
      <t>UTILE MESE</t>
    </r>
  </si>
  <si>
    <t>polizza rischi diversi, copre ovunque io operi</t>
  </si>
  <si>
    <t>duccio 1095 - vince: 485</t>
  </si>
  <si>
    <t>questo mese ho ricevuto sodi da babbo (circa 930 euro) per pagamento imu e cartelle imu passata)</t>
  </si>
  <si>
    <r>
      <rPr>
        <rFont val="arial,sans,sans-serif"/>
        <b val="0"/>
        <color rgb="FF000000"/>
      </rPr>
      <t xml:space="preserve">escluso cassa e accantonamenti </t>
    </r>
    <r>
      <rPr>
        <rFont val="arial,sans,sans-serif"/>
        <b/>
        <color rgb="FF000000"/>
      </rPr>
      <t>UTILE MESE</t>
    </r>
  </si>
  <si>
    <t>Gestionali</t>
  </si>
  <si>
    <t>BUDDYFIT</t>
  </si>
  <si>
    <t xml:space="preserve">  </t>
  </si>
  <si>
    <t>polizza incendio: 151</t>
  </si>
  <si>
    <t>ASSICURAZIONE TWINGO</t>
  </si>
  <si>
    <t>regalo Stefy (dieta Croppi)</t>
  </si>
  <si>
    <t>imu 373</t>
  </si>
  <si>
    <t>IN</t>
  </si>
  <si>
    <t>OUT</t>
  </si>
  <si>
    <r>
      <rPr>
        <rFont val="arial,sans,sans-serif"/>
        <b val="0"/>
        <color rgb="FF000000"/>
      </rPr>
      <t xml:space="preserve">escluso cassa e accantonamenti </t>
    </r>
    <r>
      <rPr>
        <rFont val="arial,sans,sans-serif"/>
        <b/>
        <color rgb="FF000000"/>
      </rPr>
      <t>UTILE MESE</t>
    </r>
  </si>
  <si>
    <t>Rinnovo tesserino PT</t>
  </si>
  <si>
    <t>vince 650</t>
  </si>
  <si>
    <t>COMPASS</t>
  </si>
  <si>
    <t>tot. Fatture</t>
  </si>
  <si>
    <r>
      <rPr>
        <rFont val="arial,sans,sans-serif"/>
        <b val="0"/>
        <color rgb="FF000000"/>
      </rPr>
      <t xml:space="preserve">escluso cassa e accantonamenti </t>
    </r>
    <r>
      <rPr>
        <rFont val="arial,sans,sans-serif"/>
        <b/>
        <color rgb="FF000000"/>
      </rPr>
      <t>UTILE MESE</t>
    </r>
  </si>
  <si>
    <t>antizanzare + 138 di elastici+ 20 di rulli+63 stampante</t>
  </si>
  <si>
    <t>amazon 153euro</t>
  </si>
  <si>
    <t>60+60+60+60 +13(prodotti)+60</t>
  </si>
  <si>
    <t>fai fattura a macciachini 59 euro</t>
  </si>
  <si>
    <t>assicurazione annuale</t>
  </si>
  <si>
    <t>multa a Parma</t>
  </si>
  <si>
    <t>920 Duccio - 985 Vince + 100 simone + 80 riccardo</t>
  </si>
  <si>
    <t>gas 24 euro</t>
  </si>
  <si>
    <t>spese condominial</t>
  </si>
  <si>
    <t xml:space="preserve">     </t>
  </si>
  <si>
    <t>fatturare</t>
  </si>
  <si>
    <t>fatture emesse</t>
  </si>
  <si>
    <t>cliente</t>
  </si>
  <si>
    <t>si</t>
  </si>
  <si>
    <t>no</t>
  </si>
  <si>
    <t>dettagli</t>
  </si>
  <si>
    <t>Macciachini</t>
  </si>
  <si>
    <t>Furio</t>
  </si>
  <si>
    <t>acqua</t>
  </si>
  <si>
    <t>Ilacqua roberto</t>
  </si>
  <si>
    <t>non fatturare mai sotto i 3000</t>
  </si>
  <si>
    <t>Giulia Guidi</t>
  </si>
  <si>
    <t>gas</t>
  </si>
  <si>
    <t>Falanga Fabrizio</t>
  </si>
  <si>
    <t xml:space="preserve">Manrico Seghi </t>
  </si>
  <si>
    <t>Bassanti</t>
  </si>
  <si>
    <t>Brenzini</t>
  </si>
  <si>
    <t>UTILE MESE</t>
  </si>
  <si>
    <t>Zenoni</t>
  </si>
  <si>
    <t>acconto nubi studio + acquisto template</t>
  </si>
  <si>
    <t>Pavone</t>
  </si>
  <si>
    <t>Attrezzature e strumenti</t>
  </si>
  <si>
    <t xml:space="preserve">air bike + vogatore </t>
  </si>
  <si>
    <t>tassazione teorica + inps</t>
  </si>
  <si>
    <t>Lorenzo Luchi</t>
  </si>
  <si>
    <t>Spese animali</t>
  </si>
  <si>
    <t>Neri Fiuzzi</t>
  </si>
  <si>
    <t>lapo</t>
  </si>
  <si>
    <t>SOMMA ACCANTONAMENTI:</t>
  </si>
  <si>
    <t>Chiara Massei</t>
  </si>
  <si>
    <t>Fabrizio Falanga</t>
  </si>
  <si>
    <t>Feraru Carmen</t>
  </si>
  <si>
    <t>ulteriori uscite in bianco oltre al calcolo</t>
  </si>
  <si>
    <t>dettaglio</t>
  </si>
  <si>
    <t>Roberto Ilacqua</t>
  </si>
  <si>
    <t>assicurazione profess.</t>
  </si>
  <si>
    <t>se fatturi 3000, considerando tassazione ed inps, non puoi spendere in bianco più di 1000 euro oltre ai 2600 già calcolati</t>
  </si>
  <si>
    <t>amazon</t>
  </si>
  <si>
    <t>Fanfani Mario</t>
  </si>
  <si>
    <t>attrezzi+2lt olio</t>
  </si>
  <si>
    <t>bollo c/c</t>
  </si>
  <si>
    <t>Daniele Casci</t>
  </si>
  <si>
    <t>tagliando twingo</t>
  </si>
  <si>
    <t>Alessandra Franco</t>
  </si>
  <si>
    <t>energia elettrica</t>
  </si>
  <si>
    <t>Mimma</t>
  </si>
  <si>
    <t>spese palazzo bruciao</t>
  </si>
  <si>
    <t>Valentina Irò</t>
  </si>
  <si>
    <t>DUCCIO</t>
  </si>
  <si>
    <t>Francesco Vallini</t>
  </si>
  <si>
    <t>VINCENZO</t>
  </si>
  <si>
    <t>Chiara Broletti</t>
  </si>
  <si>
    <t>90 euro mese</t>
  </si>
  <si>
    <t>Clara</t>
  </si>
  <si>
    <t>Mauro</t>
  </si>
  <si>
    <t>neon stef</t>
  </si>
  <si>
    <t>piemonte</t>
  </si>
  <si>
    <t>Iengo</t>
  </si>
  <si>
    <t>Forastiere</t>
  </si>
  <si>
    <t>Sara Trambusti</t>
  </si>
  <si>
    <t>Edoardo signorini</t>
  </si>
  <si>
    <t>Moira Forastiere</t>
  </si>
  <si>
    <t>barbara pieruzzini</t>
  </si>
  <si>
    <t>unitulli</t>
  </si>
  <si>
    <t>marie</t>
  </si>
  <si>
    <t>BarbaraBiagiotti</t>
  </si>
  <si>
    <t>iubenda</t>
  </si>
  <si>
    <t>materiale da Alessio</t>
  </si>
  <si>
    <t>2 caricabatterie+26di canone</t>
  </si>
  <si>
    <t>Franco</t>
  </si>
  <si>
    <t>mimma</t>
  </si>
  <si>
    <t>jacob + 20 di prodotti</t>
  </si>
  <si>
    <t>G, Guidi</t>
  </si>
  <si>
    <t>Vignaroli</t>
  </si>
  <si>
    <t>libro di B.Vespa</t>
  </si>
  <si>
    <t>croppi</t>
  </si>
  <si>
    <t>caricabatterie</t>
  </si>
  <si>
    <t>Neri</t>
  </si>
  <si>
    <t>multa</t>
  </si>
  <si>
    <t>maschera antivirus</t>
  </si>
  <si>
    <t>Seghi</t>
  </si>
  <si>
    <t>BOLLO TWINGO</t>
  </si>
  <si>
    <t>macchina RC</t>
  </si>
  <si>
    <t>Luchi</t>
  </si>
  <si>
    <t>Casci</t>
  </si>
  <si>
    <t>spese palazzo bruciato</t>
  </si>
  <si>
    <t>Edoardo Signorini</t>
  </si>
  <si>
    <t>Barbara Pieruzzini</t>
  </si>
  <si>
    <t>vallini</t>
  </si>
  <si>
    <t>Giovanni Carapelli</t>
  </si>
  <si>
    <t>coop e cinese+salviette</t>
  </si>
  <si>
    <t>Carmen</t>
  </si>
  <si>
    <t>Bassa</t>
  </si>
  <si>
    <t>X</t>
  </si>
  <si>
    <t>Paparella</t>
  </si>
  <si>
    <t>jessica Corsani</t>
  </si>
  <si>
    <t>Giannina</t>
  </si>
  <si>
    <t>fb</t>
  </si>
  <si>
    <t>Fanfani</t>
  </si>
  <si>
    <t>Croppi</t>
  </si>
  <si>
    <t>Piemonte</t>
  </si>
  <si>
    <t>pavone</t>
  </si>
  <si>
    <t xml:space="preserve">Elide </t>
  </si>
  <si>
    <t>assegno BABBO</t>
  </si>
  <si>
    <t>neri</t>
  </si>
  <si>
    <t>attrezzature modellini</t>
  </si>
  <si>
    <t xml:space="preserve">manrico </t>
  </si>
  <si>
    <t>brenzini</t>
  </si>
  <si>
    <t>perc. Croppi</t>
  </si>
  <si>
    <t>GIFT CARD</t>
  </si>
  <si>
    <t>wekiwi</t>
  </si>
  <si>
    <t>gomme modellino</t>
  </si>
  <si>
    <t>condomini</t>
  </si>
  <si>
    <t>Malena Eleonora Amato</t>
  </si>
  <si>
    <t>100 euro regalo</t>
  </si>
  <si>
    <t>Vallini</t>
  </si>
  <si>
    <t>50 euro regalo natale</t>
  </si>
  <si>
    <t>pagamento riparazione cancello automatico</t>
  </si>
  <si>
    <t>pagato per Stefania</t>
  </si>
  <si>
    <t>saldo IMU 2020</t>
  </si>
  <si>
    <t>Matteo Cortiula</t>
  </si>
  <si>
    <t>Bassanti E.</t>
  </si>
  <si>
    <t>Cortiula Matteo</t>
  </si>
  <si>
    <t>Viola Mugnai</t>
  </si>
  <si>
    <t>BRENZINI</t>
  </si>
  <si>
    <t>falanga</t>
  </si>
  <si>
    <t>PAVONE</t>
  </si>
  <si>
    <t>bellanti</t>
  </si>
  <si>
    <t>55 fissi per pagamento EvolutionFIt</t>
  </si>
  <si>
    <t>wind/3: 27 euro</t>
  </si>
  <si>
    <t>Giulia G:</t>
  </si>
  <si>
    <t>Lapo</t>
  </si>
  <si>
    <t>vignaroli</t>
  </si>
  <si>
    <t>modellino</t>
  </si>
  <si>
    <t xml:space="preserve">Falanga </t>
  </si>
  <si>
    <t>66 di bollo</t>
  </si>
  <si>
    <t>ricevuto euro 2000 di ristoro statale</t>
  </si>
  <si>
    <t>APP</t>
  </si>
  <si>
    <t>CATEVILLA</t>
  </si>
  <si>
    <t>Giada Nobile</t>
  </si>
  <si>
    <t>Matteo Fiaschi</t>
  </si>
  <si>
    <t>Manrico</t>
  </si>
  <si>
    <t>da pagare per intero (600)</t>
  </si>
  <si>
    <t>Beatrice + bea</t>
  </si>
  <si>
    <t>Cortiula</t>
  </si>
  <si>
    <t>Alessandro Guerrini</t>
  </si>
  <si>
    <t>IRO'+clara</t>
  </si>
  <si>
    <t>180 FB</t>
  </si>
  <si>
    <t>Carresi</t>
  </si>
  <si>
    <t>Niccolò Iorio</t>
  </si>
  <si>
    <t>Massei</t>
  </si>
  <si>
    <t>Cortiùla</t>
  </si>
  <si>
    <t xml:space="preserve">De Napoli + BASSA </t>
  </si>
  <si>
    <t>bollo twingo (126 eu)+acquisto mazda+pneumatici twingo 260 euro+tagliando mazda 150</t>
  </si>
  <si>
    <t>Niccoli</t>
  </si>
  <si>
    <t>luce: 258 wekiwy</t>
  </si>
  <si>
    <t>vanni-buono</t>
  </si>
  <si>
    <t>StefanoAmato</t>
  </si>
  <si>
    <t>Giada</t>
  </si>
  <si>
    <t>croppi+mamma</t>
  </si>
  <si>
    <t>Mario Fanfani</t>
  </si>
  <si>
    <t>Malena</t>
  </si>
  <si>
    <t xml:space="preserve">neri </t>
  </si>
  <si>
    <t>carolina sassi</t>
  </si>
  <si>
    <t>Carolina Sassi</t>
  </si>
  <si>
    <t>izzo Francasco</t>
  </si>
  <si>
    <t>PROMO</t>
  </si>
  <si>
    <t>dic-gen</t>
  </si>
  <si>
    <t>mignolli raff.</t>
  </si>
  <si>
    <t>Bu0ono + Vanni</t>
  </si>
  <si>
    <t>Martina Favaro</t>
  </si>
  <si>
    <t>Brenza</t>
  </si>
  <si>
    <t>saldo nubi: 338</t>
  </si>
  <si>
    <t>mimma+iengo</t>
  </si>
  <si>
    <t>Andrea Vigna</t>
  </si>
  <si>
    <t>Pavone + stefano</t>
  </si>
  <si>
    <t xml:space="preserve">Giulia Guidi+Croppi </t>
  </si>
  <si>
    <t>Irò</t>
  </si>
  <si>
    <t xml:space="preserve">Furio </t>
  </si>
  <si>
    <t>mignolli</t>
  </si>
  <si>
    <t>amazon e varie</t>
  </si>
  <si>
    <t>netflix</t>
  </si>
  <si>
    <t>Nicco Iorio</t>
  </si>
  <si>
    <t>salviette: 30 euro</t>
  </si>
  <si>
    <t>spootify</t>
  </si>
  <si>
    <t>Meini</t>
  </si>
  <si>
    <t>manrico</t>
  </si>
  <si>
    <t>Aron</t>
  </si>
  <si>
    <t>biagiotti</t>
  </si>
  <si>
    <t>mugnai Viola</t>
  </si>
  <si>
    <t>Marta Bellesi</t>
  </si>
  <si>
    <t>MArtina Favaro</t>
  </si>
  <si>
    <t>Fabio e Regina</t>
  </si>
  <si>
    <t>bassa</t>
  </si>
  <si>
    <t>Daniele Salassa</t>
  </si>
  <si>
    <t>Giorgia Calandrini</t>
  </si>
  <si>
    <t>Daniele salassa</t>
  </si>
  <si>
    <t>Irene Toccafondi</t>
  </si>
  <si>
    <t>giada</t>
  </si>
  <si>
    <t>Mignolli</t>
  </si>
  <si>
    <t>Sassi</t>
  </si>
  <si>
    <t>M. Forastiere</t>
  </si>
  <si>
    <t>pavone + stefano</t>
  </si>
  <si>
    <t>Massai</t>
  </si>
  <si>
    <t>DUCCIO X FANFO</t>
  </si>
  <si>
    <t>franco</t>
  </si>
  <si>
    <t>buono Vanni</t>
  </si>
  <si>
    <t>G. Guidi</t>
  </si>
  <si>
    <t>olio motore</t>
  </si>
  <si>
    <t>Irene e Matteo</t>
  </si>
  <si>
    <t>Biagi</t>
  </si>
  <si>
    <t>Raffaella Mignolli</t>
  </si>
  <si>
    <t>Sassi Carolina</t>
  </si>
  <si>
    <t>forastiere</t>
  </si>
  <si>
    <t>Marie-Claire</t>
  </si>
  <si>
    <t>Biagiotti</t>
  </si>
  <si>
    <t>Santiago</t>
  </si>
  <si>
    <t>G. Guidi + Croppi</t>
  </si>
  <si>
    <t>Pavone+Amato</t>
  </si>
  <si>
    <t>Toccafondi</t>
  </si>
  <si>
    <t>massai</t>
  </si>
  <si>
    <t>acquisto pamela 2+ assicurazione</t>
  </si>
  <si>
    <t>faNFANI+GIORGIO</t>
  </si>
  <si>
    <t>alzavetro twingo</t>
  </si>
  <si>
    <t>bifaro</t>
  </si>
  <si>
    <t>MarieClaire</t>
  </si>
  <si>
    <t>Nardi</t>
  </si>
  <si>
    <t>Sara Stefanini</t>
  </si>
  <si>
    <t>contratto impianto antizanzare</t>
  </si>
  <si>
    <t>Vanni</t>
  </si>
  <si>
    <t>Falugiani</t>
  </si>
  <si>
    <t>Erica Pitti</t>
  </si>
  <si>
    <t>zurita</t>
  </si>
  <si>
    <t>ENI gas</t>
  </si>
  <si>
    <t>Pitti</t>
  </si>
  <si>
    <t>Elisa Belini</t>
  </si>
  <si>
    <t>Bellini</t>
  </si>
  <si>
    <t>DA STEFANIA</t>
  </si>
  <si>
    <t>toccafondi</t>
  </si>
  <si>
    <t>brenza+Matilde</t>
  </si>
  <si>
    <t xml:space="preserve">55 fissi per pagamento EvolutionFIt+20 bilancia </t>
  </si>
  <si>
    <t>G.Guidi</t>
  </si>
  <si>
    <t>P.Valenti</t>
  </si>
  <si>
    <t>assicurazione incendio</t>
  </si>
  <si>
    <t>Irene toccafondi</t>
  </si>
  <si>
    <t>Brenincasa</t>
  </si>
  <si>
    <t xml:space="preserve">bassanti </t>
  </si>
  <si>
    <t>CORTIULA</t>
  </si>
  <si>
    <t>Sarah Stefanini</t>
  </si>
  <si>
    <t>Raffaella Salvatore</t>
  </si>
  <si>
    <t>Federico Bacciotti</t>
  </si>
  <si>
    <t>Lucia Scala</t>
  </si>
  <si>
    <t>Moscheni Lapo</t>
  </si>
  <si>
    <t>Iengo + LEONFRANCO</t>
  </si>
  <si>
    <t>Da pagare per intero (600)</t>
  </si>
  <si>
    <t>seghi</t>
  </si>
  <si>
    <t>Feraru</t>
  </si>
  <si>
    <t>Luciana</t>
  </si>
  <si>
    <t>Salassa</t>
  </si>
  <si>
    <t>Bifaro</t>
  </si>
  <si>
    <t>meini</t>
  </si>
  <si>
    <t>Mugnai</t>
  </si>
  <si>
    <t>Galletti G:</t>
  </si>
  <si>
    <t>Marie + Mario</t>
  </si>
  <si>
    <t>Fanfani + Giorgio</t>
  </si>
  <si>
    <t>;Mignolli</t>
  </si>
  <si>
    <t>Malena + GUARNIERI</t>
  </si>
  <si>
    <t>castellucci</t>
  </si>
  <si>
    <t>Buono</t>
  </si>
  <si>
    <t>Leonfranco</t>
  </si>
  <si>
    <t xml:space="preserve">Castellucci </t>
  </si>
  <si>
    <t>Marinari</t>
  </si>
  <si>
    <t>pagamenti fuori  standard</t>
  </si>
  <si>
    <t>Spese Animali</t>
  </si>
  <si>
    <t>cucce x auto</t>
  </si>
  <si>
    <t>M.Claire</t>
  </si>
  <si>
    <t>Ciardi</t>
  </si>
  <si>
    <t xml:space="preserve">guarnieri </t>
  </si>
  <si>
    <t>Stefanini</t>
  </si>
  <si>
    <t>Mugnai Viola</t>
  </si>
  <si>
    <t>Galletti</t>
  </si>
  <si>
    <t>AGO-SETTEMBRE</t>
  </si>
  <si>
    <t>Vivi Gandolfi</t>
  </si>
  <si>
    <t>Vanni+buono</t>
  </si>
  <si>
    <t>Scala</t>
  </si>
  <si>
    <t>MarieCLaire</t>
  </si>
  <si>
    <t>110 fissi per pagamento Evolutionfit +320 di arredamenti</t>
  </si>
  <si>
    <t>Martina La Rocca</t>
  </si>
  <si>
    <t>Gandolfi</t>
  </si>
  <si>
    <t>Fabio Agostinelli</t>
  </si>
  <si>
    <t>marie claire</t>
  </si>
  <si>
    <t>corso online FP</t>
  </si>
  <si>
    <t>Marie Claire</t>
  </si>
  <si>
    <t>100 tagliando proietto+400 gomme+230guanti e paraschiena+195 corso a magione</t>
  </si>
  <si>
    <t>spese rinnovo contratto + passo carrabile</t>
  </si>
  <si>
    <t>Condominio Agrifogli</t>
  </si>
  <si>
    <t>Abbonamento evolutionFIt</t>
  </si>
  <si>
    <t xml:space="preserve">copertura per corte + maniglia porta + lavori imbiancature </t>
  </si>
  <si>
    <t>Affitti Stefania</t>
  </si>
  <si>
    <t>pagamento fuori standard</t>
  </si>
  <si>
    <t>RESOCONTO</t>
  </si>
  <si>
    <t>TOTALE INCASSI</t>
  </si>
  <si>
    <t>spese animali</t>
  </si>
  <si>
    <t>Affitto fondo</t>
  </si>
  <si>
    <t>spese mediche</t>
  </si>
  <si>
    <t>manut. fondo</t>
  </si>
  <si>
    <t>pubblicità</t>
  </si>
  <si>
    <t>formazione</t>
  </si>
  <si>
    <t>web grafica</t>
  </si>
  <si>
    <t>energia elettr.</t>
  </si>
  <si>
    <t>attrezzature e strumenti</t>
  </si>
  <si>
    <t>pulizie</t>
  </si>
  <si>
    <t>Vince</t>
  </si>
  <si>
    <t>moto</t>
  </si>
  <si>
    <t>assicurazioni</t>
  </si>
  <si>
    <t>auto</t>
  </si>
  <si>
    <t>totale:</t>
  </si>
  <si>
    <t>totale spese in bianco extra</t>
  </si>
  <si>
    <t>totale tassazione teorica + inps</t>
  </si>
  <si>
    <t>totale uscite in bianco + spese + tasse annuo</t>
  </si>
  <si>
    <t>UTILE STAGIONE</t>
  </si>
  <si>
    <t>media giacenza conto corrente</t>
  </si>
  <si>
    <t>Gentili Marta</t>
  </si>
  <si>
    <t>elettricità</t>
  </si>
  <si>
    <t>Patty</t>
  </si>
  <si>
    <t>telefonia</t>
  </si>
  <si>
    <t>wind3 28 euro +19</t>
  </si>
  <si>
    <t>operatore pulizie</t>
  </si>
  <si>
    <t>Marie + Mario Andreoli</t>
  </si>
  <si>
    <t>prodotti pulizie e magazzino</t>
  </si>
  <si>
    <t>magazzino inventario</t>
  </si>
  <si>
    <t>questa viene sottratta dall'utile mensile ma è comunque parte di esso</t>
  </si>
  <si>
    <t>scala</t>
  </si>
  <si>
    <t>spese condominiali P. Bruciato</t>
  </si>
  <si>
    <t>cancello luce e riparazione</t>
  </si>
  <si>
    <t>spese di manutensione</t>
  </si>
  <si>
    <t>La Rocca</t>
  </si>
  <si>
    <t>Affitto</t>
  </si>
  <si>
    <t>Matteo Toma</t>
  </si>
  <si>
    <t>Assicurazione professionale</t>
  </si>
  <si>
    <t>autostrade</t>
  </si>
  <si>
    <t>A. Franco</t>
  </si>
  <si>
    <t>Studi e formazione</t>
  </si>
  <si>
    <t>materasso</t>
  </si>
  <si>
    <t>spese MOTO+benzina</t>
  </si>
  <si>
    <t>20 lavaggio+benzina</t>
  </si>
  <si>
    <t>spese AUTO+benzina</t>
  </si>
  <si>
    <t>spese ANIMALI</t>
  </si>
  <si>
    <t>operazione gina+visita romeo+fungicida Rosco</t>
  </si>
  <si>
    <t>attrezzature e supporti professionali</t>
  </si>
  <si>
    <t>evolutionfitX60eu+</t>
  </si>
  <si>
    <t>spese promozionali</t>
  </si>
  <si>
    <t xml:space="preserve">44 eu x francobolli per lettere+cp FB 30eu + </t>
  </si>
  <si>
    <t>spese gestione web e social</t>
  </si>
  <si>
    <t>LCO</t>
  </si>
  <si>
    <t>nessun addebito??</t>
  </si>
  <si>
    <t>aggiunto 100 euro per regalo di Laurea</t>
  </si>
  <si>
    <t>App EvolutionFit</t>
  </si>
  <si>
    <t>Affitti Ilaria</t>
  </si>
  <si>
    <t>spese commercialista</t>
  </si>
  <si>
    <t>Affitti caterina</t>
  </si>
  <si>
    <t>pagameni tasse</t>
  </si>
  <si>
    <t>pagamenti fuori standard</t>
  </si>
  <si>
    <t>A. Valenti</t>
  </si>
  <si>
    <t>cASTELLUCCI</t>
  </si>
  <si>
    <t>Bellanti</t>
  </si>
  <si>
    <t>wind3 28eu + 6</t>
  </si>
  <si>
    <t>caffè (20eu)+</t>
  </si>
  <si>
    <t>Alice Nucciarelli</t>
  </si>
  <si>
    <t>Lucis Scala</t>
  </si>
  <si>
    <t>M.CLaire</t>
  </si>
  <si>
    <t>terribile+Micol</t>
  </si>
  <si>
    <t>telefono LCO</t>
  </si>
  <si>
    <t>Gentili</t>
  </si>
  <si>
    <t>Castellucci</t>
  </si>
  <si>
    <t>autostrada LCO</t>
  </si>
  <si>
    <t>52,5 rinnovo patente</t>
  </si>
  <si>
    <t>zalando</t>
  </si>
  <si>
    <t>benzina 186 benz+ 52,5 rinnovo patente</t>
  </si>
  <si>
    <t>enel LCO</t>
  </si>
  <si>
    <t>dentista</t>
  </si>
  <si>
    <t>netflix+google+spootify</t>
  </si>
  <si>
    <t>Batacchi</t>
  </si>
  <si>
    <t xml:space="preserve">evolutionfit 60 + </t>
  </si>
  <si>
    <t xml:space="preserve">CP FB: 31eu + </t>
  </si>
  <si>
    <t>acconto nubi 600, mamcano ulteriori 300</t>
  </si>
  <si>
    <t>secondo acconto 2022</t>
  </si>
  <si>
    <t>Scavetta</t>
  </si>
  <si>
    <t>enigas</t>
  </si>
  <si>
    <t>Toma</t>
  </si>
  <si>
    <t>wekiwy</t>
  </si>
  <si>
    <t>Arrigo</t>
  </si>
  <si>
    <t>wind3 19</t>
  </si>
  <si>
    <t>Agostinelli</t>
  </si>
  <si>
    <t>dato 40 euro di regalo natale</t>
  </si>
  <si>
    <t>mascherine, spruzzini, batterie, prodotti pulizia bagno</t>
  </si>
  <si>
    <t>raffaella</t>
  </si>
  <si>
    <t>Scala Lucia</t>
  </si>
  <si>
    <t xml:space="preserve"> LCO</t>
  </si>
  <si>
    <t>deliveroo</t>
  </si>
  <si>
    <t>dentista 200</t>
  </si>
  <si>
    <t>amazon prime</t>
  </si>
  <si>
    <t>regali stefi con carta</t>
  </si>
  <si>
    <t>250 ⛽ +25 LAVAGGIO</t>
  </si>
  <si>
    <t>regali con pay pal</t>
  </si>
  <si>
    <t>12 ciotola + chicchi + vaccino Romeo</t>
  </si>
  <si>
    <t>elastici + 59€ evolutionfit</t>
  </si>
  <si>
    <t>8 FB+133 pixart x gift</t>
  </si>
  <si>
    <t>dato regalo di compleanno 60 euro+natale 50euro</t>
  </si>
  <si>
    <t>coimpreso rimborso per ghiaccio istantaneo + 50 euro per natale</t>
  </si>
  <si>
    <t>30 marche da bollo</t>
  </si>
  <si>
    <t>elettricità LCO</t>
  </si>
  <si>
    <t>Cassa domestica</t>
  </si>
  <si>
    <t>ulteriori uscite in bianco</t>
  </si>
  <si>
    <t>TOTALE USCITE</t>
  </si>
  <si>
    <t>ENTRATE</t>
  </si>
  <si>
    <t>entrate da clienti+fuori standard</t>
  </si>
  <si>
    <t>entrate affitti</t>
  </si>
  <si>
    <t>Entrate da app evolutionFIt</t>
  </si>
  <si>
    <t>TOTALE ENTRATE LORDO</t>
  </si>
  <si>
    <t>totale fatturato</t>
  </si>
  <si>
    <t>tassazione teorica calcolata</t>
  </si>
  <si>
    <t>tassazione reale pagata</t>
  </si>
  <si>
    <t xml:space="preserve">UTILE </t>
  </si>
  <si>
    <t>UTILE TEORICO</t>
  </si>
  <si>
    <t>UTILE REALE AL NETTO DI  USCITE E TASSE</t>
  </si>
  <si>
    <t>Giacenza media conto corrente</t>
  </si>
  <si>
    <t>Gift</t>
  </si>
  <si>
    <t>tassazione complessiva</t>
  </si>
  <si>
    <t xml:space="preserve">Iengo </t>
  </si>
  <si>
    <t>studio 27 + 19 mobile</t>
  </si>
  <si>
    <t>caffè 10 €</t>
  </si>
  <si>
    <t>Spese Personali</t>
  </si>
  <si>
    <t>Affitto 350€ + internet</t>
  </si>
  <si>
    <t>Luce</t>
  </si>
  <si>
    <t>Acqua</t>
  </si>
  <si>
    <t>Gas</t>
  </si>
  <si>
    <t>Legna</t>
  </si>
  <si>
    <t>Benzina auto e autostrada</t>
  </si>
  <si>
    <t>Benzina moto e autostrada</t>
  </si>
  <si>
    <t>Spese moto</t>
  </si>
  <si>
    <t>Hobby e svago</t>
  </si>
  <si>
    <t>Economia domestica</t>
  </si>
  <si>
    <t>58 evolutionfit</t>
  </si>
  <si>
    <t>88 cp FB + 26timbro stavini</t>
  </si>
  <si>
    <t>aruba 12,19</t>
  </si>
  <si>
    <t>previdenza</t>
  </si>
  <si>
    <t>bar</t>
  </si>
  <si>
    <t>Rosco e gatti</t>
  </si>
  <si>
    <t>Utile mensile reale</t>
  </si>
  <si>
    <t>Saldo conto corrente</t>
  </si>
  <si>
    <t>cassa</t>
  </si>
  <si>
    <t>Altri accantonamenti</t>
  </si>
  <si>
    <t>Affitti Zampieri</t>
  </si>
  <si>
    <t xml:space="preserve">Leonfranco </t>
  </si>
  <si>
    <t>buono+vanni</t>
  </si>
  <si>
    <t>Russo</t>
  </si>
  <si>
    <t>toma</t>
  </si>
  <si>
    <t>F. Commisso</t>
  </si>
  <si>
    <t>Olga Vannucci</t>
  </si>
  <si>
    <t>Benzina auto</t>
  </si>
  <si>
    <t>Benzina moto</t>
  </si>
  <si>
    <t>Piagentini</t>
  </si>
  <si>
    <t>evolutionfit</t>
  </si>
  <si>
    <t>rosco e gatti</t>
  </si>
  <si>
    <t>Utile mensile</t>
  </si>
  <si>
    <t>F. Bellanti</t>
  </si>
  <si>
    <t>Affitto Stefy</t>
  </si>
  <si>
    <t>D.Salassa</t>
  </si>
  <si>
    <t>Gagliardi</t>
  </si>
  <si>
    <t>Commisso</t>
  </si>
  <si>
    <t>23€ salviette lavamani+12€sacchetti nettezza 30lt</t>
  </si>
  <si>
    <t>F. Pecchioli</t>
  </si>
  <si>
    <t>Evsa Bartolini</t>
  </si>
  <si>
    <t>serratura spogliaoio</t>
  </si>
  <si>
    <t>Sharma</t>
  </si>
  <si>
    <t>De Angelis</t>
  </si>
  <si>
    <t>58 EvolutionFIT</t>
  </si>
  <si>
    <t>165€ Commissioni Sodi</t>
  </si>
  <si>
    <t>Corinne</t>
  </si>
  <si>
    <t>mugnai</t>
  </si>
  <si>
    <t>Valenti P:</t>
  </si>
  <si>
    <t>Elisa Scola</t>
  </si>
  <si>
    <t>torniai</t>
  </si>
  <si>
    <t>Torniai Michelangelo</t>
  </si>
  <si>
    <t>Morcinelli</t>
  </si>
  <si>
    <t>salviette 30€</t>
  </si>
  <si>
    <t>Torniai</t>
  </si>
  <si>
    <t>Volpicella</t>
  </si>
  <si>
    <t xml:space="preserve">Iró </t>
  </si>
  <si>
    <t>gentili</t>
  </si>
  <si>
    <t xml:space="preserve">Maestrelli </t>
  </si>
  <si>
    <t>Rosa Squicciarino</t>
  </si>
  <si>
    <t>piagentini</t>
  </si>
  <si>
    <t>Calandrini</t>
  </si>
  <si>
    <t>Vannucci</t>
  </si>
  <si>
    <t>evolutionfit 59 + 3 google + 10 spootify</t>
  </si>
  <si>
    <t>tari Luco</t>
  </si>
  <si>
    <t>cuppoloni</t>
  </si>
  <si>
    <t>Affitti Stefy</t>
  </si>
  <si>
    <t>Alterani</t>
  </si>
  <si>
    <t>sharma</t>
  </si>
  <si>
    <t>Squicciarino</t>
  </si>
  <si>
    <t>Skin (salassa)</t>
  </si>
  <si>
    <t>Pietro Cuppoloni</t>
  </si>
  <si>
    <t>prodotti e accessori pulizie+caffè e carta igienica</t>
  </si>
  <si>
    <t>Raffa Salvatore</t>
  </si>
  <si>
    <t>Antonio Piemonte</t>
  </si>
  <si>
    <t xml:space="preserve">Mattia Alterani </t>
  </si>
  <si>
    <t xml:space="preserve">Toma </t>
  </si>
  <si>
    <t>cartucce stampante Stefy30€+evolutionfit</t>
  </si>
  <si>
    <t>mancano 300 al saldo 2022</t>
  </si>
  <si>
    <t>acconto imu 2021 343€</t>
  </si>
  <si>
    <t>Scola</t>
  </si>
  <si>
    <t>Renzi</t>
  </si>
  <si>
    <t>Vivi</t>
  </si>
  <si>
    <t>renzi</t>
  </si>
  <si>
    <t>passo carrabile 70</t>
  </si>
  <si>
    <t>788 impianto antizanzare</t>
  </si>
  <si>
    <t>ci sono 150 in più per rinnovo registrazione contratto (metà per uno)</t>
  </si>
  <si>
    <t>Marilu' Invidia</t>
  </si>
  <si>
    <t>Chiara Semoli</t>
  </si>
  <si>
    <t>E. Scola</t>
  </si>
  <si>
    <t>gallego</t>
  </si>
  <si>
    <t>AGOSTO</t>
  </si>
  <si>
    <t>eni plenitude</t>
  </si>
  <si>
    <t>software fatturazione 73€+59 evolutionfit</t>
  </si>
  <si>
    <t>Gloria Castellucci</t>
  </si>
  <si>
    <t>Nencini</t>
  </si>
  <si>
    <t>Semoli</t>
  </si>
  <si>
    <t xml:space="preserve">Simone Giovannini </t>
  </si>
  <si>
    <t>Claudia Lami</t>
  </si>
  <si>
    <t>casci</t>
  </si>
  <si>
    <t>Nencini Marco</t>
  </si>
  <si>
    <t>cronometri + evolutionfit+t shirt stampate</t>
  </si>
  <si>
    <t>4 volte stroscio e 2 Cosi</t>
  </si>
  <si>
    <t>LUIGI</t>
  </si>
  <si>
    <t>saldato il 2022 (600€)</t>
  </si>
  <si>
    <t>PatO'hare</t>
  </si>
  <si>
    <t>Mazizlli</t>
  </si>
  <si>
    <t>Pat</t>
  </si>
  <si>
    <t>Marilù</t>
  </si>
  <si>
    <t>salviette</t>
  </si>
  <si>
    <t>luce/cancello e acqua periodo gennaio-settembre</t>
  </si>
  <si>
    <t>R. Cardoso</t>
  </si>
  <si>
    <t>F Mazzilli</t>
  </si>
  <si>
    <t>Lami</t>
  </si>
  <si>
    <t>Galardi</t>
  </si>
  <si>
    <t>prontopro 100€+59 evolutionfit+google e spotify</t>
  </si>
  <si>
    <t xml:space="preserve">mantenimento annuale sito web </t>
  </si>
  <si>
    <t>tari Luco 97€+1303tasse</t>
  </si>
  <si>
    <t>Ester Chimenti</t>
  </si>
  <si>
    <t>Turri</t>
  </si>
  <si>
    <t>Rino</t>
  </si>
  <si>
    <t>Piero Valenti</t>
  </si>
  <si>
    <t xml:space="preserve">Marilù acconto </t>
  </si>
  <si>
    <t>seconda rata</t>
  </si>
  <si>
    <t>14€ regalo Nicolini</t>
  </si>
  <si>
    <t>Angelica Armadori</t>
  </si>
  <si>
    <t>Ester  Chimenti</t>
  </si>
  <si>
    <t>Sharma Robin</t>
  </si>
  <si>
    <t>spottify+evolutionfit</t>
  </si>
  <si>
    <t>stamp flyers motociclisti pixartprinting</t>
  </si>
  <si>
    <t>deve avere 10 euro ma già segnati come avuti</t>
  </si>
  <si>
    <t>eni plenitude 63.58</t>
  </si>
  <si>
    <t>Stefanie</t>
  </si>
  <si>
    <t>wekiwy bimestrale settembre/ottobre</t>
  </si>
  <si>
    <t>Scola Elisa</t>
  </si>
  <si>
    <t>gli ho lasciato 10€ in più non avendo spiccioli il16/12</t>
  </si>
  <si>
    <t xml:space="preserve">Piagentini </t>
  </si>
  <si>
    <t>bonus inps</t>
  </si>
  <si>
    <t>batteria nuova</t>
  </si>
  <si>
    <t>viaggio a Leffe</t>
  </si>
  <si>
    <t xml:space="preserve">ci sono regali di natale  per €400 e 180 di lavatrice </t>
  </si>
  <si>
    <t>supporti inclinati per squat+microfono wireless+salviette lavamani+10spootiofy+59 evolutionfitp</t>
  </si>
  <si>
    <t>scarpe+camicia</t>
  </si>
  <si>
    <t>Stroscio 70+marcon 102</t>
  </si>
  <si>
    <t>natural pet pesce x Rosco+progetto nasch 175€</t>
  </si>
  <si>
    <t>RESOCONTO USCITE PROFESSIONALI</t>
  </si>
  <si>
    <t>Totale Fatture</t>
  </si>
  <si>
    <t>RESOCONTO USCITE PERSONALI</t>
  </si>
  <si>
    <t>VINCENZO/LUIGI</t>
  </si>
  <si>
    <t>totale teorico tassazione da pagare</t>
  </si>
  <si>
    <t>TOT</t>
  </si>
  <si>
    <t>RESOCONTO DI SINTESI ANNUALE</t>
  </si>
  <si>
    <t>totale uscite professionali compreso calcolo teorica tassazione</t>
  </si>
  <si>
    <t>Totale entrate Annuali</t>
  </si>
  <si>
    <t>Totale tasse pagate</t>
  </si>
  <si>
    <t>Totale uscite personali</t>
  </si>
  <si>
    <t>Saldo professionale</t>
  </si>
  <si>
    <t>Saldo personale</t>
  </si>
  <si>
    <t>Media incasso mensile su 12 mesi</t>
  </si>
  <si>
    <t>Media utile professionale mensile (12 mesi)</t>
  </si>
  <si>
    <t>Media mensile utile personale (12 mesi)</t>
  </si>
  <si>
    <t>Media mensile uscite professionali (12 mesi) compreso calcolo teorica tassazione</t>
  </si>
  <si>
    <t>Media Mensile uscite personali (12 mesi)</t>
  </si>
  <si>
    <t>Cassa + C/C al 31-12</t>
  </si>
  <si>
    <t>REPORT DI FINE ANNO</t>
  </si>
  <si>
    <t>non ho pagato l'ultima rata saldo tasse 2022 di 1308 e neppure l'acconto 2023 di 3105€</t>
  </si>
  <si>
    <t>dovrò fare ravvedimento per un totale di 4408€</t>
  </si>
  <si>
    <t xml:space="preserve">gli anni precedenti sono stati di rivoluzione del settore, non era possibile fare una previsione, diciamo che post covid e cnosiderando la situaizone socio-economica italiana attuale, questo anno appenha concluso può ritenersi da riferimento per i successivi. di fatto comunque anche quest'anno ho avuto un utile negativo, con le spese attuali sarebbe servito un incasso medio mensile di 6500€ SOLTANTO PER PAREGGIARE  che però non c'è stato. Va tenuto in considerazione che tutto l'affitto e le spese del fndo sono a carico mio, Stefania non versa poichè è necessario pareggiare i conti con quello che lei ha versato fino ad ora di accantonamento privato (200+200€/mese), assicurazione Rosco (90€/anno), assicurazione sanitaria (90€/mese), e per tutto il prossimo anno quindi conmtinuerò ad accollarmi la totalità delle spese del fondo. </t>
  </si>
  <si>
    <t xml:space="preserve">ad oggi la strategia per aumentare gli incassi e proporzionalmente ridurre le ore complessive di lavoro fisico con i clienti è stata quella di costituire una tariffa fissa di 50€ fatturabili a prescindere dal nr di presenze settimanali, ed istituire dei percorsi  obbligatori di 6 mesi in 6 mesi da pagare in anticipo entro il secondo mese di percorso. Sto iniziando a rovolgermi nello specifico al settore motociclistico sia turistico che sportivo con probabili agganci di Sara, e vorrei anche rivolgermi al mondo delle artimarziali nello specifico stili interni...ma ancora no go trovato il gancio giusto in zona. Oltre a questo bisogna continuare a spingere l'estetica e la posturale con particolare attenzione al "mal di schiena". Ho iniziato a realizzare dei video e degli articoli che servano da "esca" per poi produrre video e file ai quai accedere tramite un abbonamento mensile da parte degli utenti online. Questi file/video/ecc online serviranno anche da materiale di "corredo per i miei clienti in sede e coaching (pagando un extra all'abbonamento per il coaching) in modo da giustificare maggiormente le tariffe. Devo fare una newsletter dei miei clienti in modi da informarli ogni volta che posto un video o un articolo. Al tempo stesso è necessario considerare la necessità, entro MARZO </t>
  </si>
  <si>
    <t>Al tempo stesso è necessario considerare la necessità, entro MARZO 2023 di dare preavviso di disdetta contratto di affitto, in modo da poter, nell'eventualità, riprendere a settembrein una "stanza" dedicata, con minori costi. A questo proposito ho contattato Alessandra Franco che al momento pare abbia dato un parere negativo, ed un Fisioterapista osteopata, Dott.Francesco Lunghi (contatto di Alessio) che forse ha la possibilità di darmi una stanza nel suo studio, in tal caso il lavoro e la programmazione ed il targhet dovrebbe subire dei drastici cambiamenti ma avrei un "mandante" di lavoro e quindi faiclità nel reperire niuova clientela ed autorevolezza.</t>
  </si>
  <si>
    <t>Conti alla mano, fatturando una media di 3000€/mese, quello che mi serve attualmente raggiungere è un incasso medio mensile di 8-10000€/mensili (che calcolando chiusura di agosto diventano 8700- 10900€/mese per 11 mesi)  ... diciamo che dovrei avere una media di 10appuntamenti al giorno da 50€ cad) sarebbe l'obiettivo da raggiungere per poter affermare che il lavoro va bene. Entro marzo potrò capire se tali cifre potranno essere raggiunte. La situazine attuale vede una media di 8,4 appuntamenti  giornalieri a settimana ma la cifra media a persona X appuntamemnto è ancora inferiore ai 38€, perte dei quai è fatturata.</t>
  </si>
  <si>
    <t>novembre dicembre 2022</t>
  </si>
  <si>
    <t>110€ wekivi MENSILE DI NOVEMBRE 2022</t>
  </si>
  <si>
    <t>Merco Nencini</t>
  </si>
  <si>
    <t>wind 3:18€+27€</t>
  </si>
  <si>
    <t>dato 10 euro in più poichè è venuto solo 2 volte</t>
  </si>
  <si>
    <t>Elisa Bellini</t>
  </si>
  <si>
    <t>maniglia-carta ig-swiffer-ousts-</t>
  </si>
  <si>
    <t>Alessandro Vannini</t>
  </si>
  <si>
    <t xml:space="preserve">Patrick </t>
  </si>
  <si>
    <t>bombola gas grande 48€</t>
  </si>
  <si>
    <t>zurich polizza067b3490</t>
  </si>
  <si>
    <t>Matteo Antonini</t>
  </si>
  <si>
    <t>ado gruzza power bodybuilding programmazione</t>
  </si>
  <si>
    <t>bollo 226€</t>
  </si>
  <si>
    <t>gita a Ridracoli</t>
  </si>
  <si>
    <t>225€spesa</t>
  </si>
  <si>
    <t>saldo locazione grenke per tapisroulant 238€+13€ canva</t>
  </si>
  <si>
    <t>cibo rosco 40€ +100gatti</t>
  </si>
  <si>
    <t xml:space="preserve">ASSISTENTE </t>
  </si>
  <si>
    <t>Trotta Aurora</t>
  </si>
  <si>
    <t>Vannini</t>
  </si>
  <si>
    <t>dato 10 in più il 03</t>
  </si>
  <si>
    <t>Martina</t>
  </si>
  <si>
    <t>Olga</t>
  </si>
  <si>
    <t>contanti</t>
  </si>
  <si>
    <t>Multa a Bergamo+50€gomme+100 revisione +136 multa pe mancata revisione</t>
  </si>
  <si>
    <t>BOLLO €204</t>
  </si>
  <si>
    <t>120 abbonamento pista Prato 100 pizza+100ricambi modellino</t>
  </si>
  <si>
    <t>pulizie 80€+spesa 220€</t>
  </si>
  <si>
    <t>evolutionfit ultima 58€</t>
  </si>
  <si>
    <t>marcon70€stroscio140</t>
  </si>
  <si>
    <t>iubenda 20€</t>
  </si>
  <si>
    <t>pappa frontline+50€ romy e Gina</t>
  </si>
  <si>
    <t>f24 per marche da bollo</t>
  </si>
  <si>
    <t>Mosiello</t>
  </si>
  <si>
    <t>Antonini</t>
  </si>
  <si>
    <t>33€ slaviette asciugamani+13 detersivi</t>
  </si>
  <si>
    <t>Fabio Rocchetti</t>
  </si>
  <si>
    <t>Angelica</t>
  </si>
  <si>
    <t xml:space="preserve">Mosiello </t>
  </si>
  <si>
    <t>Luce SEN (Int. Sara)</t>
  </si>
  <si>
    <t>Erica</t>
  </si>
  <si>
    <t>Paolo Piagentini</t>
  </si>
  <si>
    <t>x</t>
  </si>
  <si>
    <t xml:space="preserve">Franco </t>
  </si>
  <si>
    <t>compleanno Dainelli (pagato io per tutti)+ultima rata prog. NASH di 150€ regalo e organizzazione compleanno Sara 400</t>
  </si>
  <si>
    <t>spesa €174 + antizanzare e zanzariera 120€</t>
  </si>
  <si>
    <t>rullo gomma per bilanciere 20€</t>
  </si>
  <si>
    <t>prontopro</t>
  </si>
  <si>
    <t>Stroscio € 140</t>
  </si>
  <si>
    <t>pappa R 42€</t>
  </si>
  <si>
    <t>50 € anche ad andrea</t>
  </si>
  <si>
    <t>Losi MArco</t>
  </si>
  <si>
    <t>già versato anche quelli dalla settimana del 17</t>
  </si>
  <si>
    <t>Losi</t>
  </si>
  <si>
    <t>Vale Irò</t>
  </si>
  <si>
    <t>bombola grande</t>
  </si>
  <si>
    <t>zurich responsabilità rischi diversi poliza 067B2963</t>
  </si>
  <si>
    <t>100€ chiave a brugola forcella 183 trasmissione e freni</t>
  </si>
  <si>
    <t>regalo Bianca €40 grigliata 40€</t>
  </si>
  <si>
    <t>accessori casa 146 €spesa 200€ pulizie 80€ SKY 33€ 10€lavanderia 79 sedie giardino</t>
  </si>
  <si>
    <t>115€ scarpe+20risolatura</t>
  </si>
  <si>
    <t>70€ Stroscio 70 Marcon 10€ collirio</t>
  </si>
  <si>
    <t xml:space="preserve">pappa 42€ vaccini 40 </t>
  </si>
  <si>
    <t>ASSISTENTE</t>
  </si>
  <si>
    <t>945 Luigi+130 Andrea</t>
  </si>
  <si>
    <t>Trisciuoglio</t>
  </si>
  <si>
    <t>Pat anche mese scorso</t>
  </si>
  <si>
    <t>wekiwi 83€</t>
  </si>
  <si>
    <t>sacchi e detersivi + 34€ di salviette</t>
  </si>
  <si>
    <t>Passo carrabile e acqua 08/22-04/23</t>
  </si>
  <si>
    <t>Alessandra Malinconi</t>
  </si>
  <si>
    <t>Luce aprile maggio</t>
  </si>
  <si>
    <t>Losi (fai fattura a saldo)</t>
  </si>
  <si>
    <t>Duccio pini</t>
  </si>
  <si>
    <t>assicuraz.yamaha 495€</t>
  </si>
  <si>
    <t>accessori modellino (amazon e star rc)</t>
  </si>
  <si>
    <t>attrezzi e cemento270€fiori 20€+ spesa 215 €+materiale elettrico 40€</t>
  </si>
  <si>
    <t>cartucce stampante 32€-spotify 10€-</t>
  </si>
  <si>
    <t>Stroscio 70€</t>
  </si>
  <si>
    <t xml:space="preserve">pappa 43€+8€ masticabili+50€ vaccino 144€ farmacia </t>
  </si>
  <si>
    <t>Nasca 160€ Luigi 1350</t>
  </si>
  <si>
    <t>2900€ da vendita kawasaki</t>
  </si>
  <si>
    <t>questo mese circa 9800€ di tasse</t>
  </si>
  <si>
    <t>Trotta</t>
  </si>
  <si>
    <t>plenitude</t>
  </si>
  <si>
    <t>wekiwi 80€</t>
  </si>
  <si>
    <t>Ester</t>
  </si>
  <si>
    <t>SEMOLI</t>
  </si>
  <si>
    <t>Affitto 350€ + internet 46€</t>
  </si>
  <si>
    <t>Marco Nardi</t>
  </si>
  <si>
    <t>Rocchetti</t>
  </si>
  <si>
    <t xml:space="preserve">Piasta Magione 90€ tuta moto 209 </t>
  </si>
  <si>
    <t>Spesa 430</t>
  </si>
  <si>
    <t>stroscio 140</t>
  </si>
  <si>
    <t>integratori rosco 114 radiografia rosco 80</t>
  </si>
  <si>
    <t>luigi 1368€ + Andrea 80€</t>
  </si>
  <si>
    <t>343 acconto imu2022 (da cc babbo)</t>
  </si>
  <si>
    <t>ENIPLENITUDE 1maggio/30giugno</t>
  </si>
  <si>
    <t>passo carrabile</t>
  </si>
  <si>
    <t>Malinconi</t>
  </si>
  <si>
    <t>metà rata impianto zanzare 400€+stampe per pareti 383€</t>
  </si>
  <si>
    <t>affitto++rinnovo contratto</t>
  </si>
  <si>
    <t>rinnovo tesseramento nonsoofitness</t>
  </si>
  <si>
    <t>prodotti pulizie 30€ magione 120</t>
  </si>
  <si>
    <t>viti modellino 11€+318 regalo Stefy+65€ cena e regalo Roberto+280 € wecanrace + sky 34€ + 13€film su prime</t>
  </si>
  <si>
    <t>c'è stato il mio compleanno_- spesa 290 +45€ scarpe</t>
  </si>
  <si>
    <t>stroscio 140+bellini 172+farmacia 20</t>
  </si>
  <si>
    <t>luigi 1160 - andre 130</t>
  </si>
  <si>
    <t>Saldato 2023</t>
  </si>
  <si>
    <t>prima rata sul totale di 5800€ circa</t>
  </si>
  <si>
    <t>eni plenitude 101,62</t>
  </si>
  <si>
    <t>sacchi aspirapolvere 20</t>
  </si>
  <si>
    <t>460  materiale per imbiancatura</t>
  </si>
  <si>
    <t>Regalo Isa. 50€ cassa wireless 77 - ferie 500 - corso emphaty dog online 300+sky34€+sky40€</t>
  </si>
  <si>
    <t>Spesa 265 €</t>
  </si>
  <si>
    <t>80€ landmine attrezzi</t>
  </si>
  <si>
    <t>Pappa Rosco 64€+acido ialur. 26,50</t>
  </si>
  <si>
    <t>seconda rata sul totale di circa 5800</t>
  </si>
  <si>
    <t>Strigelli Vanni</t>
  </si>
  <si>
    <t xml:space="preserve">wekiwi luglio </t>
  </si>
  <si>
    <t>Armadori</t>
  </si>
  <si>
    <t xml:space="preserve">100€in più per pulizie di agosto </t>
  </si>
  <si>
    <t>detersivo, antizanzare, batterie bike-materiali di consumo pulizie</t>
  </si>
  <si>
    <t xml:space="preserve">Piero Valenti </t>
  </si>
  <si>
    <t>Affitto 350€ + 46,46 internet</t>
  </si>
  <si>
    <t>Rocchetti Fabio</t>
  </si>
  <si>
    <t>Strigelli</t>
  </si>
  <si>
    <t>Bombola</t>
  </si>
  <si>
    <t>Gita Spello + sky 34€</t>
  </si>
  <si>
    <t>Lavanderia 20€+spesa240€+ abbigliamento €150</t>
  </si>
  <si>
    <t>contratto macchina da caffè+attrezzature 300€</t>
  </si>
  <si>
    <t>Pappa100€</t>
  </si>
  <si>
    <t>LUIGI 1650+ ANDREA  150</t>
  </si>
  <si>
    <t>wekiwy 75€</t>
  </si>
  <si>
    <t>Mattia Quondamstefano</t>
  </si>
  <si>
    <t>pat</t>
  </si>
  <si>
    <t xml:space="preserve">nardi </t>
  </si>
  <si>
    <t>Tommaso Stefanini</t>
  </si>
  <si>
    <t>Alessandro Lippo</t>
  </si>
  <si>
    <t>PAT</t>
  </si>
  <si>
    <t>Quondamstefano</t>
  </si>
  <si>
    <t>sky 33,80</t>
  </si>
  <si>
    <t>spesa 55 + 116€TARI</t>
  </si>
  <si>
    <t>Lippo seconda</t>
  </si>
  <si>
    <t>Festa in studio</t>
  </si>
  <si>
    <t>350 gestione sito + messa a norma</t>
  </si>
  <si>
    <t>Pappa + rx + pettorina</t>
  </si>
  <si>
    <t>luigi 350+ Andrea 190</t>
  </si>
  <si>
    <t>117 cartella dichiarazione 2021+738rateizzazione</t>
  </si>
  <si>
    <t>questo mese circa 3300€ di tasse</t>
  </si>
  <si>
    <t>Marta Vazquez</t>
  </si>
  <si>
    <t>novembre e dicembre risulterà di 180,53 pagato a febbraio 2024</t>
  </si>
  <si>
    <t>M.Palumbo</t>
  </si>
  <si>
    <t>trisciuoglio</t>
  </si>
  <si>
    <t>Vanni Strigelli</t>
  </si>
  <si>
    <t>Bellini elisa</t>
  </si>
  <si>
    <t>400 SALDO ANTIZANZARE</t>
  </si>
  <si>
    <t>Luce (Sen int. Sara)</t>
  </si>
  <si>
    <t>Palumbo</t>
  </si>
  <si>
    <t>nardi</t>
  </si>
  <si>
    <t>cambio 2 gomme 180€</t>
  </si>
  <si>
    <t xml:space="preserve">Spesa 60 cartongesso stefy 1200 200€abbigliamento </t>
  </si>
  <si>
    <t>Basalioma 460</t>
  </si>
  <si>
    <t>Pappa 54€</t>
  </si>
  <si>
    <t>ANDREA</t>
  </si>
  <si>
    <t>eni plenitude settembre ottobre</t>
  </si>
  <si>
    <t>stefanini</t>
  </si>
  <si>
    <t>Pettinari</t>
  </si>
  <si>
    <t>luce 47,30+ riparazione cancello 149,13</t>
  </si>
  <si>
    <t>Viola Trisc.</t>
  </si>
  <si>
    <t>Regali di Natale Stefy e nipoti</t>
  </si>
  <si>
    <t>spesa:100 + T A R I 58,94€+ trasloco 200€</t>
  </si>
  <si>
    <t>microcarichi ATX</t>
  </si>
  <si>
    <t>visita Dermatologo 165+visita chirurgo 140</t>
  </si>
  <si>
    <t>TEREMAK  Servizi per imu 2023 97,60 (D'elia)</t>
  </si>
  <si>
    <t>ASSISTENTE (luigi-Andrea)</t>
  </si>
  <si>
    <t>Media mensile uscite professionali (12 mesi)</t>
  </si>
  <si>
    <t>contributo spese domestiche Firenze</t>
  </si>
  <si>
    <t>Hobby-svago-regali</t>
  </si>
  <si>
    <t>Treenet spese</t>
  </si>
  <si>
    <t>modellismo</t>
  </si>
  <si>
    <t>Treenet formazione</t>
  </si>
  <si>
    <t>PIT BIKE e pista</t>
  </si>
  <si>
    <t>Treenet</t>
  </si>
  <si>
    <t>Pit bike e pista</t>
  </si>
  <si>
    <r>
      <rPr>
        <rFont val="arial,sans,sans-serif"/>
        <sz val="9.0"/>
      </rPr>
      <t xml:space="preserve">totale uscite professionali + TASSE </t>
    </r>
    <r>
      <rPr>
        <rFont val="arial,sans,sans-serif"/>
        <sz val="7.0"/>
      </rPr>
      <t>(su teorico tassazione da pagare)</t>
    </r>
  </si>
  <si>
    <t>controlla se treenest è nei calcoli generali e finali</t>
  </si>
  <si>
    <t xml:space="preserve">Domenico </t>
  </si>
  <si>
    <t>periodo: Dicembre 2025</t>
  </si>
  <si>
    <t>Ancilli</t>
  </si>
  <si>
    <t xml:space="preserve">MMartina La rocca </t>
  </si>
  <si>
    <t>spese per pannelli porte e parspifferi porte</t>
  </si>
  <si>
    <t>Annachiara</t>
  </si>
  <si>
    <t>libro postura 20€</t>
  </si>
  <si>
    <t>bollo auto e vecchio bollo moto</t>
  </si>
  <si>
    <t>2 porta dischi+ corde da salto+tatami +UPTIVO 142€+ landmine 19€+ai google 22€</t>
  </si>
  <si>
    <t>Corinne Panmariello</t>
  </si>
  <si>
    <t>eni plenitude 01/11/25--31/12/25</t>
  </si>
  <si>
    <t>Calosci</t>
  </si>
  <si>
    <t>M.Monelli</t>
  </si>
  <si>
    <t>Corinne Panariello</t>
  </si>
  <si>
    <t xml:space="preserve">Gennaio/febbraio </t>
  </si>
  <si>
    <t>Valeria Camera</t>
  </si>
  <si>
    <t>Matteo  Calosci (Rosanna bologna)</t>
  </si>
  <si>
    <t>Bernacchioni</t>
  </si>
  <si>
    <t>Domenico Andretta</t>
  </si>
  <si>
    <t>zanzariera e telo ombreggiante</t>
  </si>
  <si>
    <t>Rosanna e MAtteo</t>
  </si>
  <si>
    <t>Andretta</t>
  </si>
  <si>
    <t>GPL 50 Benz 30</t>
  </si>
  <si>
    <t>semoli</t>
  </si>
  <si>
    <t>cambio 2 gomme 150€</t>
  </si>
  <si>
    <t>140 x spesa slunga</t>
  </si>
  <si>
    <t>uptivo 142€+ai google 22€</t>
  </si>
  <si>
    <t>Scarpe 127€</t>
  </si>
  <si>
    <t xml:space="preserve">pappa e pasticche </t>
  </si>
  <si>
    <t>Camera</t>
  </si>
  <si>
    <t>Ciancia</t>
  </si>
  <si>
    <t xml:space="preserve">ancilli </t>
  </si>
  <si>
    <t>bellini</t>
  </si>
  <si>
    <t>tenda parasole studfio</t>
  </si>
  <si>
    <t>pantanella ciancia</t>
  </si>
  <si>
    <t>Leo</t>
  </si>
  <si>
    <t>Monellli</t>
  </si>
  <si>
    <t>furio</t>
  </si>
  <si>
    <t>Cristiano  Tartaglia</t>
  </si>
  <si>
    <t>assicurazione 644€</t>
  </si>
  <si>
    <t>contributo - spese TV</t>
  </si>
  <si>
    <t>TV nuova</t>
  </si>
  <si>
    <t>uptivo 142€+ai google 22€+ 150€ acconto maglietter LAb</t>
  </si>
  <si>
    <t>pimpinelli + farmaci</t>
  </si>
  <si>
    <t>acconto nuovo sito web</t>
  </si>
  <si>
    <t>assicuraione salute 100€</t>
  </si>
  <si>
    <t>tari arretrati maggiano</t>
  </si>
  <si>
    <t>ENI PLENITUDE gennaio / Febbraio</t>
  </si>
  <si>
    <t>Susanna Bormioli</t>
  </si>
  <si>
    <t>AGN gennaio / Febbraio</t>
  </si>
  <si>
    <t>Marina Giuntini</t>
  </si>
  <si>
    <t>Di Scetta</t>
  </si>
  <si>
    <t>zanzariera(33€)</t>
  </si>
  <si>
    <t>Rosanna</t>
  </si>
  <si>
    <t>bormioli</t>
  </si>
  <si>
    <t>Matteo Calosci</t>
  </si>
  <si>
    <t xml:space="preserve">Semoli </t>
  </si>
  <si>
    <t>bioposturale cenciarini 30€</t>
  </si>
  <si>
    <t>19€ libro</t>
  </si>
  <si>
    <t xml:space="preserve">spese tettoia </t>
  </si>
  <si>
    <t>uptivo</t>
  </si>
  <si>
    <t>magliette x lavoro 150€</t>
  </si>
  <si>
    <t>farmacia 45+150 proctologo+100 assicurazione salute +  integratori alimentari 140€</t>
  </si>
  <si>
    <t>52 seresto + 40€ probiotici</t>
  </si>
  <si>
    <t>ciancia</t>
  </si>
  <si>
    <t xml:space="preserve"> AGN periodo marzo / Aprile</t>
  </si>
  <si>
    <t>wind tre</t>
  </si>
  <si>
    <t xml:space="preserve">di Scetta </t>
  </si>
  <si>
    <t>Pantanella</t>
  </si>
  <si>
    <t>ancilli</t>
  </si>
  <si>
    <t>MOnelli</t>
  </si>
  <si>
    <t>Tartaglia</t>
  </si>
  <si>
    <t xml:space="preserve">Valeria </t>
  </si>
  <si>
    <t>uptivo 142€</t>
  </si>
  <si>
    <t>olianti 50€+ assicurazione 100</t>
  </si>
  <si>
    <t>fotografa €150</t>
  </si>
  <si>
    <t>periodo 01/03---31/05</t>
  </si>
  <si>
    <t>LAura Bernacchioni</t>
  </si>
  <si>
    <t>AGN periodo maggio</t>
  </si>
  <si>
    <t>Vamera</t>
  </si>
  <si>
    <t>Marina giuntini</t>
  </si>
  <si>
    <t xml:space="preserve">zurich incendio </t>
  </si>
  <si>
    <t>benzinq 30€</t>
  </si>
  <si>
    <t>motosega</t>
  </si>
  <si>
    <t>materiale lavori soggiorno 250€</t>
  </si>
  <si>
    <t>imu 406€</t>
  </si>
  <si>
    <t>carmen</t>
  </si>
  <si>
    <t>(passo carrabile)</t>
  </si>
  <si>
    <t xml:space="preserve">noleggio raffrescatore </t>
  </si>
  <si>
    <t>Pantanella Ciancia</t>
  </si>
  <si>
    <t>1250+150di rinnovo conratto (il 50% di 300 pagato a metà con la proprietà)</t>
  </si>
  <si>
    <t>libro Rampini 20€</t>
  </si>
  <si>
    <t>Silvia Usai</t>
  </si>
  <si>
    <t>Claudia Bogazzi</t>
  </si>
  <si>
    <t>MArco Monelli</t>
  </si>
  <si>
    <t xml:space="preserve">Ancilli </t>
  </si>
  <si>
    <t>Anna Paola Maddalena</t>
  </si>
  <si>
    <t>Daniele Ciullini</t>
  </si>
  <si>
    <t>Bernardo Cristin</t>
  </si>
  <si>
    <t xml:space="preserve">Corinne Panariello </t>
  </si>
  <si>
    <t xml:space="preserve">pantanella/ciancia </t>
  </si>
  <si>
    <t>a STEFY ING app GLIDE</t>
  </si>
  <si>
    <t>STEFY ing per assicurazione</t>
  </si>
  <si>
    <t xml:space="preserve">valeria camera </t>
  </si>
  <si>
    <r>
      <rPr>
        <rFont val="arial,sans,sans-serif"/>
        <sz val="9.0"/>
      </rPr>
      <t xml:space="preserve">totale uscite professionali + TASSE </t>
    </r>
    <r>
      <rPr>
        <rFont val="arial,sans,sans-serif"/>
        <sz val="7.0"/>
      </rPr>
      <t>(su teorico tassazione da pagare)</t>
    </r>
  </si>
  <si>
    <t>Lppo</t>
  </si>
  <si>
    <t>wekiwi novembre 2023</t>
  </si>
  <si>
    <t>PAt</t>
  </si>
  <si>
    <t>Marta Vasquez</t>
  </si>
  <si>
    <t>Antonini Matteo</t>
  </si>
  <si>
    <t>Lippo</t>
  </si>
  <si>
    <t>caffè 177€</t>
  </si>
  <si>
    <t>Piombanti</t>
  </si>
  <si>
    <t>Luce Luco</t>
  </si>
  <si>
    <t>150€ sostituzione bobine 15 saldatore marmitta</t>
  </si>
  <si>
    <t>gita a Fabriano</t>
  </si>
  <si>
    <t>120€lampadine e coperte maggiano + 60 spesa firenze + 40€ naftalina</t>
  </si>
  <si>
    <t>maracas 13€+canva e google</t>
  </si>
  <si>
    <t>da avere rimborso di circa 700€ da assicurazione per intervento melanoma al naso</t>
  </si>
  <si>
    <t>deve avere 40€ della scorsa settimana (del 16/05/24)</t>
  </si>
  <si>
    <t>Arrigoni</t>
  </si>
  <si>
    <t>novembre - dicembre 2023</t>
  </si>
  <si>
    <t>wekiwi Dicembre 2023</t>
  </si>
  <si>
    <t>P. Valenti</t>
  </si>
  <si>
    <t>pratesi affitto luco  Storno</t>
  </si>
  <si>
    <t>Umberto Arrigotti</t>
  </si>
  <si>
    <t>La rocca Martina</t>
  </si>
  <si>
    <t>10€ corso python programmazione AI</t>
  </si>
  <si>
    <t>78€ regalo San V. Stefy plettry e corde chitarra</t>
  </si>
  <si>
    <t>Spesa 80 + microonde 100€</t>
  </si>
  <si>
    <t>500 tapisroulant 50 dischi da 0,5 +28€ cronometri</t>
  </si>
  <si>
    <t>RX e RMN Fanfani €470+100 dentista</t>
  </si>
  <si>
    <t>Cibo 50</t>
  </si>
  <si>
    <t>tari luco (PAGATA SU SOLLECITO a maggio)</t>
  </si>
  <si>
    <t>vannini</t>
  </si>
  <si>
    <t>lippo</t>
  </si>
  <si>
    <t>wekiwi 139 GENNAIO</t>
  </si>
  <si>
    <t>rino</t>
  </si>
  <si>
    <t>Storno rimborso spese mediche di Gennaio + storno mugellonet gen e febb</t>
  </si>
  <si>
    <t>Bellini Elisa</t>
  </si>
  <si>
    <t>FRANCO</t>
  </si>
  <si>
    <t>Vannin</t>
  </si>
  <si>
    <t>Assicurazione 605</t>
  </si>
  <si>
    <t xml:space="preserve">rose 112€ </t>
  </si>
  <si>
    <t>Spesa 159€ guanti da lavoro 26-penake sky 70</t>
  </si>
  <si>
    <t>13€ cintura judo+12 CANVA</t>
  </si>
  <si>
    <t>acido ialuronico per ginocchia 275</t>
  </si>
  <si>
    <t>Cibo Rosco 42€</t>
  </si>
  <si>
    <t>motore-candele-Miscela-gomme + tesseramento pista 120€</t>
  </si>
  <si>
    <t>bernacchioni</t>
  </si>
  <si>
    <t>gennaio / febbraio 2024</t>
  </si>
  <si>
    <t>wekiwy FEBBRAIO</t>
  </si>
  <si>
    <t>storni</t>
  </si>
  <si>
    <t>Ancillotti Alice</t>
  </si>
  <si>
    <t>deve 5€</t>
  </si>
  <si>
    <t>sacchetti aspirapolvere 20€ + 30 cinesi</t>
  </si>
  <si>
    <t>Valenti A.</t>
  </si>
  <si>
    <t>Alessandra De Luca</t>
  </si>
  <si>
    <t>treenet corso online 77€ + 60€ di cavi</t>
  </si>
  <si>
    <t>film prime 15€</t>
  </si>
  <si>
    <r>
      <rPr>
        <rFont val="arial,sans,sans-serif"/>
        <sz val="8.0"/>
      </rPr>
      <t>spesa 190€ lavatrice 500 accessori casa 10€</t>
    </r>
    <r>
      <rPr>
        <rFont val="arial,sans,sans-serif"/>
        <b/>
        <sz val="8.0"/>
      </rPr>
      <t xml:space="preserve"> 50 € AVVOCATO</t>
    </r>
  </si>
  <si>
    <t>23 elaatici 50 elastici semoli canva e google</t>
  </si>
  <si>
    <t>resi a Stefy 50 per pappa Rosco</t>
  </si>
  <si>
    <t>addebito bancomat MPS 20€</t>
  </si>
  <si>
    <t>Laura Bernacchioni</t>
  </si>
  <si>
    <t>Valenti</t>
  </si>
  <si>
    <t>Ancilotti</t>
  </si>
  <si>
    <t>Donatella</t>
  </si>
  <si>
    <t>film 10€ 34€ salvadanaio</t>
  </si>
  <si>
    <r>
      <t xml:space="preserve">cellulare nuovo 230 + </t>
    </r>
    <r>
      <rPr>
        <rFont val="arial,sans,sans-serif"/>
        <b/>
        <color rgb="FF000000"/>
        <sz val="8.0"/>
      </rPr>
      <t>spesa 40</t>
    </r>
    <r>
      <rPr>
        <rFont val="arial,sans,sans-serif"/>
        <b/>
        <color rgb="FFFF0000"/>
        <sz val="8.0"/>
      </rPr>
      <t>€</t>
    </r>
  </si>
  <si>
    <t>regalo Patty google 10€ canva</t>
  </si>
  <si>
    <t>(verduci psico) 270</t>
  </si>
  <si>
    <t>100€ vaccini Rosco 41€ pappa 23 farmaco</t>
  </si>
  <si>
    <t>corde +varie 200€</t>
  </si>
  <si>
    <t xml:space="preserve">pagato questo mese TARI LUCO di febbraio (segnata a Febbraio)  </t>
  </si>
  <si>
    <t>Periodo dal 1 marzo al 30 aprile</t>
  </si>
  <si>
    <t>A. De Luca</t>
  </si>
  <si>
    <t>Stef</t>
  </si>
  <si>
    <t>Klaudia</t>
  </si>
  <si>
    <t>Valenti Piero</t>
  </si>
  <si>
    <t>Valenti Alessio</t>
  </si>
  <si>
    <t>assicuraizone contro incendio</t>
  </si>
  <si>
    <t>piomb</t>
  </si>
  <si>
    <t>beppe</t>
  </si>
  <si>
    <t>cena X tre con volontari</t>
  </si>
  <si>
    <t>spesa 180</t>
  </si>
  <si>
    <t>google+canva</t>
  </si>
  <si>
    <t>integratori per ginocchia 55€ antidolorifici 25€ +90 Verduci PSICO</t>
  </si>
  <si>
    <t>pappa Rosco 80€</t>
  </si>
  <si>
    <t>665 prima e seconda  rata corso treeclimbing+450 pernottamento per corso TC + attrezzatura 10 euro + spese varie</t>
  </si>
  <si>
    <t>Andrea + 142€ commissioni Sodi</t>
  </si>
  <si>
    <t>/// sanzione relativa al 2021 di 782€ + 228€ saldo 2023</t>
  </si>
  <si>
    <t>Alice Ancillotti</t>
  </si>
  <si>
    <t>Leonardo Ancilli</t>
  </si>
  <si>
    <t>MArtina</t>
  </si>
  <si>
    <t xml:space="preserve">Piombanti </t>
  </si>
  <si>
    <t>pettinari</t>
  </si>
  <si>
    <t>multa eccesso vel. 47,07€</t>
  </si>
  <si>
    <t>gita in moto+ multa 110€+40€ modellllino + 75€ regalo Stefy + 200 € LED</t>
  </si>
  <si>
    <t>verduci €90 182 Bellini Dermatologo (chiesto rimborso)</t>
  </si>
  <si>
    <t>vaccino R.e visita Romi 60€-dermatologo Rosco e farmaci 1503</t>
  </si>
  <si>
    <t>960 kit base climbing (da cc di babbo poi resi in contanti) + 110€ tiranti e paracord + 222,50 TERZA RATA CORSO</t>
  </si>
  <si>
    <t>Tari maggioano 33€ da CC di babbo + rata 1 tasse di 660€ + 206€ multa</t>
  </si>
  <si>
    <t>periodo 1 maggio - 30giugno</t>
  </si>
  <si>
    <t>google</t>
  </si>
  <si>
    <t>Assicurazione Salute (versata a Stefy)+circa 300€ villa donatello esami preoperatori+90 Verduci + 60 Olianti</t>
  </si>
  <si>
    <t>pappa Rosco 60€</t>
  </si>
  <si>
    <t>ultima rata corso treecliming 222,50</t>
  </si>
  <si>
    <t>saldato il 2024</t>
  </si>
  <si>
    <t>rata 2 230€ + verbale 206€</t>
  </si>
  <si>
    <t>Bormioli</t>
  </si>
  <si>
    <t>monelli</t>
  </si>
  <si>
    <t>Frassanito</t>
  </si>
  <si>
    <t>ceccherini</t>
  </si>
  <si>
    <t>piombanti</t>
  </si>
  <si>
    <t>Flavia Frasanito</t>
  </si>
  <si>
    <t>Sergio e Stefania</t>
  </si>
  <si>
    <t>chiara ceccherini</t>
  </si>
  <si>
    <t>modellino 230</t>
  </si>
  <si>
    <t>google, abbigliamento X circa 60€-google 10€</t>
  </si>
  <si>
    <t>80€ assicurazione versati a STefy+90 Verduci+100olianti</t>
  </si>
  <si>
    <t>rata 3+mukta di 182€</t>
  </si>
  <si>
    <t>Stefania Federico</t>
  </si>
  <si>
    <t>PERIODO 1 LUGLIO-31AGOSTO</t>
  </si>
  <si>
    <t>c.ceccherini</t>
  </si>
  <si>
    <t>F.Frassanito</t>
  </si>
  <si>
    <t>chiara Ceccherini</t>
  </si>
  <si>
    <t>Monelli</t>
  </si>
  <si>
    <t>Flavia Frassanito</t>
  </si>
  <si>
    <t xml:space="preserve">ceccherini </t>
  </si>
  <si>
    <t>40€ Cancello automatico</t>
  </si>
  <si>
    <t>Francesca Tronconi</t>
  </si>
  <si>
    <t>libri 20€</t>
  </si>
  <si>
    <t>Pierpaola</t>
  </si>
  <si>
    <t>70€ materiale lavori Maggiano+ 120 prodotto per cinghiali +120 REGALO STEFY testiera letto</t>
  </si>
  <si>
    <t>verduci 180 gruppo psico 60</t>
  </si>
  <si>
    <t>400 nubi</t>
  </si>
  <si>
    <t>54€ pappa rosco</t>
  </si>
  <si>
    <t>rata 4</t>
  </si>
  <si>
    <t>Cepparrone</t>
  </si>
  <si>
    <t>wekiwi periodo 01/09-31/10</t>
  </si>
  <si>
    <t>Veronica Marcé</t>
  </si>
  <si>
    <t>44€ capsule caffè + sacchetti aspirapolvere</t>
  </si>
  <si>
    <t xml:space="preserve">Piemonte </t>
  </si>
  <si>
    <t>impianto zanzare € 800 + bastone per tenda</t>
  </si>
  <si>
    <t>L.ancilli</t>
  </si>
  <si>
    <t>Annachiara Berti</t>
  </si>
  <si>
    <t>Elenma Rosati</t>
  </si>
  <si>
    <t>Veronica</t>
  </si>
  <si>
    <t>libro Porro €20</t>
  </si>
  <si>
    <r>
      <rPr>
        <rFont val="arial,sans,sans-serif"/>
        <sz val="8.0"/>
      </rPr>
      <t xml:space="preserve">80€ lavoro Samu 35€spesa Maggiano + 35 spesa Firenze100€telecamere Maggiano + </t>
    </r>
    <r>
      <rPr>
        <rFont val="arial,sans,sans-serif"/>
        <b/>
        <color rgb="FFFF0000"/>
        <sz val="8.0"/>
      </rPr>
      <t>REGALO STEFY PROFUMO</t>
    </r>
    <r>
      <rPr>
        <rFont val="arial,sans,sans-serif"/>
        <b/>
        <sz val="8.0"/>
      </rPr>
      <t xml:space="preserve"> - abbonamento a Libero € 20</t>
    </r>
  </si>
  <si>
    <t>google+130rastrelliera da Top skills + bilanciere e rackj tramite croppi + batteria PC+albero Natale e addobbi x 100€</t>
  </si>
  <si>
    <t>50 pappaRosco</t>
  </si>
  <si>
    <t>rata 5 + acconto 2025</t>
  </si>
  <si>
    <t>annachiara Berti</t>
  </si>
  <si>
    <t>plenitude € 28,64 perido 01/09-31/10</t>
  </si>
  <si>
    <t xml:space="preserve">casci </t>
  </si>
  <si>
    <t>sacchetti aspirapolvere 25€</t>
  </si>
  <si>
    <t>acqua condominiale 175€</t>
  </si>
  <si>
    <t>GPL 20€</t>
  </si>
  <si>
    <t>Acquisto e Passaggio Dacia+240€ bollo mazda 2024 + passaggio assicurazione + accessori interno</t>
  </si>
  <si>
    <t xml:space="preserve">100+400 regali +60€ gas agrifogli </t>
  </si>
  <si>
    <t xml:space="preserve">100 x Stefy </t>
  </si>
  <si>
    <t xml:space="preserve">Verduci +Olianti x 2+regalo gruppo +gruppo </t>
  </si>
  <si>
    <t>cibo per tutti 75€</t>
  </si>
  <si>
    <t>questo mese acconto 2-3000€</t>
  </si>
  <si>
    <t>Contributo spese domestiche Firenze</t>
  </si>
  <si>
    <r>
      <rPr>
        <rFont val="arial,sans,sans-serif"/>
        <sz val="9.0"/>
      </rPr>
      <t xml:space="preserve">totale uscite professionali + TASSE </t>
    </r>
    <r>
      <rPr>
        <rFont val="arial,sans,sans-serif"/>
        <sz val="7.0"/>
      </rPr>
      <t>(su teorico tassazione da pagare)</t>
    </r>
  </si>
  <si>
    <t>periodo 01/09-30/10/2024</t>
  </si>
  <si>
    <t>il 31/01 hai lasciato 50, togli 10 la prossima volta</t>
  </si>
  <si>
    <t>Maria Chiara Cepparrone</t>
  </si>
  <si>
    <t>A.Valenti</t>
  </si>
  <si>
    <t>X Camilla</t>
  </si>
  <si>
    <t>Elena Rosati</t>
  </si>
  <si>
    <t>gas. 100€ benzina 0€ - km totali oltre 1000</t>
  </si>
  <si>
    <t>Paula Carrier</t>
  </si>
  <si>
    <t>tagliando+distribuzione 640€ - portabagagli 65€ - 50€ pannello posteriore da OBI</t>
  </si>
  <si>
    <t>Barbara Brogi</t>
  </si>
  <si>
    <t xml:space="preserve">50€ sgabelli cucina - spesa 140€-attrezz.taglio legno 109€ -  caffè meggianoi 38€ 20€ Firenze </t>
  </si>
  <si>
    <t>180 Verduci+ 30 aluseb</t>
  </si>
  <si>
    <t>38€pagamento servizio IMU 2024</t>
  </si>
  <si>
    <t>eniplenitude novembre/dicembre 2024</t>
  </si>
  <si>
    <t>moneli</t>
  </si>
  <si>
    <t>Carocci</t>
  </si>
  <si>
    <t>il 31/01 hai lasciato 50, il 7, non avendo spiccioli, gli hai pagato in anticipo 150€ che con i 10 in più dati la settimana prima sono il totale di 4 settimane (I°- II°- III-IV)</t>
  </si>
  <si>
    <t>caffè e det terra</t>
  </si>
  <si>
    <t>Jessica Corsani</t>
  </si>
  <si>
    <t xml:space="preserve">rosati </t>
  </si>
  <si>
    <t>GAS 70 BENZ 50</t>
  </si>
  <si>
    <t>P.Paola e Ale</t>
  </si>
  <si>
    <t>cinema con nipoti + cena 150€</t>
  </si>
  <si>
    <t xml:space="preserve">semoli </t>
  </si>
  <si>
    <t>200STEFY-60 spesa</t>
  </si>
  <si>
    <t>telo ombreggiante corte 65€</t>
  </si>
  <si>
    <t>olianti 50+gruppo 60+ Verduci 90+muto/viafggio TO 440€</t>
  </si>
  <si>
    <t>doggo 550€ pappa 50€</t>
  </si>
  <si>
    <t xml:space="preserve">acquisto pit bike 750€+cavalletto 30€+20€ ricambi </t>
  </si>
  <si>
    <t>gennaio</t>
  </si>
  <si>
    <t xml:space="preserve">Mancusi </t>
  </si>
  <si>
    <t>febbraio</t>
  </si>
  <si>
    <t>macchina caffè e prodotti varìi</t>
  </si>
  <si>
    <t>Miriam Emiliani</t>
  </si>
  <si>
    <t>Alessio Valenti</t>
  </si>
  <si>
    <t>Ancilli Leonardo</t>
  </si>
  <si>
    <t>92gpl 56benzina</t>
  </si>
  <si>
    <t>Sergio MAncusi</t>
  </si>
  <si>
    <t>assicurazione 660€</t>
  </si>
  <si>
    <t>Barbara</t>
  </si>
  <si>
    <t xml:space="preserve">30€ sapone per Nipoti+50€ kit filettatura+€77pistola a impulsi </t>
  </si>
  <si>
    <t>pannelli soffitta Maggiano 100+ 2x pompa antizanzare 100+ antizanzare +motosega e decespugliatore 350€</t>
  </si>
  <si>
    <t>verduci 90 olianti 50</t>
  </si>
  <si>
    <t>pappa Rosco</t>
  </si>
  <si>
    <t>motore € 200</t>
  </si>
  <si>
    <t>16 filtro aria</t>
  </si>
  <si>
    <t>periodo gennaio/febbraio</t>
  </si>
  <si>
    <t>Amin</t>
  </si>
  <si>
    <t>Camilla</t>
  </si>
  <si>
    <t>Elena DOnati</t>
  </si>
  <si>
    <t>jess</t>
  </si>
  <si>
    <t>Valeria</t>
  </si>
  <si>
    <t>50benz+50 gas</t>
  </si>
  <si>
    <t>regfali isa e bianca</t>
  </si>
  <si>
    <t xml:space="preserve">tagliacorda elettrico </t>
  </si>
  <si>
    <t>ricambi frizione 30€</t>
  </si>
  <si>
    <t>corso avanzato canopy craft</t>
  </si>
  <si>
    <t>ricambi 100€</t>
  </si>
  <si>
    <t>da avere 10 euro</t>
  </si>
  <si>
    <t>Valeria camera</t>
  </si>
  <si>
    <t>marzo</t>
  </si>
  <si>
    <t>Marco monelli</t>
  </si>
  <si>
    <t>Annachiara  Berti</t>
  </si>
  <si>
    <t>Elena Donati</t>
  </si>
  <si>
    <t>Marco Monelli</t>
  </si>
  <si>
    <t>Pierpaola e Alessandro</t>
  </si>
  <si>
    <t>gas 75€ benzina 50</t>
  </si>
  <si>
    <t>Doriana</t>
  </si>
  <si>
    <t>Francesco Sarno</t>
  </si>
  <si>
    <r>
      <rPr>
        <rFont val="arial,sans,sans-serif"/>
        <sz val="8.0"/>
      </rPr>
      <t>carica airia condizionata+</t>
    </r>
    <r>
      <rPr>
        <rFont val="arial,sans,sans-serif"/>
        <b/>
        <color rgb="FFFF0000"/>
        <sz val="8.0"/>
      </rPr>
      <t>459 MULTA</t>
    </r>
  </si>
  <si>
    <t xml:space="preserve">Maria  Chiara Cecconi </t>
  </si>
  <si>
    <t>60 gruppo+ 90 Verduci</t>
  </si>
  <si>
    <r>
      <t>colare anipulci 22€+50pappa rosco+</t>
    </r>
    <r>
      <rPr>
        <rFont val="arial,sans,sans-serif"/>
        <b/>
        <sz val="8.0"/>
      </rPr>
      <t>450 DOGGO</t>
    </r>
  </si>
  <si>
    <t xml:space="preserve">materiale scala treenet Pat + sega circolare </t>
  </si>
  <si>
    <t>sanzione dichiarazione 2023</t>
  </si>
  <si>
    <t>M.C. Cecconi</t>
  </si>
  <si>
    <t>periodo dal 01/05 al 31/05</t>
  </si>
  <si>
    <t>brabara balfour</t>
  </si>
  <si>
    <t xml:space="preserve">Francesco </t>
  </si>
  <si>
    <t xml:space="preserve">D'Elia pagato 200 ma restituiti a novembre </t>
  </si>
  <si>
    <t>PASSO CARRABILE 70€</t>
  </si>
  <si>
    <t>Sergio Mancusi</t>
  </si>
  <si>
    <t>polizza antincendio zurich</t>
  </si>
  <si>
    <t>Maria Chiara Cecconi</t>
  </si>
  <si>
    <t>PF</t>
  </si>
  <si>
    <t>polizza RA202996 con zurich per danni a terzi</t>
  </si>
  <si>
    <t>corso AI MONTEMAGNO</t>
  </si>
  <si>
    <t>41gas 20benz</t>
  </si>
  <si>
    <t>treenet Pat</t>
  </si>
  <si>
    <t>aggiunta rottamazione mazda</t>
  </si>
  <si>
    <t>ruote pit bike 160€</t>
  </si>
  <si>
    <t>olianti 50€</t>
  </si>
  <si>
    <t>scala per Pat 140</t>
  </si>
  <si>
    <t>400€ acconto IMU MAGGIANO</t>
  </si>
  <si>
    <t>BErnacchioni</t>
  </si>
  <si>
    <t>periodo da 1/6 al 30/6 wekiwi</t>
  </si>
  <si>
    <t>MArtina LA ROcca</t>
  </si>
  <si>
    <t>30/06--31/07</t>
  </si>
  <si>
    <t>Francesco</t>
  </si>
  <si>
    <t>acqua + cancello</t>
  </si>
  <si>
    <t>affitto +150€ rinnovo contratto</t>
  </si>
  <si>
    <t>elena Donati</t>
  </si>
  <si>
    <t>libro su metodo bulgaro 50€</t>
  </si>
  <si>
    <t>40 benz + 60 gpl</t>
  </si>
  <si>
    <t>bellaria con stefy</t>
  </si>
  <si>
    <t>70€ microfono wireless-polsiere-u grip + APP descript</t>
  </si>
  <si>
    <t>corda 8mm treenet Maggiano</t>
  </si>
  <si>
    <t>multa presa a tarquinia</t>
  </si>
  <si>
    <t>periodo 01/05/30/06</t>
  </si>
  <si>
    <t>52gas</t>
  </si>
  <si>
    <t xml:space="preserve">136 spesa </t>
  </si>
  <si>
    <t>uptivo 142+83€ bodycam</t>
  </si>
  <si>
    <t>Linda malvestuto</t>
  </si>
  <si>
    <t>wekiwi periodo 1/07--31/07</t>
  </si>
  <si>
    <t>M. Giuntiini</t>
  </si>
  <si>
    <t>Linda Malvestuto</t>
  </si>
  <si>
    <t>Sarno</t>
  </si>
  <si>
    <t>Pierpaola e ALe</t>
  </si>
  <si>
    <t>Floriana Belluardo</t>
  </si>
  <si>
    <t>650 corso landmine univ.</t>
  </si>
  <si>
    <t>gas 40€ benzuna 30</t>
  </si>
  <si>
    <t>Marina Giuntni</t>
  </si>
  <si>
    <t>Matteo Calosci acconto pacchetto da Gennaio</t>
  </si>
  <si>
    <t>297 attrezzi treeclimbimg</t>
  </si>
  <si>
    <t>80 assicurazione + contributo spese</t>
  </si>
  <si>
    <t>Garmin 150€+142 uptivo</t>
  </si>
  <si>
    <t>vaccino rosco e cbd</t>
  </si>
  <si>
    <t xml:space="preserve">riparazione Cancello </t>
  </si>
  <si>
    <t>Paula</t>
  </si>
  <si>
    <t xml:space="preserve">Leonardo Ancilli </t>
  </si>
  <si>
    <t>25gas + 30 benzina</t>
  </si>
  <si>
    <t>libri</t>
  </si>
  <si>
    <t>80assicuraz + 410 contr. spese domestiche</t>
  </si>
  <si>
    <t>hard disk</t>
  </si>
  <si>
    <t>150bellini+107 farmaci</t>
  </si>
  <si>
    <t>nubi 400</t>
  </si>
  <si>
    <t>250 ricovero GINA + pappa e cbd Rosco</t>
  </si>
  <si>
    <t>periodo 01/10-31/10</t>
  </si>
  <si>
    <t xml:space="preserve">Sarno </t>
  </si>
  <si>
    <t>free zanz 800€</t>
  </si>
  <si>
    <t>Piemionte</t>
  </si>
  <si>
    <t>gas 50/ Benz 40</t>
  </si>
  <si>
    <t>multe lastra a Signa 200+247</t>
  </si>
  <si>
    <t xml:space="preserve">400+600pagamento d'Elia x Stefania </t>
  </si>
  <si>
    <t>luci natalizie per studio</t>
  </si>
  <si>
    <t>elastici 40€ + UPTIVO 142€</t>
  </si>
  <si>
    <t>Nubi e Aruba</t>
  </si>
  <si>
    <t>versati a Stefy 80€ per rimborso assicurazione privata (fatto bonifico)</t>
  </si>
  <si>
    <t>kennel 2 Rosco 170</t>
  </si>
  <si>
    <t xml:space="preserve"> Eniplenitude periodo 01/9-31/10</t>
  </si>
  <si>
    <t>Pierpaola e Ale</t>
  </si>
  <si>
    <t>45gas</t>
  </si>
  <si>
    <t>320contributo+80 assicuraz.+ 200 rimborso multa</t>
  </si>
  <si>
    <t>regali natale 130€</t>
  </si>
  <si>
    <t>250rubinetto cucina+100€spesa</t>
  </si>
  <si>
    <t>uptivo 142€ dati in contanti a stefy+190€ endless rope</t>
  </si>
  <si>
    <t xml:space="preserve">otorino 73+proctologo 60+112 polisonnografia </t>
  </si>
  <si>
    <t>abbonamento pista 2026</t>
  </si>
  <si>
    <t>BIKE e pista</t>
  </si>
  <si>
    <r>
      <rPr>
        <rFont val="arial,sans,sans-serif"/>
        <sz val="9.0"/>
      </rPr>
      <t xml:space="preserve">totale uscite professionali + TASSE </t>
    </r>
    <r>
      <rPr>
        <rFont val="arial,sans,sans-serif"/>
        <sz val="7.0"/>
      </rPr>
      <t>(su teorico tassazione da pagare)</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</si>
</sst>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h].mm.ss"/>
    <numFmt numFmtId="165" formatCode="h.mm"/>
    <numFmt numFmtId="166" formatCode="dd/mm"/>
    <numFmt numFmtId="167" formatCode="[$€-2]\ #,##0.00"/>
    <numFmt numFmtId="168" formatCode="[$€-2]\ #,##0"/>
    <numFmt numFmtId="169" formatCode="#,##0&quot;€&quot;"/>
    <numFmt numFmtId="170" formatCode="[$€-2]\ #,##0.0"/>
  </numFmts>
  <fonts count="53">
    <font>
      <sz val="10.0"/>
      <color rgb="FF000000"/>
      <name val="Arial"/>
    </font>
    <font>
      <b/>
      <color rgb="FF274E13"/>
    </font>
    <font>
      <b/>
      <color rgb="FFFF0000"/>
    </font>
    <font>
      <b/>
    </font>
    <font/>
    <font>
      <b/>
      <sz val="14.0"/>
    </font>
    <font>
      <b/>
      <sz val="10.0"/>
    </font>
    <font>
      <sz val="10.0"/>
    </font>
    <font>
      <name val="Arial"/>
    </font>
    <font>
      <b/>
      <sz val="14.0"/>
      <name val="Arial"/>
    </font>
    <font>
      <b/>
      <name val="Arial"/>
    </font>
    <font>
      <b/>
      <color rgb="FF000000"/>
      <name val="Arial"/>
    </font>
    <font>
      <sz val="7.0"/>
      <name val="Arial"/>
    </font>
    <font>
      <b/>
      <sz val="18.0"/>
      <name val="Arial"/>
    </font>
    <font>
      <sz val="7.0"/>
    </font>
    <font>
      <b/>
      <sz val="8.0"/>
      <name val="Arial"/>
    </font>
    <font>
      <sz val="8.0"/>
      <name val="Arial"/>
    </font>
    <font>
      <b/>
      <sz val="7.0"/>
      <color rgb="FF0000FF"/>
      <name val="Arial"/>
    </font>
    <font>
      <b/>
      <sz val="7.0"/>
      <name val="Arial"/>
    </font>
    <font>
      <b/>
      <sz val="11.0"/>
      <name val="Arial"/>
    </font>
    <font>
      <b/>
      <sz val="14.0"/>
      <color rgb="FF000000"/>
      <name val="Arial"/>
    </font>
    <font>
      <sz val="9.0"/>
      <name val="Arial"/>
    </font>
    <font>
      <b/>
      <i/>
      <name val="Arial"/>
    </font>
    <font>
      <b/>
      <i/>
      <sz val="9.0"/>
      <name val="Arial"/>
    </font>
    <font>
      <b/>
      <sz val="9.0"/>
      <name val="Arial"/>
    </font>
    <font>
      <sz val="10.0"/>
      <name val="Arial"/>
    </font>
    <font>
      <b/>
      <sz val="10.0"/>
      <color rgb="FF000000"/>
      <name val="Arial"/>
    </font>
    <font>
      <b/>
      <color rgb="FF0000FF"/>
    </font>
    <font>
      <b/>
      <sz val="7.0"/>
      <color rgb="FF999999"/>
      <name val="Arial"/>
    </font>
    <font>
      <sz val="9.0"/>
    </font>
    <font>
      <sz val="8.0"/>
    </font>
    <font>
      <b/>
      <sz val="9.0"/>
    </font>
    <font>
      <sz val="14.0"/>
      <name val="Arial"/>
    </font>
    <font>
      <b/>
      <sz val="10.0"/>
      <name val="Arial"/>
    </font>
    <font>
      <b/>
      <sz val="8.0"/>
    </font>
    <font>
      <b/>
      <sz val="8.0"/>
      <color rgb="FFFF0000"/>
      <name val="Arial"/>
    </font>
    <font>
      <sz val="14.0"/>
    </font>
    <font>
      <b/>
      <sz val="7.0"/>
    </font>
    <font>
      <b/>
      <sz val="10.0"/>
      <color rgb="FF000000"/>
    </font>
    <font>
      <b/>
      <sz val="14.0"/>
      <color rgb="FF000000"/>
    </font>
    <font>
      <sz val="6.0"/>
      <name val="Arial"/>
    </font>
    <font>
      <b/>
      <color rgb="FF0000FF"/>
      <name val="Arial"/>
    </font>
    <font>
      <b/>
      <sz val="8.0"/>
      <color rgb="FF000000"/>
      <name val="Arial"/>
    </font>
    <font>
      <b/>
      <sz val="8.0"/>
      <color rgb="FF999999"/>
      <name val="Arial"/>
    </font>
    <font>
      <i/>
      <sz val="9.0"/>
    </font>
    <font>
      <color rgb="FF000000"/>
      <name val="Arial"/>
    </font>
    <font>
      <b/>
      <sz val="9.0"/>
      <color rgb="FFFF0000"/>
      <name val="Arial"/>
    </font>
    <font>
      <b/>
      <sz val="12.0"/>
    </font>
    <font>
      <sz val="8.0"/>
      <color rgb="FF000000"/>
      <name val="Arial"/>
    </font>
    <font>
      <b/>
      <color rgb="FFFF0000"/>
      <name val="Arial"/>
    </font>
    <font>
      <b/>
      <sz val="9.0"/>
      <color rgb="FF000000"/>
      <name val="Arial"/>
    </font>
    <font>
      <sz val="9.0"/>
      <color rgb="FF1F1F1F"/>
      <name val="&quot;Google Sans&quot;"/>
    </font>
    <font>
      <i/>
      <sz val="11.0"/>
    </font>
  </fonts>
  <fills count="22">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
      <patternFill patternType="solid">
        <fgColor rgb="FFB7B7B7"/>
        <bgColor rgb="FFB7B7B7"/>
      </patternFill>
    </fill>
    <fill>
      <patternFill patternType="solid">
        <fgColor rgb="FFFFFF00"/>
        <bgColor rgb="FFFFFF00"/>
      </patternFill>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EA9999"/>
        <bgColor rgb="FFEA9999"/>
      </patternFill>
    </fill>
    <fill>
      <patternFill patternType="solid">
        <fgColor rgb="FFEAD1DC"/>
        <bgColor rgb="FFEAD1DC"/>
      </patternFill>
    </fill>
    <fill>
      <patternFill patternType="solid">
        <fgColor rgb="FFF3F3F3"/>
        <bgColor rgb="FFF3F3F3"/>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F4CCCC"/>
        <bgColor rgb="FFF4CCCC"/>
      </patternFill>
    </fill>
    <fill>
      <patternFill patternType="solid">
        <fgColor rgb="FF9FC5E8"/>
        <bgColor rgb="FF9FC5E8"/>
      </patternFill>
    </fill>
    <fill>
      <patternFill patternType="solid">
        <fgColor rgb="FFB7E1CD"/>
        <bgColor rgb="FFB7E1CD"/>
      </patternFill>
    </fill>
    <fill>
      <patternFill patternType="solid">
        <fgColor rgb="FFFFE599"/>
        <bgColor rgb="FFFFE599"/>
      </patternFill>
    </fill>
    <fill>
      <patternFill patternType="solid">
        <fgColor rgb="FF93C47D"/>
        <bgColor rgb="FF93C47D"/>
      </patternFill>
    </fill>
  </fills>
  <borders count="44">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bottom style="thin">
        <color rgb="FF000000"/>
      </bottom>
    </border>
    <border>
      <right style="thin">
        <color rgb="FF000000"/>
      </right>
      <bottom style="thin">
        <color rgb="FF000000"/>
      </bottom>
    </border>
    <border>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top style="thin">
        <color rgb="FF000000"/>
      </top>
    </border>
    <border>
      <bottom style="double">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thin">
        <color rgb="FF000000"/>
      </left>
      <top style="double">
        <color rgb="FF000000"/>
      </top>
    </border>
    <border>
      <right style="thin">
        <color rgb="FF000000"/>
      </right>
      <top style="double">
        <color rgb="FF000000"/>
      </top>
    </border>
    <border>
      <left style="medium">
        <color rgb="FF000000"/>
      </left>
    </border>
    <border>
      <left style="double">
        <color rgb="FF000000"/>
      </left>
    </border>
    <border>
      <right style="double">
        <color rgb="FF000000"/>
      </right>
    </border>
    <border>
      <left style="thin">
        <color rgb="FF000000"/>
      </left>
    </border>
    <border>
      <left style="thin">
        <color rgb="FF000000"/>
      </left>
      <right style="thin">
        <color rgb="FF000000"/>
      </right>
    </border>
    <border>
      <right style="double">
        <color rgb="FF000000"/>
      </right>
      <top style="thin">
        <color rgb="FF000000"/>
      </top>
      <bottom style="thin">
        <color rgb="FF000000"/>
      </bottom>
    </border>
    <border>
      <left style="double">
        <color rgb="FF000000"/>
      </left>
      <bottom style="double">
        <color rgb="FF000000"/>
      </bottom>
    </border>
    <border>
      <right style="double">
        <color rgb="FF000000"/>
      </right>
      <bottom style="double">
        <color rgb="FF000000"/>
      </bottom>
    </border>
    <border>
      <top style="double">
        <color rgb="FF000000"/>
      </top>
      <bottom style="double">
        <color rgb="FF000000"/>
      </bottom>
    </border>
    <border>
      <right style="medium">
        <color rgb="FF000000"/>
      </right>
    </border>
    <border>
      <right style="double">
        <color rgb="FF000000"/>
      </right>
      <bottom style="thin">
        <color rgb="FF000000"/>
      </bottom>
    </border>
    <border>
      <left style="double">
        <color rgb="FF000000"/>
      </left>
      <right style="thin">
        <color rgb="FF000000"/>
      </right>
    </border>
    <border>
      <right style="medium">
        <color rgb="FF000000"/>
      </right>
      <bottom style="double">
        <color rgb="FF000000"/>
      </bottom>
    </border>
    <border>
      <left style="thin">
        <color rgb="FF000000"/>
      </left>
      <right/>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FF00"/>
      </left>
      <right style="medium">
        <color rgb="FF00FF00"/>
      </right>
      <top style="medium">
        <color rgb="FF00FF00"/>
      </top>
      <bottom style="medium">
        <color rgb="FF00FF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medium">
        <color rgb="FF000000"/>
      </top>
      <bottom style="medium">
        <color rgb="FF000000"/>
      </bottom>
    </border>
    <border>
      <left style="thick">
        <color rgb="FF000000"/>
      </left>
      <right style="thick">
        <color rgb="FF000000"/>
      </right>
      <top style="thick">
        <color rgb="FF000000"/>
      </top>
    </border>
    <border>
      <left style="thick">
        <color rgb="FF999999"/>
      </left>
      <right style="thick">
        <color rgb="FF999999"/>
      </right>
      <top style="thick">
        <color rgb="FF999999"/>
      </top>
    </border>
    <border>
      <left style="thick">
        <color rgb="FF000000"/>
      </left>
      <right style="thick">
        <color rgb="FF000000"/>
      </right>
      <bottom style="thick">
        <color rgb="FF000000"/>
      </bottom>
    </border>
    <border>
      <left style="thick">
        <color rgb="FF999999"/>
      </left>
      <right style="thick">
        <color rgb="FF999999"/>
      </right>
      <bottom style="thick">
        <color rgb="FF999999"/>
      </bottom>
    </border>
    <border>
      <left style="medium">
        <color rgb="FFFF0000"/>
      </left>
      <right style="medium">
        <color rgb="FFFF0000"/>
      </right>
      <top style="medium">
        <color rgb="FFFF0000"/>
      </top>
      <bottom style="medium">
        <color rgb="FFFF0000"/>
      </bottom>
    </border>
  </borders>
  <cellStyleXfs count="1">
    <xf borderId="0" fillId="0" fontId="0" numFmtId="0" applyAlignment="1" applyFont="1"/>
  </cellStyleXfs>
  <cellXfs count="80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2" fontId="3" numFmtId="0" xfId="0" applyAlignment="1" applyBorder="1" applyFill="1" applyFont="1">
      <alignment readingOrder="0"/>
    </xf>
    <xf borderId="0" fillId="2" fontId="3" numFmtId="0" xfId="0" applyAlignment="1" applyFill="1" applyFont="1">
      <alignment horizontal="center" readingOrder="0"/>
    </xf>
    <xf borderId="0" fillId="3" fontId="3" numFmtId="0" xfId="0" applyAlignment="1" applyFill="1" applyFont="1">
      <alignment horizontal="center" readingOrder="0"/>
    </xf>
    <xf borderId="0" fillId="0" fontId="4" numFmtId="0" xfId="0" applyAlignment="1" applyFont="1">
      <alignment readingOrder="0"/>
    </xf>
    <xf borderId="0" fillId="0" fontId="4" numFmtId="0" xfId="0" applyAlignment="1" applyFont="1">
      <alignment horizontal="right" readingOrder="0"/>
    </xf>
    <xf borderId="2" fillId="0" fontId="5" numFmtId="0" xfId="0" applyAlignment="1" applyBorder="1" applyFont="1">
      <alignment readingOrder="0" vertical="bottom"/>
    </xf>
    <xf borderId="3" fillId="2" fontId="6" numFmtId="0" xfId="0" applyAlignment="1" applyBorder="1" applyFill="1" applyFont="1">
      <alignment readingOrder="0" vertical="bottom"/>
    </xf>
    <xf borderId="0" fillId="0" fontId="7" numFmtId="0" xfId="0" applyAlignment="1" applyFont="1">
      <alignment vertical="bottom"/>
    </xf>
    <xf borderId="0" fillId="2" fontId="6" numFmtId="0" xfId="0" applyAlignment="1" applyFill="1" applyFont="1">
      <alignment horizontal="center" readingOrder="0" vertical="bottom"/>
    </xf>
    <xf borderId="0" fillId="0" fontId="5" numFmtId="0" xfId="0" applyAlignment="1" applyFont="1">
      <alignment readingOrder="0" vertical="bottom"/>
    </xf>
    <xf borderId="0" fillId="3" fontId="6" numFmtId="0" xfId="0" applyAlignment="1" applyFill="1" applyFont="1">
      <alignment horizontal="center" readingOrder="0" vertical="bottom"/>
    </xf>
    <xf borderId="0" fillId="0" fontId="7" numFmtId="0" xfId="0" applyFont="1"/>
    <xf borderId="0" fillId="0" fontId="7" numFmtId="0" xfId="0" applyAlignment="1" applyFont="1">
      <alignment horizontal="right" vertical="bottom"/>
    </xf>
    <xf borderId="0" fillId="4" fontId="7" numFmtId="0" xfId="0" applyAlignment="1" applyFill="1" applyFont="1">
      <alignment readingOrder="0"/>
    </xf>
    <xf borderId="0" fillId="0" fontId="7" numFmtId="0" xfId="0" applyAlignment="1" applyFont="1">
      <alignment horizontal="right" readingOrder="0" vertical="bottom"/>
    </xf>
    <xf borderId="0" fillId="0" fontId="7" numFmtId="0" xfId="0" applyAlignment="1" applyFont="1">
      <alignment readingOrder="0"/>
    </xf>
    <xf borderId="0" fillId="0" fontId="7" numFmtId="0" xfId="0" applyAlignment="1" applyFont="1">
      <alignment readingOrder="0" vertical="bottom"/>
    </xf>
    <xf borderId="3" fillId="3" fontId="6" numFmtId="0" xfId="0" applyAlignment="1" applyBorder="1" applyFill="1" applyFont="1">
      <alignment readingOrder="0" vertical="bottom"/>
    </xf>
    <xf borderId="0" fillId="3" fontId="7" numFmtId="0" xfId="0" applyAlignment="1" applyFill="1" applyFont="1">
      <alignment vertical="bottom"/>
    </xf>
    <xf borderId="0" fillId="2" fontId="7" numFmtId="0" xfId="0" applyAlignment="1" applyFill="1" applyFont="1">
      <alignment vertical="bottom"/>
    </xf>
    <xf borderId="0" fillId="2" fontId="7" numFmtId="0" xfId="0" applyAlignment="1" applyFill="1" applyFont="1">
      <alignment readingOrder="0"/>
    </xf>
    <xf borderId="4" fillId="2" fontId="6" numFmtId="0" xfId="0" applyAlignment="1" applyBorder="1" applyFill="1" applyFont="1">
      <alignment readingOrder="0" vertical="bottom"/>
    </xf>
    <xf borderId="3" fillId="0" fontId="4" numFmtId="0" xfId="0" applyBorder="1" applyFont="1"/>
    <xf borderId="5" fillId="2" fontId="6" numFmtId="0" xfId="0" applyAlignment="1" applyBorder="1" applyFill="1" applyFont="1">
      <alignment readingOrder="0" vertical="bottom"/>
    </xf>
    <xf borderId="5" fillId="3" fontId="6" numFmtId="0" xfId="0" applyAlignment="1" applyBorder="1" applyFill="1" applyFont="1">
      <alignment readingOrder="0" vertical="bottom"/>
    </xf>
    <xf borderId="0" fillId="2" fontId="6" numFmtId="0" xfId="0" applyAlignment="1" applyFill="1" applyFont="1">
      <alignment readingOrder="0" vertical="bottom"/>
    </xf>
    <xf borderId="0" fillId="3" fontId="6" numFmtId="0" xfId="0" applyAlignment="1" applyFill="1" applyFont="1">
      <alignment readingOrder="0"/>
    </xf>
    <xf borderId="0" fillId="2" fontId="6" numFmtId="0" xfId="0" applyAlignment="1" applyFill="1" applyFont="1">
      <alignment horizontal="left" readingOrder="0" vertical="bottom"/>
    </xf>
    <xf borderId="0" fillId="3" fontId="3" numFmtId="0" xfId="0" applyAlignment="1" applyFill="1" applyFont="1">
      <alignment readingOrder="0"/>
    </xf>
    <xf borderId="0" fillId="4" fontId="6" numFmtId="0" xfId="0" applyAlignment="1" applyFill="1" applyFont="1">
      <alignment horizontal="center" readingOrder="0" vertical="bottom"/>
    </xf>
    <xf borderId="2" fillId="4" fontId="6" numFmtId="0" xfId="0" applyAlignment="1" applyBorder="1" applyFill="1" applyFont="1">
      <alignment readingOrder="0" vertical="bottom"/>
    </xf>
    <xf borderId="0" fillId="4" fontId="6" numFmtId="0" xfId="0" applyAlignment="1" applyFill="1" applyFont="1">
      <alignment horizontal="right" readingOrder="0"/>
    </xf>
    <xf borderId="0" fillId="3" fontId="6" numFmtId="0" xfId="0" applyAlignment="1" applyFill="1" applyFont="1">
      <alignment readingOrder="0" vertical="bottom"/>
    </xf>
    <xf borderId="0" fillId="4" fontId="6" numFmtId="0" xfId="0" applyAlignment="1" applyFill="1" applyFont="1">
      <alignment horizontal="left" readingOrder="0" vertical="bottom"/>
    </xf>
    <xf borderId="0" fillId="2" fontId="7" numFmtId="0" xfId="0" applyAlignment="1" applyFill="1" applyFont="1">
      <alignment readingOrder="0" vertical="bottom"/>
    </xf>
    <xf borderId="0" fillId="2" fontId="7" numFmtId="0" xfId="0" applyFill="1" applyFont="1"/>
    <xf borderId="0" fillId="3" fontId="3" numFmtId="0" xfId="0" applyAlignment="1" applyFill="1" applyFont="1">
      <alignment horizontal="right" readingOrder="0"/>
    </xf>
    <xf borderId="0" fillId="4" fontId="7" numFmtId="0" xfId="0" applyFill="1" applyFont="1"/>
    <xf borderId="0" fillId="4" fontId="3" numFmtId="0" xfId="0" applyAlignment="1" applyFill="1" applyFont="1">
      <alignment horizontal="right" readingOrder="0"/>
    </xf>
    <xf borderId="5" fillId="2" fontId="6" numFmtId="0" xfId="0" applyAlignment="1" applyBorder="1" applyFill="1" applyFont="1">
      <alignment horizontal="left" readingOrder="0" vertical="center"/>
    </xf>
    <xf borderId="0" fillId="0" fontId="8" numFmtId="0" xfId="0" applyAlignment="1" applyFont="1">
      <alignment vertical="bottom"/>
    </xf>
    <xf borderId="0" fillId="0" fontId="8" numFmtId="0" xfId="0" applyAlignment="1" applyFont="1">
      <alignment readingOrder="0" vertical="bottom"/>
    </xf>
    <xf borderId="6" fillId="0" fontId="8" numFmtId="0" xfId="0" applyAlignment="1" applyBorder="1" applyFont="1">
      <alignment vertical="bottom"/>
    </xf>
    <xf borderId="0" fillId="0" fontId="9" numFmtId="0" xfId="0" applyAlignment="1" applyFont="1">
      <alignment readingOrder="0" vertical="bottom"/>
    </xf>
    <xf borderId="2" fillId="4" fontId="8" numFmtId="0" xfId="0" applyAlignment="1" applyBorder="1" applyFill="1" applyFont="1">
      <alignment vertical="bottom"/>
    </xf>
    <xf borderId="6" fillId="3" fontId="10" numFmtId="0" xfId="0" applyAlignment="1" applyBorder="1" applyFill="1" applyFont="1">
      <alignment readingOrder="0" vertical="bottom"/>
    </xf>
    <xf borderId="7" fillId="0" fontId="4" numFmtId="0" xfId="0" applyBorder="1" applyFont="1"/>
    <xf borderId="0" fillId="2" fontId="10" numFmtId="0" xfId="0" applyAlignment="1" applyFill="1" applyFont="1">
      <alignment readingOrder="0" vertical="bottom"/>
    </xf>
    <xf borderId="0" fillId="4" fontId="8" numFmtId="0" xfId="0" applyAlignment="1" applyFill="1" applyFont="1">
      <alignment vertical="bottom"/>
    </xf>
    <xf borderId="0" fillId="4" fontId="10" numFmtId="0" xfId="0" applyAlignment="1" applyFill="1" applyFont="1">
      <alignment horizontal="right" vertical="bottom"/>
    </xf>
    <xf borderId="0" fillId="3" fontId="10" numFmtId="0" xfId="0" applyAlignment="1" applyFill="1" applyFont="1">
      <alignment readingOrder="0" vertical="bottom"/>
    </xf>
    <xf borderId="0" fillId="2" fontId="8" numFmtId="0" xfId="0" applyAlignment="1" applyFill="1" applyFont="1">
      <alignment vertical="bottom"/>
    </xf>
    <xf borderId="0" fillId="2" fontId="8" numFmtId="0" xfId="0" applyAlignment="1" applyFill="1" applyFont="1">
      <alignment readingOrder="0" vertical="bottom"/>
    </xf>
    <xf borderId="0" fillId="0" fontId="8" numFmtId="0" xfId="0" applyAlignment="1" applyFont="1">
      <alignment vertical="center"/>
    </xf>
    <xf borderId="6" fillId="2" fontId="11" numFmtId="0" xfId="0" applyAlignment="1" applyBorder="1" applyFill="1" applyFont="1">
      <alignment horizontal="center" readingOrder="0" vertical="bottom"/>
    </xf>
    <xf borderId="6" fillId="2" fontId="11" numFmtId="0" xfId="0" applyAlignment="1" applyBorder="1" applyFill="1" applyFont="1">
      <alignment horizontal="left" readingOrder="0" vertical="bottom"/>
    </xf>
    <xf borderId="6" fillId="3" fontId="11" numFmtId="0" xfId="0" applyAlignment="1" applyBorder="1" applyFill="1" applyFont="1">
      <alignment horizontal="left" readingOrder="0" vertical="bottom"/>
    </xf>
    <xf borderId="0" fillId="3" fontId="8" numFmtId="0" xfId="0" applyAlignment="1" applyFill="1" applyFont="1">
      <alignment readingOrder="0" vertical="bottom"/>
    </xf>
    <xf borderId="0" fillId="4" fontId="10" numFmtId="0" xfId="0" applyAlignment="1" applyFill="1" applyFont="1">
      <alignment readingOrder="0" vertical="bottom"/>
    </xf>
    <xf borderId="6" fillId="3" fontId="11" numFmtId="0" xfId="0" applyAlignment="1" applyBorder="1" applyFill="1" applyFont="1">
      <alignment readingOrder="0" vertical="bottom"/>
    </xf>
    <xf borderId="0" fillId="4" fontId="8" numFmtId="0" xfId="0" applyAlignment="1" applyFill="1" applyFont="1">
      <alignment vertical="bottom"/>
    </xf>
    <xf borderId="0" fillId="0" fontId="8" numFmtId="0" xfId="0" applyAlignment="1" applyFont="1">
      <alignment vertical="bottom"/>
    </xf>
    <xf borderId="8" fillId="0" fontId="8" numFmtId="0" xfId="0" applyAlignment="1" applyBorder="1" applyFont="1">
      <alignment shrinkToFit="0" vertical="bottom" wrapText="0"/>
    </xf>
    <xf borderId="8" fillId="2" fontId="8" numFmtId="0" xfId="0" applyAlignment="1" applyBorder="1" applyFill="1" applyFont="1">
      <alignment shrinkToFit="0" vertical="bottom" wrapText="0"/>
    </xf>
    <xf borderId="6" fillId="2" fontId="11" numFmtId="0" xfId="0" applyAlignment="1" applyBorder="1" applyFill="1" applyFont="1">
      <alignment readingOrder="0" vertical="bottom"/>
    </xf>
    <xf borderId="8" fillId="0" fontId="8" numFmtId="0" xfId="0" applyAlignment="1" applyBorder="1" applyFont="1">
      <alignment readingOrder="0" shrinkToFit="0" vertical="bottom" wrapText="0"/>
    </xf>
    <xf borderId="0" fillId="5" fontId="8" numFmtId="0" xfId="0" applyAlignment="1" applyFill="1" applyFont="1">
      <alignment readingOrder="0" vertical="bottom"/>
    </xf>
    <xf borderId="0" fillId="5" fontId="8" numFmtId="0" xfId="0" applyAlignment="1" applyFill="1" applyFont="1">
      <alignment vertical="bottom"/>
    </xf>
    <xf borderId="6" fillId="2" fontId="11" numFmtId="0" xfId="0" applyAlignment="1" applyBorder="1" applyFill="1" applyFont="1">
      <alignment vertical="bottom"/>
    </xf>
    <xf borderId="0" fillId="4" fontId="9" numFmtId="0" xfId="0" applyAlignment="1" applyFill="1" applyFont="1">
      <alignment readingOrder="0" vertical="bottom"/>
    </xf>
    <xf borderId="0" fillId="0" fontId="10" numFmtId="0" xfId="0" applyAlignment="1" applyFont="1">
      <alignment horizontal="center" vertical="bottom"/>
    </xf>
    <xf borderId="0" fillId="0" fontId="3" numFmtId="0" xfId="0" applyAlignment="1" applyFont="1">
      <alignment horizontal="center"/>
    </xf>
    <xf borderId="0" fillId="0" fontId="8" numFmtId="0" xfId="0" applyAlignment="1" applyFont="1">
      <alignment horizontal="right" vertical="bottom"/>
    </xf>
    <xf borderId="0" fillId="0" fontId="10" numFmtId="0" xfId="0" applyAlignment="1" applyFont="1">
      <alignment horizontal="center" vertical="bottom"/>
    </xf>
    <xf borderId="0" fillId="0" fontId="12" numFmtId="0" xfId="0" applyAlignment="1" applyFont="1">
      <alignment vertical="bottom"/>
    </xf>
    <xf borderId="0" fillId="3" fontId="10" numFmtId="0" xfId="0" applyAlignment="1" applyFill="1" applyFont="1">
      <alignment horizontal="center" readingOrder="0" vertical="bottom"/>
    </xf>
    <xf borderId="0" fillId="2" fontId="10" numFmtId="0" xfId="0" applyAlignment="1" applyFill="1" applyFont="1">
      <alignment horizontal="right" readingOrder="0" vertical="bottom"/>
    </xf>
    <xf borderId="0" fillId="0" fontId="10" numFmtId="0" xfId="0" applyAlignment="1" applyFont="1">
      <alignment horizontal="center" readingOrder="0" vertical="bottom"/>
    </xf>
    <xf borderId="0" fillId="0" fontId="9" numFmtId="0" xfId="0" applyAlignment="1" applyFont="1">
      <alignment vertical="bottom"/>
    </xf>
    <xf borderId="0" fillId="6" fontId="8" numFmtId="0" xfId="0" applyAlignment="1" applyFill="1" applyFont="1">
      <alignment vertical="bottom"/>
    </xf>
    <xf borderId="8" fillId="0" fontId="8" numFmtId="0" xfId="0" applyAlignment="1" applyBorder="1" applyFont="1">
      <alignment horizontal="right" readingOrder="0" shrinkToFit="0" vertical="bottom" wrapText="0"/>
    </xf>
    <xf borderId="0" fillId="3" fontId="10" numFmtId="0" xfId="0" applyAlignment="1" applyFill="1" applyFont="1">
      <alignment horizontal="center" vertical="bottom"/>
    </xf>
    <xf borderId="0" fillId="3" fontId="10" numFmtId="0" xfId="0" applyAlignment="1" applyFill="1" applyFont="1">
      <alignment horizontal="right" readingOrder="0" vertical="bottom"/>
    </xf>
    <xf borderId="0" fillId="0" fontId="8" numFmtId="0" xfId="0" applyAlignment="1" applyFont="1">
      <alignment horizontal="right" readingOrder="0" vertical="bottom"/>
    </xf>
    <xf borderId="0" fillId="0" fontId="12" numFmtId="0" xfId="0" applyAlignment="1" applyFont="1">
      <alignment readingOrder="0" vertical="bottom"/>
    </xf>
    <xf borderId="0" fillId="2" fontId="11" numFmtId="0" xfId="0" applyAlignment="1" applyFill="1" applyFont="1">
      <alignment horizontal="right" readingOrder="0" shrinkToFit="0" vertical="center" wrapText="1"/>
    </xf>
    <xf borderId="9" fillId="4" fontId="13" numFmtId="0" xfId="0" applyAlignment="1" applyBorder="1" applyFill="1" applyFont="1">
      <alignment horizontal="center" readingOrder="0" vertical="center"/>
    </xf>
    <xf borderId="10" fillId="4" fontId="4" numFmtId="0" xfId="0" applyBorder="1" applyFill="1" applyFont="1"/>
    <xf borderId="11" fillId="4" fontId="4" numFmtId="0" xfId="0" applyBorder="1" applyFill="1" applyFont="1"/>
    <xf borderId="7" fillId="4" fontId="4" numFmtId="0" xfId="0" applyBorder="1" applyFill="1" applyFont="1"/>
    <xf borderId="0" fillId="0" fontId="4" numFmtId="0" xfId="0" applyAlignment="1" applyFont="1">
      <alignment horizontal="right"/>
    </xf>
    <xf borderId="0" fillId="3" fontId="10" numFmtId="0" xfId="0" applyAlignment="1" applyFill="1" applyFont="1">
      <alignment horizontal="center" vertical="bottom"/>
    </xf>
    <xf borderId="0" fillId="0" fontId="10" numFmtId="0" xfId="0" applyAlignment="1" applyFont="1">
      <alignment horizontal="right" readingOrder="0" vertical="bottom"/>
    </xf>
    <xf borderId="0" fillId="0" fontId="8" numFmtId="0" xfId="0" applyAlignment="1" applyFont="1">
      <alignment horizontal="right" vertical="bottom"/>
    </xf>
    <xf borderId="8" fillId="0" fontId="8" numFmtId="0" xfId="0" applyAlignment="1" applyBorder="1" applyFont="1">
      <alignment horizontal="right" shrinkToFit="0" vertical="bottom" wrapText="0"/>
    </xf>
    <xf borderId="0" fillId="6" fontId="8" numFmtId="0" xfId="0" applyAlignment="1" applyFill="1" applyFont="1">
      <alignment readingOrder="0" vertical="bottom"/>
    </xf>
    <xf borderId="0" fillId="0" fontId="14" numFmtId="0" xfId="0" applyFont="1"/>
    <xf borderId="9" fillId="7" fontId="9" numFmtId="0" xfId="0" applyAlignment="1" applyBorder="1" applyFill="1" applyFont="1">
      <alignment horizontal="center" readingOrder="0" vertical="center"/>
    </xf>
    <xf borderId="10" fillId="0" fontId="4" numFmtId="0" xfId="0" applyBorder="1" applyFont="1"/>
    <xf borderId="11" fillId="0" fontId="4" numFmtId="0" xfId="0" applyBorder="1" applyFont="1"/>
    <xf borderId="0" fillId="0" fontId="10" numFmtId="0" xfId="0" applyAlignment="1" applyFont="1">
      <alignment horizontal="center" readingOrder="0" vertical="center"/>
    </xf>
    <xf borderId="0" fillId="0" fontId="8" numFmtId="0" xfId="0" applyAlignment="1" applyFont="1">
      <alignment horizontal="center" vertical="center"/>
    </xf>
    <xf borderId="0" fillId="0" fontId="15" numFmtId="0" xfId="0" applyAlignment="1" applyFont="1">
      <alignment horizontal="center" readingOrder="0" vertical="center"/>
    </xf>
    <xf borderId="0" fillId="2" fontId="10" numFmtId="0" xfId="0" applyAlignment="1" applyFill="1" applyFont="1">
      <alignment horizontal="center" readingOrder="0" vertical="center"/>
    </xf>
    <xf borderId="9" fillId="3" fontId="9" numFmtId="0" xfId="0" applyAlignment="1" applyBorder="1" applyFill="1" applyFont="1">
      <alignment horizontal="center" readingOrder="0" vertical="center"/>
    </xf>
    <xf borderId="0" fillId="0" fontId="16" numFmtId="0" xfId="0" applyAlignment="1" applyFont="1">
      <alignment horizontal="center" readingOrder="0" vertical="center"/>
    </xf>
    <xf borderId="0" fillId="3" fontId="3" numFmtId="0" xfId="0" applyAlignment="1" applyFill="1" applyFont="1">
      <alignment horizontal="center"/>
    </xf>
    <xf borderId="0" fillId="0" fontId="4" numFmtId="0" xfId="0" applyAlignment="1" applyFont="1">
      <alignment horizontal="right" readingOrder="0"/>
    </xf>
    <xf borderId="0" fillId="7" fontId="17" numFmtId="0" xfId="0" applyAlignment="1" applyFill="1" applyFont="1">
      <alignment horizontal="center" readingOrder="0" vertical="bottom"/>
    </xf>
    <xf borderId="8" fillId="0" fontId="16" numFmtId="0" xfId="0" applyAlignment="1" applyBorder="1" applyFont="1">
      <alignment horizontal="right" readingOrder="0" shrinkToFit="0" vertical="bottom" wrapText="0"/>
    </xf>
    <xf borderId="0" fillId="0" fontId="8" numFmtId="0" xfId="0" applyAlignment="1" applyFont="1">
      <alignment horizontal="center" readingOrder="0" vertical="bottom"/>
    </xf>
    <xf borderId="9" fillId="7" fontId="9" numFmtId="0" xfId="0" applyAlignment="1" applyBorder="1" applyFill="1" applyFont="1">
      <alignment horizontal="center" vertical="center"/>
    </xf>
    <xf borderId="0" fillId="0" fontId="18" numFmtId="0" xfId="0" applyAlignment="1" applyFont="1">
      <alignment horizontal="left" readingOrder="0" shrinkToFit="0" vertical="top" wrapText="1"/>
    </xf>
    <xf borderId="0" fillId="0" fontId="14" numFmtId="0" xfId="0" applyAlignment="1" applyFont="1">
      <alignment readingOrder="0"/>
    </xf>
    <xf borderId="0" fillId="0" fontId="18" numFmtId="0" xfId="0" applyAlignment="1" applyFont="1">
      <alignment readingOrder="0" vertical="bottom"/>
    </xf>
    <xf borderId="0" fillId="0" fontId="18" numFmtId="0" xfId="0" applyAlignment="1" applyFont="1">
      <alignment vertical="bottom"/>
    </xf>
    <xf borderId="0" fillId="0" fontId="4" numFmtId="0" xfId="0" applyAlignment="1" applyFont="1">
      <alignment horizontal="center"/>
    </xf>
    <xf borderId="0" fillId="0" fontId="8" numFmtId="0" xfId="0" applyAlignment="1" applyFont="1">
      <alignment horizontal="center" vertical="bottom"/>
    </xf>
    <xf borderId="0" fillId="0" fontId="19" numFmtId="0" xfId="0" applyAlignment="1" applyFont="1">
      <alignment horizontal="center" readingOrder="0" vertical="bottom"/>
    </xf>
    <xf borderId="9" fillId="2" fontId="20" numFmtId="0" xfId="0" applyAlignment="1" applyBorder="1" applyFill="1" applyFont="1">
      <alignment horizontal="center" readingOrder="0" vertical="center"/>
    </xf>
    <xf borderId="0" fillId="0" fontId="8" numFmtId="0" xfId="0" applyAlignment="1" applyFont="1">
      <alignment horizontal="center" vertical="bottom"/>
    </xf>
    <xf borderId="0" fillId="0" fontId="3" numFmtId="0" xfId="0" applyAlignment="1" applyFont="1">
      <alignment horizontal="right" readingOrder="0"/>
    </xf>
    <xf borderId="0" fillId="2" fontId="8" numFmtId="164" xfId="0" applyAlignment="1" applyFill="1" applyFont="1" applyNumberFormat="1">
      <alignment horizontal="center" readingOrder="0" vertical="bottom"/>
    </xf>
    <xf borderId="0" fillId="7" fontId="8" numFmtId="0" xfId="0" applyAlignment="1" applyFill="1" applyFont="1">
      <alignment horizontal="right" readingOrder="0" vertical="bottom"/>
    </xf>
    <xf borderId="0" fillId="2" fontId="10" numFmtId="0" xfId="0" applyAlignment="1" applyFill="1" applyFont="1">
      <alignment horizontal="center" readingOrder="0" vertical="bottom"/>
    </xf>
    <xf borderId="9" fillId="3" fontId="20" numFmtId="0" xfId="0" applyAlignment="1" applyBorder="1" applyFill="1" applyFont="1">
      <alignment horizontal="center" readingOrder="0" vertical="center"/>
    </xf>
    <xf borderId="8" fillId="7" fontId="8" numFmtId="0" xfId="0" applyAlignment="1" applyBorder="1" applyFill="1" applyFont="1">
      <alignment horizontal="right" readingOrder="0" shrinkToFit="0" vertical="bottom" wrapText="0"/>
    </xf>
    <xf borderId="0" fillId="7" fontId="8" numFmtId="0" xfId="0" applyAlignment="1" applyFill="1" applyFont="1">
      <alignment horizontal="right" vertical="bottom"/>
    </xf>
    <xf borderId="0" fillId="0" fontId="3" numFmtId="0" xfId="0" applyAlignment="1" applyFont="1">
      <alignment horizontal="center" readingOrder="0"/>
    </xf>
    <xf borderId="0" fillId="2" fontId="8" numFmtId="0" xfId="0" applyAlignment="1" applyFill="1" applyFont="1">
      <alignment horizontal="center" readingOrder="0" vertical="bottom"/>
    </xf>
    <xf borderId="9" fillId="7" fontId="20" numFmtId="0" xfId="0" applyAlignment="1" applyBorder="1" applyFill="1" applyFont="1">
      <alignment horizontal="center" vertical="center"/>
    </xf>
    <xf borderId="0" fillId="4" fontId="8" numFmtId="0" xfId="0" applyAlignment="1" applyFill="1" applyFont="1">
      <alignment horizontal="center" vertical="bottom"/>
    </xf>
    <xf borderId="9" fillId="7" fontId="20" numFmtId="0" xfId="0" applyAlignment="1" applyBorder="1" applyFill="1" applyFont="1">
      <alignment horizontal="center" readingOrder="0" vertical="center"/>
    </xf>
    <xf borderId="0" fillId="0" fontId="8" numFmtId="165" xfId="0" applyAlignment="1" applyFont="1" applyNumberFormat="1">
      <alignment horizontal="center" readingOrder="0" vertical="bottom"/>
    </xf>
    <xf borderId="9" fillId="0" fontId="10" numFmtId="0" xfId="0" applyAlignment="1" applyBorder="1" applyFont="1">
      <alignment horizontal="center" readingOrder="0" vertical="bottom"/>
    </xf>
    <xf borderId="12" fillId="0" fontId="10" numFmtId="0" xfId="0" applyAlignment="1" applyBorder="1" applyFont="1">
      <alignment horizontal="center" vertical="bottom"/>
    </xf>
    <xf borderId="10" fillId="0" fontId="10" numFmtId="0" xfId="0" applyAlignment="1" applyBorder="1" applyFont="1">
      <alignment horizontal="center" vertical="bottom"/>
    </xf>
    <xf borderId="11" fillId="0" fontId="8" numFmtId="0" xfId="0" applyAlignment="1" applyBorder="1" applyFont="1">
      <alignment horizontal="center" vertical="bottom"/>
    </xf>
    <xf borderId="6" fillId="2" fontId="10" numFmtId="0" xfId="0" applyAlignment="1" applyBorder="1" applyFill="1" applyFont="1">
      <alignment horizontal="center" readingOrder="0" vertical="bottom"/>
    </xf>
    <xf borderId="7" fillId="3" fontId="10" numFmtId="0" xfId="0" applyAlignment="1" applyBorder="1" applyFill="1" applyFont="1">
      <alignment horizontal="center" readingOrder="0" vertical="bottom"/>
    </xf>
    <xf borderId="0" fillId="0" fontId="8" numFmtId="166" xfId="0" applyAlignment="1" applyFont="1" applyNumberFormat="1">
      <alignment readingOrder="0" vertical="bottom"/>
    </xf>
    <xf borderId="0" fillId="0" fontId="8" numFmtId="0" xfId="0" applyAlignment="1" applyFont="1">
      <alignment horizontal="center" readingOrder="0" vertical="center"/>
    </xf>
    <xf borderId="5" fillId="0" fontId="8" numFmtId="0" xfId="0" applyAlignment="1" applyBorder="1" applyFont="1">
      <alignment horizontal="center" readingOrder="0" vertical="bottom"/>
    </xf>
    <xf borderId="0" fillId="0" fontId="9" numFmtId="0" xfId="0" applyAlignment="1" applyFont="1">
      <alignment readingOrder="0" vertical="center"/>
    </xf>
    <xf borderId="0" fillId="0" fontId="4" numFmtId="0" xfId="0" applyAlignment="1" applyFont="1">
      <alignment vertical="center"/>
    </xf>
    <xf borderId="0" fillId="0" fontId="12" numFmtId="167" xfId="0" applyAlignment="1" applyFont="1" applyNumberFormat="1">
      <alignment vertical="center"/>
    </xf>
    <xf borderId="0" fillId="0" fontId="21" numFmtId="167" xfId="0" applyAlignment="1" applyFont="1" applyNumberFormat="1">
      <alignment horizontal="center" vertical="center"/>
    </xf>
    <xf borderId="0" fillId="0" fontId="8" numFmtId="0" xfId="0" applyAlignment="1" applyFont="1">
      <alignment horizontal="right" vertical="center"/>
    </xf>
    <xf borderId="0" fillId="0" fontId="10" numFmtId="167" xfId="0" applyAlignment="1" applyFont="1" applyNumberFormat="1">
      <alignment horizontal="center" vertical="center"/>
    </xf>
    <xf borderId="0" fillId="0" fontId="16" numFmtId="0" xfId="0" applyAlignment="1" applyFont="1">
      <alignment shrinkToFit="0" vertical="center" wrapText="1"/>
    </xf>
    <xf borderId="0" fillId="0" fontId="8" numFmtId="0" xfId="0" applyAlignment="1" applyFont="1">
      <alignment shrinkToFit="0" vertical="center" wrapText="1"/>
    </xf>
    <xf borderId="0" fillId="0" fontId="21" numFmtId="0" xfId="0" applyAlignment="1" applyFont="1">
      <alignment vertical="center"/>
    </xf>
    <xf borderId="0" fillId="0" fontId="8" numFmtId="167" xfId="0" applyAlignment="1" applyFont="1" applyNumberFormat="1">
      <alignment horizontal="left" vertical="center"/>
    </xf>
    <xf borderId="0" fillId="0" fontId="8" numFmtId="167" xfId="0" applyAlignment="1" applyFont="1" applyNumberFormat="1">
      <alignment vertical="center"/>
    </xf>
    <xf borderId="13" fillId="0" fontId="9" numFmtId="0" xfId="0" applyAlignment="1" applyBorder="1" applyFont="1">
      <alignment readingOrder="0" vertical="center"/>
    </xf>
    <xf borderId="13" fillId="0" fontId="8" numFmtId="0" xfId="0" applyAlignment="1" applyBorder="1" applyFont="1">
      <alignment vertical="center"/>
    </xf>
    <xf borderId="13" fillId="0" fontId="4" numFmtId="0" xfId="0" applyAlignment="1" applyBorder="1" applyFont="1">
      <alignment vertical="center"/>
    </xf>
    <xf borderId="13" fillId="0" fontId="12" numFmtId="167" xfId="0" applyAlignment="1" applyBorder="1" applyFont="1" applyNumberFormat="1">
      <alignment vertical="center"/>
    </xf>
    <xf borderId="13" fillId="0" fontId="21" numFmtId="167" xfId="0" applyAlignment="1" applyBorder="1" applyFont="1" applyNumberFormat="1">
      <alignment horizontal="center" vertical="center"/>
    </xf>
    <xf borderId="13" fillId="0" fontId="8" numFmtId="0" xfId="0" applyAlignment="1" applyBorder="1" applyFont="1">
      <alignment horizontal="right" vertical="center"/>
    </xf>
    <xf borderId="13" fillId="0" fontId="10" numFmtId="167" xfId="0" applyAlignment="1" applyBorder="1" applyFont="1" applyNumberFormat="1">
      <alignment horizontal="center" vertical="center"/>
    </xf>
    <xf borderId="13" fillId="0" fontId="16" numFmtId="0" xfId="0" applyAlignment="1" applyBorder="1" applyFont="1">
      <alignment shrinkToFit="0" vertical="center" wrapText="1"/>
    </xf>
    <xf borderId="13" fillId="0" fontId="8" numFmtId="0" xfId="0" applyAlignment="1" applyBorder="1" applyFont="1">
      <alignment shrinkToFit="0" vertical="center" wrapText="1"/>
    </xf>
    <xf borderId="13" fillId="0" fontId="21" numFmtId="0" xfId="0" applyAlignment="1" applyBorder="1" applyFont="1">
      <alignment vertical="center"/>
    </xf>
    <xf borderId="13" fillId="0" fontId="8" numFmtId="167" xfId="0" applyAlignment="1" applyBorder="1" applyFont="1" applyNumberFormat="1">
      <alignment horizontal="left" vertical="center"/>
    </xf>
    <xf borderId="14" fillId="8" fontId="9" numFmtId="0" xfId="0" applyAlignment="1" applyBorder="1" applyFill="1" applyFont="1">
      <alignment horizontal="center" readingOrder="0" vertical="center"/>
    </xf>
    <xf borderId="15" fillId="0" fontId="4" numFmtId="0" xfId="0" applyAlignment="1" applyBorder="1" applyFont="1">
      <alignment horizontal="center" vertical="center"/>
    </xf>
    <xf borderId="16" fillId="0" fontId="4" numFmtId="0" xfId="0" applyAlignment="1" applyBorder="1" applyFont="1">
      <alignment horizontal="center" vertical="center"/>
    </xf>
    <xf borderId="0" fillId="4" fontId="12" numFmtId="167" xfId="0" applyAlignment="1" applyFill="1" applyFont="1" applyNumberFormat="1">
      <alignment vertical="center"/>
    </xf>
    <xf borderId="0" fillId="4" fontId="8" numFmtId="0" xfId="0" applyAlignment="1" applyFill="1" applyFont="1">
      <alignment vertical="center"/>
    </xf>
    <xf borderId="0" fillId="4" fontId="21" numFmtId="167" xfId="0" applyAlignment="1" applyFill="1" applyFont="1" applyNumberFormat="1">
      <alignment horizontal="center" vertical="center"/>
    </xf>
    <xf borderId="17" fillId="4" fontId="22" numFmtId="0" xfId="0" applyAlignment="1" applyBorder="1" applyFill="1" applyFont="1">
      <alignment horizontal="center" readingOrder="0" vertical="center"/>
    </xf>
    <xf borderId="18" fillId="0" fontId="4" numFmtId="0" xfId="0" applyBorder="1" applyFont="1"/>
    <xf borderId="15" fillId="0" fontId="8" numFmtId="0" xfId="0" applyAlignment="1" applyBorder="1" applyFont="1">
      <alignment horizontal="right" vertical="center"/>
    </xf>
    <xf borderId="0" fillId="0" fontId="23" numFmtId="0" xfId="0" applyAlignment="1" applyFont="1">
      <alignment horizontal="center" readingOrder="0" vertical="center"/>
    </xf>
    <xf borderId="19" fillId="0" fontId="8" numFmtId="0" xfId="0" applyAlignment="1" applyBorder="1" applyFont="1">
      <alignment vertical="center"/>
    </xf>
    <xf borderId="0" fillId="0" fontId="24" numFmtId="167" xfId="0" applyAlignment="1" applyFont="1" applyNumberFormat="1">
      <alignment horizontal="center" readingOrder="0" vertical="center"/>
    </xf>
    <xf borderId="0" fillId="0" fontId="24" numFmtId="0" xfId="0" applyAlignment="1" applyFont="1">
      <alignment horizontal="center" readingOrder="0" vertical="center"/>
    </xf>
    <xf borderId="20" fillId="4" fontId="8" numFmtId="0" xfId="0" applyAlignment="1" applyBorder="1" applyFill="1" applyFont="1">
      <alignment vertical="center"/>
    </xf>
    <xf borderId="21" fillId="0" fontId="8" numFmtId="0" xfId="0" applyAlignment="1" applyBorder="1" applyFont="1">
      <alignment horizontal="center" vertical="center"/>
    </xf>
    <xf borderId="0" fillId="4" fontId="10" numFmtId="0" xfId="0" applyAlignment="1" applyFill="1" applyFont="1">
      <alignment readingOrder="0" vertical="center"/>
    </xf>
    <xf borderId="22" fillId="4" fontId="25" numFmtId="0" xfId="0" applyAlignment="1" applyBorder="1" applyFill="1" applyFont="1">
      <alignment horizontal="center" readingOrder="0" vertical="center"/>
    </xf>
    <xf borderId="2" fillId="4" fontId="25" numFmtId="0" xfId="0" applyAlignment="1" applyBorder="1" applyFill="1" applyFont="1">
      <alignment horizontal="center" readingOrder="0" vertical="center"/>
    </xf>
    <xf borderId="0" fillId="0" fontId="15" numFmtId="0" xfId="0" applyAlignment="1" applyFont="1">
      <alignment horizontal="center" readingOrder="0" shrinkToFit="0" vertical="center" wrapText="1"/>
    </xf>
    <xf borderId="0" fillId="9" fontId="21" numFmtId="0" xfId="0" applyAlignment="1" applyFill="1" applyFont="1">
      <alignment readingOrder="0" vertical="center"/>
    </xf>
    <xf borderId="0" fillId="0" fontId="8" numFmtId="167" xfId="0" applyAlignment="1" applyFont="1" applyNumberFormat="1">
      <alignment horizontal="left" readingOrder="0" vertical="center"/>
    </xf>
    <xf borderId="20" fillId="2" fontId="10" numFmtId="0" xfId="0" applyAlignment="1" applyBorder="1" applyFill="1" applyFont="1">
      <alignment horizontal="right" readingOrder="0" vertical="center"/>
    </xf>
    <xf borderId="21" fillId="0" fontId="8" numFmtId="167" xfId="0" applyAlignment="1" applyBorder="1" applyFont="1" applyNumberFormat="1">
      <alignment horizontal="center" readingOrder="0" vertical="center"/>
    </xf>
    <xf borderId="0" fillId="0" fontId="21" numFmtId="0" xfId="0" applyAlignment="1" applyFont="1">
      <alignment horizontal="right" readingOrder="0" vertical="center"/>
    </xf>
    <xf borderId="0" fillId="0" fontId="21" numFmtId="167" xfId="0" applyAlignment="1" applyFont="1" applyNumberFormat="1">
      <alignment horizontal="center" readingOrder="0" vertical="center"/>
    </xf>
    <xf borderId="22" fillId="0" fontId="24" numFmtId="0" xfId="0" applyAlignment="1" applyBorder="1" applyFont="1">
      <alignment horizontal="center" readingOrder="0" vertical="center"/>
    </xf>
    <xf borderId="23" fillId="0" fontId="24" numFmtId="0" xfId="0" applyAlignment="1" applyBorder="1" applyFont="1">
      <alignment horizontal="center" readingOrder="0" vertical="center"/>
    </xf>
    <xf borderId="0" fillId="6" fontId="21" numFmtId="0" xfId="0" applyAlignment="1" applyFill="1" applyFont="1">
      <alignment vertical="center"/>
    </xf>
    <xf borderId="0" fillId="0" fontId="24" numFmtId="167" xfId="0" applyAlignment="1" applyFont="1" applyNumberFormat="1">
      <alignment horizontal="center" vertical="center"/>
    </xf>
    <xf borderId="20" fillId="0" fontId="8" numFmtId="0" xfId="0" applyAlignment="1" applyBorder="1" applyFont="1">
      <alignment horizontal="center" readingOrder="0" vertical="center"/>
    </xf>
    <xf borderId="0" fillId="10" fontId="8" numFmtId="0" xfId="0" applyAlignment="1" applyFill="1" applyFont="1">
      <alignment horizontal="center" readingOrder="0" vertical="center"/>
    </xf>
    <xf borderId="22" fillId="0" fontId="24" numFmtId="0" xfId="0" applyAlignment="1" applyBorder="1" applyFont="1">
      <alignment horizontal="center" vertical="center"/>
    </xf>
    <xf borderId="0" fillId="0" fontId="8" numFmtId="0" xfId="0" applyAlignment="1" applyFont="1">
      <alignment horizontal="right" readingOrder="0" shrinkToFit="0" vertical="center" wrapText="0"/>
    </xf>
    <xf borderId="8" fillId="0" fontId="21" numFmtId="0" xfId="0" applyAlignment="1" applyBorder="1" applyFont="1">
      <alignment horizontal="right" readingOrder="0" shrinkToFit="0" vertical="center" wrapText="0"/>
    </xf>
    <xf borderId="20" fillId="3" fontId="10" numFmtId="0" xfId="0" applyAlignment="1" applyBorder="1" applyFill="1" applyFont="1">
      <alignment horizontal="right" readingOrder="0" vertical="center"/>
    </xf>
    <xf borderId="21" fillId="0" fontId="8" numFmtId="167" xfId="0" applyAlignment="1" applyBorder="1" applyFont="1" applyNumberFormat="1">
      <alignment horizontal="center" vertical="center"/>
    </xf>
    <xf borderId="23" fillId="0" fontId="24" numFmtId="0" xfId="0" applyAlignment="1" applyBorder="1" applyFont="1">
      <alignment horizontal="center" vertical="center"/>
    </xf>
    <xf borderId="0" fillId="0" fontId="21" numFmtId="0" xfId="0" applyAlignment="1" applyFont="1">
      <alignment horizontal="right" vertical="center"/>
    </xf>
    <xf borderId="20" fillId="0" fontId="8" numFmtId="0" xfId="0" applyAlignment="1" applyBorder="1" applyFont="1">
      <alignment horizontal="right" vertical="center"/>
    </xf>
    <xf borderId="0" fillId="0" fontId="8" numFmtId="0" xfId="0" applyAlignment="1" applyFont="1">
      <alignment horizontal="right" readingOrder="0" vertical="center"/>
    </xf>
    <xf borderId="0" fillId="0" fontId="16" numFmtId="0" xfId="0" applyAlignment="1" applyFont="1">
      <alignment readingOrder="0" shrinkToFit="0" vertical="center" wrapText="1"/>
    </xf>
    <xf borderId="0" fillId="9" fontId="21" numFmtId="0" xfId="0" applyAlignment="1" applyFill="1" applyFont="1">
      <alignment vertical="center"/>
    </xf>
    <xf borderId="20" fillId="0" fontId="11" numFmtId="0" xfId="0" applyAlignment="1" applyBorder="1" applyFont="1">
      <alignment horizontal="right" readingOrder="0" shrinkToFit="0" vertical="center" wrapText="1"/>
    </xf>
    <xf borderId="21" fillId="2" fontId="26" numFmtId="167" xfId="0" applyAlignment="1" applyBorder="1" applyFill="1" applyFont="1" applyNumberFormat="1">
      <alignment horizontal="center" readingOrder="0" vertical="center"/>
    </xf>
    <xf borderId="20" fillId="0" fontId="4" numFmtId="0" xfId="0" applyBorder="1" applyFont="1"/>
    <xf borderId="21" fillId="0" fontId="4" numFmtId="0" xfId="0" applyBorder="1" applyFont="1"/>
    <xf borderId="0" fillId="0" fontId="8" numFmtId="0" xfId="0" applyAlignment="1" applyFont="1">
      <alignment readingOrder="0" shrinkToFit="0" vertical="center" wrapText="1"/>
    </xf>
    <xf borderId="20" fillId="0" fontId="27" numFmtId="0" xfId="0" applyAlignment="1" applyBorder="1" applyFont="1">
      <alignment horizontal="right" readingOrder="0" vertical="center"/>
    </xf>
    <xf borderId="0" fillId="0" fontId="8" numFmtId="167" xfId="0" applyAlignment="1" applyFont="1" applyNumberFormat="1">
      <alignment horizontal="center" readingOrder="0" vertical="center"/>
    </xf>
    <xf borderId="20" fillId="0" fontId="10" numFmtId="0" xfId="0" applyAlignment="1" applyBorder="1" applyFont="1">
      <alignment horizontal="right" readingOrder="0" vertical="center"/>
    </xf>
    <xf borderId="15" fillId="0" fontId="8" numFmtId="167" xfId="0" applyAlignment="1" applyBorder="1" applyFont="1" applyNumberFormat="1">
      <alignment horizontal="center" readingOrder="0" vertical="center"/>
    </xf>
    <xf borderId="16" fillId="0" fontId="4" numFmtId="0" xfId="0" applyBorder="1" applyFont="1"/>
    <xf borderId="20" fillId="0" fontId="3" numFmtId="0" xfId="0" applyAlignment="1" applyBorder="1" applyFont="1">
      <alignment horizontal="right" readingOrder="0" vertical="center"/>
    </xf>
    <xf borderId="5" fillId="0" fontId="8" numFmtId="167" xfId="0" applyAlignment="1" applyBorder="1" applyFont="1" applyNumberFormat="1">
      <alignment horizontal="center" readingOrder="0" vertical="center"/>
    </xf>
    <xf borderId="24" fillId="0" fontId="4" numFmtId="0" xfId="0" applyBorder="1" applyFont="1"/>
    <xf borderId="25" fillId="0" fontId="10" numFmtId="0" xfId="0" applyAlignment="1" applyBorder="1" applyFont="1">
      <alignment horizontal="right" readingOrder="0" vertical="center"/>
    </xf>
    <xf borderId="13" fillId="0" fontId="8" numFmtId="167" xfId="0" applyAlignment="1" applyBorder="1" applyFont="1" applyNumberFormat="1">
      <alignment horizontal="center" readingOrder="0" vertical="center"/>
    </xf>
    <xf borderId="26" fillId="0" fontId="4" numFmtId="0" xfId="0" applyBorder="1" applyFont="1"/>
    <xf borderId="0" fillId="0" fontId="8" numFmtId="0" xfId="0" applyAlignment="1" applyFont="1">
      <alignment horizontal="right" vertical="center"/>
    </xf>
    <xf borderId="0" fillId="0" fontId="21" numFmtId="0" xfId="0" applyAlignment="1" applyFont="1">
      <alignment horizontal="right" vertical="center"/>
    </xf>
    <xf borderId="0" fillId="11" fontId="3" numFmtId="0" xfId="0" applyAlignment="1" applyFill="1" applyFont="1">
      <alignment horizontal="right" readingOrder="0" shrinkToFit="0" vertical="center" wrapText="1"/>
    </xf>
    <xf borderId="1" fillId="11" fontId="4" numFmtId="167" xfId="0" applyAlignment="1" applyBorder="1" applyFill="1" applyFont="1" applyNumberFormat="1">
      <alignment readingOrder="0" vertical="center"/>
    </xf>
    <xf borderId="0" fillId="11" fontId="10" numFmtId="0" xfId="0" applyAlignment="1" applyFill="1" applyFont="1">
      <alignment horizontal="center" readingOrder="0" vertical="center"/>
    </xf>
    <xf borderId="0" fillId="0" fontId="28" numFmtId="0" xfId="0" applyAlignment="1" applyFont="1">
      <alignment horizontal="center" readingOrder="0" shrinkToFit="0" vertical="center" wrapText="1"/>
    </xf>
    <xf borderId="0" fillId="11" fontId="16" numFmtId="167" xfId="0" applyAlignment="1" applyFill="1" applyFont="1" applyNumberFormat="1">
      <alignment horizontal="center" readingOrder="0" vertical="center"/>
    </xf>
    <xf borderId="0" fillId="0" fontId="12" numFmtId="167" xfId="0" applyAlignment="1" applyFont="1" applyNumberFormat="1">
      <alignment readingOrder="0" vertical="center"/>
    </xf>
    <xf borderId="0" fillId="11" fontId="16" numFmtId="167" xfId="0" applyAlignment="1" applyFill="1" applyFont="1" applyNumberFormat="1">
      <alignment horizontal="center" vertical="center"/>
    </xf>
    <xf borderId="0" fillId="9" fontId="29" numFmtId="0" xfId="0" applyAlignment="1" applyFill="1" applyFont="1">
      <alignment vertical="center"/>
    </xf>
    <xf borderId="0" fillId="6" fontId="21" numFmtId="0" xfId="0" applyAlignment="1" applyFill="1" applyFont="1">
      <alignment readingOrder="0" vertical="center"/>
    </xf>
    <xf borderId="0" fillId="0" fontId="8" numFmtId="0" xfId="0" applyAlignment="1" applyFont="1">
      <alignment readingOrder="0" vertical="center"/>
    </xf>
    <xf borderId="0" fillId="0" fontId="8" numFmtId="0" xfId="0" applyAlignment="1" applyFont="1">
      <alignment vertical="center"/>
    </xf>
    <xf borderId="0" fillId="0" fontId="4" numFmtId="167" xfId="0" applyAlignment="1" applyFont="1" applyNumberFormat="1">
      <alignment horizontal="left" vertical="center"/>
    </xf>
    <xf borderId="19" fillId="0" fontId="4" numFmtId="0" xfId="0" applyAlignment="1" applyBorder="1" applyFont="1">
      <alignment vertical="center"/>
    </xf>
    <xf borderId="0" fillId="0" fontId="4" numFmtId="167" xfId="0" applyAlignment="1" applyFont="1" applyNumberFormat="1">
      <alignment vertical="center"/>
    </xf>
    <xf borderId="0" fillId="0" fontId="4" numFmtId="0" xfId="0" applyAlignment="1" applyFont="1">
      <alignment horizontal="center" vertical="center"/>
    </xf>
    <xf borderId="0" fillId="11" fontId="30" numFmtId="167" xfId="0" applyAlignment="1" applyFill="1" applyFont="1" applyNumberFormat="1">
      <alignment horizontal="center" vertical="center"/>
    </xf>
    <xf borderId="0" fillId="0" fontId="14" numFmtId="167" xfId="0" applyAlignment="1" applyFont="1" applyNumberFormat="1">
      <alignment vertical="center"/>
    </xf>
    <xf borderId="0" fillId="0" fontId="29" numFmtId="0" xfId="0" applyAlignment="1" applyFont="1">
      <alignment horizontal="right" readingOrder="0" vertical="center"/>
    </xf>
    <xf borderId="0" fillId="0" fontId="29" numFmtId="167" xfId="0" applyAlignment="1" applyFont="1" applyNumberFormat="1">
      <alignment horizontal="center" readingOrder="0" vertical="center"/>
    </xf>
    <xf borderId="22" fillId="0" fontId="31" numFmtId="0" xfId="0" applyAlignment="1" applyBorder="1" applyFont="1">
      <alignment horizontal="center" vertical="center"/>
    </xf>
    <xf borderId="23" fillId="0" fontId="31" numFmtId="0" xfId="0" applyAlignment="1" applyBorder="1" applyFont="1">
      <alignment horizontal="center" vertical="center"/>
    </xf>
    <xf borderId="0" fillId="0" fontId="4" numFmtId="0" xfId="0" applyAlignment="1" applyFont="1">
      <alignment shrinkToFit="0" vertical="center" wrapText="1"/>
    </xf>
    <xf borderId="0" fillId="0" fontId="4" numFmtId="0" xfId="0" applyAlignment="1" applyFont="1">
      <alignment horizontal="right" vertical="center"/>
    </xf>
    <xf borderId="0" fillId="0" fontId="30" numFmtId="0" xfId="0" applyAlignment="1" applyFont="1">
      <alignment shrinkToFit="0" vertical="center" wrapText="1"/>
    </xf>
    <xf borderId="0" fillId="0" fontId="29" numFmtId="0" xfId="0" applyAlignment="1" applyFont="1">
      <alignment vertical="center"/>
    </xf>
    <xf borderId="0" fillId="0" fontId="3" numFmtId="167" xfId="0" applyAlignment="1" applyFont="1" applyNumberFormat="1">
      <alignment horizontal="center" vertical="center"/>
    </xf>
    <xf borderId="22" fillId="0" fontId="31" numFmtId="0" xfId="0" applyAlignment="1" applyBorder="1" applyFont="1">
      <alignment horizontal="center" readingOrder="0" vertical="center"/>
    </xf>
    <xf borderId="0" fillId="0" fontId="31" numFmtId="0" xfId="0" applyAlignment="1" applyFont="1">
      <alignment horizontal="center" readingOrder="0" vertical="center"/>
    </xf>
    <xf borderId="0" fillId="0" fontId="31" numFmtId="0" xfId="0" applyAlignment="1" applyFont="1">
      <alignment horizontal="center" vertical="center"/>
    </xf>
    <xf borderId="27" fillId="0" fontId="9" numFmtId="0" xfId="0" applyAlignment="1" applyBorder="1" applyFont="1">
      <alignment readingOrder="0" vertical="center"/>
    </xf>
    <xf borderId="27" fillId="0" fontId="4" numFmtId="0" xfId="0" applyAlignment="1" applyBorder="1" applyFont="1">
      <alignment horizontal="center" vertical="center"/>
    </xf>
    <xf borderId="27" fillId="0" fontId="12" numFmtId="167" xfId="0" applyAlignment="1" applyBorder="1" applyFont="1" applyNumberFormat="1">
      <alignment vertical="center"/>
    </xf>
    <xf borderId="27" fillId="0" fontId="8" numFmtId="0" xfId="0" applyAlignment="1" applyBorder="1" applyFont="1">
      <alignment vertical="center"/>
    </xf>
    <xf borderId="27" fillId="0" fontId="21" numFmtId="167" xfId="0" applyAlignment="1" applyBorder="1" applyFont="1" applyNumberFormat="1">
      <alignment horizontal="center" vertical="center"/>
    </xf>
    <xf borderId="27" fillId="0" fontId="8" numFmtId="0" xfId="0" applyAlignment="1" applyBorder="1" applyFont="1">
      <alignment horizontal="right" vertical="center"/>
    </xf>
    <xf borderId="27" fillId="0" fontId="10" numFmtId="167" xfId="0" applyAlignment="1" applyBorder="1" applyFont="1" applyNumberFormat="1">
      <alignment horizontal="center" vertical="center"/>
    </xf>
    <xf borderId="27" fillId="0" fontId="16" numFmtId="0" xfId="0" applyAlignment="1" applyBorder="1" applyFont="1">
      <alignment shrinkToFit="0" vertical="center" wrapText="1"/>
    </xf>
    <xf borderId="27" fillId="0" fontId="8" numFmtId="0" xfId="0" applyAlignment="1" applyBorder="1" applyFont="1">
      <alignment shrinkToFit="0" vertical="center" wrapText="1"/>
    </xf>
    <xf borderId="27" fillId="0" fontId="21" numFmtId="0" xfId="0" applyAlignment="1" applyBorder="1" applyFont="1">
      <alignment vertical="center"/>
    </xf>
    <xf borderId="27" fillId="0" fontId="8" numFmtId="167" xfId="0" applyAlignment="1" applyBorder="1" applyFont="1" applyNumberFormat="1">
      <alignment horizontal="left" vertical="center"/>
    </xf>
    <xf borderId="14" fillId="0" fontId="9" numFmtId="0" xfId="0" applyAlignment="1" applyBorder="1" applyFont="1">
      <alignment readingOrder="0" vertical="center"/>
    </xf>
    <xf borderId="20" fillId="8" fontId="9" numFmtId="0" xfId="0" applyAlignment="1" applyBorder="1" applyFill="1" applyFont="1">
      <alignment horizontal="center" readingOrder="0" vertical="center"/>
    </xf>
    <xf borderId="0" fillId="4" fontId="22" numFmtId="0" xfId="0" applyAlignment="1" applyFill="1" applyFont="1">
      <alignment horizontal="center" readingOrder="0" vertical="center"/>
    </xf>
    <xf borderId="0" fillId="0" fontId="12" numFmtId="0" xfId="0" applyAlignment="1" applyFont="1">
      <alignment horizontal="right" readingOrder="0" vertical="center"/>
    </xf>
    <xf borderId="21" fillId="3" fontId="26" numFmtId="167" xfId="0" applyAlignment="1" applyBorder="1" applyFill="1" applyFont="1" applyNumberFormat="1">
      <alignment horizontal="center" readingOrder="0" vertical="center"/>
    </xf>
    <xf borderId="0" fillId="0" fontId="10" numFmtId="0" xfId="0" applyAlignment="1" applyFont="1">
      <alignment horizontal="right" readingOrder="0" vertical="center"/>
    </xf>
    <xf borderId="0" fillId="0" fontId="14" numFmtId="0" xfId="0" applyAlignment="1" applyFont="1">
      <alignment horizontal="right" readingOrder="0" vertical="center"/>
    </xf>
    <xf borderId="0" fillId="0" fontId="14" numFmtId="0" xfId="0" applyAlignment="1" applyFont="1">
      <alignment horizontal="right" vertical="center"/>
    </xf>
    <xf borderId="0" fillId="0" fontId="29" numFmtId="167" xfId="0" applyAlignment="1" applyFont="1" applyNumberFormat="1">
      <alignment horizontal="center" vertical="center"/>
    </xf>
    <xf borderId="0" fillId="0" fontId="32" numFmtId="0" xfId="0" applyAlignment="1" applyFont="1">
      <alignment readingOrder="0" vertical="center"/>
    </xf>
    <xf borderId="0" fillId="0" fontId="12" numFmtId="0" xfId="0" applyAlignment="1" applyFont="1">
      <alignment vertical="center"/>
    </xf>
    <xf borderId="0" fillId="0" fontId="8" numFmtId="167" xfId="0" applyAlignment="1" applyFont="1" applyNumberFormat="1">
      <alignment horizontal="center" vertical="center"/>
    </xf>
    <xf borderId="27" fillId="0" fontId="8" numFmtId="0" xfId="0" applyAlignment="1" applyBorder="1" applyFont="1">
      <alignment horizontal="center" vertical="center"/>
    </xf>
    <xf borderId="27" fillId="0" fontId="8" numFmtId="0" xfId="0" applyAlignment="1" applyBorder="1" applyFont="1">
      <alignment horizontal="center" readingOrder="0" vertical="center"/>
    </xf>
    <xf borderId="27" fillId="0" fontId="8" numFmtId="167" xfId="0" applyAlignment="1" applyBorder="1" applyFont="1" applyNumberFormat="1">
      <alignment horizontal="center" vertical="center"/>
    </xf>
    <xf borderId="27" fillId="0" fontId="21" numFmtId="0" xfId="0" applyAlignment="1" applyBorder="1" applyFont="1">
      <alignment horizontal="center" readingOrder="0" vertical="center"/>
    </xf>
    <xf borderId="14" fillId="0" fontId="8" numFmtId="0" xfId="0" applyAlignment="1" applyBorder="1" applyFont="1">
      <alignment horizontal="right" readingOrder="0" vertical="center"/>
    </xf>
    <xf borderId="15" fillId="0" fontId="8" numFmtId="0" xfId="0" applyAlignment="1" applyBorder="1" applyFont="1">
      <alignment horizontal="center" readingOrder="0" vertical="center"/>
    </xf>
    <xf borderId="0" fillId="0" fontId="32" numFmtId="0" xfId="0" applyAlignment="1" applyFont="1">
      <alignment vertical="center"/>
    </xf>
    <xf borderId="21" fillId="0" fontId="4" numFmtId="0" xfId="0" applyAlignment="1" applyBorder="1" applyFont="1">
      <alignment horizontal="center" vertical="center"/>
    </xf>
    <xf borderId="0" fillId="4" fontId="10" numFmtId="0" xfId="0" applyAlignment="1" applyFill="1" applyFont="1">
      <alignment horizontal="center" readingOrder="0" vertical="center"/>
    </xf>
    <xf borderId="21" fillId="0" fontId="8" numFmtId="0" xfId="0" applyAlignment="1" applyBorder="1" applyFont="1">
      <alignment horizontal="center" readingOrder="0" vertical="center"/>
    </xf>
    <xf borderId="15" fillId="3" fontId="8" numFmtId="167" xfId="0" applyAlignment="1" applyBorder="1" applyFill="1" applyFont="1" applyNumberFormat="1">
      <alignment horizontal="center" readingOrder="0" vertical="center"/>
    </xf>
    <xf borderId="0" fillId="7" fontId="12" numFmtId="0" xfId="0" applyAlignment="1" applyFill="1" applyFont="1">
      <alignment horizontal="right" readingOrder="0" vertical="center"/>
    </xf>
    <xf borderId="0" fillId="7" fontId="21" numFmtId="167" xfId="0" applyAlignment="1" applyFill="1" applyFont="1" applyNumberFormat="1">
      <alignment horizontal="center" readingOrder="0" vertical="center"/>
    </xf>
    <xf borderId="0" fillId="0" fontId="12" numFmtId="0" xfId="0" applyAlignment="1" applyFont="1">
      <alignment horizontal="right" vertical="center"/>
    </xf>
    <xf borderId="0" fillId="0" fontId="30" numFmtId="0" xfId="0" applyAlignment="1" applyFont="1">
      <alignment readingOrder="0" shrinkToFit="0" vertical="center" wrapText="1"/>
    </xf>
    <xf borderId="0" fillId="0" fontId="3" numFmtId="167" xfId="0" applyAlignment="1" applyFont="1" applyNumberFormat="1">
      <alignment horizontal="center" readingOrder="0" vertical="center"/>
    </xf>
    <xf borderId="22" fillId="2" fontId="24" numFmtId="0" xfId="0" applyAlignment="1" applyBorder="1" applyFill="1" applyFont="1">
      <alignment horizontal="center" readingOrder="0" vertical="center"/>
    </xf>
    <xf borderId="0" fillId="5" fontId="24" numFmtId="0" xfId="0" applyAlignment="1" applyFill="1" applyFont="1">
      <alignment horizontal="center" readingOrder="0" vertical="center"/>
    </xf>
    <xf borderId="0" fillId="0" fontId="33" numFmtId="0" xfId="0" applyAlignment="1" applyFont="1">
      <alignment horizontal="right" readingOrder="0" vertical="center"/>
    </xf>
    <xf borderId="0" fillId="12" fontId="18" numFmtId="0" xfId="0" applyAlignment="1" applyFill="1" applyFont="1">
      <alignment horizontal="right" readingOrder="0" vertical="center"/>
    </xf>
    <xf borderId="22" fillId="2" fontId="31" numFmtId="0" xfId="0" applyAlignment="1" applyBorder="1" applyFill="1" applyFont="1">
      <alignment horizontal="center" readingOrder="0" vertical="center"/>
    </xf>
    <xf borderId="0" fillId="0" fontId="12" numFmtId="0" xfId="0" applyAlignment="1" applyFont="1">
      <alignment readingOrder="0" vertical="center"/>
    </xf>
    <xf borderId="13" fillId="0" fontId="12" numFmtId="0" xfId="0" applyAlignment="1" applyBorder="1" applyFont="1">
      <alignment vertical="center"/>
    </xf>
    <xf borderId="22" fillId="3" fontId="24" numFmtId="0" xfId="0" applyAlignment="1" applyBorder="1" applyFill="1" applyFont="1">
      <alignment horizontal="center" readingOrder="0" vertical="center"/>
    </xf>
    <xf borderId="0" fillId="7" fontId="14" numFmtId="0" xfId="0" applyAlignment="1" applyFill="1" applyFont="1">
      <alignment horizontal="right" readingOrder="0" vertical="center"/>
    </xf>
    <xf borderId="23" fillId="3" fontId="31" numFmtId="0" xfId="0" applyAlignment="1" applyBorder="1" applyFill="1" applyFont="1">
      <alignment horizontal="center" readingOrder="0" vertical="center"/>
    </xf>
    <xf borderId="0" fillId="5" fontId="8" numFmtId="167" xfId="0" applyAlignment="1" applyFill="1" applyFont="1" applyNumberFormat="1">
      <alignment horizontal="left" readingOrder="0" vertical="center"/>
    </xf>
    <xf borderId="0" fillId="0" fontId="30" numFmtId="0" xfId="0" applyAlignment="1" applyFont="1">
      <alignment vertical="center"/>
    </xf>
    <xf borderId="22" fillId="3" fontId="31" numFmtId="0" xfId="0" applyAlignment="1" applyBorder="1" applyFill="1" applyFont="1">
      <alignment horizontal="center" readingOrder="0" vertical="center"/>
    </xf>
    <xf borderId="0" fillId="11" fontId="34" numFmtId="0" xfId="0" applyAlignment="1" applyFill="1" applyFont="1">
      <alignment horizontal="right" readingOrder="0" shrinkToFit="0" vertical="center" wrapText="1"/>
    </xf>
    <xf borderId="4" fillId="0" fontId="24" numFmtId="167" xfId="0" applyAlignment="1" applyBorder="1" applyFont="1" applyNumberFormat="1">
      <alignment horizontal="center" readingOrder="0" vertical="center"/>
    </xf>
    <xf borderId="4" fillId="0" fontId="30" numFmtId="0" xfId="0" applyAlignment="1" applyBorder="1" applyFont="1">
      <alignment readingOrder="0" shrinkToFit="0" vertical="center" wrapText="1"/>
    </xf>
    <xf borderId="0" fillId="0" fontId="16" numFmtId="0" xfId="0" applyAlignment="1" applyFont="1">
      <alignment horizontal="right" readingOrder="0" vertical="center"/>
    </xf>
    <xf borderId="0" fillId="0" fontId="35" numFmtId="0" xfId="0" applyAlignment="1" applyFont="1">
      <alignment readingOrder="0" shrinkToFit="0" vertical="center" wrapText="1"/>
    </xf>
    <xf borderId="0" fillId="0" fontId="30" numFmtId="0" xfId="0" applyAlignment="1" applyFont="1">
      <alignment horizontal="right" readingOrder="0" vertical="center"/>
    </xf>
    <xf borderId="0" fillId="0" fontId="4" numFmtId="0" xfId="0" applyAlignment="1" applyFont="1">
      <alignment horizontal="right" readingOrder="0" vertical="center"/>
    </xf>
    <xf borderId="0" fillId="0" fontId="4" numFmtId="167" xfId="0" applyAlignment="1" applyFont="1" applyNumberFormat="1">
      <alignment horizontal="center" vertical="center"/>
    </xf>
    <xf borderId="5" fillId="13" fontId="5" numFmtId="0" xfId="0" applyAlignment="1" applyBorder="1" applyFill="1" applyFont="1">
      <alignment horizontal="center" readingOrder="0" vertical="center"/>
    </xf>
    <xf borderId="4" fillId="0" fontId="4" numFmtId="0" xfId="0" applyBorder="1" applyFont="1"/>
    <xf borderId="22" fillId="0" fontId="9" numFmtId="167" xfId="0" applyAlignment="1" applyBorder="1" applyFont="1" applyNumberFormat="1">
      <alignment horizontal="right" readingOrder="0" vertical="center"/>
    </xf>
    <xf borderId="0" fillId="2" fontId="5" numFmtId="167" xfId="0" applyAlignment="1" applyFill="1" applyFont="1" applyNumberFormat="1">
      <alignment vertical="center"/>
    </xf>
    <xf borderId="2" fillId="0" fontId="5" numFmtId="0" xfId="0" applyAlignment="1" applyBorder="1" applyFont="1">
      <alignment horizontal="left" vertical="center"/>
    </xf>
    <xf borderId="0" fillId="0" fontId="29" numFmtId="0" xfId="0" applyAlignment="1" applyFont="1">
      <alignment horizontal="center" vertical="center"/>
    </xf>
    <xf borderId="0" fillId="0" fontId="36" numFmtId="0" xfId="0" applyAlignment="1" applyFont="1">
      <alignment vertical="center"/>
    </xf>
    <xf borderId="0" fillId="0" fontId="9" numFmtId="0" xfId="0" applyAlignment="1" applyFont="1">
      <alignment horizontal="center" readingOrder="0" vertical="center"/>
    </xf>
    <xf borderId="0" fillId="0" fontId="36" numFmtId="167" xfId="0" applyAlignment="1" applyFont="1" applyNumberFormat="1">
      <alignment vertical="center"/>
    </xf>
    <xf borderId="22" fillId="0" fontId="33" numFmtId="167" xfId="0" applyAlignment="1" applyBorder="1" applyFont="1" applyNumberFormat="1">
      <alignment horizontal="right" readingOrder="0" vertical="center"/>
    </xf>
    <xf borderId="0" fillId="0" fontId="3" numFmtId="0" xfId="0" applyAlignment="1" applyFont="1">
      <alignment horizontal="left" vertical="center"/>
    </xf>
    <xf borderId="0" fillId="0" fontId="37" numFmtId="167" xfId="0" applyAlignment="1" applyFont="1" applyNumberFormat="1">
      <alignment vertical="center"/>
    </xf>
    <xf borderId="2" fillId="0" fontId="3" numFmtId="0" xfId="0" applyAlignment="1" applyBorder="1" applyFont="1">
      <alignment horizontal="left" vertical="center"/>
    </xf>
    <xf borderId="0" fillId="0" fontId="3" numFmtId="167" xfId="0" applyAlignment="1" applyFont="1" applyNumberFormat="1">
      <alignment horizontal="left" vertical="center"/>
    </xf>
    <xf borderId="2" fillId="0" fontId="3" numFmtId="167" xfId="0" applyAlignment="1" applyBorder="1" applyFont="1" applyNumberFormat="1">
      <alignment horizontal="left" vertical="center"/>
    </xf>
    <xf borderId="0" fillId="0" fontId="4" numFmtId="0" xfId="0" applyAlignment="1" applyFont="1">
      <alignment readingOrder="0" vertical="center"/>
    </xf>
    <xf borderId="0" fillId="0" fontId="24" numFmtId="0" xfId="0" applyAlignment="1" applyFont="1">
      <alignment horizontal="right" readingOrder="0" vertical="center"/>
    </xf>
    <xf borderId="2" fillId="0" fontId="3" numFmtId="167" xfId="0" applyAlignment="1" applyBorder="1" applyFont="1" applyNumberFormat="1">
      <alignment horizontal="left" readingOrder="0" vertical="center"/>
    </xf>
    <xf borderId="0" fillId="0" fontId="3" numFmtId="167" xfId="0" applyAlignment="1" applyFont="1" applyNumberFormat="1">
      <alignment horizontal="left" readingOrder="0" vertical="center"/>
    </xf>
    <xf borderId="22" fillId="0" fontId="33" numFmtId="0" xfId="0" applyAlignment="1" applyBorder="1" applyFont="1">
      <alignment horizontal="right" readingOrder="0" vertical="center"/>
    </xf>
    <xf borderId="0" fillId="0" fontId="3" numFmtId="0" xfId="0" applyAlignment="1" applyFont="1">
      <alignment horizontal="right" readingOrder="0" vertical="center"/>
    </xf>
    <xf borderId="22" fillId="0" fontId="6" numFmtId="0" xfId="0" applyAlignment="1" applyBorder="1" applyFont="1">
      <alignment vertical="center"/>
    </xf>
    <xf borderId="0" fillId="0" fontId="6" numFmtId="0" xfId="0" applyAlignment="1" applyFont="1">
      <alignment readingOrder="0" vertical="center"/>
    </xf>
    <xf borderId="0" fillId="0" fontId="6" numFmtId="167" xfId="0" applyAlignment="1" applyFont="1" applyNumberFormat="1">
      <alignment vertical="center"/>
    </xf>
    <xf borderId="22" fillId="0" fontId="6" numFmtId="0" xfId="0" applyAlignment="1" applyBorder="1" applyFont="1">
      <alignment horizontal="right" readingOrder="0" vertical="center"/>
    </xf>
    <xf borderId="0" fillId="0" fontId="6" numFmtId="0" xfId="0" applyAlignment="1" applyFont="1">
      <alignment vertical="center"/>
    </xf>
    <xf borderId="0" fillId="3" fontId="3" numFmtId="167" xfId="0" applyAlignment="1" applyFill="1" applyFont="1" applyNumberFormat="1">
      <alignment horizontal="left" vertical="center"/>
    </xf>
    <xf borderId="22" fillId="0" fontId="38" numFmtId="0" xfId="0" applyAlignment="1" applyBorder="1" applyFont="1">
      <alignment horizontal="right" readingOrder="0" vertical="center"/>
    </xf>
    <xf borderId="0" fillId="0" fontId="6"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3" fontId="5" numFmtId="167" xfId="0" applyAlignment="1" applyFill="1" applyFont="1" applyNumberFormat="1">
      <alignment horizontal="center" vertical="center"/>
    </xf>
    <xf borderId="0" fillId="0" fontId="36" numFmtId="0" xfId="0" applyAlignment="1" applyFont="1">
      <alignment horizontal="right" vertical="center"/>
    </xf>
    <xf borderId="0" fillId="0" fontId="36" numFmtId="167" xfId="0" applyAlignment="1" applyFont="1" applyNumberFormat="1">
      <alignment horizontal="center" vertical="center"/>
    </xf>
    <xf borderId="0" fillId="0" fontId="36" numFmtId="0" xfId="0" applyAlignment="1" applyFont="1">
      <alignment shrinkToFit="0" vertical="center" wrapText="1"/>
    </xf>
    <xf borderId="0" fillId="0" fontId="36" numFmtId="167" xfId="0" applyAlignment="1" applyFont="1" applyNumberFormat="1">
      <alignment horizontal="left" vertical="center"/>
    </xf>
    <xf borderId="22" fillId="0" fontId="5" numFmtId="0" xfId="0" applyAlignment="1" applyBorder="1" applyFont="1">
      <alignment horizontal="center" readingOrder="0" shrinkToFit="0" vertical="center" wrapText="1"/>
    </xf>
    <xf borderId="0" fillId="7" fontId="39" numFmtId="167" xfId="0" applyAlignment="1" applyFill="1" applyFont="1" applyNumberFormat="1">
      <alignment vertical="center"/>
    </xf>
    <xf borderId="22" fillId="0" fontId="6" numFmtId="0" xfId="0" applyAlignment="1" applyBorder="1" applyFont="1">
      <alignment readingOrder="0" vertical="center"/>
    </xf>
    <xf borderId="0" fillId="9" fontId="3" numFmtId="167" xfId="0" applyAlignment="1" applyFill="1" applyFont="1" applyNumberFormat="1">
      <alignment horizontal="left" vertical="center"/>
    </xf>
    <xf borderId="0" fillId="0" fontId="7" numFmtId="0" xfId="0" applyAlignment="1" applyFont="1">
      <alignment vertical="center"/>
    </xf>
    <xf borderId="2" fillId="0" fontId="4" numFmtId="0" xfId="0" applyAlignment="1" applyBorder="1" applyFont="1">
      <alignment horizontal="left" vertical="center"/>
    </xf>
    <xf borderId="22" fillId="0" fontId="7" numFmtId="0" xfId="0" applyAlignment="1" applyBorder="1" applyFont="1">
      <alignment vertical="center"/>
    </xf>
    <xf borderId="2" fillId="0" fontId="30" numFmtId="0" xfId="0" applyAlignment="1" applyBorder="1" applyFont="1">
      <alignment horizontal="center" readingOrder="0" shrinkToFit="0" vertical="center" wrapText="1"/>
    </xf>
    <xf borderId="2" fillId="0" fontId="4" numFmtId="0" xfId="0" applyBorder="1" applyFont="1"/>
    <xf borderId="11" fillId="0" fontId="7" numFmtId="0" xfId="0" applyAlignment="1" applyBorder="1" applyFont="1">
      <alignment vertical="center"/>
    </xf>
    <xf borderId="6" fillId="0" fontId="3" numFmtId="0" xfId="0" applyAlignment="1" applyBorder="1" applyFont="1">
      <alignment horizontal="left" vertical="center"/>
    </xf>
    <xf borderId="6" fillId="0" fontId="7" numFmtId="0" xfId="0" applyAlignment="1" applyBorder="1" applyFont="1">
      <alignment vertical="center"/>
    </xf>
    <xf borderId="6" fillId="0" fontId="14" numFmtId="167" xfId="0" applyAlignment="1" applyBorder="1" applyFont="1" applyNumberFormat="1">
      <alignment vertical="center"/>
    </xf>
    <xf borderId="7" fillId="0" fontId="4" numFmtId="0" xfId="0" applyAlignment="1" applyBorder="1" applyFont="1">
      <alignment horizontal="left" vertical="center"/>
    </xf>
    <xf borderId="0" fillId="14" fontId="16" numFmtId="0" xfId="0" applyAlignment="1" applyFill="1" applyFont="1">
      <alignment horizontal="center" readingOrder="0" vertical="center"/>
    </xf>
    <xf borderId="0" fillId="9" fontId="16" numFmtId="0" xfId="0" applyAlignment="1" applyFill="1" applyFont="1">
      <alignment readingOrder="0" shrinkToFit="0" vertical="center" wrapText="1"/>
    </xf>
    <xf borderId="8" fillId="14" fontId="16" numFmtId="0" xfId="0" applyAlignment="1" applyBorder="1" applyFill="1" applyFont="1">
      <alignment horizontal="center" readingOrder="0" shrinkToFit="0" vertical="center" wrapText="0"/>
    </xf>
    <xf borderId="0" fillId="14" fontId="16" numFmtId="0" xfId="0" applyAlignment="1" applyFill="1" applyFont="1">
      <alignment horizontal="center" readingOrder="0" shrinkToFit="0" vertical="center" wrapText="1"/>
    </xf>
    <xf borderId="0" fillId="9" fontId="16" numFmtId="0" xfId="0" applyAlignment="1" applyFill="1" applyFont="1">
      <alignment shrinkToFit="0" vertical="center" wrapText="1"/>
    </xf>
    <xf borderId="16" fillId="0" fontId="8" numFmtId="167" xfId="0" applyAlignment="1" applyBorder="1" applyFont="1" applyNumberFormat="1">
      <alignment horizontal="center" readingOrder="0" vertical="center"/>
    </xf>
    <xf borderId="0" fillId="4" fontId="40" numFmtId="167" xfId="0" applyAlignment="1" applyFill="1" applyFont="1" applyNumberFormat="1">
      <alignment readingOrder="0" shrinkToFit="0" vertical="center" wrapText="1"/>
    </xf>
    <xf borderId="0" fillId="0" fontId="16" numFmtId="0" xfId="0" applyAlignment="1" applyFont="1">
      <alignment horizontal="center" shrinkToFit="0" vertical="center" wrapText="1"/>
    </xf>
    <xf borderId="0" fillId="15" fontId="16" numFmtId="0" xfId="0" applyAlignment="1" applyFill="1" applyFont="1">
      <alignment horizontal="center" readingOrder="0" shrinkToFit="0" vertical="center" wrapText="1"/>
    </xf>
    <xf borderId="0" fillId="9" fontId="30" numFmtId="0" xfId="0" applyAlignment="1" applyFill="1" applyFont="1">
      <alignment shrinkToFit="0" vertical="center" wrapText="1"/>
    </xf>
    <xf borderId="0" fillId="0" fontId="16" numFmtId="0" xfId="0" applyAlignment="1" applyFont="1">
      <alignment horizontal="center" readingOrder="0" shrinkToFit="0" vertical="center" wrapText="1"/>
    </xf>
    <xf borderId="0" fillId="16" fontId="16" numFmtId="0" xfId="0" applyAlignment="1" applyFill="1" applyFont="1">
      <alignment horizontal="center" readingOrder="0" shrinkToFit="0" vertical="center" wrapText="1"/>
    </xf>
    <xf borderId="0" fillId="16" fontId="30" numFmtId="0" xfId="0" applyAlignment="1" applyFill="1" applyFont="1">
      <alignment horizontal="center" readingOrder="0" shrinkToFit="0" vertical="center" wrapText="1"/>
    </xf>
    <xf borderId="0" fillId="0" fontId="4" numFmtId="0" xfId="0" applyAlignment="1" applyFont="1">
      <alignment horizontal="center" readingOrder="0" vertical="center"/>
    </xf>
    <xf borderId="0" fillId="7" fontId="30" numFmtId="0" xfId="0" applyAlignment="1" applyFill="1" applyFont="1">
      <alignment readingOrder="0" shrinkToFit="0" vertical="center" wrapText="1"/>
    </xf>
    <xf borderId="0" fillId="0" fontId="30" numFmtId="0" xfId="0" applyAlignment="1" applyFont="1">
      <alignment horizontal="center" readingOrder="0" shrinkToFit="0" vertical="center" wrapText="1"/>
    </xf>
    <xf borderId="0" fillId="17" fontId="30" numFmtId="0" xfId="0" applyAlignment="1" applyFill="1" applyFont="1">
      <alignment horizontal="center" readingOrder="0" shrinkToFit="0" vertical="center" wrapText="1"/>
    </xf>
    <xf borderId="0" fillId="18" fontId="30" numFmtId="0" xfId="0" applyAlignment="1" applyFill="1" applyFont="1">
      <alignment horizontal="center" readingOrder="0" shrinkToFit="0" vertical="center" wrapText="1"/>
    </xf>
    <xf borderId="0" fillId="0" fontId="29" numFmtId="0" xfId="0" applyAlignment="1" applyFont="1">
      <alignment horizontal="right" readingOrder="0" shrinkToFit="0" vertical="center" wrapText="1"/>
    </xf>
    <xf borderId="15" fillId="0" fontId="9" numFmtId="0" xfId="0" applyAlignment="1" applyBorder="1" applyFont="1">
      <alignment readingOrder="0" vertical="center"/>
    </xf>
    <xf borderId="15" fillId="0" fontId="12" numFmtId="167" xfId="0" applyAlignment="1" applyBorder="1" applyFont="1" applyNumberFormat="1">
      <alignment vertical="center"/>
    </xf>
    <xf borderId="15" fillId="0" fontId="8" numFmtId="0" xfId="0" applyAlignment="1" applyBorder="1" applyFont="1">
      <alignment vertical="center"/>
    </xf>
    <xf borderId="15" fillId="0" fontId="21" numFmtId="167" xfId="0" applyAlignment="1" applyBorder="1" applyFont="1" applyNumberFormat="1">
      <alignment horizontal="center" vertical="center"/>
    </xf>
    <xf borderId="15" fillId="0" fontId="16" numFmtId="0" xfId="0" applyAlignment="1" applyBorder="1" applyFont="1">
      <alignment shrinkToFit="0" vertical="center" wrapText="1"/>
    </xf>
    <xf borderId="15" fillId="0" fontId="8" numFmtId="0" xfId="0" applyAlignment="1" applyBorder="1" applyFont="1">
      <alignment shrinkToFit="0" vertical="center" wrapText="1"/>
    </xf>
    <xf borderId="15" fillId="0" fontId="21" numFmtId="0" xfId="0" applyAlignment="1" applyBorder="1" applyFont="1">
      <alignment vertical="center"/>
    </xf>
    <xf borderId="15" fillId="0" fontId="8" numFmtId="167" xfId="0" applyAlignment="1" applyBorder="1" applyFont="1" applyNumberFormat="1">
      <alignment horizontal="left" vertical="center"/>
    </xf>
    <xf borderId="0" fillId="0" fontId="16" numFmtId="167" xfId="0" applyAlignment="1" applyFont="1" applyNumberFormat="1">
      <alignment horizontal="center" vertical="center"/>
    </xf>
    <xf borderId="0" fillId="0" fontId="16" numFmtId="0" xfId="0" applyAlignment="1" applyFont="1">
      <alignment horizontal="center" vertical="center"/>
    </xf>
    <xf borderId="22" fillId="5" fontId="24" numFmtId="0" xfId="0" applyAlignment="1" applyBorder="1" applyFill="1" applyFont="1">
      <alignment horizontal="center" readingOrder="0" vertical="center"/>
    </xf>
    <xf borderId="24" fillId="0" fontId="8" numFmtId="167" xfId="0" applyAlignment="1" applyBorder="1" applyFont="1" applyNumberFormat="1">
      <alignment horizontal="center" readingOrder="0" vertical="center"/>
    </xf>
    <xf borderId="26" fillId="0" fontId="8" numFmtId="167" xfId="0" applyAlignment="1" applyBorder="1" applyFont="1" applyNumberFormat="1">
      <alignment horizontal="center" readingOrder="0" vertical="center"/>
    </xf>
    <xf borderId="0" fillId="0" fontId="30" numFmtId="167" xfId="0" applyAlignment="1" applyFont="1" applyNumberFormat="1">
      <alignment horizontal="center" vertical="center"/>
    </xf>
    <xf borderId="0" fillId="0" fontId="30" numFmtId="0" xfId="0" applyAlignment="1" applyFont="1">
      <alignment horizontal="center" vertical="center"/>
    </xf>
    <xf borderId="0" fillId="0" fontId="14" numFmtId="167" xfId="0" applyAlignment="1" applyFont="1" applyNumberFormat="1">
      <alignment readingOrder="0" vertical="center"/>
    </xf>
    <xf borderId="13" fillId="0" fontId="8" numFmtId="0" xfId="0" applyAlignment="1" applyBorder="1" applyFont="1">
      <alignment vertical="center"/>
    </xf>
    <xf borderId="13" fillId="0" fontId="8" numFmtId="167" xfId="0" applyAlignment="1" applyBorder="1" applyFont="1" applyNumberFormat="1">
      <alignment vertical="center"/>
    </xf>
    <xf borderId="21" fillId="0" fontId="8" numFmtId="0" xfId="0" applyAlignment="1" applyBorder="1" applyFont="1">
      <alignment vertical="center"/>
    </xf>
    <xf borderId="0" fillId="4" fontId="8" numFmtId="167" xfId="0" applyAlignment="1" applyFill="1" applyFont="1" applyNumberFormat="1">
      <alignment vertical="center"/>
    </xf>
    <xf borderId="0" fillId="4" fontId="8" numFmtId="0" xfId="0" applyAlignment="1" applyFill="1" applyFont="1">
      <alignment vertical="center"/>
    </xf>
    <xf borderId="2" fillId="4" fontId="8" numFmtId="167" xfId="0" applyAlignment="1" applyBorder="1" applyFill="1" applyFont="1" applyNumberFormat="1">
      <alignment vertical="center"/>
    </xf>
    <xf borderId="0" fillId="4" fontId="22" numFmtId="0" xfId="0" applyAlignment="1" applyFill="1" applyFont="1">
      <alignment horizontal="center" vertical="center"/>
    </xf>
    <xf borderId="28" fillId="0" fontId="8" numFmtId="0" xfId="0" applyAlignment="1" applyBorder="1" applyFont="1">
      <alignment vertical="center"/>
    </xf>
    <xf borderId="0" fillId="4" fontId="10" numFmtId="0" xfId="0" applyAlignment="1" applyFill="1" applyFont="1">
      <alignment vertical="center"/>
    </xf>
    <xf borderId="2" fillId="0" fontId="24" numFmtId="167" xfId="0" applyAlignment="1" applyBorder="1" applyFont="1" applyNumberFormat="1">
      <alignment horizontal="center" vertical="center"/>
    </xf>
    <xf borderId="0" fillId="4" fontId="8" numFmtId="0" xfId="0" applyAlignment="1" applyFill="1" applyFont="1">
      <alignment horizontal="center" vertical="center"/>
    </xf>
    <xf borderId="2" fillId="4" fontId="8" numFmtId="0" xfId="0" applyAlignment="1" applyBorder="1" applyFill="1" applyFont="1">
      <alignment horizontal="center" vertical="center"/>
    </xf>
    <xf borderId="0" fillId="0" fontId="15" numFmtId="0" xfId="0" applyAlignment="1" applyFont="1">
      <alignment horizontal="center" shrinkToFit="0" vertical="center" wrapText="1"/>
    </xf>
    <xf borderId="20" fillId="2" fontId="10" numFmtId="0" xfId="0" applyAlignment="1" applyBorder="1" applyFill="1" applyFont="1">
      <alignment horizontal="right" vertical="center"/>
    </xf>
    <xf borderId="21" fillId="19" fontId="8" numFmtId="167" xfId="0" applyAlignment="1" applyBorder="1" applyFill="1" applyFont="1" applyNumberFormat="1">
      <alignment horizontal="center" vertical="center"/>
    </xf>
    <xf borderId="0" fillId="4" fontId="8" numFmtId="167" xfId="0" applyAlignment="1" applyFill="1" applyFont="1" applyNumberFormat="1">
      <alignment readingOrder="0" vertical="center"/>
    </xf>
    <xf borderId="2" fillId="0" fontId="8" numFmtId="167" xfId="0" applyAlignment="1" applyBorder="1" applyFont="1" applyNumberFormat="1">
      <alignment readingOrder="0" vertical="center"/>
    </xf>
    <xf borderId="2" fillId="0" fontId="8" numFmtId="0" xfId="0" applyAlignment="1" applyBorder="1" applyFont="1">
      <alignment vertical="center"/>
    </xf>
    <xf borderId="0" fillId="6" fontId="8" numFmtId="0" xfId="0" applyAlignment="1" applyFill="1" applyFont="1">
      <alignment vertical="center"/>
    </xf>
    <xf borderId="20" fillId="0" fontId="8" numFmtId="0" xfId="0" applyAlignment="1" applyBorder="1" applyFont="1">
      <alignment horizontal="center" vertical="center"/>
    </xf>
    <xf borderId="0" fillId="10" fontId="8" numFmtId="0" xfId="0" applyAlignment="1" applyFill="1" applyFont="1">
      <alignment horizontal="center" vertical="center"/>
    </xf>
    <xf borderId="0" fillId="0" fontId="8" numFmtId="167" xfId="0" applyAlignment="1" applyFont="1" applyNumberFormat="1">
      <alignment readingOrder="0" vertical="center"/>
    </xf>
    <xf borderId="0" fillId="14" fontId="16" numFmtId="0" xfId="0" applyAlignment="1" applyFill="1" applyFont="1">
      <alignment horizontal="center" vertical="center"/>
    </xf>
    <xf borderId="0" fillId="0" fontId="30" numFmtId="0" xfId="0" applyAlignment="1" applyFont="1">
      <alignment horizontal="center" shrinkToFit="0" vertical="center" wrapText="1"/>
    </xf>
    <xf borderId="0" fillId="9" fontId="8" numFmtId="0" xfId="0" applyAlignment="1" applyFill="1" applyFont="1">
      <alignment readingOrder="0" vertical="center"/>
    </xf>
    <xf borderId="20" fillId="3" fontId="10" numFmtId="0" xfId="0" applyAlignment="1" applyBorder="1" applyFill="1" applyFont="1">
      <alignment horizontal="right" vertical="center"/>
    </xf>
    <xf borderId="2" fillId="0" fontId="8" numFmtId="168" xfId="0" applyAlignment="1" applyBorder="1" applyFont="1" applyNumberFormat="1">
      <alignment horizontal="center" readingOrder="0" vertical="center"/>
    </xf>
    <xf borderId="2" fillId="3" fontId="10" numFmtId="0" xfId="0" applyAlignment="1" applyBorder="1" applyFill="1" applyFont="1">
      <alignment horizontal="center" readingOrder="0" vertical="center"/>
    </xf>
    <xf borderId="8" fillId="14" fontId="16" numFmtId="0" xfId="0" applyAlignment="1" applyBorder="1" applyFill="1" applyFont="1">
      <alignment horizontal="center" vertical="center"/>
    </xf>
    <xf borderId="0" fillId="9" fontId="8" numFmtId="0" xfId="0" applyAlignment="1" applyFill="1" applyFont="1">
      <alignment vertical="center"/>
    </xf>
    <xf borderId="20" fillId="0" fontId="8" numFmtId="0" xfId="0" applyAlignment="1" applyBorder="1" applyFont="1">
      <alignment vertical="center"/>
    </xf>
    <xf borderId="0" fillId="14" fontId="16" numFmtId="0" xfId="0" applyAlignment="1" applyFill="1" applyFont="1">
      <alignment horizontal="center" shrinkToFit="0" vertical="center" wrapText="1"/>
    </xf>
    <xf borderId="20" fillId="0" fontId="11" numFmtId="0" xfId="0" applyAlignment="1" applyBorder="1" applyFont="1">
      <alignment horizontal="right" shrinkToFit="0" vertical="center" wrapText="1"/>
    </xf>
    <xf borderId="25" fillId="0" fontId="41" numFmtId="0" xfId="0" applyAlignment="1" applyBorder="1" applyFont="1">
      <alignment horizontal="right" vertical="center"/>
    </xf>
    <xf borderId="13" fillId="0" fontId="4" numFmtId="0" xfId="0" applyBorder="1" applyFont="1"/>
    <xf borderId="26" fillId="0" fontId="16" numFmtId="167" xfId="0" applyAlignment="1" applyBorder="1" applyFont="1" applyNumberFormat="1">
      <alignment horizontal="center" readingOrder="0" vertical="center"/>
    </xf>
    <xf borderId="20" fillId="0" fontId="10" numFmtId="0" xfId="0" applyAlignment="1" applyBorder="1" applyFont="1">
      <alignment horizontal="right" vertical="center"/>
    </xf>
    <xf borderId="6" fillId="0" fontId="16" numFmtId="167" xfId="0" applyAlignment="1" applyBorder="1" applyFont="1" applyNumberFormat="1">
      <alignment horizontal="center" readingOrder="0" vertical="center"/>
    </xf>
    <xf borderId="29" fillId="0" fontId="16" numFmtId="167" xfId="0" applyAlignment="1" applyBorder="1" applyFont="1" applyNumberFormat="1">
      <alignment horizontal="center" readingOrder="0" vertical="center"/>
    </xf>
    <xf borderId="2" fillId="5" fontId="10" numFmtId="0" xfId="0" applyAlignment="1" applyBorder="1" applyFill="1" applyFont="1">
      <alignment horizontal="center" readingOrder="0" vertical="center"/>
    </xf>
    <xf borderId="30" fillId="0" fontId="10" numFmtId="0" xfId="0" applyAlignment="1" applyBorder="1" applyFont="1">
      <alignment horizontal="right" vertical="center"/>
    </xf>
    <xf borderId="0" fillId="0" fontId="21" numFmtId="167" xfId="0" applyAlignment="1" applyFont="1" applyNumberFormat="1">
      <alignment horizontal="right" readingOrder="0" vertical="center"/>
    </xf>
    <xf borderId="0" fillId="14" fontId="16" numFmtId="0" xfId="0" applyAlignment="1" applyFill="1" applyFont="1">
      <alignment horizontal="center" shrinkToFit="0" vertical="center" wrapText="1"/>
    </xf>
    <xf borderId="25" fillId="0" fontId="10" numFmtId="0" xfId="0" applyAlignment="1" applyBorder="1" applyFont="1">
      <alignment horizontal="right" vertical="center"/>
    </xf>
    <xf borderId="13" fillId="0" fontId="25" numFmtId="167" xfId="0" applyAlignment="1" applyBorder="1" applyFont="1" applyNumberFormat="1">
      <alignment horizontal="center" readingOrder="0" vertical="center"/>
    </xf>
    <xf borderId="26" fillId="0" fontId="16" numFmtId="0" xfId="0" applyAlignment="1" applyBorder="1" applyFont="1">
      <alignment horizontal="center" vertical="center"/>
    </xf>
    <xf borderId="6" fillId="0" fontId="8" numFmtId="0" xfId="0" applyAlignment="1" applyBorder="1" applyFont="1">
      <alignment vertical="center"/>
    </xf>
    <xf borderId="2" fillId="11" fontId="10" numFmtId="0" xfId="0" applyAlignment="1" applyBorder="1" applyFill="1" applyFont="1">
      <alignment horizontal="right" shrinkToFit="0" vertical="center" wrapText="1"/>
    </xf>
    <xf borderId="7" fillId="11" fontId="8" numFmtId="167" xfId="0" applyAlignment="1" applyBorder="1" applyFill="1" applyFont="1" applyNumberFormat="1">
      <alignment horizontal="right" vertical="center"/>
    </xf>
    <xf borderId="0" fillId="11" fontId="10" numFmtId="0" xfId="0" applyAlignment="1" applyFill="1" applyFont="1">
      <alignment horizontal="center" vertical="center"/>
    </xf>
    <xf borderId="0" fillId="15" fontId="16" numFmtId="0" xfId="0" applyAlignment="1" applyFill="1" applyFont="1">
      <alignment horizontal="center" shrinkToFit="0" vertical="center" wrapText="1"/>
    </xf>
    <xf borderId="0" fillId="0" fontId="28" numFmtId="0" xfId="0" applyAlignment="1" applyFont="1">
      <alignment horizontal="center" shrinkToFit="0" vertical="center" wrapText="1"/>
    </xf>
    <xf borderId="0" fillId="11" fontId="8" numFmtId="167" xfId="0" applyAlignment="1" applyFill="1" applyFont="1" applyNumberFormat="1">
      <alignment readingOrder="0" vertical="center"/>
    </xf>
    <xf borderId="2" fillId="0" fontId="8" numFmtId="0" xfId="0" applyAlignment="1" applyBorder="1" applyFont="1">
      <alignment vertical="center"/>
    </xf>
    <xf borderId="0" fillId="15" fontId="16" numFmtId="0" xfId="0" applyAlignment="1" applyFill="1" applyFont="1">
      <alignment horizontal="center" shrinkToFit="0" vertical="center" wrapText="1"/>
    </xf>
    <xf borderId="2" fillId="0" fontId="8" numFmtId="167" xfId="0" applyAlignment="1" applyBorder="1" applyFont="1" applyNumberFormat="1">
      <alignment vertical="center"/>
    </xf>
    <xf borderId="0" fillId="6" fontId="8" numFmtId="0" xfId="0" applyAlignment="1" applyFill="1" applyFont="1">
      <alignment vertical="center"/>
    </xf>
    <xf borderId="0" fillId="11" fontId="8" numFmtId="167" xfId="0" applyAlignment="1" applyFill="1" applyFont="1" applyNumberFormat="1">
      <alignment vertical="center"/>
    </xf>
    <xf borderId="0" fillId="16" fontId="16" numFmtId="0" xfId="0" applyAlignment="1" applyFill="1" applyFont="1">
      <alignment horizontal="center" shrinkToFit="0" vertical="center" wrapText="1"/>
    </xf>
    <xf borderId="0" fillId="16" fontId="16" numFmtId="0" xfId="0" applyAlignment="1" applyFill="1" applyFont="1">
      <alignment horizontal="center" shrinkToFit="0" vertical="center" wrapText="1"/>
    </xf>
    <xf borderId="0" fillId="17" fontId="16" numFmtId="0" xfId="0" applyAlignment="1" applyFill="1" applyFont="1">
      <alignment horizontal="center" shrinkToFit="0" vertical="center" wrapText="1"/>
    </xf>
    <xf borderId="0" fillId="9" fontId="8" numFmtId="0" xfId="0" applyAlignment="1" applyFill="1" applyFont="1">
      <alignment vertical="center"/>
    </xf>
    <xf borderId="0" fillId="18" fontId="16" numFmtId="0" xfId="0" applyAlignment="1" applyFill="1" applyFont="1">
      <alignment horizontal="center" shrinkToFit="0" vertical="center" wrapText="1"/>
    </xf>
    <xf borderId="31" fillId="0" fontId="8" numFmtId="0" xfId="0" applyAlignment="1" applyBorder="1" applyFont="1">
      <alignment vertical="center"/>
    </xf>
    <xf borderId="21" fillId="0" fontId="8" numFmtId="167" xfId="0" applyAlignment="1" applyBorder="1" applyFont="1" applyNumberFormat="1">
      <alignment vertical="center"/>
    </xf>
    <xf borderId="0" fillId="4" fontId="22" numFmtId="0" xfId="0" applyAlignment="1" applyFill="1" applyFont="1">
      <alignment horizontal="center" vertical="center"/>
    </xf>
    <xf borderId="20" fillId="4" fontId="8" numFmtId="0" xfId="0" applyAlignment="1" applyBorder="1" applyFill="1" applyFont="1">
      <alignment vertical="center"/>
    </xf>
    <xf borderId="0" fillId="4" fontId="10" numFmtId="0" xfId="0" applyAlignment="1" applyFill="1" applyFont="1">
      <alignment vertical="center"/>
    </xf>
    <xf borderId="20" fillId="2" fontId="10" numFmtId="167" xfId="0" applyAlignment="1" applyBorder="1" applyFill="1" applyFont="1" applyNumberFormat="1">
      <alignment horizontal="right" vertical="center"/>
    </xf>
    <xf borderId="0" fillId="14" fontId="16" numFmtId="0" xfId="0" applyAlignment="1" applyFill="1" applyFont="1">
      <alignment horizontal="center" vertical="center"/>
    </xf>
    <xf borderId="8" fillId="14" fontId="16" numFmtId="0" xfId="0" applyAlignment="1" applyBorder="1" applyFill="1" applyFont="1">
      <alignment horizontal="center" vertical="center"/>
    </xf>
    <xf borderId="25" fillId="0" fontId="41" numFmtId="0" xfId="0" applyAlignment="1" applyBorder="1" applyFont="1">
      <alignment horizontal="right" vertical="center"/>
    </xf>
    <xf borderId="6" fillId="0" fontId="16" numFmtId="0" xfId="0" applyAlignment="1" applyBorder="1" applyFont="1">
      <alignment horizontal="center" readingOrder="0" vertical="center"/>
    </xf>
    <xf borderId="29" fillId="0" fontId="16" numFmtId="0" xfId="0" applyAlignment="1" applyBorder="1" applyFont="1">
      <alignment horizontal="center" vertical="center"/>
    </xf>
    <xf borderId="13" fillId="0" fontId="16" numFmtId="0" xfId="0" applyAlignment="1" applyBorder="1" applyFont="1">
      <alignment horizontal="center" readingOrder="0" vertical="center"/>
    </xf>
    <xf borderId="0" fillId="11" fontId="10" numFmtId="167" xfId="0" applyAlignment="1" applyFill="1" applyFont="1" applyNumberFormat="1">
      <alignment horizontal="center" vertical="center"/>
    </xf>
    <xf borderId="23" fillId="0" fontId="8" numFmtId="0" xfId="0" applyAlignment="1" applyBorder="1" applyFont="1">
      <alignment vertical="center"/>
    </xf>
    <xf borderId="0" fillId="17" fontId="16" numFmtId="0" xfId="0" applyAlignment="1" applyFill="1" applyFont="1">
      <alignment horizontal="center" shrinkToFit="0" vertical="center" wrapText="1"/>
    </xf>
    <xf borderId="21" fillId="0" fontId="8" numFmtId="0" xfId="0" applyAlignment="1" applyBorder="1" applyFont="1">
      <alignment vertical="center"/>
    </xf>
    <xf borderId="0" fillId="4" fontId="8" numFmtId="0" xfId="0" applyAlignment="1" applyFill="1" applyFont="1">
      <alignment horizontal="center" vertical="center"/>
    </xf>
    <xf borderId="0" fillId="0" fontId="15" numFmtId="0" xfId="0" applyAlignment="1" applyFont="1">
      <alignment horizontal="center" shrinkToFit="0" vertical="center" wrapText="1"/>
    </xf>
    <xf borderId="20" fillId="2" fontId="10" numFmtId="0" xfId="0" applyAlignment="1" applyBorder="1" applyFill="1" applyFont="1">
      <alignment horizontal="right" vertical="center"/>
    </xf>
    <xf borderId="20" fillId="0" fontId="8" numFmtId="0" xfId="0" applyAlignment="1" applyBorder="1" applyFont="1">
      <alignment vertical="center"/>
    </xf>
    <xf borderId="20" fillId="0" fontId="11" numFmtId="0" xfId="0" applyAlignment="1" applyBorder="1" applyFont="1">
      <alignment horizontal="right" shrinkToFit="0" vertical="center" wrapText="1"/>
    </xf>
    <xf borderId="20" fillId="0" fontId="10" numFmtId="0" xfId="0" applyAlignment="1" applyBorder="1" applyFont="1">
      <alignment horizontal="right" vertical="center"/>
    </xf>
    <xf borderId="6" fillId="0" fontId="30" numFmtId="0" xfId="0" applyAlignment="1" applyBorder="1" applyFont="1">
      <alignment horizontal="center" vertical="center"/>
    </xf>
    <xf borderId="29" fillId="0" fontId="30" numFmtId="0" xfId="0" applyAlignment="1" applyBorder="1" applyFont="1">
      <alignment horizontal="center" vertical="center"/>
    </xf>
    <xf borderId="30" fillId="0" fontId="10" numFmtId="0" xfId="0" applyAlignment="1" applyBorder="1" applyFont="1">
      <alignment horizontal="right" vertical="center"/>
    </xf>
    <xf borderId="13" fillId="0" fontId="30" numFmtId="0" xfId="0" applyAlignment="1" applyBorder="1" applyFont="1">
      <alignment horizontal="center" vertical="center"/>
    </xf>
    <xf borderId="26" fillId="0" fontId="30" numFmtId="0" xfId="0" applyAlignment="1" applyBorder="1" applyFont="1">
      <alignment horizontal="center" vertical="center"/>
    </xf>
    <xf borderId="20" fillId="0" fontId="8" numFmtId="0" xfId="0" applyAlignment="1" applyBorder="1" applyFont="1">
      <alignment horizontal="center" vertical="center"/>
    </xf>
    <xf borderId="6" fillId="0" fontId="42" numFmtId="0" xfId="0" applyAlignment="1" applyBorder="1" applyFont="1">
      <alignment horizontal="center" readingOrder="0" shrinkToFit="0" vertical="center" wrapText="1"/>
    </xf>
    <xf borderId="29" fillId="0" fontId="42" numFmtId="0" xfId="0" applyAlignment="1" applyBorder="1" applyFont="1">
      <alignment horizontal="center" readingOrder="0" shrinkToFit="0" vertical="center" wrapText="1"/>
    </xf>
    <xf borderId="25" fillId="0" fontId="10" numFmtId="0" xfId="0" applyAlignment="1" applyBorder="1" applyFont="1">
      <alignment horizontal="right" vertical="center"/>
    </xf>
    <xf borderId="13" fillId="0" fontId="16" numFmtId="167" xfId="0" applyAlignment="1" applyBorder="1" applyFont="1" applyNumberFormat="1">
      <alignment horizontal="center" readingOrder="0" vertical="center"/>
    </xf>
    <xf borderId="6" fillId="0" fontId="8" numFmtId="167" xfId="0" applyAlignment="1" applyBorder="1" applyFont="1" applyNumberFormat="1">
      <alignment vertical="center"/>
    </xf>
    <xf borderId="2" fillId="11" fontId="10" numFmtId="0" xfId="0" applyAlignment="1" applyBorder="1" applyFill="1" applyFont="1">
      <alignment horizontal="right" shrinkToFit="0" vertical="center" wrapText="1"/>
    </xf>
    <xf borderId="0" fillId="18" fontId="16" numFmtId="0" xfId="0" applyAlignment="1" applyFill="1" applyFont="1">
      <alignment horizontal="center" shrinkToFit="0" vertical="center" wrapText="1"/>
    </xf>
    <xf borderId="0" fillId="10" fontId="8" numFmtId="0" xfId="0" applyAlignment="1" applyFill="1" applyFont="1">
      <alignment horizontal="center" vertical="center"/>
    </xf>
    <xf borderId="20" fillId="3" fontId="10" numFmtId="0" xfId="0" applyAlignment="1" applyBorder="1" applyFill="1" applyFont="1">
      <alignment horizontal="right" vertical="center"/>
    </xf>
    <xf borderId="20" fillId="0" fontId="11" numFmtId="167" xfId="0" applyAlignment="1" applyBorder="1" applyFont="1" applyNumberFormat="1">
      <alignment horizontal="right" shrinkToFit="0" vertical="center" wrapText="1"/>
    </xf>
    <xf borderId="6" fillId="0" fontId="16" numFmtId="0" xfId="0" applyAlignment="1" applyBorder="1" applyFont="1">
      <alignment horizontal="center" vertical="center"/>
    </xf>
    <xf borderId="20" fillId="3" fontId="10" numFmtId="167" xfId="0" applyAlignment="1" applyBorder="1" applyFill="1" applyFont="1" applyNumberFormat="1">
      <alignment horizontal="right" vertical="center"/>
    </xf>
    <xf borderId="6" fillId="0" fontId="30" numFmtId="167" xfId="0" applyAlignment="1" applyBorder="1" applyFont="1" applyNumberFormat="1">
      <alignment horizontal="center" readingOrder="0" vertical="center"/>
    </xf>
    <xf borderId="29" fillId="0" fontId="30" numFmtId="167" xfId="0" applyAlignment="1" applyBorder="1" applyFont="1" applyNumberFormat="1">
      <alignment horizontal="center" readingOrder="0" vertical="center"/>
    </xf>
    <xf borderId="13" fillId="0" fontId="43" numFmtId="0" xfId="0" applyAlignment="1" applyBorder="1" applyFont="1">
      <alignment horizontal="center" readingOrder="0" shrinkToFit="0" vertical="center" wrapText="1"/>
    </xf>
    <xf borderId="26" fillId="0" fontId="43" numFmtId="0" xfId="0" applyAlignment="1" applyBorder="1" applyFont="1">
      <alignment horizontal="center" readingOrder="0" shrinkToFit="0" vertical="center" wrapText="1"/>
    </xf>
    <xf borderId="29" fillId="0" fontId="16" numFmtId="0" xfId="0" applyAlignment="1" applyBorder="1" applyFont="1">
      <alignment horizontal="center" readingOrder="0" vertical="center"/>
    </xf>
    <xf borderId="0" fillId="0" fontId="28" numFmtId="0" xfId="0" applyAlignment="1" applyFont="1">
      <alignment horizontal="center" shrinkToFit="0" vertical="center" wrapText="1"/>
    </xf>
    <xf borderId="2" fillId="4" fontId="8" numFmtId="0" xfId="0" applyAlignment="1" applyBorder="1" applyFill="1" applyFont="1">
      <alignment horizontal="center" vertical="center"/>
    </xf>
    <xf borderId="6" fillId="0" fontId="8" numFmtId="0" xfId="0" applyAlignment="1" applyBorder="1" applyFont="1">
      <alignment vertical="center"/>
    </xf>
    <xf borderId="20" fillId="8" fontId="9" numFmtId="167" xfId="0" applyAlignment="1" applyBorder="1" applyFill="1" applyFont="1" applyNumberFormat="1">
      <alignment horizontal="center" readingOrder="0" vertical="center"/>
    </xf>
    <xf borderId="20" fillId="4" fontId="8" numFmtId="167" xfId="0" applyAlignment="1" applyBorder="1" applyFill="1" applyFont="1" applyNumberFormat="1">
      <alignment vertical="center"/>
    </xf>
    <xf borderId="26" fillId="0" fontId="3" numFmtId="0" xfId="0" applyAlignment="1" applyBorder="1" applyFont="1">
      <alignment horizontal="left" vertical="center"/>
    </xf>
    <xf borderId="29" fillId="0" fontId="3" numFmtId="0" xfId="0" applyAlignment="1" applyBorder="1" applyFont="1">
      <alignment horizontal="left" vertical="center"/>
    </xf>
    <xf borderId="6" fillId="0" fontId="5" numFmtId="0" xfId="0" applyAlignment="1" applyBorder="1" applyFont="1">
      <alignment horizontal="center" readingOrder="0" shrinkToFit="0" vertical="center" wrapText="1"/>
    </xf>
    <xf borderId="29" fillId="0" fontId="5" numFmtId="0" xfId="0" applyAlignment="1" applyBorder="1" applyFont="1">
      <alignment horizontal="center" readingOrder="0" shrinkToFit="0" vertical="center" wrapText="1"/>
    </xf>
    <xf borderId="13" fillId="0" fontId="3" numFmtId="0" xfId="0" applyAlignment="1" applyBorder="1" applyFont="1">
      <alignment horizontal="left" vertical="center"/>
    </xf>
    <xf borderId="0" fillId="0" fontId="10" numFmtId="0" xfId="0" applyAlignment="1" applyFont="1">
      <alignment horizontal="left" readingOrder="0" vertical="center"/>
    </xf>
    <xf borderId="0" fillId="0" fontId="15" numFmtId="0" xfId="0" applyAlignment="1" applyFont="1">
      <alignment horizontal="right" readingOrder="0" shrinkToFit="0" vertical="center" wrapText="1"/>
    </xf>
    <xf borderId="9" fillId="0" fontId="3" numFmtId="0" xfId="0" applyAlignment="1" applyBorder="1" applyFont="1">
      <alignment horizontal="right" readingOrder="0" vertical="center"/>
    </xf>
    <xf borderId="10" fillId="0" fontId="3" numFmtId="167" xfId="0" applyAlignment="1" applyBorder="1" applyFont="1" applyNumberFormat="1">
      <alignment vertical="center"/>
    </xf>
    <xf borderId="22" fillId="0" fontId="3" numFmtId="0" xfId="0" applyAlignment="1" applyBorder="1" applyFont="1">
      <alignment horizontal="right" readingOrder="0" vertical="center"/>
    </xf>
    <xf borderId="2" fillId="0" fontId="3" numFmtId="0" xfId="0" applyAlignment="1" applyBorder="1" applyFont="1">
      <alignment vertical="center"/>
    </xf>
    <xf borderId="22" fillId="0" fontId="3" numFmtId="0" xfId="0" applyAlignment="1" applyBorder="1" applyFont="1">
      <alignment horizontal="left" readingOrder="0" vertical="center"/>
    </xf>
    <xf borderId="2" fillId="0" fontId="4" numFmtId="0" xfId="0" applyAlignment="1" applyBorder="1" applyFont="1">
      <alignment vertical="center"/>
    </xf>
    <xf borderId="22" fillId="0" fontId="30" numFmtId="0" xfId="0" applyAlignment="1" applyBorder="1" applyFont="1">
      <alignment horizontal="center" readingOrder="0" vertical="center"/>
    </xf>
    <xf borderId="2" fillId="0" fontId="7" numFmtId="167" xfId="0" applyAlignment="1" applyBorder="1" applyFont="1" applyNumberFormat="1">
      <alignment vertical="center"/>
    </xf>
    <xf borderId="2" fillId="0" fontId="4" numFmtId="167" xfId="0" applyAlignment="1" applyBorder="1" applyFont="1" applyNumberFormat="1">
      <alignment vertical="center"/>
    </xf>
    <xf borderId="2" fillId="0" fontId="4" numFmtId="167" xfId="0" applyAlignment="1" applyBorder="1" applyFont="1" applyNumberFormat="1">
      <alignment readingOrder="0" vertical="center"/>
    </xf>
    <xf borderId="2" fillId="0" fontId="3" numFmtId="167" xfId="0" applyAlignment="1" applyBorder="1" applyFont="1" applyNumberFormat="1">
      <alignment vertical="center"/>
    </xf>
    <xf borderId="22" fillId="0" fontId="7" numFmtId="0" xfId="0" applyAlignment="1" applyBorder="1" applyFont="1">
      <alignment horizontal="right" readingOrder="0" shrinkToFit="0" vertical="center" wrapText="1"/>
    </xf>
    <xf borderId="22" fillId="0" fontId="6" numFmtId="0" xfId="0" applyAlignment="1" applyBorder="1" applyFont="1">
      <alignment horizontal="left" readingOrder="0" shrinkToFit="0" vertical="center" wrapText="1"/>
    </xf>
    <xf borderId="22" fillId="2" fontId="6" numFmtId="0" xfId="0" applyAlignment="1" applyBorder="1" applyFill="1" applyFont="1">
      <alignment horizontal="right" readingOrder="0" vertical="center"/>
    </xf>
    <xf borderId="11" fillId="5" fontId="6" numFmtId="0" xfId="0" applyAlignment="1" applyBorder="1" applyFill="1" applyFont="1">
      <alignment horizontal="right" readingOrder="0" shrinkToFit="0" vertical="center" wrapText="1"/>
    </xf>
    <xf borderId="7" fillId="0" fontId="3" numFmtId="167" xfId="0" applyAlignment="1" applyBorder="1" applyFont="1" applyNumberFormat="1">
      <alignment vertical="center"/>
    </xf>
    <xf borderId="0" fillId="0" fontId="30" numFmtId="0" xfId="0" applyAlignment="1" applyFont="1">
      <alignment horizontal="center" readingOrder="0" vertical="center"/>
    </xf>
    <xf borderId="15" fillId="0" fontId="8" numFmtId="167" xfId="0" applyAlignment="1" applyBorder="1" applyFont="1" applyNumberFormat="1">
      <alignment vertical="center"/>
    </xf>
    <xf borderId="16" fillId="0" fontId="8" numFmtId="167" xfId="0" applyAlignment="1" applyBorder="1" applyFont="1" applyNumberFormat="1">
      <alignment vertical="center"/>
    </xf>
    <xf borderId="0" fillId="4" fontId="21" numFmtId="0" xfId="0" applyAlignment="1" applyFill="1" applyFont="1">
      <alignment horizontal="right" vertical="center"/>
    </xf>
    <xf borderId="2" fillId="4" fontId="21" numFmtId="167" xfId="0" applyAlignment="1" applyBorder="1" applyFill="1" applyFont="1" applyNumberFormat="1">
      <alignment horizontal="center" vertical="center"/>
    </xf>
    <xf borderId="0" fillId="4" fontId="24" numFmtId="0" xfId="0" applyAlignment="1" applyFill="1" applyFont="1">
      <alignment horizontal="right" vertical="center"/>
    </xf>
    <xf borderId="2" fillId="0" fontId="24" numFmtId="167" xfId="0" applyAlignment="1" applyBorder="1" applyFont="1" applyNumberFormat="1">
      <alignment horizontal="center" vertical="center"/>
    </xf>
    <xf borderId="0" fillId="0" fontId="44" numFmtId="0" xfId="0" applyAlignment="1" applyFont="1">
      <alignment horizontal="right" readingOrder="0" vertical="center"/>
    </xf>
    <xf borderId="2" fillId="0" fontId="21" numFmtId="167" xfId="0" applyAlignment="1" applyBorder="1" applyFont="1" applyNumberFormat="1">
      <alignment horizontal="center" readingOrder="0" vertical="center"/>
    </xf>
    <xf borderId="2" fillId="0" fontId="21" numFmtId="167" xfId="0" applyAlignment="1" applyBorder="1" applyFont="1" applyNumberFormat="1">
      <alignment horizontal="center" vertical="center"/>
    </xf>
    <xf borderId="20" fillId="0" fontId="45" numFmtId="0" xfId="0" applyAlignment="1" applyBorder="1" applyFont="1">
      <alignment horizontal="right" readingOrder="0" vertical="center"/>
    </xf>
    <xf borderId="0" fillId="0" fontId="45" numFmtId="9" xfId="0" applyAlignment="1" applyFont="1" applyNumberFormat="1">
      <alignment horizontal="right" readingOrder="0" vertical="center"/>
    </xf>
    <xf borderId="0" fillId="0" fontId="44" numFmtId="0" xfId="0" applyAlignment="1" applyFont="1">
      <alignment horizontal="right" readingOrder="0" shrinkToFit="0" vertical="center" wrapText="1"/>
    </xf>
    <xf borderId="21" fillId="0" fontId="16" numFmtId="167" xfId="0" applyAlignment="1" applyBorder="1" applyFont="1" applyNumberFormat="1">
      <alignment horizontal="center" vertical="center"/>
    </xf>
    <xf borderId="0" fillId="0" fontId="21" numFmtId="0" xfId="0" applyAlignment="1" applyFont="1">
      <alignment horizontal="right"/>
    </xf>
    <xf borderId="2" fillId="0" fontId="8" numFmtId="167" xfId="0" applyAlignment="1" applyBorder="1" applyFont="1" applyNumberFormat="1">
      <alignment horizontal="center"/>
    </xf>
    <xf borderId="25" fillId="0" fontId="11" numFmtId="0" xfId="0" applyAlignment="1" applyBorder="1" applyFont="1">
      <alignment horizontal="right" shrinkToFit="0" vertical="center" wrapText="1"/>
    </xf>
    <xf borderId="13" fillId="0" fontId="11" numFmtId="0" xfId="0" applyAlignment="1" applyBorder="1" applyFont="1">
      <alignment horizontal="right" shrinkToFit="0" vertical="center" wrapText="1"/>
    </xf>
    <xf borderId="0" fillId="0" fontId="41" numFmtId="0" xfId="0" applyAlignment="1" applyFont="1">
      <alignment horizontal="right" vertical="center"/>
    </xf>
    <xf borderId="0" fillId="0" fontId="10" numFmtId="0" xfId="0" applyAlignment="1" applyFont="1">
      <alignment horizontal="right" vertical="center"/>
    </xf>
    <xf borderId="2" fillId="2" fontId="8" numFmtId="0" xfId="0" applyAlignment="1" applyBorder="1" applyFill="1" applyFont="1">
      <alignment horizontal="center" readingOrder="0" vertical="center"/>
    </xf>
    <xf borderId="0" fillId="11" fontId="10" numFmtId="0" xfId="0" applyAlignment="1" applyFill="1" applyFont="1">
      <alignment horizontal="right" readingOrder="0" shrinkToFit="0" vertical="center" wrapText="1"/>
    </xf>
    <xf borderId="0" fillId="11" fontId="8" numFmtId="167" xfId="0" applyAlignment="1" applyFill="1" applyFont="1" applyNumberFormat="1">
      <alignment horizontal="right" vertical="center"/>
    </xf>
    <xf borderId="0" fillId="11" fontId="16" numFmtId="167" xfId="0" applyAlignment="1" applyFill="1" applyFont="1" applyNumberFormat="1">
      <alignment readingOrder="0" vertical="center"/>
    </xf>
    <xf borderId="2" fillId="0" fontId="8" numFmtId="0" xfId="0" applyAlignment="1" applyBorder="1" applyFont="1">
      <alignment horizontal="center" readingOrder="0" vertical="center"/>
    </xf>
    <xf borderId="0" fillId="11" fontId="16" numFmtId="167" xfId="0" applyAlignment="1" applyFill="1" applyFont="1" applyNumberFormat="1">
      <alignment readingOrder="0" shrinkToFit="0" vertical="center" wrapText="1"/>
    </xf>
    <xf borderId="0" fillId="0" fontId="29" numFmtId="167" xfId="0" applyAlignment="1" applyFont="1" applyNumberFormat="1">
      <alignment horizontal="center"/>
    </xf>
    <xf borderId="0" fillId="0" fontId="21" numFmtId="167" xfId="0" applyAlignment="1" applyFont="1" applyNumberFormat="1">
      <alignment horizontal="center" readingOrder="0"/>
    </xf>
    <xf borderId="0" fillId="0" fontId="16" numFmtId="0" xfId="0" applyAlignment="1" applyFont="1">
      <alignment horizontal="center" readingOrder="0" shrinkToFit="0" wrapText="1"/>
    </xf>
    <xf borderId="0" fillId="0" fontId="21" numFmtId="167" xfId="0" applyAlignment="1" applyFont="1" applyNumberFormat="1">
      <alignment horizontal="center"/>
    </xf>
    <xf borderId="0" fillId="0" fontId="8" numFmtId="0" xfId="0" applyAlignment="1" applyFont="1">
      <alignment horizontal="center" vertical="center"/>
    </xf>
    <xf borderId="0" fillId="0" fontId="21" numFmtId="167" xfId="0" applyAlignment="1" applyFont="1" applyNumberFormat="1">
      <alignment horizontal="right" vertical="center"/>
    </xf>
    <xf borderId="0" fillId="0" fontId="29" numFmtId="0" xfId="0" applyAlignment="1" applyFont="1">
      <alignment horizontal="right"/>
    </xf>
    <xf borderId="0" fillId="11" fontId="4" numFmtId="0" xfId="0" applyFill="1" applyFont="1"/>
    <xf borderId="0" fillId="0" fontId="4" numFmtId="167" xfId="0" applyAlignment="1" applyFont="1" applyNumberFormat="1">
      <alignment horizontal="center"/>
    </xf>
    <xf borderId="0" fillId="0" fontId="21" numFmtId="167" xfId="0" applyAlignment="1" applyFont="1" applyNumberFormat="1">
      <alignment horizontal="center" vertical="center"/>
    </xf>
    <xf borderId="13" fillId="0" fontId="21" numFmtId="0" xfId="0" applyAlignment="1" applyBorder="1" applyFont="1">
      <alignment horizontal="right" vertical="center"/>
    </xf>
    <xf borderId="13" fillId="0" fontId="21" numFmtId="167" xfId="0" applyAlignment="1" applyBorder="1" applyFont="1" applyNumberFormat="1">
      <alignment horizontal="center" vertical="center"/>
    </xf>
    <xf borderId="13" fillId="0" fontId="8" numFmtId="0" xfId="0" applyAlignment="1" applyBorder="1" applyFont="1">
      <alignment horizontal="center" vertical="center"/>
    </xf>
    <xf borderId="26" fillId="0" fontId="8" numFmtId="0" xfId="0" applyAlignment="1" applyBorder="1" applyFont="1">
      <alignment vertical="center"/>
    </xf>
    <xf borderId="2" fillId="0" fontId="8" numFmtId="0" xfId="0" applyAlignment="1" applyBorder="1" applyFont="1">
      <alignment horizontal="center" vertical="center"/>
    </xf>
    <xf borderId="2" fillId="0" fontId="8" numFmtId="0" xfId="0" applyAlignment="1" applyBorder="1" applyFont="1">
      <alignment horizontal="center" vertical="center"/>
    </xf>
    <xf borderId="0" fillId="0" fontId="29" numFmtId="167" xfId="0" applyAlignment="1" applyFont="1" applyNumberFormat="1">
      <alignment horizontal="center" readingOrder="0"/>
    </xf>
    <xf borderId="23" fillId="0" fontId="8" numFmtId="0" xfId="0" applyAlignment="1" applyBorder="1" applyFont="1">
      <alignment horizontal="center" vertical="center"/>
    </xf>
    <xf borderId="0" fillId="0" fontId="7" numFmtId="0" xfId="0" applyAlignment="1" applyFont="1">
      <alignment horizontal="center" vertical="center"/>
    </xf>
    <xf borderId="0" fillId="0" fontId="7" numFmtId="167" xfId="0" applyAlignment="1" applyFont="1" applyNumberFormat="1">
      <alignment horizontal="center" vertical="center"/>
    </xf>
    <xf borderId="0" fillId="0" fontId="3" numFmtId="0" xfId="0" applyAlignment="1" applyFont="1">
      <alignment vertical="center"/>
    </xf>
    <xf borderId="0" fillId="0" fontId="29" numFmtId="0" xfId="0" applyAlignment="1" applyFont="1">
      <alignment horizontal="right" vertical="center"/>
    </xf>
    <xf borderId="0" fillId="0" fontId="29" numFmtId="167" xfId="0" applyAlignment="1" applyFont="1" applyNumberFormat="1">
      <alignment horizontal="center" vertical="center"/>
    </xf>
    <xf borderId="2" fillId="0" fontId="8" numFmtId="0" xfId="0" applyAlignment="1" applyBorder="1" applyFont="1">
      <alignment readingOrder="0" vertical="center"/>
    </xf>
    <xf borderId="0" fillId="3" fontId="4" numFmtId="167" xfId="0" applyAlignment="1" applyFill="1" applyFont="1" applyNumberFormat="1">
      <alignment horizontal="center"/>
    </xf>
    <xf borderId="23" fillId="0" fontId="8" numFmtId="0" xfId="0" applyAlignment="1" applyBorder="1" applyFont="1">
      <alignment horizontal="center" readingOrder="0" vertical="center"/>
    </xf>
    <xf borderId="2" fillId="0" fontId="21" numFmtId="167" xfId="0" applyAlignment="1" applyBorder="1" applyFont="1" applyNumberFormat="1">
      <alignment horizontal="center"/>
    </xf>
    <xf borderId="0" fillId="9" fontId="16" numFmtId="0" xfId="0" applyAlignment="1" applyFill="1" applyFont="1">
      <alignment readingOrder="0" vertical="center"/>
    </xf>
    <xf borderId="0" fillId="3" fontId="8" numFmtId="167" xfId="0" applyAlignment="1" applyFill="1" applyFont="1" applyNumberFormat="1">
      <alignment readingOrder="0" vertical="center"/>
    </xf>
    <xf borderId="2" fillId="2" fontId="8" numFmtId="0" xfId="0" applyAlignment="1" applyBorder="1" applyFill="1" applyFont="1">
      <alignment readingOrder="0" vertical="center"/>
    </xf>
    <xf borderId="0" fillId="0" fontId="21" numFmtId="0" xfId="0" applyAlignment="1" applyFont="1">
      <alignment horizontal="center" readingOrder="0" vertical="center"/>
    </xf>
    <xf borderId="0" fillId="0" fontId="12" numFmtId="0" xfId="0" applyAlignment="1" applyFont="1">
      <alignment horizontal="center" readingOrder="0" shrinkToFit="0" vertical="center" wrapText="1"/>
    </xf>
    <xf borderId="0" fillId="17" fontId="16" numFmtId="0" xfId="0" applyAlignment="1" applyFill="1" applyFont="1">
      <alignment horizontal="center" readingOrder="0" shrinkToFit="0" vertical="center" wrapText="1"/>
    </xf>
    <xf borderId="0" fillId="0" fontId="16" numFmtId="169" xfId="0" applyAlignment="1" applyFont="1" applyNumberFormat="1">
      <alignment horizontal="right" readingOrder="0" shrinkToFit="0" vertical="center" wrapText="1"/>
    </xf>
    <xf borderId="0" fillId="0" fontId="21" numFmtId="2" xfId="0" applyAlignment="1" applyFont="1" applyNumberFormat="1">
      <alignment horizontal="center" readingOrder="0" vertical="center"/>
    </xf>
    <xf borderId="0" fillId="3" fontId="21" numFmtId="0" xfId="0" applyAlignment="1" applyFill="1" applyFont="1">
      <alignment horizontal="right" readingOrder="0" vertical="center"/>
    </xf>
    <xf borderId="2" fillId="3" fontId="21" numFmtId="167" xfId="0" applyAlignment="1" applyBorder="1" applyFill="1" applyFont="1" applyNumberFormat="1">
      <alignment horizontal="center" readingOrder="0" vertical="center"/>
    </xf>
    <xf borderId="22" fillId="0" fontId="33" numFmtId="0" xfId="0" applyAlignment="1" applyBorder="1" applyFont="1">
      <alignment horizontal="center" readingOrder="0" shrinkToFit="0" vertical="center" wrapText="1"/>
    </xf>
    <xf borderId="23" fillId="0" fontId="6" numFmtId="0" xfId="0" applyAlignment="1" applyBorder="1" applyFont="1">
      <alignment horizontal="center" readingOrder="0" vertical="center"/>
    </xf>
    <xf borderId="0" fillId="0" fontId="25" numFmtId="167" xfId="0" applyAlignment="1" applyFont="1" applyNumberFormat="1">
      <alignment horizontal="center" vertical="center"/>
    </xf>
    <xf borderId="0" fillId="0" fontId="4" numFmtId="0" xfId="0" applyAlignment="1" applyFont="1">
      <alignment horizontal="center" shrinkToFit="0" vertical="center" wrapText="1"/>
    </xf>
    <xf borderId="22" fillId="14" fontId="16" numFmtId="0" xfId="0" applyAlignment="1" applyBorder="1" applyFill="1" applyFont="1">
      <alignment horizontal="center" vertical="center"/>
    </xf>
    <xf borderId="2" fillId="0" fontId="25" numFmtId="167" xfId="0" applyAlignment="1" applyBorder="1" applyFont="1" applyNumberFormat="1">
      <alignment horizontal="center" vertical="center"/>
    </xf>
    <xf borderId="22" fillId="11" fontId="16" numFmtId="167" xfId="0" applyAlignment="1" applyBorder="1" applyFill="1" applyFont="1" applyNumberFormat="1">
      <alignment readingOrder="0" vertical="center"/>
    </xf>
    <xf borderId="2" fillId="0" fontId="29" numFmtId="167" xfId="0" applyAlignment="1" applyBorder="1" applyFont="1" applyNumberFormat="1">
      <alignment horizontal="right" vertical="center"/>
    </xf>
    <xf borderId="0" fillId="0" fontId="7" numFmtId="167" xfId="0" applyAlignment="1" applyFont="1" applyNumberFormat="1">
      <alignment horizontal="center" readingOrder="0" vertical="center"/>
    </xf>
    <xf borderId="32" fillId="14" fontId="16" numFmtId="0" xfId="0" applyAlignment="1" applyBorder="1" applyFill="1" applyFont="1">
      <alignment horizontal="center" vertical="center"/>
    </xf>
    <xf borderId="2" fillId="0" fontId="7" numFmtId="167" xfId="0" applyAlignment="1" applyBorder="1" applyFont="1" applyNumberFormat="1">
      <alignment horizontal="center" vertical="center"/>
    </xf>
    <xf borderId="0" fillId="0" fontId="7" numFmtId="167" xfId="0" applyAlignment="1" applyFont="1" applyNumberFormat="1">
      <alignment horizontal="center" vertical="center"/>
    </xf>
    <xf borderId="22" fillId="14" fontId="16" numFmtId="0" xfId="0" applyAlignment="1" applyBorder="1" applyFill="1" applyFont="1">
      <alignment horizontal="center" shrinkToFit="0" vertical="center" wrapText="1"/>
    </xf>
    <xf borderId="0" fillId="0" fontId="7" numFmtId="0" xfId="0" applyAlignment="1" applyFont="1">
      <alignment horizontal="center" readingOrder="0" shrinkToFit="0" vertical="center" wrapText="1"/>
    </xf>
    <xf borderId="22" fillId="14" fontId="16" numFmtId="0" xfId="0" applyAlignment="1" applyBorder="1" applyFill="1" applyFont="1">
      <alignment horizontal="center" shrinkToFit="0" vertical="center" wrapText="1"/>
    </xf>
    <xf borderId="22" fillId="14" fontId="16" numFmtId="0" xfId="0" applyAlignment="1" applyBorder="1" applyFill="1" applyFont="1">
      <alignment horizontal="center" readingOrder="0" shrinkToFit="0" vertical="center" wrapText="1"/>
    </xf>
    <xf borderId="22" fillId="11" fontId="16" numFmtId="167" xfId="0" applyAlignment="1" applyBorder="1" applyFill="1" applyFont="1" applyNumberFormat="1">
      <alignment readingOrder="0" shrinkToFit="0" vertical="center" wrapText="1"/>
    </xf>
    <xf borderId="0" fillId="0" fontId="7" numFmtId="167" xfId="0" applyAlignment="1" applyFont="1" applyNumberFormat="1">
      <alignment horizontal="center" readingOrder="0" shrinkToFit="0" vertical="center" wrapText="1"/>
    </xf>
    <xf borderId="0" fillId="0" fontId="7" numFmtId="0" xfId="0" applyAlignment="1" applyFont="1">
      <alignment horizontal="center" readingOrder="0" vertical="center"/>
    </xf>
    <xf borderId="22" fillId="15" fontId="16" numFmtId="0" xfId="0" applyAlignment="1" applyBorder="1" applyFill="1" applyFont="1">
      <alignment horizontal="center" shrinkToFit="0" vertical="center" wrapText="1"/>
    </xf>
    <xf borderId="22" fillId="16" fontId="16" numFmtId="0" xfId="0" applyAlignment="1" applyBorder="1" applyFill="1" applyFont="1">
      <alignment horizontal="center" readingOrder="0" shrinkToFit="0" vertical="center" wrapText="1"/>
    </xf>
    <xf borderId="0" fillId="0" fontId="4" numFmtId="0" xfId="0" applyAlignment="1" applyFont="1">
      <alignment horizontal="center" readingOrder="0" shrinkToFit="0" vertical="center" wrapText="1"/>
    </xf>
    <xf borderId="22" fillId="16" fontId="16" numFmtId="0" xfId="0" applyAlignment="1" applyBorder="1" applyFill="1" applyFont="1">
      <alignment horizontal="center" shrinkToFit="0" vertical="center" wrapText="1"/>
    </xf>
    <xf borderId="22" fillId="16" fontId="16" numFmtId="0" xfId="0" applyAlignment="1" applyBorder="1" applyFill="1" applyFont="1">
      <alignment horizontal="center" shrinkToFit="0" vertical="center" wrapText="1"/>
    </xf>
    <xf borderId="22" fillId="11" fontId="16" numFmtId="167" xfId="0" applyAlignment="1" applyBorder="1" applyFill="1" applyFont="1" applyNumberFormat="1">
      <alignment horizontal="center" readingOrder="0" vertical="center"/>
    </xf>
    <xf borderId="2" fillId="0" fontId="29" numFmtId="0" xfId="0" applyAlignment="1" applyBorder="1" applyFont="1">
      <alignment horizontal="right" vertical="center"/>
    </xf>
    <xf borderId="22" fillId="17" fontId="16" numFmtId="0" xfId="0" applyAlignment="1" applyBorder="1" applyFill="1" applyFont="1">
      <alignment horizontal="center" shrinkToFit="0" vertical="center" wrapText="1"/>
    </xf>
    <xf borderId="22" fillId="0" fontId="4" numFmtId="0" xfId="0" applyAlignment="1" applyBorder="1" applyFont="1">
      <alignment horizontal="center" vertical="center"/>
    </xf>
    <xf borderId="22" fillId="17" fontId="16" numFmtId="0" xfId="0" applyAlignment="1" applyBorder="1" applyFill="1" applyFont="1">
      <alignment horizontal="center" readingOrder="0" shrinkToFit="0" vertical="center" wrapText="1"/>
    </xf>
    <xf borderId="22" fillId="18" fontId="16" numFmtId="0" xfId="0" applyAlignment="1" applyBorder="1" applyFill="1" applyFont="1">
      <alignment horizontal="center" shrinkToFit="0" vertical="center" wrapText="1"/>
    </xf>
    <xf borderId="33" fillId="5" fontId="46" numFmtId="0" xfId="0" applyAlignment="1" applyBorder="1" applyFill="1" applyFont="1">
      <alignment horizontal="center" readingOrder="0" shrinkToFit="0" vertical="center" wrapText="1"/>
    </xf>
    <xf borderId="34" fillId="3" fontId="7" numFmtId="167" xfId="0" applyAlignment="1" applyBorder="1" applyFill="1" applyFont="1" applyNumberFormat="1">
      <alignment horizontal="center" vertical="center"/>
    </xf>
    <xf borderId="22" fillId="0" fontId="33" numFmtId="0" xfId="0" applyAlignment="1" applyBorder="1" applyFont="1">
      <alignment horizontal="right" readingOrder="0" shrinkToFit="0" vertical="center" wrapText="1"/>
    </xf>
    <xf borderId="23" fillId="0" fontId="3" numFmtId="167" xfId="0" applyAlignment="1" applyBorder="1" applyFont="1" applyNumberFormat="1">
      <alignment horizontal="center" vertical="center"/>
    </xf>
    <xf borderId="2" fillId="0" fontId="31" numFmtId="167" xfId="0" applyAlignment="1" applyBorder="1" applyFont="1" applyNumberFormat="1">
      <alignment horizontal="left" vertical="center"/>
    </xf>
    <xf borderId="4" fillId="0" fontId="33" numFmtId="0" xfId="0" applyAlignment="1" applyBorder="1" applyFont="1">
      <alignment horizontal="center" readingOrder="0" shrinkToFit="0" vertical="center" wrapText="1"/>
    </xf>
    <xf borderId="22" fillId="0" fontId="21" numFmtId="0" xfId="0" applyAlignment="1" applyBorder="1" applyFont="1">
      <alignment horizontal="center" readingOrder="0" shrinkToFit="0" vertical="center" wrapText="1"/>
    </xf>
    <xf borderId="0" fillId="0" fontId="29" numFmtId="0" xfId="0" applyAlignment="1" applyFont="1">
      <alignment horizontal="center" readingOrder="0" shrinkToFit="0" vertical="center" wrapText="1"/>
    </xf>
    <xf borderId="0" fillId="7" fontId="29" numFmtId="0" xfId="0" applyAlignment="1" applyFill="1" applyFont="1">
      <alignment horizontal="center" readingOrder="0" shrinkToFit="0" vertical="center" wrapText="1"/>
    </xf>
    <xf borderId="0" fillId="7" fontId="29" numFmtId="167" xfId="0" applyAlignment="1" applyFill="1" applyFont="1" applyNumberFormat="1">
      <alignment horizontal="center" readingOrder="0" shrinkToFit="0" vertical="center" wrapText="1"/>
    </xf>
    <xf borderId="0" fillId="7" fontId="29" numFmtId="167" xfId="0" applyAlignment="1" applyFill="1" applyFont="1" applyNumberFormat="1">
      <alignment horizontal="center" readingOrder="0" shrinkToFit="0" vertical="center" wrapText="1"/>
    </xf>
    <xf borderId="2" fillId="0" fontId="29" numFmtId="0" xfId="0" applyAlignment="1" applyBorder="1" applyFont="1">
      <alignment horizontal="center" readingOrder="0" shrinkToFit="0" vertical="center" wrapText="1"/>
    </xf>
    <xf borderId="0" fillId="13" fontId="47" numFmtId="0" xfId="0" applyAlignment="1" applyFill="1" applyFont="1">
      <alignment horizontal="center" readingOrder="0" shrinkToFit="0" vertical="center" wrapText="1"/>
    </xf>
    <xf borderId="11" fillId="0" fontId="6" numFmtId="2" xfId="0" applyAlignment="1" applyBorder="1" applyFont="1" applyNumberFormat="1">
      <alignment horizontal="center" readingOrder="0" shrinkToFit="0" vertical="center" wrapText="1"/>
    </xf>
    <xf borderId="6" fillId="0" fontId="6" numFmtId="167" xfId="0" applyAlignment="1" applyBorder="1" applyFont="1" applyNumberFormat="1">
      <alignment horizontal="center" vertical="center"/>
    </xf>
    <xf borderId="6" fillId="0" fontId="6" numFmtId="167" xfId="0" applyAlignment="1" applyBorder="1" applyFont="1" applyNumberFormat="1">
      <alignment horizontal="center" vertical="center"/>
    </xf>
    <xf borderId="6" fillId="0" fontId="31" numFmtId="167" xfId="0" applyAlignment="1" applyBorder="1" applyFont="1" applyNumberFormat="1">
      <alignment horizontal="center" vertical="center"/>
    </xf>
    <xf borderId="6" fillId="0" fontId="4" numFmtId="0" xfId="0" applyBorder="1" applyFont="1"/>
    <xf borderId="6" fillId="0" fontId="31" numFmtId="167" xfId="0" applyAlignment="1" applyBorder="1" applyFont="1" applyNumberFormat="1">
      <alignment horizontal="center" shrinkToFit="0" vertical="center" wrapText="1"/>
    </xf>
    <xf borderId="7" fillId="0" fontId="31" numFmtId="167" xfId="0" applyAlignment="1" applyBorder="1" applyFont="1" applyNumberFormat="1">
      <alignment horizontal="center" shrinkToFit="0" vertical="center" wrapText="1"/>
    </xf>
    <xf borderId="0" fillId="7" fontId="31" numFmtId="0" xfId="0" applyAlignment="1" applyFill="1" applyFont="1">
      <alignment horizontal="center" vertical="center"/>
    </xf>
    <xf borderId="0" fillId="0" fontId="14" numFmtId="167" xfId="0" applyAlignment="1" applyFont="1" applyNumberFormat="1">
      <alignment horizontal="center" vertical="center"/>
    </xf>
    <xf borderId="0" fillId="0" fontId="3" numFmtId="0" xfId="0" applyAlignment="1" applyFont="1">
      <alignment horizontal="center" readingOrder="0" vertical="center"/>
    </xf>
    <xf borderId="0" fillId="0" fontId="29" numFmtId="0" xfId="0" applyAlignment="1" applyFont="1">
      <alignment readingOrder="0" shrinkToFit="0" vertical="center" wrapText="1"/>
    </xf>
    <xf borderId="0" fillId="0" fontId="21" numFmtId="0" xfId="0" applyAlignment="1" applyFont="1">
      <alignment horizontal="right" readingOrder="0"/>
    </xf>
    <xf borderId="2" fillId="0" fontId="8" numFmtId="167" xfId="0" applyAlignment="1" applyBorder="1" applyFont="1" applyNumberFormat="1">
      <alignment horizontal="center" readingOrder="0"/>
    </xf>
    <xf borderId="2" fillId="7" fontId="8" numFmtId="0" xfId="0" applyAlignment="1" applyBorder="1" applyFill="1" applyFont="1">
      <alignment horizontal="center" readingOrder="0" vertical="center"/>
    </xf>
    <xf borderId="0" fillId="0" fontId="16" numFmtId="0" xfId="0" applyAlignment="1" applyFont="1">
      <alignment horizontal="center" shrinkToFit="0" wrapText="1"/>
    </xf>
    <xf borderId="0" fillId="0" fontId="16" numFmtId="0" xfId="0" applyAlignment="1" applyFont="1">
      <alignment vertical="center"/>
    </xf>
    <xf borderId="0" fillId="0" fontId="16" numFmtId="0" xfId="0" applyAlignment="1" applyFont="1">
      <alignment vertical="center"/>
    </xf>
    <xf borderId="0" fillId="7" fontId="15" numFmtId="0" xfId="0" applyAlignment="1" applyFill="1" applyFont="1">
      <alignment readingOrder="0" shrinkToFit="0" vertical="center" wrapText="1"/>
    </xf>
    <xf borderId="0" fillId="0" fontId="16" numFmtId="0" xfId="0" applyAlignment="1" applyFont="1">
      <alignment readingOrder="0" vertical="center"/>
    </xf>
    <xf borderId="0" fillId="0" fontId="12" numFmtId="0" xfId="0" applyAlignment="1" applyFont="1">
      <alignment readingOrder="0" shrinkToFit="0" vertical="center" wrapText="1"/>
    </xf>
    <xf borderId="0" fillId="0" fontId="16" numFmtId="167" xfId="0" applyAlignment="1" applyFont="1" applyNumberFormat="1">
      <alignment vertical="center"/>
    </xf>
    <xf borderId="0" fillId="0" fontId="30" numFmtId="0" xfId="0" applyFont="1"/>
    <xf borderId="0" fillId="2" fontId="16" numFmtId="0" xfId="0" applyAlignment="1" applyFill="1" applyFont="1">
      <alignment horizontal="center" readingOrder="0" shrinkToFit="0" vertical="center" wrapText="1"/>
    </xf>
    <xf borderId="0" fillId="0" fontId="16" numFmtId="0" xfId="0" applyAlignment="1" applyFont="1">
      <alignment horizontal="left" readingOrder="0" vertical="center"/>
    </xf>
    <xf borderId="2" fillId="0" fontId="10" numFmtId="0" xfId="0" applyAlignment="1" applyBorder="1" applyFont="1">
      <alignment horizontal="center" readingOrder="0" vertical="center"/>
    </xf>
    <xf borderId="0" fillId="7" fontId="16" numFmtId="0" xfId="0" applyAlignment="1" applyFill="1" applyFont="1">
      <alignment horizontal="left" readingOrder="0" vertical="center"/>
    </xf>
    <xf borderId="15" fillId="7" fontId="18" numFmtId="167" xfId="0" applyAlignment="1" applyBorder="1" applyFill="1" applyFont="1" applyNumberFormat="1">
      <alignment readingOrder="0" vertical="center"/>
    </xf>
    <xf borderId="2" fillId="0" fontId="21" numFmtId="167" xfId="0" applyAlignment="1" applyBorder="1" applyFont="1" applyNumberFormat="1">
      <alignment horizontal="center" readingOrder="0"/>
    </xf>
    <xf borderId="2" fillId="6" fontId="8" numFmtId="0" xfId="0" applyAlignment="1" applyBorder="1" applyFill="1" applyFont="1">
      <alignment horizontal="center" readingOrder="0" vertical="center"/>
    </xf>
    <xf borderId="0" fillId="4" fontId="48" numFmtId="0" xfId="0" applyAlignment="1" applyFill="1" applyFont="1">
      <alignment horizontal="center" readingOrder="0"/>
    </xf>
    <xf borderId="5" fillId="0" fontId="21" numFmtId="167" xfId="0" applyAlignment="1" applyBorder="1" applyFont="1" applyNumberFormat="1">
      <alignment horizontal="center" readingOrder="0" vertical="center"/>
    </xf>
    <xf borderId="4" fillId="7" fontId="16" numFmtId="0" xfId="0" applyAlignment="1" applyBorder="1" applyFill="1" applyFont="1">
      <alignment horizontal="center" readingOrder="0" shrinkToFit="0" vertical="center" wrapText="1"/>
    </xf>
    <xf borderId="0" fillId="7" fontId="16" numFmtId="0" xfId="0" applyAlignment="1" applyFill="1" applyFont="1">
      <alignment horizontal="center" readingOrder="0" shrinkToFit="0" vertical="center" wrapText="1"/>
    </xf>
    <xf borderId="2" fillId="5" fontId="8" numFmtId="0" xfId="0" applyAlignment="1" applyBorder="1" applyFill="1" applyFont="1">
      <alignment horizontal="center" readingOrder="0" vertical="center"/>
    </xf>
    <xf borderId="15" fillId="7" fontId="15" numFmtId="167" xfId="0" applyAlignment="1" applyBorder="1" applyFill="1" applyFont="1" applyNumberFormat="1">
      <alignment readingOrder="0" vertical="center"/>
    </xf>
    <xf borderId="0" fillId="0" fontId="16" numFmtId="167" xfId="0" applyAlignment="1" applyFont="1" applyNumberFormat="1">
      <alignment readingOrder="0" vertical="center"/>
    </xf>
    <xf borderId="2" fillId="3" fontId="8" numFmtId="0" xfId="0" applyAlignment="1" applyBorder="1" applyFill="1" applyFont="1">
      <alignment horizontal="center" readingOrder="0" vertical="center"/>
    </xf>
    <xf borderId="0" fillId="0" fontId="40" numFmtId="167" xfId="0" applyAlignment="1" applyFont="1" applyNumberFormat="1">
      <alignment readingOrder="0" shrinkToFit="0" vertical="center" wrapText="1"/>
    </xf>
    <xf borderId="2" fillId="2" fontId="8" numFmtId="0" xfId="0" applyAlignment="1" applyBorder="1" applyFill="1" applyFont="1">
      <alignment horizontal="center"/>
    </xf>
    <xf borderId="2" fillId="0" fontId="7" numFmtId="0" xfId="0" applyAlignment="1" applyBorder="1" applyFont="1">
      <alignment horizontal="center" vertical="center"/>
    </xf>
    <xf borderId="0" fillId="7" fontId="31" numFmtId="0" xfId="0" applyAlignment="1" applyFill="1" applyFont="1">
      <alignment horizontal="center" readingOrder="0" vertical="center"/>
    </xf>
    <xf borderId="0" fillId="20" fontId="16" numFmtId="0" xfId="0" applyAlignment="1" applyFill="1" applyFont="1">
      <alignment horizontal="center" readingOrder="0" shrinkToFit="0" vertical="center" wrapText="1"/>
    </xf>
    <xf borderId="35" fillId="0" fontId="16" numFmtId="168" xfId="0" applyAlignment="1" applyBorder="1" applyFont="1" applyNumberFormat="1">
      <alignment horizontal="center" vertical="center"/>
    </xf>
    <xf borderId="0" fillId="7" fontId="31" numFmtId="168" xfId="0" applyAlignment="1" applyFill="1" applyFont="1" applyNumberFormat="1">
      <alignment horizontal="center" vertical="center"/>
    </xf>
    <xf borderId="0" fillId="0" fontId="5" numFmtId="0" xfId="0" applyAlignment="1" applyFont="1">
      <alignment horizontal="center" readingOrder="0" vertical="center"/>
    </xf>
    <xf borderId="2" fillId="2" fontId="25" numFmtId="0" xfId="0" applyAlignment="1" applyBorder="1" applyFill="1" applyFont="1">
      <alignment horizontal="center" readingOrder="0" vertical="center"/>
    </xf>
    <xf borderId="2" fillId="0" fontId="25" numFmtId="0" xfId="0" applyAlignment="1" applyBorder="1" applyFont="1">
      <alignment horizontal="center" readingOrder="0" vertical="center"/>
    </xf>
    <xf borderId="0" fillId="0" fontId="16" numFmtId="0" xfId="0" applyAlignment="1" applyFont="1">
      <alignment horizontal="right" readingOrder="0" shrinkToFit="0" vertical="center" wrapText="1"/>
    </xf>
    <xf borderId="0" fillId="0" fontId="8" numFmtId="169" xfId="0" applyAlignment="1" applyFont="1" applyNumberFormat="1">
      <alignment readingOrder="0" vertical="center"/>
    </xf>
    <xf borderId="2" fillId="0" fontId="21" numFmtId="0" xfId="0" applyAlignment="1" applyBorder="1" applyFont="1">
      <alignment horizontal="center" readingOrder="0" vertical="center"/>
    </xf>
    <xf borderId="0" fillId="9" fontId="16" numFmtId="0" xfId="0" applyAlignment="1" applyFill="1" applyFont="1">
      <alignment vertical="center"/>
    </xf>
    <xf borderId="0" fillId="0" fontId="25" numFmtId="0" xfId="0" applyAlignment="1" applyFont="1">
      <alignment readingOrder="0" shrinkToFit="0" vertical="center" wrapText="1"/>
    </xf>
    <xf borderId="2" fillId="0" fontId="8" numFmtId="0" xfId="0" applyBorder="1" applyFont="1"/>
    <xf borderId="0" fillId="9" fontId="16" numFmtId="0" xfId="0" applyAlignment="1" applyFill="1" applyFont="1">
      <alignment shrinkToFit="0" vertical="center" wrapText="1"/>
    </xf>
    <xf borderId="0" fillId="0" fontId="21" numFmtId="167" xfId="0" applyAlignment="1" applyFont="1" applyNumberFormat="1">
      <alignment horizontal="center" vertical="bottom"/>
    </xf>
    <xf borderId="0" fillId="0" fontId="16" numFmtId="0" xfId="0" applyAlignment="1" applyFont="1">
      <alignment horizontal="center" shrinkToFit="0" vertical="bottom" wrapText="1"/>
    </xf>
    <xf borderId="0" fillId="0" fontId="16" numFmtId="0" xfId="0" applyAlignment="1" applyFont="1">
      <alignment horizontal="center" shrinkToFit="0" vertical="center" wrapText="1"/>
    </xf>
    <xf borderId="0" fillId="0" fontId="8" numFmtId="167" xfId="0" applyFont="1" applyNumberFormat="1"/>
    <xf borderId="0" fillId="0" fontId="8" numFmtId="0" xfId="0" applyFont="1"/>
    <xf borderId="0" fillId="0" fontId="16" numFmtId="0" xfId="0" applyAlignment="1" applyFont="1">
      <alignment horizontal="center" shrinkToFit="0" wrapText="1"/>
    </xf>
    <xf borderId="2" fillId="0" fontId="31" numFmtId="0" xfId="0" applyAlignment="1" applyBorder="1" applyFont="1">
      <alignment horizontal="left" vertical="center"/>
    </xf>
    <xf borderId="15" fillId="8" fontId="9" numFmtId="0" xfId="0" applyAlignment="1" applyBorder="1" applyFill="1" applyFont="1">
      <alignment horizontal="center" readingOrder="0" vertical="center"/>
    </xf>
    <xf borderId="0" fillId="0" fontId="45" numFmtId="0" xfId="0" applyAlignment="1" applyFont="1">
      <alignment horizontal="right" readingOrder="0" vertical="center"/>
    </xf>
    <xf borderId="2" fillId="3" fontId="8" numFmtId="0" xfId="0" applyAlignment="1" applyBorder="1" applyFill="1" applyFont="1">
      <alignment readingOrder="0" vertical="center"/>
    </xf>
    <xf borderId="25" fillId="7" fontId="49" numFmtId="0" xfId="0" applyAlignment="1" applyBorder="1" applyFill="1" applyFont="1">
      <alignment horizontal="right" readingOrder="0" shrinkToFit="0" vertical="center" wrapText="1"/>
    </xf>
    <xf borderId="13" fillId="7" fontId="49" numFmtId="0" xfId="0" applyAlignment="1" applyBorder="1" applyFill="1" applyFont="1">
      <alignment horizontal="right" readingOrder="0" shrinkToFit="0" vertical="center" wrapText="1"/>
    </xf>
    <xf borderId="13" fillId="7" fontId="49" numFmtId="0" xfId="0" applyAlignment="1" applyBorder="1" applyFill="1" applyFont="1">
      <alignment horizontal="right" shrinkToFit="0" vertical="center" wrapText="1"/>
    </xf>
    <xf borderId="26" fillId="7" fontId="35" numFmtId="0" xfId="0" applyAlignment="1" applyBorder="1" applyFill="1" applyFont="1">
      <alignment horizontal="center" readingOrder="0" vertical="center"/>
    </xf>
    <xf borderId="0" fillId="0" fontId="21" numFmtId="0" xfId="0" applyAlignment="1" applyFont="1">
      <alignment horizontal="right" readingOrder="0" shrinkToFit="0" wrapText="1"/>
    </xf>
    <xf borderId="25" fillId="0" fontId="50" numFmtId="0" xfId="0" applyAlignment="1" applyBorder="1" applyFont="1">
      <alignment horizontal="right" readingOrder="0" shrinkToFit="0" vertical="center" wrapText="1"/>
    </xf>
    <xf borderId="13" fillId="0" fontId="50" numFmtId="0" xfId="0" applyAlignment="1" applyBorder="1" applyFont="1">
      <alignment horizontal="right" readingOrder="0" shrinkToFit="0" vertical="center" wrapText="1"/>
    </xf>
    <xf borderId="2" fillId="5" fontId="8" numFmtId="0" xfId="0" applyAlignment="1" applyBorder="1" applyFill="1" applyFont="1">
      <alignment readingOrder="0" vertical="center"/>
    </xf>
    <xf borderId="21" fillId="0" fontId="8" numFmtId="167" xfId="0" applyAlignment="1" applyBorder="1" applyFont="1" applyNumberFormat="1">
      <alignment readingOrder="0" vertical="center"/>
    </xf>
    <xf borderId="25" fillId="7" fontId="11" numFmtId="0" xfId="0" applyAlignment="1" applyBorder="1" applyFill="1" applyFont="1">
      <alignment horizontal="right" readingOrder="0" shrinkToFit="0" vertical="center" wrapText="1"/>
    </xf>
    <xf borderId="13" fillId="7" fontId="11" numFmtId="0" xfId="0" applyAlignment="1" applyBorder="1" applyFill="1" applyFont="1">
      <alignment horizontal="right" readingOrder="0" shrinkToFit="0" vertical="center" wrapText="1"/>
    </xf>
    <xf borderId="13" fillId="7" fontId="11" numFmtId="0" xfId="0" applyAlignment="1" applyBorder="1" applyFill="1" applyFont="1">
      <alignment horizontal="right" shrinkToFit="0" vertical="center" wrapText="1"/>
    </xf>
    <xf borderId="26" fillId="7" fontId="16" numFmtId="0" xfId="0" applyAlignment="1" applyBorder="1" applyFill="1" applyFont="1">
      <alignment horizontal="center" vertical="center"/>
    </xf>
    <xf borderId="2" fillId="21" fontId="8" numFmtId="0" xfId="0" applyAlignment="1" applyBorder="1" applyFill="1" applyFont="1">
      <alignment horizontal="center" readingOrder="0" vertical="center"/>
    </xf>
    <xf borderId="0" fillId="9" fontId="8" numFmtId="0" xfId="0" applyAlignment="1" applyFill="1" applyFont="1">
      <alignment readingOrder="0" shrinkToFit="0" vertical="center" wrapText="1"/>
    </xf>
    <xf borderId="0" fillId="0" fontId="35" numFmtId="0" xfId="0" applyAlignment="1" applyFont="1">
      <alignment readingOrder="0" vertical="center"/>
    </xf>
    <xf borderId="0" fillId="0" fontId="16" numFmtId="0" xfId="0" applyAlignment="1" applyFont="1">
      <alignment horizontal="left" readingOrder="0" shrinkToFit="0" vertical="center" wrapText="1"/>
    </xf>
    <xf borderId="0" fillId="0" fontId="21" numFmtId="0" xfId="0" applyAlignment="1" applyFont="1">
      <alignment readingOrder="0" shrinkToFit="0" vertical="center" wrapText="1"/>
    </xf>
    <xf borderId="36" fillId="0" fontId="21" numFmtId="167" xfId="0" applyAlignment="1" applyBorder="1" applyFont="1" applyNumberFormat="1">
      <alignment horizontal="center" readingOrder="0" vertical="center"/>
    </xf>
    <xf borderId="0" fillId="20" fontId="16" numFmtId="0" xfId="0" applyAlignment="1" applyFill="1" applyFont="1">
      <alignment horizontal="center" shrinkToFit="0" vertical="center" wrapText="1"/>
    </xf>
    <xf borderId="37" fillId="0" fontId="21" numFmtId="167" xfId="0" applyAlignment="1" applyBorder="1" applyFont="1" applyNumberFormat="1">
      <alignment horizontal="center" readingOrder="0" vertical="center"/>
    </xf>
    <xf borderId="0" fillId="4" fontId="51" numFmtId="0" xfId="0" applyAlignment="1" applyFill="1" applyFont="1">
      <alignment readingOrder="0"/>
    </xf>
    <xf borderId="0" fillId="0" fontId="21" numFmtId="0" xfId="0" applyAlignment="1" applyFont="1">
      <alignment horizontal="right" readingOrder="0" shrinkToFit="0" vertical="center" wrapText="1"/>
    </xf>
    <xf borderId="0" fillId="13" fontId="35" numFmtId="0" xfId="0" applyAlignment="1" applyFill="1" applyFont="1">
      <alignment readingOrder="0" vertical="center"/>
    </xf>
    <xf borderId="0" fillId="0" fontId="49" numFmtId="167" xfId="0" applyAlignment="1" applyFont="1" applyNumberFormat="1">
      <alignment readingOrder="0" vertical="center"/>
    </xf>
    <xf borderId="0" fillId="0" fontId="4" numFmtId="168" xfId="0" applyAlignment="1" applyFont="1" applyNumberFormat="1">
      <alignment readingOrder="0"/>
    </xf>
    <xf borderId="0" fillId="0" fontId="15" numFmtId="0" xfId="0" applyAlignment="1" applyFont="1">
      <alignment readingOrder="0" shrinkToFit="0" vertical="center" wrapText="1"/>
    </xf>
    <xf borderId="0" fillId="0" fontId="4" numFmtId="167" xfId="0" applyAlignment="1" applyFont="1" applyNumberFormat="1">
      <alignment readingOrder="0" vertical="center"/>
    </xf>
    <xf borderId="2" fillId="0" fontId="21" numFmtId="167" xfId="0" applyAlignment="1" applyBorder="1" applyFont="1" applyNumberFormat="1">
      <alignment horizontal="center" readingOrder="0" shrinkToFit="0" vertical="center" wrapText="1"/>
    </xf>
    <xf borderId="2" fillId="7" fontId="21" numFmtId="167" xfId="0" applyAlignment="1" applyBorder="1" applyFill="1" applyFont="1" applyNumberFormat="1">
      <alignment horizontal="center" readingOrder="0" vertical="center"/>
    </xf>
    <xf borderId="0" fillId="7" fontId="21" numFmtId="0" xfId="0" applyAlignment="1" applyFill="1" applyFont="1">
      <alignment horizontal="right" readingOrder="0" vertical="center"/>
    </xf>
    <xf borderId="0" fillId="7" fontId="16" numFmtId="0" xfId="0" applyAlignment="1" applyFill="1" applyFont="1">
      <alignment readingOrder="0" shrinkToFit="0" vertical="center" wrapText="1"/>
    </xf>
    <xf borderId="0" fillId="0" fontId="16" numFmtId="0" xfId="0" applyAlignment="1" applyFont="1">
      <alignment shrinkToFit="0" vertical="center" wrapText="1"/>
    </xf>
    <xf borderId="0" fillId="0" fontId="16" numFmtId="167" xfId="0" applyAlignment="1" applyFont="1" applyNumberFormat="1">
      <alignment shrinkToFit="0" vertical="center" wrapText="1"/>
    </xf>
    <xf borderId="22" fillId="11" fontId="16" numFmtId="167" xfId="0" applyAlignment="1" applyBorder="1" applyFill="1" applyFont="1" applyNumberFormat="1">
      <alignment horizontal="left" readingOrder="0" vertical="center"/>
    </xf>
    <xf borderId="2" fillId="0" fontId="29" numFmtId="167" xfId="0" applyAlignment="1" applyBorder="1" applyFont="1" applyNumberFormat="1">
      <alignment horizontal="right" readingOrder="0" vertical="center"/>
    </xf>
    <xf borderId="22" fillId="11" fontId="16" numFmtId="167" xfId="0" applyAlignment="1" applyBorder="1" applyFill="1" applyFont="1" applyNumberFormat="1">
      <alignment horizontal="left" readingOrder="0" shrinkToFit="0" vertical="center" wrapText="1"/>
    </xf>
    <xf borderId="2" fillId="0" fontId="29" numFmtId="0" xfId="0" applyAlignment="1" applyBorder="1" applyFont="1">
      <alignment horizontal="right" readingOrder="0" vertical="center"/>
    </xf>
    <xf borderId="38" fillId="5" fontId="46" numFmtId="0" xfId="0" applyAlignment="1" applyBorder="1" applyFill="1" applyFont="1">
      <alignment horizontal="center" readingOrder="0" shrinkToFit="0" vertical="center" wrapText="1"/>
    </xf>
    <xf borderId="0" fillId="0" fontId="33" numFmtId="0" xfId="0" applyAlignment="1" applyFont="1">
      <alignment horizontal="right" readingOrder="0" shrinkToFit="0" vertical="center" wrapText="1"/>
    </xf>
    <xf borderId="0" fillId="0" fontId="21" numFmtId="0" xfId="0" applyAlignment="1" applyFont="1">
      <alignment horizontal="center" readingOrder="0" shrinkToFit="0" vertical="center" wrapText="1"/>
    </xf>
    <xf borderId="39" fillId="7" fontId="52" numFmtId="167" xfId="0" applyAlignment="1" applyBorder="1" applyFill="1" applyFont="1" applyNumberFormat="1">
      <alignment horizontal="center" readingOrder="0" shrinkToFit="0" vertical="center" wrapText="1"/>
    </xf>
    <xf borderId="40" fillId="7" fontId="29" numFmtId="167" xfId="0" applyAlignment="1" applyBorder="1" applyFill="1" applyFont="1" applyNumberFormat="1">
      <alignment horizontal="center" readingOrder="0" shrinkToFit="0" vertical="center" wrapText="1"/>
    </xf>
    <xf borderId="6" fillId="0" fontId="6" numFmtId="2" xfId="0" applyAlignment="1" applyBorder="1" applyFont="1" applyNumberFormat="1">
      <alignment horizontal="center" readingOrder="0" shrinkToFit="0" vertical="center" wrapText="1"/>
    </xf>
    <xf borderId="41" fillId="0" fontId="6" numFmtId="167" xfId="0" applyAlignment="1" applyBorder="1" applyFont="1" applyNumberFormat="1">
      <alignment horizontal="center" vertical="center"/>
    </xf>
    <xf borderId="42" fillId="0" fontId="31" numFmtId="167" xfId="0" applyAlignment="1" applyBorder="1" applyFont="1" applyNumberFormat="1">
      <alignment horizontal="center" vertical="center"/>
    </xf>
    <xf borderId="0" fillId="7" fontId="31" numFmtId="167" xfId="0" applyAlignment="1" applyFill="1" applyFont="1" applyNumberFormat="1">
      <alignment horizontal="center" vertical="center"/>
    </xf>
    <xf borderId="2" fillId="4" fontId="21" numFmtId="168" xfId="0" applyAlignment="1" applyBorder="1" applyFill="1" applyFont="1" applyNumberFormat="1">
      <alignment horizontal="center" vertical="center"/>
    </xf>
    <xf borderId="2" fillId="0" fontId="24" numFmtId="168" xfId="0" applyAlignment="1" applyBorder="1" applyFont="1" applyNumberFormat="1">
      <alignment horizontal="center" vertical="center"/>
    </xf>
    <xf borderId="0" fillId="0" fontId="21" numFmtId="0" xfId="0" applyAlignment="1" applyFont="1">
      <alignment horizontal="center" vertical="center"/>
    </xf>
    <xf borderId="2" fillId="0" fontId="21" numFmtId="168" xfId="0" applyAlignment="1" applyBorder="1" applyFont="1" applyNumberFormat="1">
      <alignment horizontal="center" readingOrder="0" vertical="center"/>
    </xf>
    <xf borderId="0" fillId="9" fontId="16" numFmtId="0" xfId="0" applyAlignment="1" applyFill="1" applyFont="1">
      <alignment horizontal="left" readingOrder="0" vertical="center"/>
    </xf>
    <xf borderId="2" fillId="0" fontId="21" numFmtId="168" xfId="0" applyAlignment="1" applyBorder="1" applyFont="1" applyNumberFormat="1">
      <alignment horizontal="center" vertical="center"/>
    </xf>
    <xf borderId="2" fillId="0" fontId="8" numFmtId="168" xfId="0" applyAlignment="1" applyBorder="1" applyFont="1" applyNumberFormat="1">
      <alignment horizontal="center"/>
    </xf>
    <xf borderId="0" fillId="9" fontId="16" numFmtId="0" xfId="0" applyAlignment="1" applyFill="1" applyFont="1">
      <alignment horizontal="left" vertical="center"/>
    </xf>
    <xf borderId="2" fillId="0" fontId="8" numFmtId="168" xfId="0" applyAlignment="1" applyBorder="1" applyFont="1" applyNumberFormat="1">
      <alignment horizontal="center" readingOrder="0"/>
    </xf>
    <xf borderId="0" fillId="0" fontId="21" numFmtId="167" xfId="0" applyAlignment="1" applyFont="1" applyNumberFormat="1">
      <alignment horizontal="right" readingOrder="0" vertical="center"/>
    </xf>
    <xf borderId="0" fillId="0" fontId="29" numFmtId="168" xfId="0" applyAlignment="1" applyFont="1" applyNumberFormat="1">
      <alignment horizontal="center"/>
    </xf>
    <xf borderId="0" fillId="9" fontId="16" numFmtId="0" xfId="0" applyAlignment="1" applyFill="1" applyFont="1">
      <alignment horizontal="left" vertical="center"/>
    </xf>
    <xf borderId="0" fillId="0" fontId="21" numFmtId="168" xfId="0" applyAlignment="1" applyFont="1" applyNumberFormat="1">
      <alignment horizontal="center" vertical="center"/>
    </xf>
    <xf borderId="13" fillId="0" fontId="21" numFmtId="168" xfId="0" applyAlignment="1" applyBorder="1" applyFont="1" applyNumberFormat="1">
      <alignment horizontal="center" vertical="center"/>
    </xf>
    <xf borderId="0" fillId="9" fontId="16" numFmtId="0" xfId="0" applyAlignment="1" applyFill="1" applyFont="1">
      <alignment horizontal="center" readingOrder="0" vertical="center"/>
    </xf>
    <xf borderId="0" fillId="9" fontId="8" numFmtId="0" xfId="0" applyAlignment="1" applyFill="1" applyFont="1">
      <alignment horizontal="center" readingOrder="0" vertical="center"/>
    </xf>
    <xf borderId="2" fillId="2" fontId="8" numFmtId="0" xfId="0" applyAlignment="1" applyBorder="1" applyFill="1" applyFont="1">
      <alignment horizontal="center" vertical="center"/>
    </xf>
    <xf borderId="0" fillId="9" fontId="8" numFmtId="0" xfId="0" applyAlignment="1" applyFill="1" applyFont="1">
      <alignment horizontal="center" vertical="center"/>
    </xf>
    <xf borderId="2" fillId="0" fontId="21" numFmtId="168" xfId="0" applyAlignment="1" applyBorder="1" applyFont="1" applyNumberFormat="1">
      <alignment horizontal="center" readingOrder="0"/>
    </xf>
    <xf borderId="2" fillId="2" fontId="8" numFmtId="0" xfId="0" applyAlignment="1" applyBorder="1" applyFill="1" applyFont="1">
      <alignment horizontal="center" readingOrder="0"/>
    </xf>
    <xf borderId="0" fillId="0" fontId="29" numFmtId="168" xfId="0" applyAlignment="1" applyFont="1" applyNumberFormat="1">
      <alignment horizontal="center" readingOrder="0"/>
    </xf>
    <xf borderId="0" fillId="9" fontId="8" numFmtId="0" xfId="0" applyAlignment="1" applyFill="1" applyFont="1">
      <alignment horizontal="center" vertical="center"/>
    </xf>
    <xf borderId="0" fillId="0" fontId="29" numFmtId="168" xfId="0" applyAlignment="1" applyFont="1" applyNumberFormat="1">
      <alignment horizontal="center" vertical="center"/>
    </xf>
    <xf borderId="0" fillId="9" fontId="16" numFmtId="0" xfId="0" applyAlignment="1" applyFill="1" applyFont="1">
      <alignment horizontal="center" vertical="center"/>
    </xf>
    <xf borderId="0" fillId="9" fontId="16" numFmtId="0" xfId="0" applyAlignment="1" applyFill="1" applyFont="1">
      <alignment horizontal="center" vertical="center"/>
    </xf>
    <xf borderId="0" fillId="9" fontId="16" numFmtId="0" xfId="0" applyAlignment="1" applyFill="1" applyFont="1">
      <alignment horizontal="center" readingOrder="0" shrinkToFit="0" vertical="center" wrapText="1"/>
    </xf>
    <xf borderId="2" fillId="0" fontId="21" numFmtId="168" xfId="0" applyAlignment="1" applyBorder="1" applyFont="1" applyNumberFormat="1">
      <alignment horizontal="center" readingOrder="0" vertical="bottom"/>
    </xf>
    <xf borderId="0" fillId="7" fontId="21" numFmtId="0" xfId="0" applyAlignment="1" applyFill="1" applyFont="1">
      <alignment horizontal="right"/>
    </xf>
    <xf borderId="2" fillId="0" fontId="21" numFmtId="168" xfId="0" applyAlignment="1" applyBorder="1" applyFont="1" applyNumberFormat="1">
      <alignment horizontal="center"/>
    </xf>
    <xf borderId="0" fillId="9" fontId="21" numFmtId="0" xfId="0" applyAlignment="1" applyFill="1" applyFont="1">
      <alignment horizontal="center" readingOrder="0" vertical="center"/>
    </xf>
    <xf borderId="0" fillId="9" fontId="21" numFmtId="0" xfId="0" applyAlignment="1" applyFill="1" applyFont="1">
      <alignment horizontal="center" vertical="center"/>
    </xf>
    <xf borderId="0" fillId="9" fontId="21" numFmtId="0" xfId="0" applyAlignment="1" applyFill="1" applyFont="1">
      <alignment horizontal="center" vertical="center"/>
    </xf>
    <xf borderId="0" fillId="9" fontId="12" numFmtId="0" xfId="0" applyAlignment="1" applyFill="1" applyFont="1">
      <alignment horizontal="center" readingOrder="0" shrinkToFit="0" vertical="center" wrapText="1"/>
    </xf>
    <xf borderId="0" fillId="9" fontId="12" numFmtId="0" xfId="0" applyAlignment="1" applyFill="1" applyFont="1">
      <alignment horizontal="center" shrinkToFit="0" vertical="center" wrapText="1"/>
    </xf>
    <xf borderId="2" fillId="0" fontId="21" numFmtId="170" xfId="0" applyAlignment="1" applyBorder="1" applyFont="1" applyNumberFormat="1">
      <alignment horizontal="center" readingOrder="0" vertical="center"/>
    </xf>
    <xf borderId="0" fillId="0" fontId="12" numFmtId="0" xfId="0" applyAlignment="1" applyFont="1">
      <alignment horizontal="right" readingOrder="0" shrinkToFit="0" vertical="center" wrapText="1"/>
    </xf>
    <xf borderId="0" fillId="9" fontId="12" numFmtId="0" xfId="0" applyAlignment="1" applyFill="1" applyFont="1">
      <alignment horizontal="center" shrinkToFit="0" vertical="center" wrapText="1"/>
    </xf>
    <xf borderId="43" fillId="3" fontId="8" numFmtId="167" xfId="0" applyAlignment="1" applyBorder="1" applyFill="1" applyFont="1" applyNumberFormat="1">
      <alignment readingOrder="0" vertical="center"/>
    </xf>
    <xf borderId="0" fillId="0" fontId="25" numFmtId="168" xfId="0" applyAlignment="1" applyFont="1" applyNumberFormat="1">
      <alignment horizontal="center" vertical="center"/>
    </xf>
    <xf borderId="0" fillId="0" fontId="7" numFmtId="168" xfId="0" applyAlignment="1" applyFont="1" applyNumberFormat="1">
      <alignment horizontal="center" readingOrder="0" vertical="center"/>
    </xf>
    <xf borderId="0" fillId="0" fontId="7" numFmtId="168" xfId="0" applyAlignment="1" applyFont="1" applyNumberFormat="1">
      <alignment horizontal="center" vertical="center"/>
    </xf>
    <xf borderId="0" fillId="0" fontId="7" numFmtId="168" xfId="0" applyAlignment="1" applyFont="1" applyNumberFormat="1">
      <alignment horizontal="center" readingOrder="0" shrinkToFit="0" vertical="center" wrapText="1"/>
    </xf>
    <xf borderId="0" fillId="7" fontId="29" numFmtId="168" xfId="0" applyAlignment="1" applyFill="1" applyFont="1" applyNumberFormat="1">
      <alignment horizontal="center" readingOrder="0" shrinkToFit="0" vertical="center" wrapText="1"/>
    </xf>
    <xf borderId="6" fillId="0" fontId="6" numFmtId="168" xfId="0" applyAlignment="1" applyBorder="1" applyFont="1" applyNumberFormat="1">
      <alignment horizontal="center" vertical="center"/>
    </xf>
    <xf borderId="0" fillId="0" fontId="4" numFmtId="168" xfId="0" applyAlignment="1" applyFont="1" applyNumberFormat="1">
      <alignment readingOrder="0" vertical="center"/>
    </xf>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varyColors val="0"/>
        <c:ser>
          <c:idx val="0"/>
          <c:order val="0"/>
          <c:spPr>
            <a:solidFill>
              <a:srgbClr val="4285F4"/>
            </a:solidFill>
            <a:ln cmpd="sng">
              <a:noFill/>
            </a:ln>
          </c:spPr>
          <c:invertIfNegative val="0"/>
          <c:cat>
            <c:strRef>
              <c:f>'2018_2019'!$I$6:$I$8</c:f>
            </c:strRef>
          </c:cat>
          <c:val>
            <c:numRef>
              <c:f>'2018_2019'!$H$6:$H$8</c:f>
              <c:numCache/>
            </c:numRef>
          </c:val>
        </c:ser>
        <c:axId val="573094708"/>
        <c:axId val="1001380463"/>
      </c:barChart>
      <c:catAx>
        <c:axId val="57309470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01380463"/>
      </c:catAx>
      <c:valAx>
        <c:axId val="10013804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73094708"/>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38761D"/>
                </a:solidFill>
                <a:latin typeface="Roboto"/>
              </a:defRPr>
            </a:pPr>
            <a:r>
              <a:rPr b="0">
                <a:solidFill>
                  <a:srgbClr val="38761D"/>
                </a:solidFill>
                <a:latin typeface="Roboto"/>
              </a:rPr>
              <a:t>ENTRATE STAGIONE</a:t>
            </a:r>
          </a:p>
        </c:rich>
      </c:tx>
      <c:overlay val="0"/>
    </c:title>
    <c:plotArea>
      <c:layout/>
      <c:barChart>
        <c:barDir val="col"/>
        <c:ser>
          <c:idx val="0"/>
          <c:order val="0"/>
          <c:spPr>
            <a:solidFill>
              <a:srgbClr val="4285F4"/>
            </a:solidFill>
            <a:ln cmpd="sng">
              <a:noFill/>
            </a:ln>
          </c:spPr>
          <c:invertIfNegative val="0"/>
          <c:val>
            <c:numRef>
              <c:f>('2018_2019'!$B$3,'2018_2019'!$B$28,'2018_2019'!$B$53,'2018_2019'!$B$80,'2018_2019'!$B$105,'2018_2019'!$B$130,'2018_2019'!$B$155,'2018_2019'!$B$181,'2018_2019'!$B$206,'2018_2019'!$B$232,'2018_2019'!$B$258,'2018_2019'!$B$283)</c:f>
              <c:numCache/>
            </c:numRef>
          </c:val>
        </c:ser>
        <c:ser>
          <c:idx val="1"/>
          <c:order val="1"/>
          <c:invertIfNegative val="0"/>
          <c:val>
            <c:numRef>
              <c:f>('2018_2019'!$C$3,'2018_2019'!$C$28,'2018_2019'!$C$53,'2018_2019'!$C$80,'2018_2019'!$C$105,'2018_2019'!$C$130,'2018_2019'!$C$155,'2018_2019'!$C$181,'2018_2019'!$C$206,'2018_2019'!$C$232,'2018_2019'!$C$258,'2018_2019'!$C$283)</c:f>
              <c:numCache/>
            </c:numRef>
          </c:val>
        </c:ser>
        <c:axId val="1307255388"/>
        <c:axId val="1225059356"/>
      </c:barChart>
      <c:catAx>
        <c:axId val="130725538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225059356"/>
      </c:catAx>
      <c:valAx>
        <c:axId val="12250593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07255388"/>
      </c:valAx>
    </c:plotArea>
    <c:legend>
      <c:legendPos val="r"/>
      <c:overlay val="0"/>
      <c:txPr>
        <a:bodyPr/>
        <a:lstStyle/>
        <a:p>
          <a:pPr lvl="0">
            <a:defRPr b="0">
              <a:solidFill>
                <a:srgbClr val="000000"/>
              </a:solidFill>
              <a:latin typeface="Roboto"/>
            </a:defRPr>
          </a:pPr>
        </a:p>
      </c:txPr>
    </c:legend>
    <c:plotVisOnly val="1"/>
  </c:chart>
  <c:spPr>
    <a:solidFill>
      <a:srgbClr val="F3F3F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0000"/>
                </a:solidFill>
                <a:latin typeface="Roboto"/>
              </a:defRPr>
            </a:pPr>
            <a:r>
              <a:rPr b="0">
                <a:solidFill>
                  <a:srgbClr val="FF0000"/>
                </a:solidFill>
                <a:latin typeface="Roboto"/>
              </a:rPr>
              <a:t>USCITE STAGIONE</a:t>
            </a:r>
          </a:p>
        </c:rich>
      </c:tx>
      <c:overlay val="0"/>
    </c:title>
    <c:plotArea>
      <c:layout/>
      <c:barChart>
        <c:barDir val="col"/>
        <c:ser>
          <c:idx val="0"/>
          <c:order val="0"/>
          <c:spPr>
            <a:solidFill>
              <a:srgbClr val="4285F4"/>
            </a:solidFill>
            <a:ln cmpd="sng">
              <a:noFill/>
            </a:ln>
          </c:spPr>
          <c:invertIfNegative val="0"/>
          <c:val>
            <c:numRef>
              <c:f>('2018_2019'!$B$5,'2018_2019'!$B$30,'2018_2019'!$B$55,'2018_2019'!$B$82,'2018_2019'!$B$107,'2018_2019'!$B$132,'2018_2019'!$B$157,'2018_2019'!$B$183,'2018_2019'!$B$208,'2018_2019'!$B$234,'2018_2019'!$B$260,'2018_2019'!$B$285)</c:f>
              <c:numCache/>
            </c:numRef>
          </c:val>
        </c:ser>
        <c:ser>
          <c:idx val="1"/>
          <c:order val="1"/>
          <c:invertIfNegative val="0"/>
          <c:val>
            <c:numRef>
              <c:f>('2018_2019'!$C$5,'2018_2019'!$C$30,'2018_2019'!$C$55,'2018_2019'!$C$82,'2018_2019'!$C$107,'2018_2019'!$C$132,'2018_2019'!$C$157,'2018_2019'!$C$183,'2018_2019'!$C$208,'2018_2019'!$C$234,'2018_2019'!$C$260,'2018_2019'!$C$285)</c:f>
              <c:numCache/>
            </c:numRef>
          </c:val>
        </c:ser>
        <c:axId val="23241639"/>
        <c:axId val="1060501217"/>
      </c:barChart>
      <c:catAx>
        <c:axId val="2324163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60501217"/>
      </c:catAx>
      <c:valAx>
        <c:axId val="10605012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3241639"/>
      </c:valAx>
    </c:plotArea>
    <c:legend>
      <c:legendPos val="r"/>
      <c:overlay val="0"/>
      <c:txPr>
        <a:bodyPr/>
        <a:lstStyle/>
        <a:p>
          <a:pPr lvl="0">
            <a:defRPr b="0">
              <a:solidFill>
                <a:srgbClr val="000000"/>
              </a:solidFill>
              <a:latin typeface="Roboto"/>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312</xdr:row>
      <xdr:rowOff>9525</xdr:rowOff>
    </xdr:from>
    <xdr:ext cx="4953000" cy="3057525"/>
    <xdr:graphicFrame>
      <xdr:nvGraphicFramePr>
        <xdr:cNvPr id="1" name="Chart 1" title="Gra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866775</xdr:colOff>
      <xdr:row>0</xdr:row>
      <xdr:rowOff>57150</xdr:rowOff>
    </xdr:from>
    <xdr:ext cx="5715000" cy="3533775"/>
    <xdr:graphicFrame>
      <xdr:nvGraphicFramePr>
        <xdr:cNvPr id="2" name="Chart 2" title="Gra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866775</xdr:colOff>
      <xdr:row>18</xdr:row>
      <xdr:rowOff>19050</xdr:rowOff>
    </xdr:from>
    <xdr:ext cx="5715000" cy="3533775"/>
    <xdr:graphicFrame>
      <xdr:nvGraphicFramePr>
        <xdr:cNvPr id="3" name="Chart 3" title="Gra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efano “Personal Training” Tronconi" id="{e882142d-1b09-4f93-8238-d4d0eb5cae43}"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06" dT="2015-08-31T16:06:30.00" personId="{e882142d-1b09-4f93-8238-d4d0eb5cae43}" id="{b661e29f-181e-4cd9-91e0-45fde03290d1}" done="0">
    <x18tc:text xml:space="preserve">lavanderia, ragali stefi e roberto)</x18tc:text>
  </x18tc:threadedComment>
  <x18tc:threadedComment ref="I115" dT="2015-08-31T16:16:18.00" personId="{e882142d-1b09-4f93-8238-d4d0eb5cae43}" id="{4e1ae3d9-268e-4eff-8c60-91b9644a9cb0}" done="0">
    <x18tc:text xml:space="preserve">allestimento area personal, acquisto gestionale</x18tc:text>
  </x18tc:threadedComment>
  <x18tc:threadedComment ref="I49" dT="2015-08-31T15:46:27.00" personId="{e882142d-1b09-4f93-8238-d4d0eb5cae43}" id="{eaa0775d-b559-412a-bec0-e7ee12bdfe6a}" done="0">
    <x18tc:text xml:space="preserve">veterinario, casco</x18tc:text>
  </x18tc:threadedComment>
  <x18tc:threadedComment ref="I56" dT="2015-08-31T15:54:26.00" personId="{e882142d-1b09-4f93-8238-d4d0eb5cae43}" id="{5bac18c6-f7b4-47b0-a727-d6b99f48fdd1}" done="0">
    <x18tc:text xml:space="preserve">spicuglia e dentista, farmacia</x18tc:text>
  </x18tc:threadedComment>
  <x18tc:threadedComment ref="I59" dT="2015-08-31T15:55:15.00" personId="{e882142d-1b09-4f93-8238-d4d0eb5cae43}" id="{9035d223-d0ad-4bed-9044-2f2b29708013}" done="0">
    <x18tc:text xml:space="preserve">timbri</x18tc:text>
  </x18tc:threadedComment>
  <x18tc:threadedComment ref="I78" dT="2015-08-31T15:56:59.00" personId="{e882142d-1b09-4f93-8238-d4d0eb5cae43}" id="{e362ba00-b4c0-4907-9cf8-facd47bfd85c}" done="0">
    <x18tc:text xml:space="preserve">lavanderia piu saldo conto fineco</x18tc:text>
  </x18tc:threadedComment>
  <x18tc:threadedComment ref="I170" dT="2015-09-30T12:26:57.00" personId="{e882142d-1b09-4f93-8238-d4d0eb5cae43}" id="{6fb194c9-9d0b-4a6e-b4a6-2e8ade83fe6b}" done="0">
    <x18tc:text xml:space="preserve">avvocato per incidente scooter</x18tc:text>
  </x18tc:threadedComment>
  <x18tc:threadedComment ref="J328" dT="2016-03-01T12:53:26.00" personId="{e882142d-1b09-4f93-8238-d4d0eb5cae43}" id="{55377abd-f656-496c-b11f-67996cd090f9}" done="0">
    <x18tc:text xml:space="preserve">shoot foto</x18tc:text>
  </x18tc:threadedComment>
  <x18tc:threadedComment ref="I16" dT="2015-08-31T15:21:32.00" personId="{e882142d-1b09-4f93-8238-d4d0eb5cae43}" id="{4d62113d-549e-40c9-820d-186a3d88335f}" done="0">
    <x18tc:text xml:space="preserve">ricettario</x18tc:text>
  </x18tc:threadedComment>
  <x18tc:threadedComment ref="J368" dT="2016-04-05T10:45:37.00" personId="{e882142d-1b09-4f93-8238-d4d0eb5cae43}" id="{9b451ef2-289c-4a80-9027-d4058c2c689c}" done="0">
    <x18tc:text xml:space="preserve">elastici e angolari</x18tc:text>
  </x18tc:threadedComment>
  <x18tc:threadedComment ref="I465" dT="2016-06-05T15:17:51.00" personId="{e882142d-1b09-4f93-8238-d4d0eb5cae43}" id="{90922d19-4e3e-4350-bdcb-7e55e192a5d8}" done="0">
    <x18tc:text xml:space="preserve">REGALO TIFFANY STEFY</x18tc:text>
  </x18tc:threadedComment>
  <x18tc:threadedComment ref="I521" dT="2016-08-06T12:23:09.00" personId="{e882142d-1b09-4f93-8238-d4d0eb5cae43}" id="{41026f3b-2073-451e-aa7b-7cec752bab33}" done="0">
    <x18tc:text xml:space="preserve">DI CUI 360 PER SOFTWARE EVOLUTION FIT</x18tc:text>
  </x18tc:threadedComment>
  <x18tc:threadedComment ref="I526" dT="2016-08-06T12:23:55.00" personId="{e882142d-1b09-4f93-8238-d4d0eb5cae43}" id="{5164bc8a-ef2b-4b67-ab03-0d09c6c5e34d}" done="0">
    <x18tc:text xml:space="preserve">ritiro wushin</x18tc:text>
  </x18tc:threadedComment>
  <x18tc:threadedComment ref="I534" dT="2016-08-06T12:25:30.00" personId="{e882142d-1b09-4f93-8238-d4d0eb5cae43}" id="{9e97e99b-cf19-443e-aecf-1393731db473}" done="0">
    <x18tc:text xml:space="preserve">marilu</x18tc:text>
  </x18tc:threadedComment>
  <x18tc:threadedComment ref="I532" dT="2016-08-06T12:25:03.00" personId="{e882142d-1b09-4f93-8238-d4d0eb5cae43}" id="{6ecd5b29-fae7-41a7-9569-5cbc8426b16c}" done="0">
    <x18tc:text xml:space="preserve">bollo</x18tc:text>
  </x18tc:threadedComment>
  <x18tc:threadedComment ref="I502" dT="2016-07-17T09:48:22.00" personId="{e882142d-1b09-4f93-8238-d4d0eb5cae43}" id="{52126d47-d121-4f26-a046-e8340cde5f9b}" done="0">
    <x18tc:text xml:space="preserve">440 euro di inps suddiviso in 5 rate, la prima pagata questo mese + 500 euro di imu maggiano che ho pagato io e che non mi farò rendere da babbo dati tutti i soldi che fino ad oggi mi ha prestato</x18tc:text>
  </x18tc:threadedComment>
  <x18tc:threadedComment ref="I485" dT="2016-07-17T09:41:57.00" personId="{e882142d-1b09-4f93-8238-d4d0eb5cae43}" id="{a7c78d66-6d2f-496c-a788-2e5d04ae250f}" done="0">
    <x18tc:text xml:space="preserve">comprato cellulare nuovo</x18tc:text>
  </x18tc:threadedComment>
  <x18tc:threadedComment ref="I489" dT="2016-07-17T09:42:30.00" personId="{e882142d-1b09-4f93-8238-d4d0eb5cae43}" id="{29a7c73f-1241-4ce6-a2e6-52fbb38b2690}" done="0">
    <x18tc:text xml:space="preserve">we a bellaria con stefy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64" dT="2016-11-01T13:10:02.00" personId="{e882142d-1b09-4f93-8238-d4d0eb5cae43}" id="{dd2551e1-c226-40c1-b84a-d6c8f80ab854}" done="0">
    <x18tc:text xml:space="preserve">multa auto</x18tc:text>
  </x18tc:threadedComment>
  <x18tc:threadedComment ref="H43" dT="2016-11-01T13:06:32.00" personId="{e882142d-1b09-4f93-8238-d4d0eb5cae43}" id="{88046c42-29fb-4269-8532-82f7b4394dde}" done="0">
    <x18tc:text xml:space="preserve">attrezzature,  cancelleria ecc</x18tc:text>
  </x18tc:threadedComment>
  <x18tc:threadedComment ref="J54" dT="2016-11-01T13:08:51.00" personId="{e882142d-1b09-4f93-8238-d4d0eb5cae43}" id="{e4666881-8dfb-4a36-a347-2092e43a005d}" done="0">
    <x18tc:text xml:space="preserve">assicurazione</x18tc:text>
  </x18tc:threadedComment>
  <x18tc:threadedComment ref="J96" dT="2016-12-06T11:38:17.00" personId="{e882142d-1b09-4f93-8238-d4d0eb5cae43}" id="{18ba3afc-4164-4c32-9d54-0f55971c085b}" done="0">
    <x18tc:text xml:space="preserve">cartucce stampamte e multa</x18tc:text>
  </x18tc:threadedComment>
  <x18tc:threadedComment ref="J8" dT="2016-10-01T09:32:02.00" personId="{e882142d-1b09-4f93-8238-d4d0eb5cae43}" id="{5fbf5f90-3660-4269-8375-6f99b18a4baa}" done="0">
    <x18tc:text xml:space="preserve">newsletter: 131 Eu
Fb (compreso agosto): 526 Eu</x18tc:text>
  </x18tc:threadedComment>
  <x18tc:threadedComment ref="A2" dT="2016-10-01T09:33:28.00" personId="{e882142d-1b09-4f93-8238-d4d0eb5cae43}" id="{b2c04818-1484-487d-82e1-683dc7c27d94}" done="0">
    <x18tc:text xml:space="preserve">ferie totali per tutto agosto fino al 5 settembre</x18tc:text>
  </x18tc:threadedComment>
  <x18tc:threadedComment ref="J7" dT="2016-10-01T09:39:10.00" personId="{e882142d-1b09-4f93-8238-d4d0eb5cae43}" id="{99002a33-88d2-42b0-9ce3-f8991e2e6dc8}" done="0">
    <x18tc:text xml:space="preserve">spicuglia</x18tc:text>
  </x18tc:threadedComment>
  <x18tc:threadedComment ref="J17" dT="2016-10-01T09:42:19.00" personId="{e882142d-1b09-4f93-8238-d4d0eb5cae43}" id="{d7835655-8056-4f5d-bc43-73f443a3325a}" done="0">
    <x18tc:text xml:space="preserve">lezioni di inglese
libro strenght project</x18tc:text>
  </x18tc:threadedComment>
  <x18tc:threadedComment ref="J25" dT="2016-10-01T09:49:14.00" personId="{e882142d-1b09-4f93-8238-d4d0eb5cae43}" id="{b48c9869-05b6-4db4-a3a6-bd8b8c4ff646}" done="0">
    <x18tc:text xml:space="preserve">settembre _ottobre + extra</x18tc:text>
  </x18tc:threadedComment>
  <x18tc:threadedComment ref="J144" dT="2017-03-24T17:14:33.00" personId="{e882142d-1b09-4f93-8238-d4d0eb5cae43}" id="{1570b2d9-e807-41a6-b473-a772efb8f747}" done="0">
    <x18tc:text xml:space="preserve">ANTICIPO PER CROCIERA</x18tc:text>
  </x18tc:threadedComment>
  <x18tc:threadedComment ref="J176" dT="2017-03-24T17:15:00.00" personId="{e882142d-1b09-4f93-8238-d4d0eb5cae43}" id="{e5cfd1b6-b3f6-49be-94f5-bb9867166a61}" done="0">
    <x18tc:text xml:space="preserve">ANTICIPO PER FERIE A CEFALONIA</x18tc:text>
  </x18tc:threadedComment>
  <x18tc:threadedComment ref="J320" dT="2017-07-08T09:30:27.00" personId="{e882142d-1b09-4f93-8238-d4d0eb5cae43}" id="{881cb1d3-68e1-4a90-a324-845b8ab238e8}" done="0">
    <x18tc:text xml:space="preserve">regalo compleanno natalia</x18tc:text>
  </x18tc:threadedComment>
  <x18tc:threadedComment ref="J224" dT="2017-04-02T17:45:22.00" personId="{e882142d-1b09-4f93-8238-d4d0eb5cae43}" id="{3de9c3e8-d4d5-4f6d-87ed-4d91a9cb80e2}" done="1">
    <x18tc:text xml:space="preserve">DIETA LEMME, CASCO,</x18tc:text>
  </x18tc:threadedComment>
  <x18tc:threadedComment ref="J224" dT="2017-04-02T17:45:59.00" personId="{e882142d-1b09-4f93-8238-d4d0eb5cae43}" id="{79d88550-40ce-4dbc-bb81-fa20ff95f33c}" done="0">
    <x18tc:text xml:space="preserve">DIETA LEMME, IMBIANCATURA MAGGIANO, CASCO MOTO</x18tc:text>
  </x18tc:threadedComment>
  <x18tc:threadedComment ref="J287" dT="2017-06-02T09:41:35.00" personId="{e882142d-1b09-4f93-8238-d4d0eb5cae43}" id="{c6ac39db-0d89-4625-8ed1-bd8d82f707a9}" done="0">
    <x18tc:text xml:space="preserve">3793 di tasse (saldi acconti e tasse) + 300 euro di commercialista.
questo mese ho sottratto, dalle spese, solo i 300 euro del commercialista poichè sono gli unici soldi già usciti.</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9" dT="2021-01-31T13:46:34.00" personId="{e882142d-1b09-4f93-8238-d4d0eb5cae43}" id="{1cd6b81f-3742-40f1-be8b-c0a186bee07f}" done="0">
    <x18tc:text xml:space="preserve">Ci sono 2000 euro di rimborso statale covid</x18tc:text>
  </x18tc:threadedComment>
  <x18tc:threadedComment ref="J166" dT="2021-03-30T06:43:17.00" personId="{e882142d-1b09-4f93-8238-d4d0eb5cae43}" id="{f22f4cf2-558c-4225-974a-58fc21e6eda2}" done="0">
    <x18tc:text xml:space="preserve">600 di cp promo FB</x18tc:text>
  </x18tc:threadedComment>
  <x18tc:threadedComment ref="L203" dT="2021-04-12T06:49:05.00" personId="{e882142d-1b09-4f93-8238-d4d0eb5cae43}" id="{d5c05ab8-4ebe-4181-9756-7c01139e0b4d}" done="0">
    <x18tc:text xml:space="preserve">wind3 28 euro+12+6</x18tc:text>
  </x18tc:threadedComment>
  <x18tc:threadedComment ref="F276" dT="2021-06-16T17:56:08.00" personId="{e882142d-1b09-4f93-8238-d4d0eb5cae43}" id="{e587c20e-30f4-4115-96b2-d2f969b5b385}" done="0">
    <x18tc:text xml:space="preserve">primo acconto di 500 su 1490 (restano 990)</x18tc:text>
  </x18tc:threadedComment>
  <x18tc:threadedComment ref="F282" dT="2021-06-27T14:16:41.00" personId="{e882142d-1b09-4f93-8238-d4d0eb5cae43}" id="{d5a2347a-4707-4cd2-9bc3-67194e8dde9b}" done="0">
    <x18tc:text xml:space="preserve">saldo pacchetto in corso</x18tc:text>
  </x18tc:threadedComment>
  <x18tc:threadedComment ref="F281" dT="2021-06-25T10:29:29.00" personId="{e882142d-1b09-4f93-8238-d4d0eb5cae43}" id="{c40cb61f-d878-41b8-8a9e-6087022f7226}" done="0">
    <x18tc:text xml:space="preserve">saldato il pacchetto da 10 x 400 euro</x18tc:text>
  </x18tc:threadedComment>
  <x18tc:threadedComment ref="L257" dT="2021-06-04T17:10:41.00" personId="{e882142d-1b09-4f93-8238-d4d0eb5cae43}" id="{bd3f6049-a587-452e-b669-eb9e5a30a3ac}" done="0">
    <x18tc:text xml:space="preserve">+ 18 sapone mani ricarica + 8,50 lavanderia</x18tc:text>
  </x18tc:threadedComment>
  <x18tc:threadedComment ref="L257" dT="2021-06-04T17:10:43.00" personId="{e882142d-1b09-4f93-8238-d4d0eb5cae43}" id="{eccbded3-be90-42ab-b3d6-3624e4badc2e}" parentId="{bd3f6049-a587-452e-b669-eb9e5a30a3ac}">
    <x18tc:text xml:space="preserve">Contrassegnato come risolto</x18tc:text>
  </x18tc:threadedComment>
  <x18tc:threadedComment ref="L257" dT="2022-04-04T17:43:17.00" personId="{e882142d-1b09-4f93-8238-d4d0eb5cae43}" id="{4e7cde67-3e30-42cc-9480-faa232156c6e}" parentId="{bd3f6049-a587-452e-b669-eb9e5a30a3ac}">
    <x18tc:text xml:space="preserve">Riaperto</x18tc:text>
  </x18tc:threadedComment>
  <x18tc:threadedComment ref="L257" dT="2021-06-04T17:11:06.00" personId="{e882142d-1b09-4f93-8238-d4d0eb5cae43}" id="{fa9f8aa1-b1dd-4ffa-b003-5b6661fdfad8}" done="0">
    <x18tc:text xml:space="preserve">+ 18 euro ricarica sapone mani +16 5 lt alcool+viacal + mouse + 3500 per isoinerziale</x18tc:text>
  </x18tc:threadedComment>
  <x18tc:threadedComment ref="G211" dT="2021-04-26T15:40:34.00" personId="{e882142d-1b09-4f93-8238-d4d0eb5cae43}" id="{2d5aea10-6f61-4f23-996c-a786fd3d9451}" done="0">
    <x18tc:text xml:space="preserve">fatte 2 fatture da 60</x18tc:text>
  </x18tc:threadedComment>
  <x18tc:threadedComment ref="G267" dT="2021-06-10T17:53:32.00" personId="{e882142d-1b09-4f93-8238-d4d0eb5cae43}" id="{8affe91a-b104-4e7b-b206-10683a942998}" done="0">
    <x18tc:text xml:space="preserve">acconto di 900</x18tc:text>
  </x18tc:threadedComment>
  <x18tc:threadedComment ref="G266" dT="2021-06-10T17:44:49.00" personId="{e882142d-1b09-4f93-8238-d4d0eb5cae43}" id="{5079472d-3498-4637-8e5e-ecba1bb1f1ab}" done="0">
    <x18tc:text xml:space="preserve">aspetta prossimo pagamento per fatturare)</x18tc:text>
  </x18tc:threadedComment>
  <x18tc:threadedComment ref="F245" dT="2021-05-27T14:18:13.00" personId="{e882142d-1b09-4f93-8238-d4d0eb5cae43}" id="{e90744ce-e843-4def-aff8-be30bf829b2e}" done="0">
    <x18tc:text xml:space="preserve">primo acconto su pacchetto futuro</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4" dT="2022-01-19T13:02:48.00" personId="{e882142d-1b09-4f93-8238-d4d0eb5cae43}" id="{24ef5a18-cfa8-404d-abff-cf769683dd15}" done="0">
    <x18tc:text xml:space="preserve">psicologi + integratori x covid</x18tc:text>
  </x18tc:threadedComment>
  <x18tc:threadedComment ref="D21" dT="2022-01-28T08:54:25.00" personId="{e882142d-1b09-4f93-8238-d4d0eb5cae43}" id="{43c60652-9510-4034-b0f8-228e90b5724f}" done="0">
    <x18tc:text xml:space="preserve">spotify 10 €+yoni 5 euro</x18tc:text>
  </x18tc:threadedComment>
  <x18tc:threadedComment ref="L63" dT="2022-02-15T09:34:39.00" personId="{e882142d-1b09-4f93-8238-d4d0eb5cae43}" id="{f7260de4-97c0-40d7-b7ef-54bae752fe9e}" done="0">
    <x18tc:text xml:space="preserve">saldo lavoro già eseguito +10 euro di rinnovo PEC</x18tc:text>
  </x18tc:threadedComment>
  <x18tc:threadedComment ref="D58" dT="2022-02-15T14:43:40.00" personId="{e882142d-1b09-4f93-8238-d4d0eb5cae43}" id="{5b566c02-abd0-4e8a-920c-ad7523d51ddc}" done="0">
    <x18tc:text xml:space="preserve">538€ assicurazione</x18tc:text>
  </x18tc:threadedComment>
  <x18tc:threadedComment ref="D98" dT="2022-03-01T15:01:24.00" personId="{e882142d-1b09-4f93-8238-d4d0eb5cae43}" id="{ee4fd387-a463-4558-95de-80748d99f295}" done="0">
    <x18tc:text xml:space="preserve">121€ di bollo</x18tc:text>
  </x18tc:threadedComment>
  <x18tc:threadedComment ref="L110" dT="2022-03-08T10:14:08.00" personId="{e882142d-1b09-4f93-8238-d4d0eb5cae43}" id="{1beaa689-54fa-4c18-9ed6-86bb14d36cd1}" done="0">
    <x18tc:text xml:space="preserve">tari Luco: 58€+sanzione della dichiarazione del 2018 di 283.20€</x18tc:text>
  </x18tc:threadedComment>
  <x18tc:threadedComment ref="F48" dT="2022-02-25T11:53:29.00" personId="{e882142d-1b09-4f93-8238-d4d0eb5cae43}" id="{aa6ee2f9-921e-4e49-afb0-701bbb58d929}" done="0">
    <x18tc:text xml:space="preserve">SALDO SCORSO PACCHETTO già terminato</x18tc:text>
  </x18tc:threadedComment>
  <x18tc:threadedComment ref="F88" dT="2022-03-01T13:33:50.00" personId="{e882142d-1b09-4f93-8238-d4d0eb5cae43}" id="{821ec467-6415-42d3-b4ef-5047c4a88924}" done="0">
    <x18tc:text xml:space="preserve">aconto di 360</x18tc:text>
  </x18tc:threadedComment>
  <x18tc:threadedComment ref="L145" dT="2022-04-09T07:32:08.00" personId="{e882142d-1b09-4f93-8238-d4d0eb5cae43}" id="{697001f6-851f-41c2-9aee-36ef510521d7}" done="0">
    <x18tc:text xml:space="preserve">70 Marzo+266+162+290+225+186</x18tc:text>
  </x18tc:threadedComment>
  <x18tc:threadedComment ref="F90" dT="2022-03-03T08:41:53.00" personId="{e882142d-1b09-4f93-8238-d4d0eb5cae43}" id="{fbb78094-b779-40e3-9b68-c5dd8f271eda}" done="0">
    <x18tc:text xml:space="preserve">secondo acconto su 800€</x18tc:text>
  </x18tc:threadedComment>
  <x18tc:threadedComment ref="D105" dT="2022-03-07T15:34:26.00" personId="{e882142d-1b09-4f93-8238-d4d0eb5cae43}" id="{0ccc13cc-c13a-454b-b3d6-e7ea3fee0523}" done="0">
    <x18tc:text xml:space="preserve">Artikrill, acido ialuronico, prelievo, sacco cibo 12,5.kg, pallina, frontline</x18tc:text>
    <x18tc:extLst>
      <ext uri="{F7C98A9C-CBB3-438F-8F68-D28B6AF4A901}">
        <xltc2:checksum/>
        <xltc2:hyperlink startIndex="53" length="4" url="http://5.kg"/>
      </ext>
    </x18tc:extLst>
  </x18tc:threadedComment>
  <x18tc:threadedComment ref="D139" dT="2022-04-04T17:45:05.00" personId="{e882142d-1b09-4f93-8238-d4d0eb5cae43}" id="{65d7e40b-6b4d-4f5c-9f30-35356bd4d025}" done="0">
    <x18tc:text xml:space="preserve">52 spesa+ 18 lavanderia + 15€ pizze cena Firenze+5€ prime amazon + 95 spesa coop+ 140 sedie Impagliate e cestino+85 porta pacchi auto</x18tc:text>
  </x18tc:threadedComment>
  <x18tc:threadedComment ref="F100" dT="2022-03-31T06:07:06.00" personId="{e882142d-1b09-4f93-8238-d4d0eb5cae43}" id="{f50cf948-0991-441c-abd9-6a4e850a0345}" done="0">
    <x18tc:text xml:space="preserve">terzo acconto: fino ad ora ha versato 550€ sul totale di 850 del pacchetto in corso (al31/03/2022)</x18tc:text>
  </x18tc:threadedComment>
  <x18tc:threadedComment ref="D139" dT="2022-04-04T15:12:06.00" personId="{e882142d-1b09-4f93-8238-d4d0eb5cae43}" id="{44907bdf-f7ae-45bd-8618-f8d500a56e81}" done="0">
    <x18tc:text xml:space="preserve">52€ spesa +</x18tc:text>
  </x18tc:threadedComment>
  <x18tc:threadedComment ref="D139" dT="2022-04-04T17:43:05.00" personId="{e882142d-1b09-4f93-8238-d4d0eb5cae43}" id="{8711ac11-3763-4ccc-802e-5e4bc427d708}" parentId="{44907bdf-f7ae-45bd-8618-f8d500a56e81}">
    <x18tc:text xml:space="preserve">Contrassegnato come risolto</x18tc:text>
  </x18tc:threadedComment>
  <x18tc:threadedComment ref="D139" dT="2022-10-29T11:20:06.00" personId="{e882142d-1b09-4f93-8238-d4d0eb5cae43}" id="{651958d9-7136-44f6-9201-8ad482861a07}" parentId="{44907bdf-f7ae-45bd-8618-f8d500a56e81}">
    <x18tc:text xml:space="preserve">Riaperto</x18tc:text>
  </x18tc:threadedComment>
  <x18tc:threadedComment ref="D137" dT="2022-04-09T11:53:27.00" personId="{e882142d-1b09-4f93-8238-d4d0eb5cae43}" id="{335cf5f8-7334-4456-aed7-70132e36937e}" done="0">
    <x18tc:text xml:space="preserve">34€ (Cinghie per legare) + 10 euro (lavaggio) +20€ (controllo da Proietto)</x18tc:text>
  </x18tc:threadedComment>
  <x18tc:threadedComment ref="D138" dT="2022-04-09T11:54:22.00" personId="{e882142d-1b09-4f93-8238-d4d0eb5cae43}" id="{f0e3d663-7599-47e8-9b83-05003dc18850}" done="0">
    <x18tc:text xml:space="preserve">Carrelli regalo Stefy 84€+noleggio furgone per moto 60€+8€ corde chitarra</x18tc:text>
  </x18tc:threadedComment>
  <x18tc:threadedComment ref="D97" dT="2022-03-22T08:35:36.00" personId="{e882142d-1b09-4f93-8238-d4d0eb5cae43}" id="{0463378f-7c3d-40a5-b28a-375d0dd51383}" done="1">
    <x18tc:text xml:space="preserve">50€pasticche freni anteriori</x18tc:text>
  </x18tc:threadedComment>
  <x18tc:threadedComment ref="D97" dT="2022-03-26T10:31:32.00" personId="{e882142d-1b09-4f93-8238-d4d0eb5cae43}" id="{46e3ee41-2cb4-4b03-b376-11ddf3836c52}" done="0">
    <x18tc:text xml:space="preserve">50€ freni</x18tc:text>
  </x18tc:threadedComment>
  <x18tc:threadedComment ref="D222" dT="2022-06-04T12:29:49.00" personId="{e882142d-1b09-4f93-8238-d4d0eb5cae43}" id="{83a1697e-c1ee-4c60-ba0e-718347aaa680}" done="0">
    <x18tc:text xml:space="preserve">Pappa monge anatra x Rosco 50€ 40 frontline</x18tc:text>
  </x18tc:threadedComment>
  <x18tc:threadedComment ref="D136" dT="2022-04-12T13:07:16.00" personId="{e882142d-1b09-4f93-8238-d4d0eb5cae43}" id="{75c8e9ac-9448-4004-860d-d721b0b8d84f}" done="0">
    <x18tc:text xml:space="preserve">Olio e filtri 90€+5€ autostrada+</x18tc:text>
  </x18tc:threadedComment>
  <x18tc:threadedComment ref="L146" dT="2022-04-08T14:08:45.00" personId="{e882142d-1b09-4f93-8238-d4d0eb5cae43}" id="{c18ea88a-7d5c-4eac-ba91-b2f363d75496}" done="0">
    <x18tc:text xml:space="preserve">70 aprile + 225 +155+205+249</x18tc:text>
  </x18tc:threadedComment>
  <x18tc:threadedComment ref="L139" dT="2022-04-20T10:15:44.00" personId="{e882142d-1b09-4f93-8238-d4d0eb5cae43}" id="{7f4add51-bbff-4afd-b369-0272ebb47be7}" done="0">
    <x18tc:text xml:space="preserve">t-shirt 35€+spotify 10€+10amazon prime+60 evolutionfit</x18tc:text>
  </x18tc:threadedComment>
  <x18tc:threadedComment ref="D175" dT="2022-05-13T07:43:01.00" personId="{e882142d-1b09-4f93-8238-d4d0eb5cae43}" id="{339b9b6a-317a-4f17-b653-dd36fcec3f7c}" done="0">
    <x18tc:text xml:space="preserve">lavaggio20€+10€ autostrada</x18tc:text>
  </x18tc:threadedComment>
  <x18tc:threadedComment ref="D176" dT="2022-05-13T07:43:11.00" personId="{e882142d-1b09-4f93-8238-d4d0eb5cae43}" id="{3276e143-c50a-45e3-bd13-1eb8d8701b41}" done="0">
    <x18tc:text xml:space="preserve">lavaggio 15€</x18tc:text>
  </x18tc:threadedComment>
  <x18tc:threadedComment ref="L133" dT="2022-04-19T09:06:45.00" personId="{e882142d-1b09-4f93-8238-d4d0eb5cae43}" id="{c081a386-9857-4481-bd36-e3873c0e4afe}" done="0">
    <x18tc:text xml:space="preserve">70€ libri postura</x18tc:text>
  </x18tc:threadedComment>
  <x18tc:threadedComment ref="D178" dT="2022-05-07T15:29:18.00" personId="{e882142d-1b09-4f93-8238-d4d0eb5cae43}" id="{1ed65e35-bc51-4231-a052-3ddba3a33084}" done="0">
    <x18tc:text xml:space="preserve">Lavanderia 20€ + 60 coop + 20€spese bancarie bancomat + 50serratura Firenze</x18tc:text>
  </x18tc:threadedComment>
  <x18tc:threadedComment ref="D180" dT="2022-05-04T10:11:13.00" personId="{e882142d-1b09-4f93-8238-d4d0eb5cae43}" id="{e6cc88ca-ae21-46d0-848f-4401b290da15}" done="0">
    <x18tc:text xml:space="preserve">Cosi: 200€</x18tc:text>
  </x18tc:threadedComment>
  <x18tc:threadedComment ref="D183" dT="2022-05-17T09:47:16.00" personId="{e882142d-1b09-4f93-8238-d4d0eb5cae43}" id="{c95216b8-2569-441b-b181-1a04cbda8006}" done="0">
    <x18tc:text xml:space="preserve">50€ pappa Rosco +</x18tc:text>
  </x18tc:threadedComment>
  <x18tc:threadedComment ref="D177" dT="2022-05-26T18:14:20.00" personId="{e882142d-1b09-4f93-8238-d4d0eb5cae43}" id="{f6a8c326-41ef-4288-8ffd-da81cfc18777}" done="0">
    <x18tc:text xml:space="preserve">Biglietti Mugello 100 euro +162 accessori modellino</x18tc:text>
  </x18tc:threadedComment>
  <x18tc:threadedComment ref="D217" dT="2022-06-05T15:02:44.00" personId="{e882142d-1b09-4f93-8238-d4d0eb5cae43}" id="{c4ab7d32-62af-486c-af10-9ea674a5878c}" done="0">
    <x18tc:text xml:space="preserve">200 tv + 163 viveri e spese +10 pomelli credenza+30 pulizie</x18tc:text>
  </x18tc:threadedComment>
  <x18tc:threadedComment ref="D217" dT="2022-06-05T16:20:16.00" personId="{e882142d-1b09-4f93-8238-d4d0eb5cae43}" id="{3224385e-32db-4692-bfc1-3b4766ad5fcf}" parentId="{c4ab7d32-62af-486c-af10-9ea674a5878c}">
    <x18tc:text xml:space="preserve">Contrassegnato come risolto</x18tc:text>
  </x18tc:threadedComment>
  <x18tc:threadedComment ref="D217" dT="2022-06-05T16:20:17.00" personId="{e882142d-1b09-4f93-8238-d4d0eb5cae43}" id="{901fb8a6-84c6-4e20-a421-9a4c4c90a2b5}" parentId="{c4ab7d32-62af-486c-af10-9ea674a5878c}">
    <x18tc:text xml:space="preserve">Riaperto</x18tc:text>
  </x18tc:threadedComment>
  <x18tc:threadedComment ref="L223" dT="2022-06-13T09:50:37.00" personId="{e882142d-1b09-4f93-8238-d4d0eb5cae43}" id="{0d6664de-0765-46ab-9aa6-f352df70e04e}" done="0">
    <x18tc:text xml:space="preserve">230+190+265+305</x18tc:text>
  </x18tc:threadedComment>
  <x18tc:threadedComment ref="D215" dT="2022-06-06T14:27:16.00" personId="{e882142d-1b09-4f93-8238-d4d0eb5cae43}" id="{45655380-932a-47bf-8230-5b7cb1eb6610}" done="0">
    <x18tc:text xml:space="preserve">Assicurazione 330€</x18tc:text>
  </x18tc:threadedComment>
  <x18tc:threadedComment ref="D216" dT="2022-06-07T20:33:38.00" personId="{e882142d-1b09-4f93-8238-d4d0eb5cae43}" id="{85017b83-c128-4acc-afea-0a763f8de24d}" done="0">
    <x18tc:text xml:space="preserve">molle ammortizzatori modellino 20€ estrattori viti 6 euro cacciaviti e viti 38€+10€ spootify+130€simulatore moto Palix</x18tc:text>
  </x18tc:threadedComment>
  <x18tc:threadedComment ref="L224" dT="2022-06-11T07:54:36.00" personId="{e882142d-1b09-4f93-8238-d4d0eb5cae43}" id="{73665b4f-10fc-4f85-bafe-f931c5da43b5}" done="1">
    <x18tc:text xml:space="preserve">306+170+220</x18tc:text>
  </x18tc:threadedComment>
  <x18tc:threadedComment ref="D300" dT="2022-08-02T17:17:56.00" personId="{e882142d-1b09-4f93-8238-d4d0eb5cae43}" id="{34bb1cae-a459-4ff4-93c3-ada6babe3c30}" done="0">
    <x18tc:text xml:space="preserve">Pappa Rosco 50€+collirio Rosco 10€</x18tc:text>
  </x18tc:threadedComment>
  <x18tc:threadedComment ref="D258" dT="2022-07-05T15:47:56.00" personId="{e882142d-1b09-4f93-8238-d4d0eb5cae43}" id="{aadc8a72-a2a4-4f83-8119-f3a2bceacb69}" done="0">
    <x18tc:text xml:space="preserve">cosi:50€+6€ provette per check up+104 ecografia addome+150 bellini</x18tc:text>
  </x18tc:threadedComment>
  <x18tc:threadedComment ref="D256" dT="2022-07-11T12:25:54.00" personId="{e882142d-1b09-4f93-8238-d4d0eb5cae43}" id="{7e3c847a-7c48-473f-9e1c-d10965f727b6}" done="0">
    <x18tc:text xml:space="preserve">coop: 100 + tenda sole 50+40 pulizie 30 euro buganville</x18tc:text>
  </x18tc:threadedComment>
  <x18tc:threadedComment ref="D261" dT="2022-07-18T17:10:17.00" personId="{e882142d-1b09-4f93-8238-d4d0eb5cae43}" id="{78615b6a-a5fc-4740-8c08-e4eecce8376f}" done="0">
    <x18tc:text xml:space="preserve">40€pappa Rosco</x18tc:text>
  </x18tc:threadedComment>
  <x18tc:threadedComment ref="D339" dT="2022-09-12T04:47:35.00" personId="{e882142d-1b09-4f93-8238-d4d0eb5cae43}" id="{50b988ea-528e-4dc8-b283-108926630df4}" done="0">
    <x18tc:text xml:space="preserve">50€pappa Rosco+50 vaccino</x18tc:text>
  </x18tc:threadedComment>
  <x18tc:threadedComment ref="D255" dT="2022-07-28T19:58:25.00" personId="{e882142d-1b09-4f93-8238-d4d0eb5cae43}" id="{18e13c60-c661-4178-afd6-785dbb1469ac}" done="0">
    <x18tc:text xml:space="preserve">Settimana a Levico+spootify</x18tc:text>
  </x18tc:threadedComment>
  <x18tc:threadedComment ref="F319" dT="2022-08-29T07:44:20.00" personId="{e882142d-1b09-4f93-8238-d4d0eb5cae43}" id="{018d6622-ad33-40cb-99e2-e106e14e432c}" done="0">
    <x18tc:text xml:space="preserve">acconto su 300</x18tc:text>
  </x18tc:threadedComment>
  <x18tc:threadedComment ref="D295" dT="2022-08-16T16:07:59.00" personId="{e882142d-1b09-4f93-8238-d4d0eb5cae43}" id="{b3ff097e-2b96-4185-97f6-c35cb69a1ea0}" done="0">
    <x18tc:text xml:space="preserve">399€ attrezzi + 40€ viveri</x18tc:text>
  </x18tc:threadedComment>
  <x18tc:threadedComment ref="D292" dT="2022-08-14T09:53:29.00" personId="{e882142d-1b09-4f93-8238-d4d0eb5cae43}" id="{9fbeb4f1-dc76-4dd0-bd29-db88d8b6b0f9}" done="0">
    <x18tc:text xml:space="preserve">3 x multa eccesso velocità 162€</x18tc:text>
  </x18tc:threadedComment>
  <x18tc:threadedComment ref="D334" dT="2022-08-31T10:12:07.00" personId="{e882142d-1b09-4f93-8238-d4d0eb5cae43}" id="{ee0f8742-e5a3-4a7f-8e0c-897479141086}" done="1">
    <x18tc:text xml:space="preserve">120€ per pulizia canna fumaria+127€ spesa</x18tc:text>
  </x18tc:threadedComment>
  <x18tc:threadedComment ref="F320" dT="2022-08-30T12:27:15.00" personId="{e882142d-1b09-4f93-8238-d4d0eb5cae43}" id="{b755adfb-db41-4395-a798-a7a760976b0a}" done="0">
    <x18tc:text xml:space="preserve">acconto di 1440</x18tc:text>
  </x18tc:threadedComment>
  <x18tc:threadedComment ref="D333" dT="2022-09-02T08:00:06.00" personId="{e882142d-1b09-4f93-8238-d4d0eb5cae43}" id="{253402eb-a75d-4019-8411-4efd46fa7714}" done="0">
    <x18tc:text xml:space="preserve">5€ yoni Slesinger</x18tc:text>
  </x18tc:threadedComment>
  <x18tc:threadedComment ref="O316" dT="2022-09-19T16:53:59.00" personId="{e882142d-1b09-4f93-8238-d4d0eb5cae43}" id="{c96cc30a-ed32-4036-a6c8-3809e30b860b}" done="0">
    <x18tc:text xml:space="preserve">Emesso fattura ma nessuna risposta da lei.... on ancora riscossa</x18tc:text>
  </x18tc:threadedComment>
  <x18tc:threadedComment ref="F328" dT="2022-09-29T14:31:58.00" personId="{e882142d-1b09-4f93-8238-d4d0eb5cae43}" id="{d7feff42-e7ef-4cde-9552-62166763acca}" done="0">
    <x18tc:text xml:space="preserve">saldo su 300</x18tc:text>
  </x18tc:threadedComment>
  <x18tc:threadedComment ref="D372" dT="2022-10-03T05:12:24.00" personId="{e882142d-1b09-4f93-8238-d4d0eb5cae43}" id="{7123d5c8-d777-443b-8f03-05be9376cfd8}" done="0">
    <x18tc:text xml:space="preserve">tiger exp-+panini con Dainelli</x18tc:text>
  </x18tc:threadedComment>
  <x18tc:threadedComment ref="D370" dT="2022-10-14T06:51:31.00" personId="{e882142d-1b09-4f93-8238-d4d0eb5cae43}" id="{211d80e8-3ad1-478f-93be-dc8fbe9555e2}" done="0">
    <x18tc:text xml:space="preserve">cambio gomme 50€</x18tc:text>
  </x18tc:threadedComment>
  <x18tc:threadedComment ref="D378" dT="2022-10-07T08:34:44.00" personId="{e882142d-1b09-4f93-8238-d4d0eb5cae43}" id="{61e39b82-5d6f-4a05-b990-73703d018110}" done="1">
    <x18tc:text xml:space="preserve">34 pappa Rosco 33 casetta Gina vaccino Rosco 150</x18tc:text>
  </x18tc:threadedComment>
  <x18tc:threadedComment ref="F409" dT="2022-11-28T08:08:10.00" personId="{e882142d-1b09-4f93-8238-d4d0eb5cae43}" id="{8b400bd2-81fb-4a7e-bd0c-85f16b67670d}" done="0">
    <x18tc:text xml:space="preserve">acconto su 300 dato in data 28/11/22</x18tc:text>
  </x18tc:threadedComment>
  <x18tc:threadedComment ref="F404" dT="2022-11-10T15:45:04.00" personId="{e882142d-1b09-4f93-8238-d4d0eb5cae43}" id="{01e847cf-b885-4242-821d-1eaf08fe1df6}" done="0">
    <x18tc:text xml:space="preserve">saldo pacchetto appena terminato</x18tc:text>
  </x18tc:threadedComment>
  <x18tc:threadedComment ref="D441" dT="2022-12-17T10:51:20.00" personId="{e882142d-1b09-4f93-8238-d4d0eb5cae43}" id="{a672a56a-9417-49ea-aacd-3e0d46248f92}" done="0">
    <x18tc:text xml:space="preserve">ho sottratto una parte di canone di acqua pagato in eccesso per errore mesi prima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7" dT="2023-01-13T10:20:44.00" personId="{e882142d-1b09-4f93-8238-d4d0eb5cae43}" id="{ef2a32a9-b11e-4b62-a853-6c3b25dad0de}" done="0">
    <x18tc:text xml:space="preserve">natural pet pollo e manzo per Rosco</x18tc:text>
  </x18tc:threadedComment>
  <x18tc:threadedComment ref="F8" dT="2023-01-16T11:18:49.00" personId="{e882142d-1b09-4f93-8238-d4d0eb5cae43}" id="{87f76fd3-405d-4835-b9eb-516430e6215e}" done="0">
    <x18tc:text xml:space="preserve">a saldo del suo pacchetto da 6 mesi</x18tc:text>
  </x18tc:threadedComment>
  <x18tc:threadedComment ref="D13" dT="2023-01-30T07:16:27.00" personId="{e882142d-1b09-4f93-8238-d4d0eb5cae43}" id="{b3c38feb-09d1-4352-917c-36c943acb75e}" done="0">
    <x18tc:text xml:space="preserve">dicembre Gennaio 23</x18tc:text>
  </x18tc:threadedComment>
  <x18tc:threadedComment ref="D51" dT="2023-02-03T09:49:36.00" personId="{e882142d-1b09-4f93-8238-d4d0eb5cae43}" id="{60381dd0-4613-414f-a569-6ab87878c496}" done="0">
    <x18tc:text xml:space="preserve">46.46 internet</x18tc:text>
  </x18tc:threadedComment>
  <x18tc:threadedComment ref="A58" dT="2023-02-17T09:50:38.00" personId="{e882142d-1b09-4f93-8238-d4d0eb5cae43}" id="{4bbd1e8f-3f05-4c09-bc8c-475dcc078064}" done="0">
    <x18tc:text xml:space="preserve">pagata il 17/02/23 tramite CBILL da conto</x18tc:text>
  </x18tc:threadedComment>
  <x18tc:threadedComment ref="F94" dT="2023-03-28T13:55:56.00" personId="{e882142d-1b09-4f93-8238-d4d0eb5cae43}" id="{016fec97-9500-42bc-b922-c473ca059d1a}" done="0">
    <x18tc:text xml:space="preserve">acconto su 300€</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5-08-31T15:46:05.00" personId="{e882142d-1b09-4f93-8238-d4d0eb5cae43}" id="{eea964c9-4748-4606-86c4-4b000b45f752}" done="0">
    <x18tc:text xml:space="preserve">veterinario,</x18tc:text>
  </x18tc:threadedComment>
  <x18tc:threadedComment ref="A1" dT="2023-02-17T10:37:08.00" personId="{e882142d-1b09-4f93-8238-d4d0eb5cae43}" id="{adb228bf-818c-4666-8896-2eabc641b773}" done="0">
    <x18tc:text xml:space="preserve">da questo totale andranno tolti circa 13100€ di tasse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1.xml"/><Relationship Id="rId5"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6" max="6" width="7.5"/>
  </cols>
  <sheetData>
    <row r="1">
      <c r="A1" s="1">
        <v>0.0</v>
      </c>
      <c r="F1" s="2" t="s">
        <v>0</v>
      </c>
    </row>
    <row r="3">
      <c r="A3" s="3" t="s">
        <v>1</v>
      </c>
      <c r="B3" s="4" t="s">
        <v>2</v>
      </c>
      <c r="E3" s="5">
        <v>2600.0</v>
      </c>
      <c r="F3" s="3" t="s">
        <v>1</v>
      </c>
      <c r="J3" s="6">
        <v>1975.0</v>
      </c>
    </row>
    <row r="4">
      <c r="B4" s="7"/>
      <c r="C4" s="7"/>
      <c r="G4" s="7"/>
      <c r="I4" s="7"/>
    </row>
    <row r="5">
      <c r="B5" s="7" t="s">
        <v>3</v>
      </c>
      <c r="C5" s="7">
        <v>2600.0</v>
      </c>
      <c r="G5" s="7" t="s">
        <v>4</v>
      </c>
      <c r="I5" s="7">
        <v>35.0</v>
      </c>
    </row>
    <row r="6">
      <c r="G6" s="7" t="s">
        <v>5</v>
      </c>
      <c r="I6" s="7">
        <v>25.0</v>
      </c>
    </row>
    <row r="7">
      <c r="G7" s="7" t="s">
        <v>6</v>
      </c>
      <c r="I7" s="7">
        <v>260.0</v>
      </c>
    </row>
    <row r="8">
      <c r="G8" s="7" t="s">
        <v>7</v>
      </c>
    </row>
    <row r="9">
      <c r="G9" s="7" t="s">
        <v>8</v>
      </c>
      <c r="I9" s="7">
        <v>400.0</v>
      </c>
    </row>
    <row r="10">
      <c r="G10" s="7" t="s">
        <v>9</v>
      </c>
      <c r="I10" s="7">
        <v>100.0</v>
      </c>
    </row>
    <row r="11">
      <c r="G11" s="7" t="s">
        <v>10</v>
      </c>
      <c r="I11" s="7">
        <v>100.0</v>
      </c>
    </row>
    <row r="12">
      <c r="G12" s="7" t="s">
        <v>11</v>
      </c>
      <c r="I12" s="7">
        <v>50.0</v>
      </c>
    </row>
    <row r="13">
      <c r="G13" s="7" t="s">
        <v>12</v>
      </c>
    </row>
    <row r="14">
      <c r="G14" s="7" t="s">
        <v>13</v>
      </c>
    </row>
    <row r="15">
      <c r="G15" s="7" t="s">
        <v>14</v>
      </c>
      <c r="I15" s="7">
        <v>350.0</v>
      </c>
    </row>
    <row r="16">
      <c r="G16" s="7" t="s">
        <v>15</v>
      </c>
      <c r="I16" s="8" t="str">
        <f>HYPERLINK("ricettario","200")</f>
        <v>200</v>
      </c>
    </row>
    <row r="17">
      <c r="G17" s="7" t="s">
        <v>16</v>
      </c>
      <c r="I17" s="7">
        <v>455.0</v>
      </c>
    </row>
    <row r="18">
      <c r="G18" s="7" t="s">
        <v>17</v>
      </c>
    </row>
    <row r="19">
      <c r="G19" s="7" t="s">
        <v>18</v>
      </c>
    </row>
    <row r="20">
      <c r="G20" s="7" t="s">
        <v>19</v>
      </c>
    </row>
    <row r="21">
      <c r="G21" s="7" t="s">
        <v>20</v>
      </c>
    </row>
    <row r="22">
      <c r="G22" s="7" t="s">
        <v>21</v>
      </c>
    </row>
    <row r="24">
      <c r="A24" s="9" t="s">
        <v>22</v>
      </c>
      <c r="B24" s="10" t="s">
        <v>23</v>
      </c>
      <c r="C24" s="11"/>
      <c r="D24" s="11"/>
      <c r="E24" s="12">
        <v>2495.0</v>
      </c>
      <c r="F24" s="13" t="s">
        <v>22</v>
      </c>
      <c r="G24" s="11"/>
      <c r="H24" s="11"/>
      <c r="I24" s="11"/>
      <c r="J24" s="14">
        <v>1821.0</v>
      </c>
    </row>
    <row r="25">
      <c r="A25" s="11"/>
      <c r="B25" s="11"/>
      <c r="C25" s="11"/>
      <c r="D25" s="15"/>
      <c r="E25" s="15"/>
      <c r="F25" s="15"/>
      <c r="G25" s="11"/>
      <c r="H25" s="15"/>
      <c r="I25" s="11"/>
      <c r="J25" s="15"/>
    </row>
    <row r="26">
      <c r="A26" s="11"/>
      <c r="B26" s="11" t="s">
        <v>3</v>
      </c>
      <c r="C26" s="16"/>
      <c r="D26" s="17">
        <v>2495.0</v>
      </c>
      <c r="E26" s="15"/>
      <c r="F26" s="15"/>
      <c r="G26" s="11" t="s">
        <v>4</v>
      </c>
      <c r="H26" s="15"/>
      <c r="I26" s="18">
        <v>80.0</v>
      </c>
      <c r="J26" s="15"/>
    </row>
    <row r="27">
      <c r="A27" s="11"/>
      <c r="B27" s="19" t="s">
        <v>24</v>
      </c>
      <c r="C27" s="15"/>
      <c r="D27" s="19">
        <v>79.0</v>
      </c>
      <c r="E27" s="15"/>
      <c r="F27" s="15"/>
      <c r="G27" s="20" t="s">
        <v>25</v>
      </c>
      <c r="H27" s="15"/>
      <c r="I27" s="18">
        <v>140.0</v>
      </c>
      <c r="J27" s="15"/>
    </row>
    <row r="28">
      <c r="A28" s="11"/>
      <c r="B28" s="19" t="s">
        <v>26</v>
      </c>
      <c r="C28" s="15"/>
      <c r="D28" s="19">
        <v>26.0</v>
      </c>
      <c r="E28" s="15"/>
      <c r="F28" s="15"/>
      <c r="G28" s="11" t="s">
        <v>6</v>
      </c>
      <c r="H28" s="15"/>
      <c r="I28" s="18">
        <v>260.0</v>
      </c>
      <c r="J28" s="15"/>
    </row>
    <row r="29">
      <c r="A29" s="11"/>
      <c r="B29" s="19" t="s">
        <v>27</v>
      </c>
      <c r="C29" s="15"/>
      <c r="D29" s="15"/>
      <c r="E29" s="15"/>
      <c r="F29" s="15"/>
      <c r="G29" s="11" t="s">
        <v>7</v>
      </c>
      <c r="H29" s="15"/>
      <c r="I29" s="19">
        <v>290.0</v>
      </c>
      <c r="J29" s="15"/>
    </row>
    <row r="30">
      <c r="A30" s="11"/>
      <c r="B30" s="15"/>
      <c r="C30" s="15"/>
      <c r="D30" s="15"/>
      <c r="E30" s="15"/>
      <c r="F30" s="15"/>
      <c r="G30" s="11" t="s">
        <v>8</v>
      </c>
      <c r="H30" s="15"/>
      <c r="I30" s="16"/>
      <c r="J30" s="15"/>
    </row>
    <row r="31">
      <c r="A31" s="11"/>
      <c r="B31" s="15"/>
      <c r="C31" s="15"/>
      <c r="D31" s="15"/>
      <c r="E31" s="15"/>
      <c r="F31" s="15"/>
      <c r="G31" s="11" t="s">
        <v>9</v>
      </c>
      <c r="H31" s="15"/>
      <c r="I31" s="16"/>
      <c r="J31" s="15"/>
    </row>
    <row r="32">
      <c r="A32" s="11"/>
      <c r="B32" s="15"/>
      <c r="C32" s="15"/>
      <c r="D32" s="15"/>
      <c r="E32" s="15"/>
      <c r="F32" s="15"/>
      <c r="G32" s="11" t="s">
        <v>10</v>
      </c>
      <c r="H32" s="15"/>
      <c r="I32" s="16"/>
      <c r="J32" s="15"/>
    </row>
    <row r="33">
      <c r="A33" s="11"/>
      <c r="B33" s="15"/>
      <c r="C33" s="15"/>
      <c r="D33" s="15"/>
      <c r="E33" s="15"/>
      <c r="F33" s="15"/>
      <c r="G33" s="20" t="s">
        <v>28</v>
      </c>
      <c r="H33" s="15"/>
      <c r="I33" s="18">
        <v>77.0</v>
      </c>
      <c r="J33" s="15"/>
    </row>
    <row r="34">
      <c r="A34" s="11"/>
      <c r="B34" s="15"/>
      <c r="C34" s="15"/>
      <c r="D34" s="15"/>
      <c r="E34" s="15"/>
      <c r="F34" s="15"/>
      <c r="G34" s="11" t="s">
        <v>11</v>
      </c>
      <c r="H34" s="15"/>
      <c r="I34" s="18">
        <v>75.0</v>
      </c>
      <c r="J34" s="15"/>
    </row>
    <row r="35">
      <c r="A35" s="11"/>
      <c r="B35" s="15"/>
      <c r="C35" s="15"/>
      <c r="D35" s="15"/>
      <c r="E35" s="15"/>
      <c r="F35" s="15"/>
      <c r="G35" s="11" t="s">
        <v>12</v>
      </c>
      <c r="H35" s="15"/>
      <c r="I35" s="15"/>
      <c r="J35" s="15"/>
    </row>
    <row r="36">
      <c r="A36" s="11"/>
      <c r="B36" s="15"/>
      <c r="C36" s="15"/>
      <c r="D36" s="15"/>
      <c r="E36" s="15"/>
      <c r="F36" s="15"/>
      <c r="G36" s="11" t="s">
        <v>13</v>
      </c>
      <c r="H36" s="15"/>
      <c r="I36" s="15"/>
      <c r="J36" s="15"/>
    </row>
    <row r="37">
      <c r="A37" s="11"/>
      <c r="B37" s="15"/>
      <c r="C37" s="15"/>
      <c r="D37" s="15"/>
      <c r="E37" s="15"/>
      <c r="F37" s="15"/>
      <c r="G37" s="11" t="s">
        <v>14</v>
      </c>
      <c r="H37" s="15"/>
      <c r="I37" s="18">
        <v>150.0</v>
      </c>
      <c r="J37" s="15"/>
    </row>
    <row r="38">
      <c r="A38" s="11"/>
      <c r="B38" s="15"/>
      <c r="C38" s="15"/>
      <c r="D38" s="15"/>
      <c r="E38" s="15"/>
      <c r="F38" s="15"/>
      <c r="G38" s="11" t="s">
        <v>15</v>
      </c>
      <c r="H38" s="15"/>
      <c r="I38" s="16"/>
      <c r="J38" s="15"/>
    </row>
    <row r="39">
      <c r="A39" s="11"/>
      <c r="B39" s="15"/>
      <c r="C39" s="15"/>
      <c r="D39" s="15"/>
      <c r="E39" s="15"/>
      <c r="F39" s="15"/>
      <c r="G39" s="11" t="s">
        <v>16</v>
      </c>
      <c r="H39" s="15"/>
      <c r="I39" s="16"/>
      <c r="J39" s="15"/>
    </row>
    <row r="40">
      <c r="A40" s="11"/>
      <c r="B40" s="15"/>
      <c r="C40" s="15"/>
      <c r="D40" s="15"/>
      <c r="E40" s="15"/>
      <c r="F40" s="15"/>
      <c r="G40" s="11" t="s">
        <v>17</v>
      </c>
      <c r="H40" s="15"/>
      <c r="I40" s="15"/>
      <c r="J40" s="15"/>
    </row>
    <row r="41">
      <c r="A41" s="11"/>
      <c r="B41" s="15"/>
      <c r="C41" s="15"/>
      <c r="D41" s="15"/>
      <c r="E41" s="15"/>
      <c r="F41" s="15"/>
      <c r="G41" s="11" t="s">
        <v>18</v>
      </c>
      <c r="H41" s="15"/>
      <c r="I41" s="15"/>
      <c r="J41" s="15"/>
    </row>
    <row r="42">
      <c r="A42" s="11"/>
      <c r="B42" s="15"/>
      <c r="C42" s="15"/>
      <c r="D42" s="15"/>
      <c r="E42" s="15"/>
      <c r="F42" s="15"/>
      <c r="G42" s="11" t="s">
        <v>19</v>
      </c>
      <c r="H42" s="15"/>
      <c r="I42" s="19">
        <v>300.0</v>
      </c>
      <c r="J42" s="15"/>
    </row>
    <row r="43">
      <c r="A43" s="11"/>
      <c r="B43" s="15"/>
      <c r="C43" s="15"/>
      <c r="D43" s="15"/>
      <c r="E43" s="15"/>
      <c r="F43" s="15"/>
      <c r="G43" s="11" t="s">
        <v>20</v>
      </c>
      <c r="H43" s="15"/>
      <c r="I43" s="15"/>
      <c r="J43" s="15"/>
    </row>
    <row r="44">
      <c r="A44" s="11"/>
      <c r="B44" s="15"/>
      <c r="C44" s="15"/>
      <c r="D44" s="15"/>
      <c r="E44" s="15"/>
      <c r="F44" s="15"/>
      <c r="G44" s="11" t="s">
        <v>21</v>
      </c>
      <c r="H44" s="15"/>
      <c r="I44" s="15"/>
      <c r="J44" s="15"/>
    </row>
    <row r="45">
      <c r="A45" s="11"/>
      <c r="B45" s="15"/>
      <c r="C45" s="15"/>
      <c r="D45" s="15"/>
      <c r="E45" s="15"/>
      <c r="F45" s="15"/>
      <c r="G45" s="19" t="s">
        <v>29</v>
      </c>
      <c r="H45" s="15"/>
      <c r="I45" s="19">
        <v>232.0</v>
      </c>
      <c r="J45" s="15"/>
    </row>
    <row r="46">
      <c r="A46" s="11"/>
      <c r="B46" s="15"/>
      <c r="C46" s="15"/>
      <c r="D46" s="15"/>
      <c r="E46" s="15"/>
      <c r="F46" s="15"/>
      <c r="G46" s="19" t="s">
        <v>24</v>
      </c>
      <c r="H46" s="15"/>
      <c r="I46" s="19">
        <v>109.0</v>
      </c>
      <c r="J46" s="15"/>
    </row>
    <row r="47">
      <c r="A47" s="11"/>
      <c r="B47" s="15"/>
      <c r="C47" s="15"/>
      <c r="D47" s="15"/>
      <c r="E47" s="15"/>
      <c r="F47" s="15"/>
      <c r="G47" s="19" t="s">
        <v>27</v>
      </c>
      <c r="H47" s="15"/>
      <c r="I47" s="15"/>
      <c r="J47" s="15"/>
    </row>
    <row r="48">
      <c r="A48" s="11"/>
      <c r="B48" s="15"/>
      <c r="C48" s="15"/>
      <c r="D48" s="15"/>
      <c r="E48" s="15"/>
      <c r="F48" s="15"/>
      <c r="G48" s="19" t="s">
        <v>30</v>
      </c>
      <c r="H48" s="15"/>
      <c r="I48" s="19">
        <v>181.0</v>
      </c>
      <c r="J48" s="15"/>
    </row>
    <row r="49">
      <c r="A49" s="11"/>
      <c r="B49" s="15"/>
      <c r="C49" s="15"/>
      <c r="D49" s="15"/>
      <c r="E49" s="15"/>
      <c r="F49" s="15"/>
      <c r="G49" s="19" t="s">
        <v>31</v>
      </c>
      <c r="H49" s="15"/>
      <c r="I49" s="19">
        <v>67.0</v>
      </c>
      <c r="J49" s="15"/>
    </row>
    <row r="52">
      <c r="A52" s="9" t="s">
        <v>32</v>
      </c>
      <c r="B52" s="10" t="s">
        <v>33</v>
      </c>
      <c r="C52" s="11"/>
      <c r="D52" s="11"/>
      <c r="E52" s="12">
        <v>2515.0</v>
      </c>
      <c r="F52" s="13" t="s">
        <v>32</v>
      </c>
      <c r="G52" s="11"/>
      <c r="H52" s="11"/>
      <c r="I52" s="11"/>
      <c r="J52" s="14">
        <v>2486.0</v>
      </c>
    </row>
    <row r="53">
      <c r="A53" s="11"/>
      <c r="B53" s="11"/>
      <c r="C53" s="11"/>
      <c r="D53" s="15"/>
      <c r="E53" s="15"/>
      <c r="F53" s="15"/>
      <c r="G53" s="11"/>
      <c r="H53" s="15"/>
      <c r="I53" s="11"/>
      <c r="J53" s="15"/>
    </row>
    <row r="54">
      <c r="A54" s="11"/>
      <c r="B54" s="11" t="s">
        <v>3</v>
      </c>
      <c r="C54" s="16"/>
      <c r="D54" s="17">
        <v>2490.0</v>
      </c>
      <c r="E54" s="15"/>
      <c r="F54" s="15"/>
      <c r="G54" s="11" t="s">
        <v>4</v>
      </c>
      <c r="H54" s="15"/>
      <c r="I54" s="18">
        <v>75.0</v>
      </c>
      <c r="J54" s="15"/>
    </row>
    <row r="55">
      <c r="A55" s="11"/>
      <c r="B55" s="19" t="s">
        <v>24</v>
      </c>
      <c r="C55" s="15"/>
      <c r="D55" s="19">
        <v>25.0</v>
      </c>
      <c r="E55" s="15"/>
      <c r="F55" s="15"/>
      <c r="G55" s="20" t="s">
        <v>25</v>
      </c>
      <c r="H55" s="15"/>
      <c r="I55" s="18">
        <v>311.0</v>
      </c>
      <c r="J55" s="15"/>
    </row>
    <row r="56">
      <c r="A56" s="11"/>
      <c r="B56" s="19" t="s">
        <v>26</v>
      </c>
      <c r="C56" s="15"/>
      <c r="D56" s="19"/>
      <c r="E56" s="15"/>
      <c r="F56" s="15"/>
      <c r="G56" s="11" t="s">
        <v>6</v>
      </c>
      <c r="H56" s="15"/>
      <c r="I56" s="18">
        <v>438.0</v>
      </c>
      <c r="J56" s="15"/>
    </row>
    <row r="57">
      <c r="A57" s="11"/>
      <c r="B57" s="19" t="s">
        <v>27</v>
      </c>
      <c r="C57" s="15"/>
      <c r="D57" s="15"/>
      <c r="E57" s="15"/>
      <c r="F57" s="15"/>
      <c r="G57" s="11" t="s">
        <v>7</v>
      </c>
      <c r="H57" s="15"/>
      <c r="I57" s="19"/>
      <c r="J57" s="15"/>
    </row>
    <row r="58">
      <c r="A58" s="11"/>
      <c r="B58" s="15"/>
      <c r="C58" s="15"/>
      <c r="D58" s="15"/>
      <c r="E58" s="15"/>
      <c r="F58" s="15"/>
      <c r="G58" s="11" t="s">
        <v>8</v>
      </c>
      <c r="H58" s="15"/>
      <c r="I58" s="16"/>
      <c r="J58" s="15"/>
    </row>
    <row r="59">
      <c r="A59" s="11"/>
      <c r="B59" s="15"/>
      <c r="C59" s="15"/>
      <c r="D59" s="15"/>
      <c r="E59" s="15"/>
      <c r="F59" s="15"/>
      <c r="G59" s="11" t="s">
        <v>9</v>
      </c>
      <c r="H59" s="15"/>
      <c r="I59" s="18">
        <v>46.0</v>
      </c>
      <c r="J59" s="15"/>
    </row>
    <row r="60">
      <c r="A60" s="11"/>
      <c r="B60" s="15"/>
      <c r="C60" s="15"/>
      <c r="D60" s="15"/>
      <c r="E60" s="15"/>
      <c r="F60" s="15"/>
      <c r="G60" s="11" t="s">
        <v>10</v>
      </c>
      <c r="H60" s="15"/>
      <c r="I60" s="18">
        <v>110.0</v>
      </c>
      <c r="J60" s="15"/>
    </row>
    <row r="61">
      <c r="A61" s="11"/>
      <c r="B61" s="15"/>
      <c r="C61" s="15"/>
      <c r="D61" s="15"/>
      <c r="E61" s="15"/>
      <c r="F61" s="15"/>
      <c r="G61" s="20" t="s">
        <v>34</v>
      </c>
      <c r="H61" s="15"/>
      <c r="I61" s="18">
        <v>50.0</v>
      </c>
      <c r="J61" s="15"/>
    </row>
    <row r="62">
      <c r="A62" s="11"/>
      <c r="B62" s="15"/>
      <c r="C62" s="15"/>
      <c r="D62" s="15"/>
      <c r="E62" s="15"/>
      <c r="F62" s="15"/>
      <c r="G62" s="20" t="s">
        <v>28</v>
      </c>
      <c r="H62" s="15"/>
      <c r="I62" s="18"/>
      <c r="J62" s="15"/>
    </row>
    <row r="63">
      <c r="A63" s="11"/>
      <c r="B63" s="15"/>
      <c r="C63" s="15"/>
      <c r="D63" s="15"/>
      <c r="E63" s="15"/>
      <c r="F63" s="15"/>
      <c r="G63" s="11" t="s">
        <v>11</v>
      </c>
      <c r="H63" s="15"/>
      <c r="I63" s="18"/>
      <c r="J63" s="15"/>
    </row>
    <row r="64">
      <c r="A64" s="11"/>
      <c r="B64" s="15"/>
      <c r="C64" s="15"/>
      <c r="D64" s="15"/>
      <c r="E64" s="15"/>
      <c r="F64" s="15"/>
      <c r="G64" s="11" t="s">
        <v>12</v>
      </c>
      <c r="H64" s="15"/>
      <c r="I64" s="19">
        <v>200.0</v>
      </c>
      <c r="J64" s="15"/>
    </row>
    <row r="65">
      <c r="A65" s="11"/>
      <c r="B65" s="15"/>
      <c r="C65" s="15"/>
      <c r="D65" s="15"/>
      <c r="E65" s="15"/>
      <c r="F65" s="15"/>
      <c r="G65" s="11" t="s">
        <v>13</v>
      </c>
      <c r="H65" s="15"/>
      <c r="I65" s="15"/>
      <c r="J65" s="15"/>
    </row>
    <row r="66">
      <c r="A66" s="11"/>
      <c r="B66" s="15"/>
      <c r="C66" s="15"/>
      <c r="D66" s="15"/>
      <c r="E66" s="15"/>
      <c r="F66" s="15"/>
      <c r="G66" s="11" t="s">
        <v>14</v>
      </c>
      <c r="H66" s="15"/>
      <c r="I66" s="18">
        <v>150.0</v>
      </c>
      <c r="J66" s="15"/>
    </row>
    <row r="67">
      <c r="A67" s="11"/>
      <c r="B67" s="15"/>
      <c r="C67" s="15"/>
      <c r="D67" s="15"/>
      <c r="E67" s="15"/>
      <c r="F67" s="15"/>
      <c r="G67" s="11" t="s">
        <v>15</v>
      </c>
      <c r="H67" s="15"/>
      <c r="I67" s="16"/>
      <c r="J67" s="15"/>
    </row>
    <row r="68">
      <c r="A68" s="11"/>
      <c r="B68" s="15"/>
      <c r="C68" s="15"/>
      <c r="D68" s="15"/>
      <c r="E68" s="15"/>
      <c r="F68" s="15"/>
      <c r="G68" s="11" t="s">
        <v>16</v>
      </c>
      <c r="H68" s="15"/>
      <c r="I68" s="16"/>
      <c r="J68" s="15"/>
    </row>
    <row r="69">
      <c r="A69" s="11"/>
      <c r="B69" s="15"/>
      <c r="C69" s="15"/>
      <c r="D69" s="15"/>
      <c r="E69" s="15"/>
      <c r="F69" s="15"/>
      <c r="G69" s="11" t="s">
        <v>17</v>
      </c>
      <c r="H69" s="15"/>
      <c r="I69" s="15"/>
      <c r="J69" s="15"/>
    </row>
    <row r="70">
      <c r="A70" s="11"/>
      <c r="B70" s="15"/>
      <c r="C70" s="15"/>
      <c r="D70" s="15"/>
      <c r="E70" s="15"/>
      <c r="F70" s="15"/>
      <c r="G70" s="11" t="s">
        <v>18</v>
      </c>
      <c r="H70" s="15"/>
      <c r="I70" s="15"/>
      <c r="J70" s="15"/>
    </row>
    <row r="71">
      <c r="A71" s="11"/>
      <c r="B71" s="15"/>
      <c r="C71" s="15"/>
      <c r="D71" s="15"/>
      <c r="E71" s="15"/>
      <c r="F71" s="15"/>
      <c r="G71" s="11" t="s">
        <v>19</v>
      </c>
      <c r="H71" s="15"/>
      <c r="I71" s="19">
        <v>300.0</v>
      </c>
      <c r="J71" s="15"/>
    </row>
    <row r="72">
      <c r="A72" s="11"/>
      <c r="B72" s="15"/>
      <c r="C72" s="15"/>
      <c r="D72" s="15"/>
      <c r="E72" s="15"/>
      <c r="F72" s="15"/>
      <c r="G72" s="11" t="s">
        <v>20</v>
      </c>
      <c r="H72" s="15"/>
      <c r="I72" s="19">
        <v>50.0</v>
      </c>
      <c r="J72" s="15"/>
    </row>
    <row r="73">
      <c r="A73" s="11"/>
      <c r="B73" s="15"/>
      <c r="C73" s="15"/>
      <c r="D73" s="15"/>
      <c r="E73" s="15"/>
      <c r="F73" s="15"/>
      <c r="G73" s="11" t="s">
        <v>21</v>
      </c>
      <c r="H73" s="15"/>
      <c r="I73" s="15"/>
      <c r="J73" s="15"/>
    </row>
    <row r="74">
      <c r="A74" s="11"/>
      <c r="B74" s="15"/>
      <c r="C74" s="15"/>
      <c r="D74" s="15"/>
      <c r="E74" s="15"/>
      <c r="F74" s="15"/>
      <c r="G74" s="19" t="s">
        <v>29</v>
      </c>
      <c r="H74" s="15"/>
      <c r="I74" s="19">
        <v>173.0</v>
      </c>
      <c r="J74" s="15"/>
    </row>
    <row r="75">
      <c r="A75" s="11"/>
      <c r="B75" s="15"/>
      <c r="C75" s="15"/>
      <c r="D75" s="15"/>
      <c r="E75" s="15"/>
      <c r="F75" s="15"/>
      <c r="G75" s="19" t="s">
        <v>24</v>
      </c>
      <c r="H75" s="15"/>
      <c r="I75" s="19"/>
      <c r="J75" s="15"/>
    </row>
    <row r="76">
      <c r="A76" s="11"/>
      <c r="B76" s="15"/>
      <c r="C76" s="15"/>
      <c r="D76" s="15"/>
      <c r="E76" s="15"/>
      <c r="F76" s="15"/>
      <c r="G76" s="19" t="s">
        <v>27</v>
      </c>
      <c r="H76" s="15"/>
      <c r="I76" s="15"/>
      <c r="J76" s="15"/>
    </row>
    <row r="77">
      <c r="A77" s="11"/>
      <c r="B77" s="15"/>
      <c r="C77" s="15"/>
      <c r="D77" s="15"/>
      <c r="E77" s="15"/>
      <c r="F77" s="15"/>
      <c r="G77" s="19" t="s">
        <v>30</v>
      </c>
      <c r="H77" s="15"/>
      <c r="I77" s="19">
        <v>181.0</v>
      </c>
      <c r="J77" s="15"/>
    </row>
    <row r="78">
      <c r="A78" s="11"/>
      <c r="B78" s="15"/>
      <c r="C78" s="15"/>
      <c r="D78" s="15"/>
      <c r="E78" s="15"/>
      <c r="F78" s="15"/>
      <c r="G78" s="19" t="s">
        <v>31</v>
      </c>
      <c r="H78" s="15"/>
      <c r="I78" s="19">
        <v>402.0</v>
      </c>
      <c r="J78" s="15"/>
    </row>
    <row r="80">
      <c r="A80" s="9" t="s">
        <v>35</v>
      </c>
      <c r="B80" s="21" t="s">
        <v>36</v>
      </c>
      <c r="C80" s="22"/>
      <c r="D80" s="11"/>
      <c r="E80" s="12">
        <v>880.0</v>
      </c>
      <c r="F80" s="13" t="s">
        <v>35</v>
      </c>
      <c r="G80" s="11"/>
      <c r="H80" s="11"/>
      <c r="I80" s="11"/>
      <c r="J80" s="14">
        <v>2451.0</v>
      </c>
    </row>
    <row r="81">
      <c r="A81" s="11"/>
      <c r="B81" s="11"/>
      <c r="C81" s="11"/>
      <c r="D81" s="15"/>
      <c r="E81" s="15"/>
      <c r="F81" s="15"/>
      <c r="G81" s="11"/>
      <c r="H81" s="15"/>
      <c r="I81" s="11"/>
      <c r="J81" s="15"/>
    </row>
    <row r="82">
      <c r="A82" s="11"/>
      <c r="B82" s="11" t="s">
        <v>3</v>
      </c>
      <c r="C82" s="18">
        <v>845.0</v>
      </c>
      <c r="D82" s="17"/>
      <c r="E82" s="15"/>
      <c r="F82" s="15"/>
      <c r="G82" s="11" t="s">
        <v>4</v>
      </c>
      <c r="H82" s="15"/>
      <c r="I82" s="18">
        <v>73.0</v>
      </c>
      <c r="J82" s="15"/>
    </row>
    <row r="83">
      <c r="A83" s="11"/>
      <c r="B83" s="19" t="s">
        <v>24</v>
      </c>
      <c r="C83" s="19">
        <v>20.0</v>
      </c>
      <c r="D83" s="19"/>
      <c r="E83" s="15"/>
      <c r="F83" s="15"/>
      <c r="G83" s="20" t="s">
        <v>25</v>
      </c>
      <c r="H83" s="15"/>
      <c r="I83" s="18">
        <v>155.0</v>
      </c>
      <c r="J83" s="15"/>
    </row>
    <row r="84">
      <c r="A84" s="11"/>
      <c r="B84" s="19" t="s">
        <v>26</v>
      </c>
      <c r="C84" s="15"/>
      <c r="D84" s="19"/>
      <c r="E84" s="15"/>
      <c r="F84" s="15"/>
      <c r="G84" s="11" t="s">
        <v>6</v>
      </c>
      <c r="H84" s="15"/>
      <c r="I84" s="18">
        <v>260.0</v>
      </c>
      <c r="J84" s="15"/>
    </row>
    <row r="85">
      <c r="A85" s="11"/>
      <c r="B85" s="19" t="s">
        <v>27</v>
      </c>
      <c r="C85" s="15"/>
      <c r="D85" s="15"/>
      <c r="E85" s="15"/>
      <c r="F85" s="15"/>
      <c r="G85" s="11" t="s">
        <v>7</v>
      </c>
      <c r="H85" s="15"/>
      <c r="I85" s="19"/>
      <c r="J85" s="15"/>
    </row>
    <row r="86">
      <c r="A86" s="11"/>
      <c r="B86" s="19" t="s">
        <v>37</v>
      </c>
      <c r="C86" s="19">
        <v>15.0</v>
      </c>
      <c r="D86" s="15"/>
      <c r="E86" s="15"/>
      <c r="F86" s="15"/>
      <c r="G86" s="11" t="s">
        <v>8</v>
      </c>
      <c r="H86" s="15"/>
      <c r="I86" s="18">
        <v>550.0</v>
      </c>
      <c r="J86" s="15"/>
    </row>
    <row r="87">
      <c r="A87" s="11"/>
      <c r="B87" s="15"/>
      <c r="C87" s="15"/>
      <c r="D87" s="15"/>
      <c r="E87" s="15"/>
      <c r="F87" s="15"/>
      <c r="G87" s="11" t="s">
        <v>9</v>
      </c>
      <c r="H87" s="15"/>
      <c r="I87" s="18"/>
      <c r="J87" s="15"/>
    </row>
    <row r="88">
      <c r="A88" s="11"/>
      <c r="B88" s="15"/>
      <c r="C88" s="15"/>
      <c r="D88" s="15"/>
      <c r="E88" s="15"/>
      <c r="F88" s="15"/>
      <c r="G88" s="11" t="s">
        <v>10</v>
      </c>
      <c r="H88" s="15"/>
      <c r="I88" s="18">
        <v>10.0</v>
      </c>
      <c r="J88" s="15"/>
    </row>
    <row r="89">
      <c r="A89" s="11"/>
      <c r="B89" s="15"/>
      <c r="C89" s="15"/>
      <c r="D89" s="15"/>
      <c r="E89" s="15"/>
      <c r="F89" s="15"/>
      <c r="G89" s="20" t="s">
        <v>34</v>
      </c>
      <c r="H89" s="15"/>
      <c r="I89" s="18">
        <v>20.0</v>
      </c>
      <c r="J89" s="15"/>
    </row>
    <row r="90">
      <c r="A90" s="11"/>
      <c r="B90" s="15"/>
      <c r="C90" s="15"/>
      <c r="D90" s="15"/>
      <c r="E90" s="15"/>
      <c r="F90" s="15"/>
      <c r="G90" s="20" t="s">
        <v>28</v>
      </c>
      <c r="H90" s="15"/>
      <c r="I90" s="18"/>
      <c r="J90" s="15"/>
    </row>
    <row r="91">
      <c r="A91" s="11"/>
      <c r="B91" s="15"/>
      <c r="C91" s="15"/>
      <c r="D91" s="15"/>
      <c r="E91" s="15"/>
      <c r="F91" s="15"/>
      <c r="G91" s="11" t="s">
        <v>11</v>
      </c>
      <c r="H91" s="15"/>
      <c r="I91" s="18">
        <v>150.0</v>
      </c>
      <c r="J91" s="15"/>
    </row>
    <row r="92">
      <c r="A92" s="11"/>
      <c r="B92" s="15"/>
      <c r="C92" s="15"/>
      <c r="D92" s="15"/>
      <c r="E92" s="15"/>
      <c r="F92" s="15"/>
      <c r="G92" s="11" t="s">
        <v>12</v>
      </c>
      <c r="H92" s="15"/>
      <c r="I92" s="19">
        <v>150.0</v>
      </c>
      <c r="J92" s="15"/>
    </row>
    <row r="93">
      <c r="A93" s="11"/>
      <c r="B93" s="15"/>
      <c r="C93" s="15"/>
      <c r="D93" s="15"/>
      <c r="E93" s="15"/>
      <c r="F93" s="15"/>
      <c r="G93" s="11" t="s">
        <v>13</v>
      </c>
      <c r="H93" s="15"/>
      <c r="I93" s="19">
        <v>286.0</v>
      </c>
      <c r="J93" s="15"/>
    </row>
    <row r="94">
      <c r="A94" s="11"/>
      <c r="B94" s="15"/>
      <c r="C94" s="15"/>
      <c r="D94" s="15"/>
      <c r="E94" s="15"/>
      <c r="F94" s="15"/>
      <c r="G94" s="11" t="s">
        <v>14</v>
      </c>
      <c r="H94" s="15"/>
      <c r="I94" s="18"/>
      <c r="J94" s="15"/>
    </row>
    <row r="95">
      <c r="A95" s="11"/>
      <c r="B95" s="15"/>
      <c r="C95" s="15"/>
      <c r="D95" s="15"/>
      <c r="E95" s="15"/>
      <c r="F95" s="15"/>
      <c r="G95" s="11" t="s">
        <v>15</v>
      </c>
      <c r="H95" s="15"/>
      <c r="I95" s="16"/>
      <c r="J95" s="15"/>
    </row>
    <row r="96">
      <c r="A96" s="11"/>
      <c r="B96" s="15"/>
      <c r="C96" s="15"/>
      <c r="D96" s="15"/>
      <c r="E96" s="15"/>
      <c r="F96" s="15"/>
      <c r="G96" s="11" t="s">
        <v>16</v>
      </c>
      <c r="H96" s="15"/>
      <c r="I96" s="16"/>
      <c r="J96" s="15"/>
    </row>
    <row r="97">
      <c r="A97" s="11"/>
      <c r="B97" s="15"/>
      <c r="C97" s="15"/>
      <c r="D97" s="15"/>
      <c r="E97" s="15"/>
      <c r="F97" s="15"/>
      <c r="G97" s="11" t="s">
        <v>17</v>
      </c>
      <c r="H97" s="15"/>
      <c r="I97" s="19">
        <v>70.0</v>
      </c>
      <c r="J97" s="15"/>
    </row>
    <row r="98">
      <c r="A98" s="11"/>
      <c r="B98" s="15"/>
      <c r="C98" s="15"/>
      <c r="D98" s="15"/>
      <c r="E98" s="15"/>
      <c r="F98" s="15"/>
      <c r="G98" s="11" t="s">
        <v>18</v>
      </c>
      <c r="H98" s="15"/>
      <c r="I98" s="19">
        <v>26.0</v>
      </c>
      <c r="J98" s="15"/>
    </row>
    <row r="99">
      <c r="A99" s="11"/>
      <c r="B99" s="15"/>
      <c r="C99" s="15"/>
      <c r="D99" s="15"/>
      <c r="E99" s="15"/>
      <c r="F99" s="15"/>
      <c r="G99" s="11" t="s">
        <v>19</v>
      </c>
      <c r="H99" s="15"/>
      <c r="I99" s="19">
        <v>300.0</v>
      </c>
      <c r="J99" s="15"/>
    </row>
    <row r="100">
      <c r="A100" s="11"/>
      <c r="B100" s="15"/>
      <c r="C100" s="15"/>
      <c r="D100" s="15"/>
      <c r="E100" s="15"/>
      <c r="F100" s="15"/>
      <c r="G100" s="11" t="s">
        <v>20</v>
      </c>
      <c r="H100" s="15"/>
      <c r="I100" s="19"/>
      <c r="J100" s="15"/>
    </row>
    <row r="101">
      <c r="A101" s="11"/>
      <c r="B101" s="15"/>
      <c r="C101" s="15"/>
      <c r="D101" s="15"/>
      <c r="E101" s="15"/>
      <c r="F101" s="15"/>
      <c r="G101" s="11" t="s">
        <v>21</v>
      </c>
      <c r="H101" s="15"/>
      <c r="I101" s="15"/>
      <c r="J101" s="15"/>
    </row>
    <row r="102">
      <c r="A102" s="11"/>
      <c r="B102" s="15"/>
      <c r="C102" s="15"/>
      <c r="D102" s="15"/>
      <c r="E102" s="15"/>
      <c r="F102" s="15"/>
      <c r="G102" s="19" t="s">
        <v>29</v>
      </c>
      <c r="H102" s="15"/>
      <c r="I102" s="19">
        <v>138.0</v>
      </c>
      <c r="J102" s="15"/>
    </row>
    <row r="103">
      <c r="A103" s="11"/>
      <c r="B103" s="15"/>
      <c r="C103" s="15"/>
      <c r="D103" s="15"/>
      <c r="E103" s="15"/>
      <c r="F103" s="15"/>
      <c r="G103" s="19" t="s">
        <v>24</v>
      </c>
      <c r="H103" s="15"/>
      <c r="I103" s="19"/>
      <c r="J103" s="15"/>
    </row>
    <row r="104">
      <c r="A104" s="11"/>
      <c r="B104" s="15"/>
      <c r="C104" s="15"/>
      <c r="D104" s="15"/>
      <c r="E104" s="15"/>
      <c r="F104" s="15"/>
      <c r="G104" s="19" t="s">
        <v>27</v>
      </c>
      <c r="H104" s="15"/>
      <c r="I104" s="15"/>
      <c r="J104" s="15"/>
    </row>
    <row r="105">
      <c r="A105" s="11"/>
      <c r="B105" s="15"/>
      <c r="C105" s="15"/>
      <c r="D105" s="15"/>
      <c r="E105" s="15"/>
      <c r="F105" s="15"/>
      <c r="G105" s="19" t="s">
        <v>30</v>
      </c>
      <c r="H105" s="15"/>
      <c r="I105" s="19">
        <v>181.0</v>
      </c>
      <c r="J105" s="15"/>
    </row>
    <row r="106">
      <c r="A106" s="11"/>
      <c r="B106" s="15"/>
      <c r="C106" s="15"/>
      <c r="D106" s="15"/>
      <c r="E106" s="15"/>
      <c r="F106" s="15"/>
      <c r="G106" s="19" t="s">
        <v>31</v>
      </c>
      <c r="H106" s="15"/>
      <c r="I106" s="19">
        <v>82.0</v>
      </c>
      <c r="J106" s="15"/>
    </row>
    <row r="108">
      <c r="A108" s="9" t="s">
        <v>38</v>
      </c>
      <c r="B108" s="21" t="s">
        <v>39</v>
      </c>
      <c r="C108" s="22"/>
      <c r="D108" s="11"/>
      <c r="E108" s="12">
        <v>355.0</v>
      </c>
      <c r="F108" s="13" t="s">
        <v>38</v>
      </c>
      <c r="G108" s="11"/>
      <c r="H108" s="11"/>
      <c r="I108" s="11"/>
      <c r="J108" s="14">
        <v>3290.0</v>
      </c>
      <c r="K108" s="7"/>
    </row>
    <row r="109">
      <c r="A109" s="11"/>
      <c r="B109" s="11"/>
      <c r="C109" s="11"/>
      <c r="D109" s="15"/>
      <c r="E109" s="15"/>
      <c r="F109" s="15"/>
      <c r="G109" s="11"/>
      <c r="H109" s="15"/>
      <c r="I109" s="11"/>
      <c r="J109" s="15"/>
    </row>
    <row r="110">
      <c r="A110" s="11"/>
      <c r="B110" s="11" t="s">
        <v>3</v>
      </c>
      <c r="C110" s="18"/>
      <c r="D110" s="17">
        <v>355.0</v>
      </c>
      <c r="E110" s="15"/>
      <c r="F110" s="15"/>
      <c r="G110" s="11" t="s">
        <v>4</v>
      </c>
      <c r="H110" s="15"/>
      <c r="I110" s="18">
        <v>70.0</v>
      </c>
      <c r="J110" s="15"/>
    </row>
    <row r="111">
      <c r="A111" s="11"/>
      <c r="B111" s="19" t="s">
        <v>24</v>
      </c>
      <c r="C111" s="19"/>
      <c r="D111" s="19"/>
      <c r="E111" s="15"/>
      <c r="F111" s="15"/>
      <c r="G111" s="20" t="s">
        <v>25</v>
      </c>
      <c r="H111" s="15"/>
      <c r="I111" s="18">
        <v>50.0</v>
      </c>
      <c r="J111" s="15"/>
    </row>
    <row r="112">
      <c r="A112" s="11"/>
      <c r="B112" s="19" t="s">
        <v>26</v>
      </c>
      <c r="C112" s="15"/>
      <c r="D112" s="19"/>
      <c r="E112" s="15"/>
      <c r="F112" s="15"/>
      <c r="G112" s="11" t="s">
        <v>6</v>
      </c>
      <c r="H112" s="15"/>
      <c r="I112" s="18"/>
      <c r="J112" s="15"/>
    </row>
    <row r="113">
      <c r="A113" s="11"/>
      <c r="B113" s="19" t="s">
        <v>27</v>
      </c>
      <c r="C113" s="15"/>
      <c r="D113" s="15"/>
      <c r="E113" s="15"/>
      <c r="F113" s="15"/>
      <c r="G113" s="11" t="s">
        <v>7</v>
      </c>
      <c r="H113" s="15"/>
      <c r="I113" s="19">
        <v>380.0</v>
      </c>
      <c r="J113" s="15"/>
    </row>
    <row r="114">
      <c r="A114" s="11"/>
      <c r="B114" s="19" t="s">
        <v>37</v>
      </c>
      <c r="C114" s="19"/>
      <c r="D114" s="15"/>
      <c r="E114" s="15"/>
      <c r="F114" s="15"/>
      <c r="G114" s="11" t="s">
        <v>8</v>
      </c>
      <c r="H114" s="15"/>
      <c r="I114" s="18">
        <v>380.0</v>
      </c>
      <c r="J114" s="15"/>
    </row>
    <row r="115">
      <c r="A115" s="11"/>
      <c r="B115" s="15"/>
      <c r="C115" s="15"/>
      <c r="D115" s="15"/>
      <c r="E115" s="15"/>
      <c r="F115" s="15"/>
      <c r="G115" s="11" t="s">
        <v>9</v>
      </c>
      <c r="H115" s="15"/>
      <c r="I115" s="18">
        <v>1818.0</v>
      </c>
      <c r="J115" s="15"/>
    </row>
    <row r="116">
      <c r="A116" s="11"/>
      <c r="B116" s="15"/>
      <c r="C116" s="15"/>
      <c r="D116" s="15"/>
      <c r="E116" s="15"/>
      <c r="F116" s="15"/>
      <c r="G116" s="11" t="s">
        <v>10</v>
      </c>
      <c r="H116" s="15"/>
      <c r="I116" s="18">
        <v>50.0</v>
      </c>
      <c r="J116" s="15"/>
    </row>
    <row r="117">
      <c r="A117" s="11"/>
      <c r="B117" s="15"/>
      <c r="C117" s="15"/>
      <c r="D117" s="15"/>
      <c r="E117" s="15"/>
      <c r="F117" s="15"/>
      <c r="G117" s="20" t="s">
        <v>34</v>
      </c>
      <c r="H117" s="15"/>
      <c r="I117" s="18">
        <v>60.0</v>
      </c>
      <c r="J117" s="15"/>
    </row>
    <row r="118">
      <c r="A118" s="11"/>
      <c r="B118" s="15"/>
      <c r="C118" s="15"/>
      <c r="D118" s="15"/>
      <c r="E118" s="15"/>
      <c r="F118" s="15"/>
      <c r="G118" s="20" t="s">
        <v>28</v>
      </c>
      <c r="H118" s="15"/>
      <c r="I118" s="18"/>
      <c r="J118" s="15"/>
    </row>
    <row r="119">
      <c r="A119" s="11"/>
      <c r="B119" s="15"/>
      <c r="C119" s="15"/>
      <c r="D119" s="15"/>
      <c r="E119" s="15"/>
      <c r="F119" s="15"/>
      <c r="G119" s="11" t="s">
        <v>11</v>
      </c>
      <c r="H119" s="15"/>
      <c r="I119" s="18"/>
      <c r="J119" s="15"/>
    </row>
    <row r="120">
      <c r="A120" s="11"/>
      <c r="B120" s="15"/>
      <c r="C120" s="15"/>
      <c r="D120" s="15"/>
      <c r="E120" s="15"/>
      <c r="F120" s="15"/>
      <c r="G120" s="11" t="s">
        <v>12</v>
      </c>
      <c r="H120" s="15"/>
      <c r="I120" s="19"/>
      <c r="J120" s="15"/>
    </row>
    <row r="121">
      <c r="A121" s="11"/>
      <c r="B121" s="15"/>
      <c r="C121" s="15"/>
      <c r="D121" s="15"/>
      <c r="E121" s="15"/>
      <c r="F121" s="15"/>
      <c r="G121" s="11" t="s">
        <v>13</v>
      </c>
      <c r="H121" s="15"/>
      <c r="I121" s="19">
        <v>45.0</v>
      </c>
      <c r="J121" s="15"/>
    </row>
    <row r="122">
      <c r="A122" s="11"/>
      <c r="B122" s="15"/>
      <c r="C122" s="15"/>
      <c r="D122" s="15"/>
      <c r="E122" s="15"/>
      <c r="F122" s="15"/>
      <c r="G122" s="11" t="s">
        <v>14</v>
      </c>
      <c r="H122" s="15"/>
      <c r="I122" s="18">
        <v>24.0</v>
      </c>
      <c r="J122" s="15"/>
    </row>
    <row r="123">
      <c r="A123" s="11"/>
      <c r="B123" s="15"/>
      <c r="C123" s="15"/>
      <c r="D123" s="15"/>
      <c r="E123" s="15"/>
      <c r="F123" s="15"/>
      <c r="G123" s="11" t="s">
        <v>15</v>
      </c>
      <c r="H123" s="15"/>
      <c r="I123" s="16"/>
      <c r="J123" s="15"/>
    </row>
    <row r="124">
      <c r="A124" s="11"/>
      <c r="B124" s="15"/>
      <c r="C124" s="15"/>
      <c r="D124" s="15"/>
      <c r="E124" s="15"/>
      <c r="F124" s="15"/>
      <c r="G124" s="11" t="s">
        <v>16</v>
      </c>
      <c r="H124" s="15"/>
      <c r="I124" s="16"/>
      <c r="J124" s="15"/>
    </row>
    <row r="125">
      <c r="A125" s="11"/>
      <c r="B125" s="15"/>
      <c r="C125" s="15"/>
      <c r="D125" s="15"/>
      <c r="E125" s="15"/>
      <c r="F125" s="15"/>
      <c r="G125" s="11" t="s">
        <v>17</v>
      </c>
      <c r="H125" s="15"/>
      <c r="I125" s="19"/>
      <c r="J125" s="15"/>
    </row>
    <row r="126">
      <c r="A126" s="11"/>
      <c r="B126" s="15"/>
      <c r="C126" s="15"/>
      <c r="D126" s="15"/>
      <c r="E126" s="15"/>
      <c r="F126" s="15"/>
      <c r="G126" s="11" t="s">
        <v>18</v>
      </c>
      <c r="H126" s="15"/>
      <c r="I126" s="19"/>
      <c r="J126" s="15"/>
    </row>
    <row r="127">
      <c r="A127" s="11"/>
      <c r="B127" s="15"/>
      <c r="C127" s="15"/>
      <c r="D127" s="15"/>
      <c r="E127" s="15"/>
      <c r="F127" s="15"/>
      <c r="G127" s="11" t="s">
        <v>19</v>
      </c>
      <c r="H127" s="15"/>
      <c r="I127" s="19">
        <v>350.0</v>
      </c>
      <c r="J127" s="15"/>
    </row>
    <row r="128">
      <c r="A128" s="11"/>
      <c r="B128" s="15"/>
      <c r="C128" s="15"/>
      <c r="D128" s="15"/>
      <c r="E128" s="15"/>
      <c r="F128" s="15"/>
      <c r="G128" s="11" t="s">
        <v>20</v>
      </c>
      <c r="H128" s="15"/>
      <c r="I128" s="19">
        <v>50.0</v>
      </c>
      <c r="J128" s="15"/>
    </row>
    <row r="129">
      <c r="A129" s="11"/>
      <c r="B129" s="15"/>
      <c r="C129" s="15"/>
      <c r="D129" s="15"/>
      <c r="E129" s="15"/>
      <c r="F129" s="15"/>
      <c r="G129" s="11" t="s">
        <v>21</v>
      </c>
      <c r="H129" s="15"/>
      <c r="I129" s="19">
        <v>10.0</v>
      </c>
      <c r="J129" s="15"/>
    </row>
    <row r="130">
      <c r="A130" s="11"/>
      <c r="B130" s="15"/>
      <c r="C130" s="15"/>
      <c r="D130" s="15"/>
      <c r="E130" s="15"/>
      <c r="F130" s="15"/>
      <c r="G130" s="19" t="s">
        <v>29</v>
      </c>
      <c r="H130" s="15"/>
      <c r="I130" s="19">
        <v>67.5</v>
      </c>
      <c r="J130" s="15"/>
    </row>
    <row r="131">
      <c r="A131" s="11"/>
      <c r="B131" s="15"/>
      <c r="C131" s="15"/>
      <c r="D131" s="15"/>
      <c r="E131" s="15"/>
      <c r="F131" s="15"/>
      <c r="G131" s="19" t="s">
        <v>24</v>
      </c>
      <c r="H131" s="15"/>
      <c r="I131" s="19"/>
      <c r="J131" s="15"/>
    </row>
    <row r="132">
      <c r="A132" s="11"/>
      <c r="B132" s="15"/>
      <c r="C132" s="15"/>
      <c r="D132" s="15"/>
      <c r="E132" s="15"/>
      <c r="F132" s="15"/>
      <c r="G132" s="19" t="s">
        <v>27</v>
      </c>
      <c r="H132" s="15"/>
      <c r="I132" s="15"/>
      <c r="J132" s="15"/>
    </row>
    <row r="133">
      <c r="A133" s="11"/>
      <c r="B133" s="15"/>
      <c r="C133" s="15"/>
      <c r="D133" s="15"/>
      <c r="E133" s="15"/>
      <c r="F133" s="15"/>
      <c r="G133" s="19" t="s">
        <v>30</v>
      </c>
      <c r="H133" s="15"/>
      <c r="I133" s="19">
        <v>181.0</v>
      </c>
      <c r="J133" s="15"/>
    </row>
    <row r="134">
      <c r="A134" s="11"/>
      <c r="B134" s="15"/>
      <c r="C134" s="15"/>
      <c r="D134" s="15"/>
      <c r="E134" s="15"/>
      <c r="F134" s="15"/>
      <c r="G134" s="19" t="s">
        <v>40</v>
      </c>
      <c r="H134" s="15"/>
      <c r="I134" s="19">
        <v>135.0</v>
      </c>
      <c r="J134" s="15"/>
    </row>
    <row r="135">
      <c r="A135" s="11"/>
      <c r="B135" s="15"/>
      <c r="C135" s="15"/>
      <c r="D135" s="15"/>
      <c r="E135" s="15"/>
      <c r="F135" s="15"/>
      <c r="G135" s="19" t="s">
        <v>31</v>
      </c>
      <c r="H135" s="15"/>
      <c r="I135" s="19"/>
      <c r="J135" s="15"/>
    </row>
    <row r="137">
      <c r="G137" s="7" t="s">
        <v>41</v>
      </c>
    </row>
    <row r="139">
      <c r="G139" s="7" t="s">
        <v>42</v>
      </c>
    </row>
    <row r="141">
      <c r="G141" s="7" t="s">
        <v>43</v>
      </c>
    </row>
    <row r="143">
      <c r="A143" s="9" t="s">
        <v>44</v>
      </c>
      <c r="B143" s="10" t="s">
        <v>45</v>
      </c>
      <c r="C143" s="23"/>
      <c r="D143" s="11"/>
      <c r="E143" s="12">
        <v>3180.0</v>
      </c>
      <c r="F143" s="13" t="s">
        <v>44</v>
      </c>
      <c r="G143" s="11"/>
      <c r="H143" s="11"/>
      <c r="I143" s="11"/>
      <c r="J143" s="14">
        <v>3145.0</v>
      </c>
      <c r="K143" s="7"/>
    </row>
    <row r="144">
      <c r="A144" s="11"/>
      <c r="B144" s="11"/>
      <c r="C144" s="11"/>
      <c r="D144" s="15"/>
      <c r="E144" s="15"/>
      <c r="F144" s="15"/>
      <c r="G144" s="11"/>
      <c r="H144" s="15"/>
      <c r="I144" s="11"/>
      <c r="J144" s="15"/>
    </row>
    <row r="145">
      <c r="A145" s="11"/>
      <c r="B145" s="20" t="s">
        <v>46</v>
      </c>
      <c r="C145" s="18"/>
      <c r="D145" s="17">
        <v>1395.0</v>
      </c>
      <c r="E145" s="15"/>
      <c r="F145" s="15"/>
      <c r="G145" s="11" t="s">
        <v>4</v>
      </c>
      <c r="H145" s="15"/>
      <c r="I145" s="18">
        <v>88.0</v>
      </c>
      <c r="J145" s="15"/>
    </row>
    <row r="146">
      <c r="A146" s="11"/>
      <c r="B146" s="19" t="s">
        <v>24</v>
      </c>
      <c r="C146" s="19"/>
      <c r="D146" s="19"/>
      <c r="E146" s="15"/>
      <c r="F146" s="15"/>
      <c r="G146" s="20" t="s">
        <v>25</v>
      </c>
      <c r="H146" s="15"/>
      <c r="I146" s="18">
        <v>100.0</v>
      </c>
      <c r="J146" s="15"/>
    </row>
    <row r="147">
      <c r="A147" s="11"/>
      <c r="B147" s="19" t="s">
        <v>26</v>
      </c>
      <c r="C147" s="15"/>
      <c r="D147" s="19"/>
      <c r="E147" s="15"/>
      <c r="F147" s="15"/>
      <c r="G147" s="11" t="s">
        <v>6</v>
      </c>
      <c r="H147" s="15"/>
      <c r="I147" s="18">
        <v>216.0</v>
      </c>
      <c r="J147" s="15"/>
    </row>
    <row r="148">
      <c r="A148" s="11"/>
      <c r="B148" s="19" t="s">
        <v>27</v>
      </c>
      <c r="C148" s="19"/>
      <c r="D148" s="19">
        <v>1785.0</v>
      </c>
      <c r="E148" s="15"/>
      <c r="F148" s="15"/>
      <c r="G148" s="11" t="s">
        <v>7</v>
      </c>
      <c r="H148" s="15"/>
      <c r="I148" s="19">
        <v>107.0</v>
      </c>
      <c r="J148" s="15"/>
    </row>
    <row r="149">
      <c r="A149" s="11"/>
      <c r="B149" s="19" t="s">
        <v>37</v>
      </c>
      <c r="C149" s="19"/>
      <c r="D149" s="15"/>
      <c r="E149" s="15"/>
      <c r="F149" s="15"/>
      <c r="G149" s="11" t="s">
        <v>8</v>
      </c>
      <c r="H149" s="15"/>
      <c r="I149" s="18"/>
      <c r="J149" s="15"/>
    </row>
    <row r="150">
      <c r="A150" s="11"/>
      <c r="B150" s="15"/>
      <c r="C150" s="15"/>
      <c r="D150" s="15"/>
      <c r="E150" s="15"/>
      <c r="F150" s="15"/>
      <c r="G150" s="20" t="s">
        <v>47</v>
      </c>
      <c r="H150" s="15"/>
      <c r="I150" s="18">
        <v>780.0</v>
      </c>
      <c r="J150" s="15"/>
    </row>
    <row r="151">
      <c r="A151" s="11"/>
      <c r="B151" s="15"/>
      <c r="C151" s="15"/>
      <c r="D151" s="15"/>
      <c r="E151" s="15"/>
      <c r="F151" s="15"/>
      <c r="G151" s="11" t="s">
        <v>10</v>
      </c>
      <c r="H151" s="15"/>
      <c r="I151" s="18"/>
      <c r="J151" s="15"/>
    </row>
    <row r="152">
      <c r="A152" s="11"/>
      <c r="B152" s="15"/>
      <c r="C152" s="15"/>
      <c r="D152" s="15"/>
      <c r="E152" s="15"/>
      <c r="F152" s="15"/>
      <c r="G152" s="20" t="s">
        <v>34</v>
      </c>
      <c r="H152" s="15"/>
      <c r="I152" s="18">
        <v>65.0</v>
      </c>
      <c r="J152" s="15"/>
    </row>
    <row r="153">
      <c r="A153" s="11"/>
      <c r="B153" s="15"/>
      <c r="C153" s="15"/>
      <c r="D153" s="15"/>
      <c r="E153" s="15"/>
      <c r="F153" s="15"/>
      <c r="G153" s="20" t="s">
        <v>28</v>
      </c>
      <c r="H153" s="15"/>
      <c r="I153" s="18"/>
      <c r="J153" s="15"/>
    </row>
    <row r="154">
      <c r="A154" s="11"/>
      <c r="B154" s="15"/>
      <c r="C154" s="15"/>
      <c r="D154" s="15"/>
      <c r="E154" s="15"/>
      <c r="F154" s="15"/>
      <c r="G154" s="11" t="s">
        <v>11</v>
      </c>
      <c r="H154" s="15"/>
      <c r="I154" s="18"/>
      <c r="J154" s="15"/>
    </row>
    <row r="155">
      <c r="A155" s="11"/>
      <c r="B155" s="15"/>
      <c r="C155" s="15"/>
      <c r="D155" s="15"/>
      <c r="E155" s="15"/>
      <c r="F155" s="15"/>
      <c r="G155" s="11" t="s">
        <v>12</v>
      </c>
      <c r="H155" s="15"/>
      <c r="I155" s="19"/>
      <c r="J155" s="15"/>
    </row>
    <row r="156">
      <c r="A156" s="11"/>
      <c r="B156" s="15"/>
      <c r="C156" s="15"/>
      <c r="D156" s="15"/>
      <c r="E156" s="15"/>
      <c r="F156" s="15"/>
      <c r="G156" s="11" t="s">
        <v>13</v>
      </c>
      <c r="H156" s="15"/>
      <c r="I156" s="19"/>
      <c r="J156" s="15"/>
    </row>
    <row r="157">
      <c r="A157" s="11"/>
      <c r="B157" s="15"/>
      <c r="C157" s="15"/>
      <c r="D157" s="15"/>
      <c r="E157" s="15"/>
      <c r="F157" s="15"/>
      <c r="G157" s="11" t="s">
        <v>14</v>
      </c>
      <c r="H157" s="15"/>
      <c r="I157" s="18">
        <v>217.0</v>
      </c>
      <c r="J157" s="15"/>
    </row>
    <row r="158">
      <c r="A158" s="11"/>
      <c r="B158" s="15"/>
      <c r="C158" s="15"/>
      <c r="D158" s="15"/>
      <c r="E158" s="15"/>
      <c r="F158" s="15"/>
      <c r="G158" s="11" t="s">
        <v>15</v>
      </c>
      <c r="H158" s="15"/>
      <c r="I158" s="16"/>
      <c r="J158" s="15"/>
    </row>
    <row r="159">
      <c r="A159" s="11"/>
      <c r="B159" s="19"/>
      <c r="C159" s="15"/>
      <c r="D159" s="15"/>
      <c r="E159" s="15"/>
      <c r="F159" s="15"/>
      <c r="G159" s="11" t="s">
        <v>16</v>
      </c>
      <c r="H159" s="15"/>
      <c r="I159" s="18">
        <v>454.0</v>
      </c>
      <c r="J159" s="15"/>
    </row>
    <row r="160">
      <c r="A160" s="11"/>
      <c r="B160" s="15"/>
      <c r="C160" s="15"/>
      <c r="D160" s="15"/>
      <c r="E160" s="15"/>
      <c r="F160" s="15"/>
      <c r="G160" s="11" t="s">
        <v>17</v>
      </c>
      <c r="H160" s="15"/>
      <c r="I160" s="19">
        <v>350.0</v>
      </c>
      <c r="J160" s="15"/>
    </row>
    <row r="161">
      <c r="A161" s="11"/>
      <c r="B161" s="15"/>
      <c r="C161" s="15"/>
      <c r="D161" s="15"/>
      <c r="E161" s="15"/>
      <c r="F161" s="15"/>
      <c r="G161" s="11" t="s">
        <v>18</v>
      </c>
      <c r="H161" s="15"/>
      <c r="I161" s="19"/>
      <c r="J161" s="15"/>
    </row>
    <row r="162">
      <c r="A162" s="11"/>
      <c r="B162" s="15"/>
      <c r="C162" s="15"/>
      <c r="D162" s="15"/>
      <c r="E162" s="15"/>
      <c r="F162" s="15"/>
      <c r="G162" s="11" t="s">
        <v>19</v>
      </c>
      <c r="H162" s="15"/>
      <c r="I162" s="19">
        <v>86.0</v>
      </c>
      <c r="J162" s="15"/>
    </row>
    <row r="163">
      <c r="A163" s="11"/>
      <c r="B163" s="15"/>
      <c r="C163" s="15"/>
      <c r="D163" s="15"/>
      <c r="E163" s="15"/>
      <c r="F163" s="15"/>
      <c r="G163" s="11" t="s">
        <v>20</v>
      </c>
      <c r="H163" s="15"/>
      <c r="I163" s="19"/>
      <c r="J163" s="15"/>
    </row>
    <row r="164">
      <c r="A164" s="11"/>
      <c r="B164" s="15"/>
      <c r="C164" s="15"/>
      <c r="D164" s="15"/>
      <c r="E164" s="15"/>
      <c r="F164" s="15"/>
      <c r="G164" s="20" t="s">
        <v>48</v>
      </c>
      <c r="H164" s="15"/>
      <c r="I164" s="24">
        <v>300.0</v>
      </c>
      <c r="J164" s="15"/>
    </row>
    <row r="165">
      <c r="A165" s="11"/>
      <c r="B165" s="15"/>
      <c r="C165" s="15"/>
      <c r="D165" s="15"/>
      <c r="E165" s="15"/>
      <c r="F165" s="15"/>
      <c r="G165" s="11" t="s">
        <v>21</v>
      </c>
      <c r="H165" s="15"/>
      <c r="I165" s="19">
        <v>20.0</v>
      </c>
      <c r="J165" s="15"/>
    </row>
    <row r="166">
      <c r="A166" s="11"/>
      <c r="B166" s="15"/>
      <c r="C166" s="15"/>
      <c r="D166" s="15"/>
      <c r="E166" s="15"/>
      <c r="F166" s="15"/>
      <c r="G166" s="19" t="s">
        <v>29</v>
      </c>
      <c r="H166" s="15"/>
      <c r="I166" s="19">
        <v>112.5</v>
      </c>
      <c r="J166" s="15"/>
    </row>
    <row r="167">
      <c r="A167" s="11"/>
      <c r="B167" s="15"/>
      <c r="C167" s="15"/>
      <c r="D167" s="15"/>
      <c r="E167" s="15"/>
      <c r="F167" s="15"/>
      <c r="G167" s="19" t="s">
        <v>24</v>
      </c>
      <c r="H167" s="15"/>
      <c r="I167" s="19"/>
      <c r="J167" s="15"/>
    </row>
    <row r="168">
      <c r="A168" s="11"/>
      <c r="B168" s="15"/>
      <c r="C168" s="15"/>
      <c r="D168" s="15"/>
      <c r="E168" s="15"/>
      <c r="F168" s="15"/>
      <c r="G168" s="19" t="s">
        <v>30</v>
      </c>
      <c r="H168" s="15"/>
      <c r="I168" s="19"/>
      <c r="J168" s="15"/>
    </row>
    <row r="169">
      <c r="A169" s="11"/>
      <c r="B169" s="15"/>
      <c r="C169" s="15"/>
      <c r="D169" s="15"/>
      <c r="E169" s="15"/>
      <c r="F169" s="15"/>
      <c r="G169" s="19" t="s">
        <v>40</v>
      </c>
      <c r="H169" s="15"/>
      <c r="I169" s="19"/>
      <c r="J169" s="15"/>
    </row>
    <row r="170">
      <c r="A170" s="11"/>
      <c r="B170" s="15"/>
      <c r="C170" s="15"/>
      <c r="D170" s="15"/>
      <c r="E170" s="15"/>
      <c r="F170" s="15"/>
      <c r="G170" s="19" t="s">
        <v>31</v>
      </c>
      <c r="H170" s="15"/>
      <c r="I170" s="19">
        <v>100.0</v>
      </c>
      <c r="J170" s="15"/>
    </row>
    <row r="172">
      <c r="G172" s="7" t="s">
        <v>41</v>
      </c>
      <c r="I172" s="7">
        <v>100.0</v>
      </c>
    </row>
    <row r="174">
      <c r="G174" s="7" t="s">
        <v>42</v>
      </c>
      <c r="I174" s="7">
        <v>50.0</v>
      </c>
    </row>
    <row r="179">
      <c r="A179" s="9" t="s">
        <v>49</v>
      </c>
      <c r="B179" s="21" t="s">
        <v>50</v>
      </c>
      <c r="C179" s="22"/>
      <c r="D179" s="11"/>
      <c r="E179" s="12">
        <v>2025.0</v>
      </c>
      <c r="F179" s="13" t="s">
        <v>51</v>
      </c>
      <c r="G179" s="11"/>
      <c r="H179" s="11"/>
      <c r="I179" s="11"/>
      <c r="J179" s="14">
        <v>2235.0</v>
      </c>
      <c r="K179" s="7"/>
    </row>
    <row r="180">
      <c r="A180" s="11"/>
      <c r="B180" s="11"/>
      <c r="C180" s="11"/>
      <c r="D180" s="15"/>
      <c r="E180" s="15"/>
      <c r="F180" s="15"/>
      <c r="G180" s="11"/>
      <c r="H180" s="15"/>
      <c r="I180" s="11"/>
      <c r="J180" s="15"/>
    </row>
    <row r="181">
      <c r="A181" s="11"/>
      <c r="B181" s="11" t="s">
        <v>3</v>
      </c>
      <c r="C181" s="18"/>
      <c r="D181" s="17">
        <v>1000.0</v>
      </c>
      <c r="E181" s="15"/>
      <c r="F181" s="15"/>
      <c r="G181" s="11" t="s">
        <v>4</v>
      </c>
      <c r="H181" s="15"/>
      <c r="I181" s="19">
        <v>95.0</v>
      </c>
      <c r="J181" s="15"/>
    </row>
    <row r="182">
      <c r="A182" s="11"/>
      <c r="B182" s="19" t="s">
        <v>24</v>
      </c>
      <c r="C182" s="19"/>
      <c r="D182" s="19"/>
      <c r="E182" s="15"/>
      <c r="F182" s="15"/>
      <c r="G182" s="20" t="s">
        <v>25</v>
      </c>
      <c r="H182" s="15"/>
      <c r="I182" s="19">
        <v>190.0</v>
      </c>
      <c r="J182" s="15"/>
    </row>
    <row r="183">
      <c r="A183" s="11"/>
      <c r="B183" s="19" t="s">
        <v>26</v>
      </c>
      <c r="C183" s="15"/>
      <c r="D183" s="19"/>
      <c r="E183" s="15"/>
      <c r="F183" s="15"/>
      <c r="G183" s="11" t="s">
        <v>6</v>
      </c>
      <c r="H183" s="15"/>
      <c r="I183" s="19">
        <v>520.0</v>
      </c>
      <c r="J183" s="15"/>
    </row>
    <row r="184">
      <c r="A184" s="11"/>
      <c r="B184" s="19" t="s">
        <v>27</v>
      </c>
      <c r="C184" s="19"/>
      <c r="D184" s="19">
        <v>785.0</v>
      </c>
      <c r="E184" s="15"/>
      <c r="F184" s="15"/>
      <c r="G184" s="11" t="s">
        <v>7</v>
      </c>
      <c r="H184" s="15"/>
      <c r="I184" s="19">
        <v>150.0</v>
      </c>
      <c r="J184" s="15"/>
    </row>
    <row r="185">
      <c r="A185" s="11"/>
      <c r="B185" s="19" t="s">
        <v>37</v>
      </c>
      <c r="C185" s="19"/>
      <c r="D185" s="19">
        <v>75.0</v>
      </c>
      <c r="E185" s="15"/>
      <c r="F185" s="15"/>
      <c r="G185" s="11" t="s">
        <v>8</v>
      </c>
      <c r="H185" s="15"/>
      <c r="I185" s="15"/>
      <c r="J185" s="15"/>
    </row>
    <row r="186">
      <c r="A186" s="11"/>
      <c r="B186" s="19" t="s">
        <v>52</v>
      </c>
      <c r="C186" s="15"/>
      <c r="D186" s="19">
        <v>115.0</v>
      </c>
      <c r="E186" s="15"/>
      <c r="F186" s="15"/>
      <c r="G186" s="20" t="s">
        <v>47</v>
      </c>
      <c r="H186" s="15"/>
      <c r="I186" s="19">
        <v>120.0</v>
      </c>
      <c r="J186" s="15"/>
    </row>
    <row r="187">
      <c r="A187" s="11"/>
      <c r="B187" s="15"/>
      <c r="C187" s="15"/>
      <c r="D187" s="15"/>
      <c r="E187" s="15"/>
      <c r="F187" s="15"/>
      <c r="G187" s="11" t="s">
        <v>10</v>
      </c>
      <c r="H187" s="15"/>
      <c r="I187" s="19">
        <v>66.5</v>
      </c>
      <c r="J187" s="15"/>
    </row>
    <row r="188">
      <c r="A188" s="11"/>
      <c r="B188" s="15"/>
      <c r="C188" s="15"/>
      <c r="D188" s="15"/>
      <c r="E188" s="15"/>
      <c r="F188" s="15"/>
      <c r="G188" s="20" t="s">
        <v>34</v>
      </c>
      <c r="H188" s="15"/>
      <c r="I188" s="19">
        <v>20.0</v>
      </c>
      <c r="J188" s="15"/>
    </row>
    <row r="189">
      <c r="A189" s="11"/>
      <c r="B189" s="15"/>
      <c r="C189" s="15"/>
      <c r="D189" s="15"/>
      <c r="E189" s="15"/>
      <c r="F189" s="15"/>
      <c r="G189" s="20" t="s">
        <v>28</v>
      </c>
      <c r="H189" s="15"/>
      <c r="I189" s="15"/>
      <c r="J189" s="15"/>
    </row>
    <row r="190">
      <c r="A190" s="11"/>
      <c r="B190" s="15"/>
      <c r="C190" s="15"/>
      <c r="D190" s="15"/>
      <c r="E190" s="15"/>
      <c r="F190" s="15"/>
      <c r="G190" s="11" t="s">
        <v>11</v>
      </c>
      <c r="H190" s="15"/>
      <c r="I190" s="15"/>
      <c r="J190" s="15"/>
    </row>
    <row r="191">
      <c r="A191" s="11"/>
      <c r="B191" s="15"/>
      <c r="C191" s="15"/>
      <c r="D191" s="15"/>
      <c r="E191" s="15"/>
      <c r="F191" s="15"/>
      <c r="G191" s="11" t="s">
        <v>12</v>
      </c>
      <c r="H191" s="15"/>
      <c r="I191" s="15"/>
      <c r="J191" s="15"/>
    </row>
    <row r="192">
      <c r="A192" s="11"/>
      <c r="B192" s="15"/>
      <c r="C192" s="15"/>
      <c r="D192" s="15"/>
      <c r="E192" s="15"/>
      <c r="F192" s="15"/>
      <c r="G192" s="11" t="s">
        <v>13</v>
      </c>
      <c r="H192" s="15"/>
      <c r="I192" s="15"/>
      <c r="J192" s="15"/>
    </row>
    <row r="193">
      <c r="A193" s="11"/>
      <c r="B193" s="15"/>
      <c r="C193" s="15"/>
      <c r="D193" s="15"/>
      <c r="E193" s="15"/>
      <c r="F193" s="15"/>
      <c r="G193" s="11" t="s">
        <v>14</v>
      </c>
      <c r="H193" s="15"/>
      <c r="I193" s="19">
        <v>128.0</v>
      </c>
      <c r="J193" s="15"/>
    </row>
    <row r="194">
      <c r="A194" s="11"/>
      <c r="B194" s="15"/>
      <c r="C194" s="15"/>
      <c r="D194" s="15"/>
      <c r="E194" s="15"/>
      <c r="F194" s="15"/>
      <c r="G194" s="11" t="s">
        <v>15</v>
      </c>
      <c r="H194" s="15"/>
      <c r="I194" s="15"/>
      <c r="J194" s="15"/>
    </row>
    <row r="195">
      <c r="A195" s="11"/>
      <c r="B195" s="19"/>
      <c r="C195" s="15"/>
      <c r="D195" s="15"/>
      <c r="E195" s="15"/>
      <c r="F195" s="15"/>
      <c r="G195" s="11" t="s">
        <v>16</v>
      </c>
      <c r="H195" s="15"/>
      <c r="I195" s="15"/>
      <c r="J195" s="15"/>
    </row>
    <row r="196">
      <c r="A196" s="11"/>
      <c r="B196" s="15"/>
      <c r="C196" s="15"/>
      <c r="D196" s="15"/>
      <c r="E196" s="15"/>
      <c r="F196" s="15"/>
      <c r="G196" s="11" t="s">
        <v>17</v>
      </c>
      <c r="H196" s="15"/>
      <c r="I196" s="19">
        <v>276.0</v>
      </c>
      <c r="J196" s="15"/>
    </row>
    <row r="197">
      <c r="A197" s="11"/>
      <c r="B197" s="15"/>
      <c r="C197" s="15"/>
      <c r="D197" s="15"/>
      <c r="E197" s="15"/>
      <c r="F197" s="15"/>
      <c r="G197" s="11" t="s">
        <v>18</v>
      </c>
      <c r="H197" s="15"/>
      <c r="I197" s="15"/>
      <c r="J197" s="15"/>
    </row>
    <row r="198">
      <c r="A198" s="11"/>
      <c r="B198" s="15"/>
      <c r="C198" s="15"/>
      <c r="D198" s="15"/>
      <c r="E198" s="15"/>
      <c r="F198" s="15"/>
      <c r="G198" s="11" t="s">
        <v>19</v>
      </c>
      <c r="H198" s="15"/>
      <c r="I198" s="19">
        <v>24.0</v>
      </c>
      <c r="J198" s="15"/>
    </row>
    <row r="199">
      <c r="A199" s="11"/>
      <c r="B199" s="15"/>
      <c r="C199" s="15"/>
      <c r="D199" s="15"/>
      <c r="E199" s="15"/>
      <c r="F199" s="15"/>
      <c r="G199" s="11" t="s">
        <v>20</v>
      </c>
      <c r="H199" s="15"/>
      <c r="I199" s="15"/>
      <c r="J199" s="15"/>
    </row>
    <row r="200">
      <c r="A200" s="11"/>
      <c r="B200" s="15"/>
      <c r="C200" s="15"/>
      <c r="D200" s="15"/>
      <c r="E200" s="15"/>
      <c r="F200" s="15"/>
      <c r="G200" s="20" t="s">
        <v>48</v>
      </c>
      <c r="H200" s="15"/>
      <c r="I200" s="19">
        <v>300.0</v>
      </c>
      <c r="J200" s="15"/>
    </row>
    <row r="201">
      <c r="A201" s="11"/>
      <c r="B201" s="15"/>
      <c r="C201" s="15"/>
      <c r="D201" s="15"/>
      <c r="E201" s="15"/>
      <c r="F201" s="15"/>
      <c r="G201" s="11" t="s">
        <v>21</v>
      </c>
      <c r="H201" s="15"/>
      <c r="I201" s="19">
        <v>34.0</v>
      </c>
      <c r="J201" s="15"/>
    </row>
    <row r="202">
      <c r="A202" s="11"/>
      <c r="B202" s="15"/>
      <c r="C202" s="15"/>
      <c r="D202" s="15"/>
      <c r="E202" s="15"/>
      <c r="F202" s="15"/>
      <c r="G202" s="19" t="s">
        <v>29</v>
      </c>
      <c r="H202" s="15"/>
      <c r="I202" s="19">
        <v>185.0</v>
      </c>
      <c r="J202" s="15"/>
    </row>
    <row r="203">
      <c r="A203" s="11"/>
      <c r="B203" s="15"/>
      <c r="C203" s="15"/>
      <c r="D203" s="15"/>
      <c r="E203" s="15"/>
      <c r="F203" s="15"/>
      <c r="G203" s="19" t="s">
        <v>24</v>
      </c>
      <c r="H203" s="15"/>
      <c r="I203" s="15"/>
      <c r="J203" s="15"/>
    </row>
    <row r="204">
      <c r="A204" s="11"/>
      <c r="B204" s="15"/>
      <c r="C204" s="15"/>
      <c r="D204" s="15"/>
      <c r="E204" s="15"/>
      <c r="F204" s="15"/>
      <c r="G204" s="19" t="s">
        <v>27</v>
      </c>
      <c r="H204" s="15"/>
      <c r="I204" s="15"/>
      <c r="J204" s="15"/>
    </row>
    <row r="205">
      <c r="A205" s="11"/>
      <c r="B205" s="15"/>
      <c r="C205" s="15"/>
      <c r="D205" s="15"/>
      <c r="E205" s="15"/>
      <c r="F205" s="15"/>
      <c r="G205" s="19" t="s">
        <v>30</v>
      </c>
      <c r="H205" s="15"/>
      <c r="I205" s="15"/>
      <c r="J205" s="15"/>
    </row>
    <row r="206">
      <c r="A206" s="11"/>
      <c r="B206" s="15"/>
      <c r="C206" s="15"/>
      <c r="D206" s="15"/>
      <c r="E206" s="15"/>
      <c r="F206" s="15"/>
      <c r="G206" s="19" t="s">
        <v>40</v>
      </c>
      <c r="H206" s="15"/>
      <c r="I206" s="15"/>
      <c r="J206" s="15"/>
    </row>
    <row r="207">
      <c r="A207" s="11"/>
      <c r="B207" s="15"/>
      <c r="C207" s="15"/>
      <c r="D207" s="15"/>
      <c r="E207" s="15"/>
      <c r="F207" s="15"/>
      <c r="G207" s="19" t="s">
        <v>31</v>
      </c>
      <c r="H207" s="15"/>
      <c r="I207" s="19">
        <v>127.0</v>
      </c>
      <c r="J207" s="15"/>
    </row>
    <row r="209">
      <c r="G209" s="7" t="s">
        <v>41</v>
      </c>
    </row>
    <row r="211">
      <c r="G211" s="7" t="s">
        <v>42</v>
      </c>
    </row>
    <row r="214">
      <c r="A214" s="9" t="s">
        <v>53</v>
      </c>
      <c r="B214" s="25" t="s">
        <v>54</v>
      </c>
      <c r="C214" s="26"/>
      <c r="D214" s="11"/>
      <c r="F214" s="13" t="s">
        <v>53</v>
      </c>
      <c r="G214" s="11"/>
      <c r="H214" s="11"/>
      <c r="I214" s="11"/>
      <c r="J214" s="14">
        <v>1448.0</v>
      </c>
      <c r="K214" s="7"/>
    </row>
    <row r="215">
      <c r="A215" s="11"/>
      <c r="B215" s="11"/>
      <c r="C215" s="11"/>
      <c r="D215" s="15"/>
      <c r="E215" s="15"/>
      <c r="F215" s="15"/>
      <c r="G215" s="11"/>
      <c r="H215" s="15"/>
      <c r="I215" s="11"/>
      <c r="J215" s="15"/>
    </row>
    <row r="216">
      <c r="A216" s="11"/>
      <c r="B216" s="11" t="s">
        <v>3</v>
      </c>
      <c r="C216" s="18"/>
      <c r="D216" s="17">
        <v>1025.0</v>
      </c>
      <c r="E216" s="15"/>
      <c r="F216" s="15"/>
      <c r="G216" s="11" t="s">
        <v>4</v>
      </c>
      <c r="H216" s="15"/>
      <c r="I216" s="19"/>
      <c r="J216" s="19">
        <v>109.0</v>
      </c>
    </row>
    <row r="217">
      <c r="A217" s="11"/>
      <c r="B217" s="19" t="s">
        <v>24</v>
      </c>
      <c r="C217" s="19"/>
      <c r="D217" s="19"/>
      <c r="E217" s="15"/>
      <c r="F217" s="15"/>
      <c r="G217" s="20" t="s">
        <v>25</v>
      </c>
      <c r="H217" s="15"/>
      <c r="I217" s="19"/>
      <c r="J217" s="19">
        <v>104.0</v>
      </c>
    </row>
    <row r="218">
      <c r="A218" s="11"/>
      <c r="B218" s="19" t="s">
        <v>26</v>
      </c>
      <c r="C218" s="15"/>
      <c r="D218" s="19">
        <v>40.0</v>
      </c>
      <c r="E218" s="15"/>
      <c r="F218" s="15"/>
      <c r="G218" s="11" t="s">
        <v>6</v>
      </c>
      <c r="H218" s="15"/>
      <c r="I218" s="19"/>
      <c r="J218" s="19">
        <v>260.0</v>
      </c>
    </row>
    <row r="219">
      <c r="A219" s="11"/>
      <c r="B219" s="19" t="s">
        <v>27</v>
      </c>
      <c r="C219" s="19"/>
      <c r="D219" s="19">
        <v>1650.0</v>
      </c>
      <c r="E219" s="15"/>
      <c r="F219" s="15"/>
      <c r="G219" s="11" t="s">
        <v>7</v>
      </c>
      <c r="H219" s="15"/>
      <c r="I219" s="19"/>
      <c r="J219" s="15"/>
    </row>
    <row r="220">
      <c r="A220" s="11"/>
      <c r="B220" s="19" t="s">
        <v>37</v>
      </c>
      <c r="C220" s="19"/>
      <c r="D220" s="19"/>
      <c r="E220" s="15"/>
      <c r="F220" s="15"/>
      <c r="G220" s="11" t="s">
        <v>8</v>
      </c>
      <c r="H220" s="15"/>
      <c r="I220" s="15"/>
      <c r="J220" s="15"/>
    </row>
    <row r="221">
      <c r="A221" s="11"/>
      <c r="B221" s="19" t="s">
        <v>52</v>
      </c>
      <c r="C221" s="15"/>
      <c r="D221" s="19">
        <v>310.0</v>
      </c>
      <c r="E221" s="15"/>
      <c r="F221" s="15"/>
      <c r="G221" s="20" t="s">
        <v>47</v>
      </c>
      <c r="H221" s="15"/>
      <c r="I221" s="19"/>
      <c r="J221" s="15"/>
    </row>
    <row r="222">
      <c r="A222" s="11"/>
      <c r="B222" s="15"/>
      <c r="C222" s="15"/>
      <c r="E222" s="15"/>
      <c r="F222" s="15"/>
      <c r="G222" s="11" t="s">
        <v>10</v>
      </c>
      <c r="H222" s="15"/>
      <c r="I222" s="19"/>
      <c r="J222" s="15"/>
    </row>
    <row r="223">
      <c r="A223" s="11"/>
      <c r="B223" s="15"/>
      <c r="C223" s="15"/>
      <c r="D223" s="15"/>
      <c r="E223" s="12">
        <v>3525.0</v>
      </c>
      <c r="F223" s="15"/>
      <c r="G223" s="20" t="s">
        <v>34</v>
      </c>
      <c r="H223" s="15"/>
      <c r="I223" s="19"/>
      <c r="J223" s="19">
        <v>20.0</v>
      </c>
    </row>
    <row r="224">
      <c r="A224" s="11"/>
      <c r="B224" s="15"/>
      <c r="C224" s="15"/>
      <c r="D224" s="15"/>
      <c r="E224" s="15"/>
      <c r="F224" s="15"/>
      <c r="G224" s="20" t="s">
        <v>28</v>
      </c>
      <c r="H224" s="15"/>
      <c r="I224" s="15"/>
      <c r="J224" s="15"/>
    </row>
    <row r="225">
      <c r="A225" s="11"/>
      <c r="B225" s="15"/>
      <c r="C225" s="15"/>
      <c r="D225" s="15"/>
      <c r="E225" s="15"/>
      <c r="F225" s="15"/>
      <c r="G225" s="11" t="s">
        <v>11</v>
      </c>
      <c r="H225" s="15"/>
      <c r="I225" s="15"/>
      <c r="J225" s="15"/>
    </row>
    <row r="226">
      <c r="A226" s="11"/>
      <c r="B226" s="15"/>
      <c r="C226" s="15"/>
      <c r="D226" s="15"/>
      <c r="E226" s="15"/>
      <c r="F226" s="15"/>
      <c r="G226" s="11" t="s">
        <v>12</v>
      </c>
      <c r="H226" s="15"/>
      <c r="I226" s="15"/>
      <c r="J226" s="15"/>
    </row>
    <row r="227">
      <c r="A227" s="11"/>
      <c r="B227" s="15"/>
      <c r="C227" s="15"/>
      <c r="D227" s="15"/>
      <c r="E227" s="15"/>
      <c r="F227" s="15"/>
      <c r="G227" s="11" t="s">
        <v>13</v>
      </c>
      <c r="H227" s="15"/>
      <c r="I227" s="15"/>
      <c r="J227" s="15"/>
    </row>
    <row r="228">
      <c r="A228" s="11"/>
      <c r="B228" s="15"/>
      <c r="C228" s="15"/>
      <c r="D228" s="15"/>
      <c r="E228" s="15"/>
      <c r="F228" s="15"/>
      <c r="G228" s="11" t="s">
        <v>14</v>
      </c>
      <c r="H228" s="15"/>
      <c r="I228" s="19"/>
      <c r="J228" s="15"/>
    </row>
    <row r="229">
      <c r="A229" s="11"/>
      <c r="B229" s="15"/>
      <c r="C229" s="15"/>
      <c r="D229" s="15"/>
      <c r="E229" s="15"/>
      <c r="F229" s="15"/>
      <c r="G229" s="11" t="s">
        <v>15</v>
      </c>
      <c r="H229" s="15"/>
      <c r="I229" s="15"/>
      <c r="J229" s="15"/>
    </row>
    <row r="230">
      <c r="A230" s="11"/>
      <c r="B230" s="19"/>
      <c r="C230" s="15"/>
      <c r="D230" s="15"/>
      <c r="E230" s="15"/>
      <c r="F230" s="15"/>
      <c r="G230" s="11" t="s">
        <v>16</v>
      </c>
      <c r="H230" s="15"/>
      <c r="I230" s="15"/>
      <c r="J230" s="15"/>
    </row>
    <row r="231">
      <c r="A231" s="11"/>
      <c r="B231" s="15"/>
      <c r="C231" s="15"/>
      <c r="D231" s="15"/>
      <c r="E231" s="15"/>
      <c r="F231" s="15"/>
      <c r="G231" s="11" t="s">
        <v>17</v>
      </c>
      <c r="H231" s="15"/>
      <c r="I231" s="19"/>
      <c r="J231" s="15"/>
    </row>
    <row r="232">
      <c r="A232" s="11"/>
      <c r="B232" s="15"/>
      <c r="C232" s="15"/>
      <c r="D232" s="15"/>
      <c r="E232" s="15"/>
      <c r="F232" s="15"/>
      <c r="G232" s="11" t="s">
        <v>18</v>
      </c>
      <c r="H232" s="15"/>
      <c r="I232" s="15"/>
      <c r="J232" s="15"/>
    </row>
    <row r="233">
      <c r="A233" s="11"/>
      <c r="B233" s="15"/>
      <c r="C233" s="15"/>
      <c r="D233" s="15"/>
      <c r="E233" s="15"/>
      <c r="F233" s="15"/>
      <c r="G233" s="11" t="s">
        <v>19</v>
      </c>
      <c r="H233" s="15"/>
      <c r="I233" s="19"/>
      <c r="J233" s="19">
        <v>10.0</v>
      </c>
    </row>
    <row r="234">
      <c r="A234" s="11"/>
      <c r="B234" s="15"/>
      <c r="C234" s="15"/>
      <c r="D234" s="15"/>
      <c r="E234" s="15"/>
      <c r="F234" s="15"/>
      <c r="G234" s="11" t="s">
        <v>20</v>
      </c>
      <c r="H234" s="15"/>
      <c r="I234" s="15"/>
      <c r="J234" s="19">
        <v>50.0</v>
      </c>
    </row>
    <row r="235">
      <c r="A235" s="11"/>
      <c r="B235" s="15"/>
      <c r="C235" s="15"/>
      <c r="D235" s="15"/>
      <c r="E235" s="15"/>
      <c r="F235" s="15"/>
      <c r="G235" s="20" t="s">
        <v>48</v>
      </c>
      <c r="H235" s="15"/>
      <c r="I235" s="19"/>
      <c r="J235" s="19">
        <v>400.0</v>
      </c>
    </row>
    <row r="236">
      <c r="A236" s="11"/>
      <c r="B236" s="15"/>
      <c r="C236" s="15"/>
      <c r="D236" s="15"/>
      <c r="E236" s="15"/>
      <c r="F236" s="15"/>
      <c r="G236" s="11" t="s">
        <v>21</v>
      </c>
      <c r="H236" s="15"/>
      <c r="I236" s="19"/>
      <c r="J236" s="19">
        <v>250.0</v>
      </c>
    </row>
    <row r="237">
      <c r="A237" s="11"/>
      <c r="B237" s="15"/>
      <c r="C237" s="15"/>
      <c r="D237" s="15"/>
      <c r="E237" s="15"/>
      <c r="F237" s="15"/>
      <c r="G237" s="19" t="s">
        <v>29</v>
      </c>
      <c r="H237" s="15"/>
      <c r="I237" s="19"/>
      <c r="J237" s="19">
        <v>210.0</v>
      </c>
    </row>
    <row r="238">
      <c r="A238" s="11"/>
      <c r="B238" s="15"/>
      <c r="C238" s="15"/>
      <c r="D238" s="15"/>
      <c r="E238" s="15"/>
      <c r="F238" s="15"/>
      <c r="G238" s="19" t="s">
        <v>24</v>
      </c>
      <c r="H238" s="15"/>
      <c r="I238" s="15"/>
      <c r="J238" s="19">
        <v>35.0</v>
      </c>
    </row>
    <row r="239">
      <c r="A239" s="11"/>
      <c r="B239" s="15"/>
      <c r="C239" s="15"/>
      <c r="D239" s="15"/>
      <c r="E239" s="15"/>
      <c r="F239" s="15"/>
      <c r="G239" s="19" t="s">
        <v>27</v>
      </c>
      <c r="H239" s="15"/>
      <c r="I239" s="15"/>
      <c r="J239" s="15"/>
    </row>
    <row r="240">
      <c r="A240" s="11"/>
      <c r="B240" s="15"/>
      <c r="C240" s="15"/>
      <c r="D240" s="15"/>
      <c r="E240" s="15"/>
      <c r="F240" s="15"/>
      <c r="G240" s="19" t="s">
        <v>30</v>
      </c>
      <c r="H240" s="15"/>
      <c r="I240" s="15"/>
      <c r="J240" s="15"/>
    </row>
    <row r="241">
      <c r="A241" s="11"/>
      <c r="B241" s="15"/>
      <c r="C241" s="15"/>
      <c r="D241" s="15"/>
      <c r="E241" s="15"/>
      <c r="F241" s="15"/>
      <c r="G241" s="19" t="s">
        <v>40</v>
      </c>
      <c r="H241" s="15"/>
      <c r="I241" s="15"/>
      <c r="J241" s="15"/>
    </row>
    <row r="242">
      <c r="A242" s="11"/>
      <c r="B242" s="15"/>
      <c r="C242" s="15"/>
      <c r="D242" s="15"/>
      <c r="E242" s="15"/>
      <c r="F242" s="15"/>
      <c r="G242" s="19" t="s">
        <v>31</v>
      </c>
      <c r="H242" s="15"/>
      <c r="I242" s="19"/>
      <c r="J242" s="15"/>
    </row>
    <row r="244">
      <c r="G244" s="7" t="s">
        <v>41</v>
      </c>
    </row>
    <row r="246">
      <c r="G246" s="7" t="s">
        <v>42</v>
      </c>
    </row>
    <row r="248">
      <c r="A248" s="9" t="s">
        <v>55</v>
      </c>
      <c r="B248" s="27" t="s">
        <v>56</v>
      </c>
      <c r="C248" s="26"/>
      <c r="D248" s="11"/>
      <c r="F248" s="13" t="s">
        <v>55</v>
      </c>
      <c r="G248" s="11"/>
      <c r="H248" s="11"/>
      <c r="I248" s="11"/>
      <c r="K248" s="7"/>
    </row>
    <row r="249">
      <c r="A249" s="11"/>
      <c r="B249" s="11"/>
      <c r="C249" s="11"/>
      <c r="D249" s="15"/>
      <c r="E249" s="15"/>
      <c r="F249" s="15"/>
      <c r="G249" s="11"/>
      <c r="H249" s="15"/>
      <c r="I249" s="11"/>
      <c r="J249" s="15"/>
    </row>
    <row r="250">
      <c r="A250" s="11"/>
      <c r="B250" s="11" t="s">
        <v>3</v>
      </c>
      <c r="C250" s="18">
        <v>417.0</v>
      </c>
      <c r="D250" s="17"/>
      <c r="E250" s="15"/>
      <c r="F250" s="15"/>
      <c r="G250" s="11" t="s">
        <v>4</v>
      </c>
      <c r="H250" s="15"/>
      <c r="I250" s="19"/>
      <c r="J250" s="19">
        <v>60.0</v>
      </c>
    </row>
    <row r="251">
      <c r="A251" s="11"/>
      <c r="B251" s="19" t="s">
        <v>24</v>
      </c>
      <c r="C251" s="19">
        <v>30.0</v>
      </c>
      <c r="D251" s="19"/>
      <c r="E251" s="15"/>
      <c r="F251" s="15"/>
      <c r="G251" s="20" t="s">
        <v>25</v>
      </c>
      <c r="H251" s="15"/>
      <c r="I251" s="19"/>
      <c r="J251" s="19">
        <v>130.0</v>
      </c>
    </row>
    <row r="252">
      <c r="A252" s="11"/>
      <c r="B252" s="19" t="s">
        <v>26</v>
      </c>
      <c r="C252" s="15"/>
      <c r="D252" s="19"/>
      <c r="E252" s="15"/>
      <c r="F252" s="15"/>
      <c r="G252" s="11" t="s">
        <v>6</v>
      </c>
      <c r="H252" s="15"/>
      <c r="I252" s="19"/>
      <c r="J252" s="19">
        <v>200.0</v>
      </c>
    </row>
    <row r="253">
      <c r="A253" s="11"/>
      <c r="B253" s="19" t="s">
        <v>27</v>
      </c>
      <c r="C253" s="19">
        <v>2920.0</v>
      </c>
      <c r="D253" s="19"/>
      <c r="E253" s="15"/>
      <c r="F253" s="15"/>
      <c r="G253" s="11" t="s">
        <v>7</v>
      </c>
      <c r="H253" s="15"/>
      <c r="I253" s="19"/>
      <c r="J253" s="19">
        <v>128.0</v>
      </c>
    </row>
    <row r="254">
      <c r="A254" s="11"/>
      <c r="B254" s="19" t="s">
        <v>37</v>
      </c>
      <c r="C254" s="19"/>
      <c r="D254" s="19"/>
      <c r="E254" s="15"/>
      <c r="F254" s="15"/>
      <c r="G254" s="11" t="s">
        <v>8</v>
      </c>
      <c r="H254" s="15"/>
      <c r="I254" s="15"/>
      <c r="J254" s="15"/>
    </row>
    <row r="255">
      <c r="A255" s="11"/>
      <c r="B255" s="19" t="s">
        <v>52</v>
      </c>
      <c r="C255" s="19">
        <v>300.0</v>
      </c>
      <c r="D255" s="19"/>
      <c r="E255" s="15"/>
      <c r="F255" s="15"/>
      <c r="G255" s="20" t="s">
        <v>47</v>
      </c>
      <c r="H255" s="15"/>
      <c r="I255" s="19"/>
      <c r="J255" s="19">
        <v>43.0</v>
      </c>
    </row>
    <row r="256">
      <c r="A256" s="11"/>
      <c r="B256" s="15"/>
      <c r="C256" s="15"/>
      <c r="D256" s="15"/>
      <c r="E256" s="15"/>
      <c r="F256" s="15"/>
      <c r="G256" s="11" t="s">
        <v>10</v>
      </c>
      <c r="H256" s="15"/>
      <c r="I256" s="19"/>
      <c r="J256" s="19">
        <v>473.0</v>
      </c>
    </row>
    <row r="257">
      <c r="A257" s="11"/>
      <c r="B257" s="15"/>
      <c r="C257" s="12">
        <v>3667.0</v>
      </c>
      <c r="D257" s="15"/>
      <c r="E257" s="15"/>
      <c r="F257" s="15"/>
      <c r="G257" s="20" t="s">
        <v>34</v>
      </c>
      <c r="H257" s="15"/>
      <c r="I257" s="19"/>
      <c r="J257" s="19">
        <v>20.0</v>
      </c>
    </row>
    <row r="258">
      <c r="A258" s="11"/>
      <c r="B258" s="15"/>
      <c r="C258" s="15"/>
      <c r="D258" s="15"/>
      <c r="E258" s="15"/>
      <c r="F258" s="15"/>
      <c r="G258" s="20" t="s">
        <v>28</v>
      </c>
      <c r="H258" s="15"/>
      <c r="I258" s="15"/>
      <c r="J258" s="19">
        <v>190.0</v>
      </c>
    </row>
    <row r="259">
      <c r="A259" s="11"/>
      <c r="B259" s="15"/>
      <c r="C259" s="15"/>
      <c r="D259" s="15"/>
      <c r="E259" s="15"/>
      <c r="F259" s="15"/>
      <c r="G259" s="11" t="s">
        <v>11</v>
      </c>
      <c r="H259" s="15"/>
      <c r="I259" s="15"/>
      <c r="J259" s="15"/>
    </row>
    <row r="260">
      <c r="A260" s="11"/>
      <c r="B260" s="15"/>
      <c r="C260" s="15"/>
      <c r="D260" s="15"/>
      <c r="E260" s="15"/>
      <c r="F260" s="15"/>
      <c r="G260" s="11" t="s">
        <v>12</v>
      </c>
      <c r="H260" s="15"/>
      <c r="I260" s="15"/>
      <c r="J260" s="15"/>
    </row>
    <row r="261">
      <c r="A261" s="11"/>
      <c r="B261" s="15"/>
      <c r="C261" s="15"/>
      <c r="D261" s="15"/>
      <c r="E261" s="15"/>
      <c r="F261" s="15"/>
      <c r="G261" s="11" t="s">
        <v>13</v>
      </c>
      <c r="H261" s="15"/>
      <c r="I261" s="15"/>
      <c r="J261" s="15"/>
    </row>
    <row r="262">
      <c r="A262" s="11"/>
      <c r="B262" s="15"/>
      <c r="C262" s="15"/>
      <c r="D262" s="15"/>
      <c r="E262" s="15"/>
      <c r="F262" s="15"/>
      <c r="G262" s="11" t="s">
        <v>14</v>
      </c>
      <c r="H262" s="15"/>
      <c r="I262" s="19"/>
      <c r="J262" s="19">
        <v>20.0</v>
      </c>
    </row>
    <row r="263">
      <c r="A263" s="11"/>
      <c r="B263" s="15"/>
      <c r="C263" s="15"/>
      <c r="D263" s="15"/>
      <c r="E263" s="15"/>
      <c r="F263" s="15"/>
      <c r="G263" s="11" t="s">
        <v>15</v>
      </c>
      <c r="H263" s="15"/>
      <c r="I263" s="15"/>
      <c r="J263" s="15"/>
    </row>
    <row r="264">
      <c r="A264" s="11"/>
      <c r="B264" s="19"/>
      <c r="C264" s="15"/>
      <c r="D264" s="15"/>
      <c r="E264" s="15"/>
      <c r="F264" s="15"/>
      <c r="G264" s="11" t="s">
        <v>16</v>
      </c>
      <c r="H264" s="15"/>
      <c r="I264" s="15"/>
      <c r="J264" s="15"/>
    </row>
    <row r="265">
      <c r="A265" s="11"/>
      <c r="B265" s="15"/>
      <c r="C265" s="15"/>
      <c r="D265" s="15"/>
      <c r="E265" s="15"/>
      <c r="F265" s="15"/>
      <c r="G265" s="11" t="s">
        <v>17</v>
      </c>
      <c r="H265" s="15"/>
      <c r="I265" s="19"/>
      <c r="J265" s="15"/>
    </row>
    <row r="266">
      <c r="A266" s="11"/>
      <c r="B266" s="15"/>
      <c r="C266" s="15"/>
      <c r="D266" s="15"/>
      <c r="E266" s="15"/>
      <c r="F266" s="15"/>
      <c r="G266" s="11" t="s">
        <v>18</v>
      </c>
      <c r="H266" s="15"/>
      <c r="I266" s="15"/>
      <c r="J266" s="15"/>
    </row>
    <row r="267">
      <c r="A267" s="11"/>
      <c r="B267" s="15"/>
      <c r="C267" s="15"/>
      <c r="D267" s="15"/>
      <c r="E267" s="15"/>
      <c r="F267" s="15"/>
      <c r="G267" s="11" t="s">
        <v>19</v>
      </c>
      <c r="H267" s="15"/>
      <c r="I267" s="19"/>
      <c r="J267" s="19">
        <v>60.0</v>
      </c>
    </row>
    <row r="268">
      <c r="A268" s="11"/>
      <c r="B268" s="15"/>
      <c r="C268" s="15"/>
      <c r="D268" s="15"/>
      <c r="E268" s="15"/>
      <c r="F268" s="15"/>
      <c r="G268" s="11" t="s">
        <v>20</v>
      </c>
      <c r="H268" s="15"/>
      <c r="I268" s="15"/>
      <c r="J268" s="19">
        <v>50.0</v>
      </c>
    </row>
    <row r="269">
      <c r="A269" s="11"/>
      <c r="B269" s="15"/>
      <c r="C269" s="15"/>
      <c r="D269" s="15"/>
      <c r="E269" s="15"/>
      <c r="F269" s="15"/>
      <c r="G269" s="20" t="s">
        <v>48</v>
      </c>
      <c r="H269" s="15"/>
      <c r="I269" s="19"/>
      <c r="J269" s="19">
        <v>400.0</v>
      </c>
    </row>
    <row r="270">
      <c r="A270" s="11"/>
      <c r="B270" s="15"/>
      <c r="C270" s="15"/>
      <c r="D270" s="15"/>
      <c r="E270" s="15"/>
      <c r="F270" s="15"/>
      <c r="G270" s="11" t="s">
        <v>21</v>
      </c>
      <c r="H270" s="15"/>
      <c r="I270" s="19"/>
      <c r="J270" s="19">
        <v>100.0</v>
      </c>
    </row>
    <row r="271">
      <c r="A271" s="11"/>
      <c r="B271" s="15"/>
      <c r="C271" s="15"/>
      <c r="D271" s="15"/>
      <c r="E271" s="15"/>
      <c r="F271" s="15"/>
      <c r="G271" s="19" t="s">
        <v>29</v>
      </c>
      <c r="H271" s="15"/>
      <c r="I271" s="19"/>
      <c r="J271" s="19">
        <v>120.0</v>
      </c>
    </row>
    <row r="272">
      <c r="A272" s="11"/>
      <c r="B272" s="15"/>
      <c r="C272" s="15"/>
      <c r="D272" s="15"/>
      <c r="E272" s="15"/>
      <c r="F272" s="15"/>
      <c r="G272" s="19" t="s">
        <v>24</v>
      </c>
      <c r="H272" s="15"/>
      <c r="I272" s="15"/>
      <c r="J272" s="19">
        <v>50.0</v>
      </c>
    </row>
    <row r="273">
      <c r="A273" s="11"/>
      <c r="B273" s="15"/>
      <c r="C273" s="15"/>
      <c r="D273" s="15"/>
      <c r="E273" s="15"/>
      <c r="F273" s="15"/>
      <c r="G273" s="19" t="s">
        <v>27</v>
      </c>
      <c r="H273" s="15"/>
      <c r="I273" s="15"/>
      <c r="J273" s="15"/>
    </row>
    <row r="274">
      <c r="A274" s="11"/>
      <c r="B274" s="15"/>
      <c r="C274" s="15"/>
      <c r="D274" s="15"/>
      <c r="E274" s="15"/>
      <c r="F274" s="15"/>
      <c r="G274" s="19" t="s">
        <v>30</v>
      </c>
      <c r="H274" s="15"/>
      <c r="I274" s="15"/>
      <c r="J274" s="19">
        <v>300.0</v>
      </c>
    </row>
    <row r="275">
      <c r="A275" s="11"/>
      <c r="B275" s="15"/>
      <c r="C275" s="15"/>
      <c r="D275" s="15"/>
      <c r="E275" s="15"/>
      <c r="F275" s="15"/>
      <c r="G275" s="19" t="s">
        <v>40</v>
      </c>
      <c r="H275" s="15"/>
      <c r="I275" s="15"/>
      <c r="J275" s="15"/>
    </row>
    <row r="276">
      <c r="A276" s="11"/>
      <c r="B276" s="15"/>
      <c r="C276" s="15"/>
      <c r="D276" s="15"/>
      <c r="E276" s="15"/>
      <c r="F276" s="15"/>
      <c r="G276" s="19" t="s">
        <v>31</v>
      </c>
      <c r="H276" s="15"/>
      <c r="I276" s="19"/>
      <c r="J276" s="19">
        <v>995.0</v>
      </c>
    </row>
    <row r="278">
      <c r="G278" s="7" t="s">
        <v>41</v>
      </c>
    </row>
    <row r="280">
      <c r="G280" s="7" t="s">
        <v>42</v>
      </c>
    </row>
    <row r="282">
      <c r="J282" s="14">
        <v>3339.0</v>
      </c>
    </row>
    <row r="285">
      <c r="A285" s="9" t="s">
        <v>57</v>
      </c>
      <c r="B285" s="28" t="s">
        <v>58</v>
      </c>
      <c r="C285" s="26"/>
      <c r="D285" s="11"/>
      <c r="F285" s="13"/>
      <c r="G285" s="11"/>
      <c r="H285" s="11"/>
      <c r="I285" s="11"/>
      <c r="K285" s="7"/>
    </row>
    <row r="286">
      <c r="A286" s="11"/>
      <c r="B286" s="11"/>
      <c r="C286" s="11"/>
      <c r="D286" s="15"/>
      <c r="E286" s="15"/>
      <c r="F286" s="15"/>
      <c r="G286" s="11"/>
      <c r="H286" s="15"/>
      <c r="I286" s="11"/>
      <c r="J286" s="15"/>
    </row>
    <row r="287">
      <c r="A287" s="11"/>
      <c r="B287" s="11"/>
      <c r="C287" s="11"/>
      <c r="D287" s="15"/>
      <c r="E287" s="15"/>
      <c r="F287" s="15"/>
      <c r="G287" s="11"/>
      <c r="H287" s="15"/>
      <c r="I287" s="11"/>
      <c r="J287" s="15"/>
    </row>
    <row r="288">
      <c r="A288" s="29" t="s">
        <v>59</v>
      </c>
      <c r="B288" s="11" t="s">
        <v>3</v>
      </c>
      <c r="C288" s="18">
        <v>925.0</v>
      </c>
      <c r="D288" s="17"/>
      <c r="E288" s="30" t="s">
        <v>60</v>
      </c>
      <c r="F288" s="15"/>
      <c r="G288" s="11" t="s">
        <v>4</v>
      </c>
      <c r="H288" s="15"/>
      <c r="I288" s="19"/>
      <c r="J288" s="19">
        <v>60.0</v>
      </c>
    </row>
    <row r="289">
      <c r="A289" s="11"/>
      <c r="B289" s="19" t="s">
        <v>24</v>
      </c>
      <c r="C289" s="19">
        <v>100.0</v>
      </c>
      <c r="D289" s="19"/>
      <c r="E289" s="15"/>
      <c r="F289" s="15"/>
      <c r="G289" s="20" t="s">
        <v>25</v>
      </c>
      <c r="H289" s="15"/>
      <c r="I289" s="19"/>
      <c r="J289" s="19">
        <v>160.0</v>
      </c>
    </row>
    <row r="290">
      <c r="A290" s="11"/>
      <c r="B290" s="19" t="s">
        <v>26</v>
      </c>
      <c r="C290" s="19">
        <v>10.0</v>
      </c>
      <c r="D290" s="19"/>
      <c r="E290" s="15"/>
      <c r="F290" s="15"/>
      <c r="G290" s="11" t="s">
        <v>6</v>
      </c>
      <c r="H290" s="15"/>
      <c r="I290" s="19"/>
      <c r="J290" s="19">
        <v>195.0</v>
      </c>
    </row>
    <row r="291">
      <c r="A291" s="11"/>
      <c r="B291" s="19" t="s">
        <v>27</v>
      </c>
      <c r="C291" s="19">
        <v>200.0</v>
      </c>
      <c r="D291" s="19"/>
      <c r="E291" s="15"/>
      <c r="F291" s="15"/>
      <c r="G291" s="11" t="s">
        <v>7</v>
      </c>
      <c r="H291" s="15"/>
      <c r="I291" s="19"/>
      <c r="J291" s="19">
        <v>200.0</v>
      </c>
    </row>
    <row r="292">
      <c r="A292" s="11"/>
      <c r="B292" s="19" t="s">
        <v>37</v>
      </c>
      <c r="C292" s="19"/>
      <c r="D292" s="19"/>
      <c r="E292" s="15"/>
      <c r="F292" s="15"/>
      <c r="G292" s="11" t="s">
        <v>8</v>
      </c>
      <c r="H292" s="15"/>
      <c r="I292" s="15"/>
      <c r="J292" s="19">
        <v>117.0</v>
      </c>
    </row>
    <row r="293">
      <c r="A293" s="11"/>
      <c r="B293" s="19" t="s">
        <v>52</v>
      </c>
      <c r="C293" s="19">
        <v>50.0</v>
      </c>
      <c r="D293" s="19"/>
      <c r="E293" s="15"/>
      <c r="F293" s="15"/>
      <c r="G293" s="20" t="s">
        <v>47</v>
      </c>
      <c r="H293" s="15"/>
      <c r="I293" s="19"/>
      <c r="J293" s="19">
        <v>223.0</v>
      </c>
    </row>
    <row r="294">
      <c r="A294" s="11"/>
      <c r="B294" s="15"/>
      <c r="C294" s="15"/>
      <c r="D294" s="15"/>
      <c r="E294" s="15"/>
      <c r="F294" s="15"/>
      <c r="G294" s="11" t="s">
        <v>10</v>
      </c>
      <c r="H294" s="15"/>
      <c r="I294" s="19"/>
      <c r="J294" s="19">
        <v>106.0</v>
      </c>
    </row>
    <row r="295">
      <c r="A295" s="11"/>
      <c r="B295" s="31" t="s">
        <v>61</v>
      </c>
      <c r="E295" s="15"/>
      <c r="F295" s="15"/>
      <c r="G295" s="20" t="s">
        <v>34</v>
      </c>
      <c r="H295" s="15"/>
      <c r="I295" s="19"/>
      <c r="J295" s="19">
        <v>20.0</v>
      </c>
    </row>
    <row r="296">
      <c r="A296" s="11"/>
      <c r="B296" s="15"/>
      <c r="C296" s="15"/>
      <c r="D296" s="15"/>
      <c r="E296" s="15"/>
      <c r="F296" s="15"/>
      <c r="G296" s="20" t="s">
        <v>28</v>
      </c>
      <c r="H296" s="15"/>
      <c r="I296" s="15"/>
      <c r="J296" s="19">
        <v>159.0</v>
      </c>
    </row>
    <row r="297">
      <c r="A297" s="11"/>
      <c r="B297" s="15"/>
      <c r="C297" s="15"/>
      <c r="D297" s="15"/>
      <c r="E297" s="15"/>
      <c r="F297" s="15"/>
      <c r="G297" s="11" t="s">
        <v>11</v>
      </c>
      <c r="H297" s="15"/>
      <c r="I297" s="15"/>
      <c r="J297" s="15"/>
    </row>
    <row r="298">
      <c r="A298" s="11"/>
      <c r="B298" s="15"/>
      <c r="C298" s="15"/>
      <c r="D298" s="15"/>
      <c r="E298" s="15"/>
      <c r="F298" s="15"/>
      <c r="G298" s="11" t="s">
        <v>12</v>
      </c>
      <c r="H298" s="15"/>
      <c r="I298" s="15"/>
      <c r="J298" s="19">
        <v>80.0</v>
      </c>
    </row>
    <row r="299">
      <c r="A299" s="11"/>
      <c r="B299" s="15"/>
      <c r="C299" s="15"/>
      <c r="D299" s="15"/>
      <c r="E299" s="15"/>
      <c r="F299" s="15"/>
      <c r="G299" s="11" t="s">
        <v>13</v>
      </c>
      <c r="H299" s="15"/>
      <c r="I299" s="15"/>
      <c r="J299" s="15"/>
    </row>
    <row r="300">
      <c r="A300" s="11"/>
      <c r="B300" s="15"/>
      <c r="C300" s="15"/>
      <c r="D300" s="15"/>
      <c r="E300" s="15"/>
      <c r="F300" s="15"/>
      <c r="G300" s="11" t="s">
        <v>14</v>
      </c>
      <c r="H300" s="15"/>
      <c r="I300" s="19"/>
      <c r="J300" s="15"/>
    </row>
    <row r="301">
      <c r="A301" s="11"/>
      <c r="B301" s="15"/>
      <c r="C301" s="15"/>
      <c r="D301" s="15"/>
      <c r="E301" s="15"/>
      <c r="F301" s="15"/>
      <c r="G301" s="11" t="s">
        <v>15</v>
      </c>
      <c r="H301" s="15"/>
      <c r="I301" s="15"/>
      <c r="J301" s="15"/>
    </row>
    <row r="302">
      <c r="A302" s="11"/>
      <c r="B302" s="19"/>
      <c r="C302" s="15"/>
      <c r="D302" s="15"/>
      <c r="E302" s="15"/>
      <c r="F302" s="15"/>
      <c r="G302" s="11" t="s">
        <v>16</v>
      </c>
      <c r="H302" s="15"/>
      <c r="I302" s="15"/>
      <c r="J302" s="15"/>
    </row>
    <row r="303">
      <c r="A303" s="11"/>
      <c r="B303" s="15"/>
      <c r="C303" s="15"/>
      <c r="D303" s="15"/>
      <c r="E303" s="15"/>
      <c r="F303" s="15"/>
      <c r="G303" s="11" t="s">
        <v>17</v>
      </c>
      <c r="H303" s="15"/>
      <c r="I303" s="19"/>
      <c r="J303" s="15"/>
    </row>
    <row r="304">
      <c r="A304" s="11"/>
      <c r="B304" s="15"/>
      <c r="C304" s="15"/>
      <c r="D304" s="15"/>
      <c r="E304" s="15"/>
      <c r="F304" s="15"/>
      <c r="G304" s="11" t="s">
        <v>18</v>
      </c>
      <c r="H304" s="15"/>
      <c r="I304" s="15"/>
      <c r="J304" s="15"/>
    </row>
    <row r="305">
      <c r="A305" s="11"/>
      <c r="B305" s="15"/>
      <c r="C305" s="15"/>
      <c r="D305" s="15"/>
      <c r="E305" s="15"/>
      <c r="F305" s="15"/>
      <c r="G305" s="11" t="s">
        <v>19</v>
      </c>
      <c r="H305" s="15"/>
      <c r="I305" s="19"/>
      <c r="J305" s="15"/>
    </row>
    <row r="306">
      <c r="A306" s="11"/>
      <c r="B306" s="15"/>
      <c r="C306" s="15"/>
      <c r="D306" s="15"/>
      <c r="E306" s="15"/>
      <c r="F306" s="15"/>
      <c r="G306" s="11" t="s">
        <v>20</v>
      </c>
      <c r="H306" s="15"/>
      <c r="I306" s="15"/>
      <c r="J306" s="15"/>
    </row>
    <row r="307">
      <c r="A307" s="11"/>
      <c r="B307" s="15"/>
      <c r="C307" s="15"/>
      <c r="D307" s="15"/>
      <c r="E307" s="15"/>
      <c r="F307" s="15"/>
      <c r="G307" s="20" t="s">
        <v>48</v>
      </c>
      <c r="H307" s="15"/>
      <c r="I307" s="19"/>
      <c r="J307" s="19">
        <v>300.0</v>
      </c>
    </row>
    <row r="308">
      <c r="A308" s="11"/>
      <c r="B308" s="15"/>
      <c r="C308" s="15"/>
      <c r="D308" s="15"/>
      <c r="E308" s="15"/>
      <c r="F308" s="15"/>
      <c r="G308" s="11" t="s">
        <v>21</v>
      </c>
      <c r="H308" s="15"/>
      <c r="I308" s="19"/>
      <c r="J308" s="19">
        <v>60.0</v>
      </c>
    </row>
    <row r="309">
      <c r="A309" s="11"/>
      <c r="B309" s="15"/>
      <c r="C309" s="15"/>
      <c r="D309" s="15"/>
      <c r="E309" s="15"/>
      <c r="F309" s="15"/>
      <c r="G309" s="19" t="s">
        <v>29</v>
      </c>
      <c r="H309" s="15"/>
      <c r="I309" s="19"/>
      <c r="J309" s="19">
        <v>187.0</v>
      </c>
    </row>
    <row r="310">
      <c r="A310" s="11"/>
      <c r="B310" s="15"/>
      <c r="C310" s="15"/>
      <c r="D310" s="15"/>
      <c r="E310" s="15"/>
      <c r="F310" s="15"/>
      <c r="G310" s="19" t="s">
        <v>24</v>
      </c>
      <c r="H310" s="15"/>
      <c r="I310" s="15"/>
      <c r="J310" s="19">
        <v>177.0</v>
      </c>
    </row>
    <row r="311">
      <c r="A311" s="11"/>
      <c r="B311" s="15"/>
      <c r="C311" s="15"/>
      <c r="D311" s="15"/>
      <c r="E311" s="15"/>
      <c r="F311" s="15"/>
      <c r="G311" s="19" t="s">
        <v>27</v>
      </c>
      <c r="H311" s="15"/>
      <c r="I311" s="15"/>
      <c r="J311" s="15"/>
    </row>
    <row r="312">
      <c r="A312" s="11"/>
      <c r="B312" s="15"/>
      <c r="C312" s="15"/>
      <c r="D312" s="15"/>
      <c r="E312" s="15"/>
      <c r="F312" s="15"/>
      <c r="G312" s="19" t="s">
        <v>30</v>
      </c>
      <c r="H312" s="15"/>
      <c r="I312" s="15"/>
      <c r="J312" s="15"/>
    </row>
    <row r="313">
      <c r="A313" s="11"/>
      <c r="B313" s="15"/>
      <c r="C313" s="15"/>
      <c r="D313" s="15"/>
      <c r="E313" s="15"/>
      <c r="F313" s="15"/>
      <c r="G313" s="19" t="s">
        <v>40</v>
      </c>
      <c r="H313" s="15"/>
      <c r="I313" s="15"/>
      <c r="J313" s="15"/>
    </row>
    <row r="314">
      <c r="A314" s="11"/>
      <c r="B314" s="15"/>
      <c r="C314" s="15"/>
      <c r="D314" s="15"/>
      <c r="E314" s="15"/>
      <c r="F314" s="15"/>
      <c r="G314" s="19" t="s">
        <v>31</v>
      </c>
      <c r="H314" s="15"/>
      <c r="I314" s="19"/>
      <c r="J314" s="15"/>
    </row>
    <row r="316">
      <c r="G316" s="7" t="s">
        <v>41</v>
      </c>
    </row>
    <row r="318">
      <c r="G318" s="7" t="s">
        <v>42</v>
      </c>
    </row>
    <row r="320">
      <c r="G320" s="32" t="s">
        <v>62</v>
      </c>
      <c r="J320" s="33"/>
    </row>
    <row r="322">
      <c r="A322" s="9" t="s">
        <v>63</v>
      </c>
      <c r="B322" s="27" t="s">
        <v>64</v>
      </c>
      <c r="C322" s="26"/>
      <c r="D322" s="11"/>
      <c r="F322" s="13"/>
      <c r="G322" s="11"/>
      <c r="H322" s="11"/>
      <c r="I322" s="11"/>
      <c r="K322" s="7"/>
    </row>
    <row r="323">
      <c r="A323" s="11"/>
      <c r="B323" s="11"/>
      <c r="C323" s="11"/>
      <c r="D323" s="15"/>
      <c r="E323" s="15"/>
      <c r="F323" s="15"/>
      <c r="G323" s="11"/>
      <c r="H323" s="15"/>
      <c r="I323" s="11"/>
      <c r="J323" s="15"/>
    </row>
    <row r="324">
      <c r="A324" s="11"/>
      <c r="B324" s="11"/>
      <c r="C324" s="11"/>
      <c r="D324" s="15"/>
      <c r="E324" s="15"/>
      <c r="F324" s="15"/>
      <c r="G324" s="11"/>
      <c r="H324" s="15"/>
      <c r="I324" s="11"/>
      <c r="J324" s="15"/>
    </row>
    <row r="325">
      <c r="A325" s="29" t="s">
        <v>59</v>
      </c>
      <c r="B325" s="11" t="s">
        <v>3</v>
      </c>
      <c r="C325" s="18">
        <v>1432.0</v>
      </c>
      <c r="D325" s="17"/>
      <c r="E325" s="30" t="s">
        <v>60</v>
      </c>
      <c r="F325" s="15"/>
      <c r="G325" s="11" t="s">
        <v>4</v>
      </c>
      <c r="H325" s="15"/>
      <c r="I325" s="19"/>
      <c r="J325" s="19">
        <v>60.0</v>
      </c>
    </row>
    <row r="326">
      <c r="A326" s="11"/>
      <c r="B326" s="19" t="s">
        <v>24</v>
      </c>
      <c r="C326" s="19">
        <v>60.0</v>
      </c>
      <c r="D326" s="19"/>
      <c r="E326" s="15"/>
      <c r="F326" s="15"/>
      <c r="G326" s="20" t="s">
        <v>25</v>
      </c>
      <c r="H326" s="15"/>
      <c r="I326" s="19"/>
      <c r="J326" s="19">
        <v>30.0</v>
      </c>
    </row>
    <row r="327">
      <c r="A327" s="11"/>
      <c r="B327" s="19" t="s">
        <v>26</v>
      </c>
      <c r="C327" s="15"/>
      <c r="D327" s="19"/>
      <c r="E327" s="15"/>
      <c r="F327" s="15"/>
      <c r="G327" s="11" t="s">
        <v>6</v>
      </c>
      <c r="H327" s="15"/>
      <c r="I327" s="19"/>
      <c r="J327" s="15"/>
    </row>
    <row r="328">
      <c r="A328" s="11"/>
      <c r="B328" s="19" t="s">
        <v>27</v>
      </c>
      <c r="C328" s="19"/>
      <c r="D328" s="19"/>
      <c r="E328" s="15"/>
      <c r="F328" s="15"/>
      <c r="G328" s="11" t="s">
        <v>7</v>
      </c>
      <c r="H328" s="15"/>
      <c r="I328" s="19"/>
      <c r="J328" s="19">
        <v>150.0</v>
      </c>
    </row>
    <row r="329">
      <c r="A329" s="11"/>
      <c r="B329" s="19" t="s">
        <v>37</v>
      </c>
      <c r="C329" s="19"/>
      <c r="D329" s="19"/>
      <c r="E329" s="15"/>
      <c r="F329" s="15"/>
      <c r="G329" s="11" t="s">
        <v>8</v>
      </c>
      <c r="H329" s="15"/>
      <c r="I329" s="15"/>
      <c r="J329" s="19">
        <v>20.0</v>
      </c>
    </row>
    <row r="330">
      <c r="A330" s="11"/>
      <c r="B330" s="19" t="s">
        <v>52</v>
      </c>
      <c r="C330" s="15"/>
      <c r="D330" s="19"/>
      <c r="E330" s="15"/>
      <c r="F330" s="15"/>
      <c r="G330" s="20" t="s">
        <v>47</v>
      </c>
      <c r="H330" s="15"/>
      <c r="I330" s="19"/>
      <c r="J330" s="15"/>
    </row>
    <row r="331">
      <c r="A331" s="11"/>
      <c r="B331" s="15"/>
      <c r="C331" s="15"/>
      <c r="D331" s="15"/>
      <c r="E331" s="15"/>
      <c r="F331" s="15"/>
      <c r="G331" s="11" t="s">
        <v>10</v>
      </c>
      <c r="H331" s="15"/>
      <c r="I331" s="19"/>
      <c r="J331" s="15"/>
    </row>
    <row r="332">
      <c r="A332" s="11"/>
      <c r="B332" s="31" t="s">
        <v>65</v>
      </c>
      <c r="E332" s="15"/>
      <c r="F332" s="15"/>
      <c r="G332" s="20" t="s">
        <v>34</v>
      </c>
      <c r="H332" s="15"/>
      <c r="I332" s="19"/>
      <c r="J332" s="19">
        <v>70.0</v>
      </c>
    </row>
    <row r="333">
      <c r="A333" s="11"/>
      <c r="B333" s="15"/>
      <c r="C333" s="15"/>
      <c r="D333" s="15"/>
      <c r="E333" s="15"/>
      <c r="F333" s="15"/>
      <c r="G333" s="20" t="s">
        <v>28</v>
      </c>
      <c r="H333" s="15"/>
      <c r="I333" s="15"/>
      <c r="J333" s="15"/>
    </row>
    <row r="334">
      <c r="A334" s="11"/>
      <c r="B334" s="15"/>
      <c r="C334" s="15"/>
      <c r="D334" s="15"/>
      <c r="E334" s="15"/>
      <c r="F334" s="15"/>
      <c r="G334" s="11" t="s">
        <v>11</v>
      </c>
      <c r="H334" s="15"/>
      <c r="I334" s="15"/>
      <c r="J334" s="15"/>
    </row>
    <row r="335">
      <c r="A335" s="11"/>
      <c r="B335" s="15"/>
      <c r="C335" s="15"/>
      <c r="D335" s="15"/>
      <c r="E335" s="15"/>
      <c r="F335" s="15"/>
      <c r="G335" s="11" t="s">
        <v>12</v>
      </c>
      <c r="H335" s="15"/>
      <c r="I335" s="15"/>
      <c r="J335" s="19">
        <v>10.0</v>
      </c>
    </row>
    <row r="336">
      <c r="A336" s="11"/>
      <c r="B336" s="15"/>
      <c r="C336" s="15"/>
      <c r="D336" s="15"/>
      <c r="E336" s="15"/>
      <c r="F336" s="15"/>
      <c r="G336" s="11" t="s">
        <v>13</v>
      </c>
      <c r="H336" s="15"/>
      <c r="I336" s="15"/>
      <c r="J336" s="15"/>
    </row>
    <row r="337">
      <c r="A337" s="11"/>
      <c r="B337" s="15"/>
      <c r="C337" s="15"/>
      <c r="D337" s="15"/>
      <c r="E337" s="15"/>
      <c r="F337" s="15"/>
      <c r="G337" s="11" t="s">
        <v>14</v>
      </c>
      <c r="H337" s="15"/>
      <c r="I337" s="19"/>
      <c r="J337" s="19">
        <v>230.0</v>
      </c>
    </row>
    <row r="338">
      <c r="A338" s="11"/>
      <c r="B338" s="15"/>
      <c r="C338" s="15"/>
      <c r="D338" s="15"/>
      <c r="E338" s="15"/>
      <c r="F338" s="15"/>
      <c r="G338" s="11" t="s">
        <v>15</v>
      </c>
      <c r="H338" s="15"/>
      <c r="I338" s="15"/>
      <c r="J338" s="15"/>
    </row>
    <row r="339">
      <c r="A339" s="11"/>
      <c r="B339" s="19"/>
      <c r="C339" s="15"/>
      <c r="D339" s="15"/>
      <c r="E339" s="15"/>
      <c r="F339" s="15"/>
      <c r="G339" s="11" t="s">
        <v>16</v>
      </c>
      <c r="H339" s="15"/>
      <c r="I339" s="15"/>
      <c r="J339" s="15"/>
    </row>
    <row r="340">
      <c r="A340" s="11"/>
      <c r="B340" s="15"/>
      <c r="C340" s="15"/>
      <c r="D340" s="15"/>
      <c r="E340" s="15"/>
      <c r="F340" s="15"/>
      <c r="G340" s="11" t="s">
        <v>17</v>
      </c>
      <c r="H340" s="15"/>
      <c r="I340" s="19"/>
      <c r="J340" s="15"/>
    </row>
    <row r="341">
      <c r="A341" s="11"/>
      <c r="B341" s="15"/>
      <c r="C341" s="15"/>
      <c r="D341" s="15"/>
      <c r="E341" s="15"/>
      <c r="F341" s="15"/>
      <c r="G341" s="11" t="s">
        <v>18</v>
      </c>
      <c r="H341" s="15"/>
      <c r="I341" s="15"/>
      <c r="J341" s="19">
        <v>110.0</v>
      </c>
    </row>
    <row r="342">
      <c r="A342" s="11"/>
      <c r="B342" s="15"/>
      <c r="C342" s="15"/>
      <c r="D342" s="15"/>
      <c r="E342" s="15"/>
      <c r="F342" s="15"/>
      <c r="G342" s="11" t="s">
        <v>19</v>
      </c>
      <c r="H342" s="15"/>
      <c r="I342" s="19"/>
      <c r="J342" s="19">
        <v>52.0</v>
      </c>
    </row>
    <row r="343">
      <c r="A343" s="11"/>
      <c r="B343" s="15"/>
      <c r="C343" s="15"/>
      <c r="D343" s="15"/>
      <c r="E343" s="15"/>
      <c r="F343" s="15"/>
      <c r="G343" s="11" t="s">
        <v>20</v>
      </c>
      <c r="H343" s="15"/>
      <c r="I343" s="15"/>
      <c r="J343" s="15"/>
    </row>
    <row r="344">
      <c r="A344" s="11"/>
      <c r="B344" s="15"/>
      <c r="C344" s="15"/>
      <c r="D344" s="15"/>
      <c r="E344" s="15"/>
      <c r="F344" s="15"/>
      <c r="G344" s="20" t="s">
        <v>48</v>
      </c>
      <c r="H344" s="15"/>
      <c r="I344" s="19"/>
      <c r="J344" s="19">
        <v>350.0</v>
      </c>
    </row>
    <row r="345">
      <c r="A345" s="11"/>
      <c r="B345" s="15"/>
      <c r="C345" s="15"/>
      <c r="D345" s="15"/>
      <c r="E345" s="15"/>
      <c r="F345" s="15"/>
      <c r="G345" s="11" t="s">
        <v>21</v>
      </c>
      <c r="H345" s="15"/>
      <c r="I345" s="19"/>
      <c r="J345" s="19">
        <v>30.0</v>
      </c>
    </row>
    <row r="346">
      <c r="A346" s="11"/>
      <c r="B346" s="15"/>
      <c r="C346" s="15"/>
      <c r="D346" s="15"/>
      <c r="E346" s="15"/>
      <c r="F346" s="15"/>
      <c r="G346" s="19" t="s">
        <v>29</v>
      </c>
      <c r="H346" s="15"/>
      <c r="I346" s="19"/>
      <c r="J346" s="19">
        <v>122.0</v>
      </c>
    </row>
    <row r="347">
      <c r="A347" s="11"/>
      <c r="B347" s="15"/>
      <c r="C347" s="15"/>
      <c r="D347" s="15"/>
      <c r="E347" s="15"/>
      <c r="F347" s="15"/>
      <c r="G347" s="19" t="s">
        <v>24</v>
      </c>
      <c r="H347" s="15"/>
      <c r="I347" s="15"/>
      <c r="J347" s="19">
        <v>95.0</v>
      </c>
    </row>
    <row r="348">
      <c r="A348" s="11"/>
      <c r="B348" s="15"/>
      <c r="C348" s="15"/>
      <c r="D348" s="15"/>
      <c r="E348" s="15"/>
      <c r="F348" s="15"/>
      <c r="G348" s="19" t="s">
        <v>27</v>
      </c>
      <c r="H348" s="15"/>
      <c r="I348" s="15"/>
      <c r="J348" s="15"/>
    </row>
    <row r="349">
      <c r="A349" s="11"/>
      <c r="B349" s="15"/>
      <c r="C349" s="15"/>
      <c r="D349" s="15"/>
      <c r="E349" s="15"/>
      <c r="F349" s="15"/>
      <c r="G349" s="19" t="s">
        <v>30</v>
      </c>
      <c r="H349" s="15"/>
      <c r="I349" s="15"/>
      <c r="J349" s="15"/>
    </row>
    <row r="350">
      <c r="A350" s="11"/>
      <c r="B350" s="15"/>
      <c r="C350" s="15"/>
      <c r="D350" s="15"/>
      <c r="E350" s="15"/>
      <c r="F350" s="15"/>
      <c r="G350" s="19" t="s">
        <v>40</v>
      </c>
      <c r="H350" s="15"/>
      <c r="I350" s="15"/>
      <c r="J350" s="15"/>
    </row>
    <row r="351">
      <c r="A351" s="11"/>
      <c r="B351" s="15"/>
      <c r="C351" s="15"/>
      <c r="D351" s="15"/>
      <c r="E351" s="15"/>
      <c r="F351" s="15"/>
      <c r="G351" s="19" t="s">
        <v>31</v>
      </c>
      <c r="H351" s="15"/>
      <c r="I351" s="19"/>
      <c r="J351" s="15"/>
    </row>
    <row r="353">
      <c r="G353" s="7" t="s">
        <v>41</v>
      </c>
    </row>
    <row r="355">
      <c r="G355" s="7" t="s">
        <v>42</v>
      </c>
    </row>
    <row r="357">
      <c r="G357" s="32" t="s">
        <v>66</v>
      </c>
      <c r="J357" s="33"/>
    </row>
    <row r="360">
      <c r="A360" s="9" t="s">
        <v>67</v>
      </c>
      <c r="B360" s="27" t="s">
        <v>68</v>
      </c>
      <c r="C360" s="26"/>
      <c r="D360" s="11"/>
      <c r="F360" s="13"/>
      <c r="G360" s="11"/>
      <c r="H360" s="11"/>
      <c r="I360" s="11"/>
      <c r="K360" s="7"/>
    </row>
    <row r="361">
      <c r="A361" s="11"/>
      <c r="B361" s="11"/>
      <c r="C361" s="11"/>
      <c r="D361" s="15"/>
      <c r="E361" s="15"/>
      <c r="F361" s="15"/>
      <c r="G361" s="11"/>
      <c r="H361" s="15"/>
      <c r="I361" s="11"/>
      <c r="J361" s="15"/>
    </row>
    <row r="362">
      <c r="A362" s="11"/>
      <c r="B362" s="11"/>
      <c r="C362" s="11"/>
      <c r="D362" s="15"/>
      <c r="E362" s="15"/>
      <c r="F362" s="15"/>
      <c r="G362" s="11"/>
      <c r="H362" s="15"/>
      <c r="I362" s="11"/>
      <c r="J362" s="15"/>
    </row>
    <row r="363">
      <c r="A363" s="29" t="s">
        <v>59</v>
      </c>
      <c r="B363" s="11" t="s">
        <v>3</v>
      </c>
      <c r="C363" s="18">
        <v>2045.0</v>
      </c>
      <c r="D363" s="17"/>
      <c r="E363" s="30" t="s">
        <v>60</v>
      </c>
      <c r="F363" s="15"/>
      <c r="G363" s="11" t="s">
        <v>4</v>
      </c>
      <c r="H363" s="15"/>
      <c r="I363" s="19"/>
      <c r="J363" s="19">
        <v>80.0</v>
      </c>
    </row>
    <row r="364">
      <c r="A364" s="11"/>
      <c r="B364" s="19" t="s">
        <v>24</v>
      </c>
      <c r="C364" s="19">
        <v>83.0</v>
      </c>
      <c r="D364" s="19"/>
      <c r="E364" s="15"/>
      <c r="F364" s="15"/>
      <c r="G364" s="20" t="s">
        <v>25</v>
      </c>
      <c r="H364" s="15"/>
      <c r="I364" s="19"/>
      <c r="J364" s="19">
        <v>30.0</v>
      </c>
    </row>
    <row r="365">
      <c r="A365" s="11"/>
      <c r="B365" s="19" t="s">
        <v>26</v>
      </c>
      <c r="C365" s="19">
        <v>20.0</v>
      </c>
      <c r="D365" s="19"/>
      <c r="E365" s="15"/>
      <c r="F365" s="15"/>
      <c r="G365" s="11" t="s">
        <v>6</v>
      </c>
      <c r="H365" s="15"/>
      <c r="I365" s="19"/>
      <c r="J365" s="19">
        <v>412.0</v>
      </c>
    </row>
    <row r="366">
      <c r="A366" s="11"/>
      <c r="B366" s="19" t="s">
        <v>27</v>
      </c>
      <c r="C366" s="19"/>
      <c r="D366" s="19"/>
      <c r="E366" s="15"/>
      <c r="F366" s="15"/>
      <c r="G366" s="11" t="s">
        <v>7</v>
      </c>
      <c r="H366" s="15"/>
      <c r="I366" s="19"/>
      <c r="J366" s="19">
        <v>80.0</v>
      </c>
    </row>
    <row r="367">
      <c r="A367" s="11"/>
      <c r="B367" s="19" t="s">
        <v>37</v>
      </c>
      <c r="C367" s="19"/>
      <c r="D367" s="19"/>
      <c r="E367" s="15"/>
      <c r="F367" s="15"/>
      <c r="G367" s="11" t="s">
        <v>8</v>
      </c>
      <c r="H367" s="15"/>
      <c r="I367" s="15"/>
      <c r="J367" s="19">
        <v>132.0</v>
      </c>
    </row>
    <row r="368">
      <c r="A368" s="11"/>
      <c r="B368" s="19" t="s">
        <v>52</v>
      </c>
      <c r="C368" s="15"/>
      <c r="D368" s="19"/>
      <c r="E368" s="15"/>
      <c r="F368" s="15"/>
      <c r="G368" s="20" t="s">
        <v>47</v>
      </c>
      <c r="H368" s="15"/>
      <c r="I368" s="19"/>
      <c r="J368" s="19">
        <v>45.0</v>
      </c>
    </row>
    <row r="369">
      <c r="A369" s="11"/>
      <c r="B369" s="15"/>
      <c r="C369" s="15"/>
      <c r="D369" s="15"/>
      <c r="E369" s="15"/>
      <c r="F369" s="15"/>
      <c r="G369" s="11" t="s">
        <v>10</v>
      </c>
      <c r="H369" s="15"/>
      <c r="I369" s="19"/>
      <c r="J369" s="15"/>
    </row>
    <row r="370">
      <c r="A370" s="11"/>
      <c r="B370" s="31" t="s">
        <v>69</v>
      </c>
      <c r="E370" s="15"/>
      <c r="F370" s="15"/>
      <c r="G370" s="20" t="s">
        <v>34</v>
      </c>
      <c r="H370" s="15"/>
      <c r="I370" s="19"/>
      <c r="J370" s="19">
        <v>40.0</v>
      </c>
    </row>
    <row r="371">
      <c r="A371" s="11"/>
      <c r="B371" s="15"/>
      <c r="C371" s="15"/>
      <c r="D371" s="15"/>
      <c r="E371" s="15"/>
      <c r="F371" s="15"/>
      <c r="G371" s="20" t="s">
        <v>28</v>
      </c>
      <c r="H371" s="15"/>
      <c r="I371" s="15"/>
      <c r="J371" s="15"/>
    </row>
    <row r="372">
      <c r="A372" s="11"/>
      <c r="B372" s="15"/>
      <c r="C372" s="15"/>
      <c r="D372" s="15"/>
      <c r="E372" s="15"/>
      <c r="F372" s="15"/>
      <c r="G372" s="11" t="s">
        <v>11</v>
      </c>
      <c r="H372" s="15"/>
      <c r="I372" s="15"/>
      <c r="J372" s="15"/>
    </row>
    <row r="373">
      <c r="A373" s="11"/>
      <c r="B373" s="15"/>
      <c r="C373" s="15"/>
      <c r="D373" s="15"/>
      <c r="E373" s="15"/>
      <c r="F373" s="15"/>
      <c r="G373" s="11" t="s">
        <v>12</v>
      </c>
      <c r="H373" s="15"/>
      <c r="I373" s="15"/>
      <c r="J373" s="19">
        <v>30.0</v>
      </c>
    </row>
    <row r="374">
      <c r="A374" s="11"/>
      <c r="B374" s="15"/>
      <c r="C374" s="15"/>
      <c r="D374" s="15"/>
      <c r="E374" s="15"/>
      <c r="F374" s="15"/>
      <c r="G374" s="11" t="s">
        <v>13</v>
      </c>
      <c r="H374" s="15"/>
      <c r="I374" s="15"/>
      <c r="J374" s="19"/>
    </row>
    <row r="375">
      <c r="A375" s="11"/>
      <c r="B375" s="15"/>
      <c r="C375" s="15"/>
      <c r="D375" s="15"/>
      <c r="E375" s="15"/>
      <c r="F375" s="15"/>
      <c r="G375" s="11" t="s">
        <v>14</v>
      </c>
      <c r="H375" s="15"/>
      <c r="I375" s="19"/>
      <c r="J375" s="19">
        <v>120.0</v>
      </c>
    </row>
    <row r="376">
      <c r="A376" s="11"/>
      <c r="B376" s="15"/>
      <c r="C376" s="15"/>
      <c r="D376" s="15"/>
      <c r="E376" s="15"/>
      <c r="F376" s="15"/>
      <c r="G376" s="11" t="s">
        <v>15</v>
      </c>
      <c r="H376" s="15"/>
      <c r="I376" s="15"/>
      <c r="J376" s="15"/>
    </row>
    <row r="377">
      <c r="A377" s="11"/>
      <c r="B377" s="19"/>
      <c r="C377" s="15"/>
      <c r="D377" s="15"/>
      <c r="E377" s="15"/>
      <c r="F377" s="15"/>
      <c r="G377" s="11" t="s">
        <v>16</v>
      </c>
      <c r="H377" s="15"/>
      <c r="I377" s="15"/>
      <c r="J377" s="15"/>
    </row>
    <row r="378">
      <c r="A378" s="11"/>
      <c r="B378" s="15"/>
      <c r="C378" s="15"/>
      <c r="D378" s="15"/>
      <c r="E378" s="15"/>
      <c r="F378" s="15"/>
      <c r="G378" s="11" t="s">
        <v>17</v>
      </c>
      <c r="H378" s="15"/>
      <c r="I378" s="19"/>
      <c r="J378" s="15"/>
    </row>
    <row r="379">
      <c r="A379" s="11"/>
      <c r="B379" s="15"/>
      <c r="C379" s="15"/>
      <c r="D379" s="15"/>
      <c r="E379" s="15"/>
      <c r="F379" s="15"/>
      <c r="G379" s="11" t="s">
        <v>18</v>
      </c>
      <c r="H379" s="15"/>
      <c r="I379" s="15"/>
      <c r="J379" s="19"/>
    </row>
    <row r="380">
      <c r="A380" s="11"/>
      <c r="B380" s="15"/>
      <c r="C380" s="15"/>
      <c r="D380" s="15"/>
      <c r="E380" s="15"/>
      <c r="F380" s="15"/>
      <c r="G380" s="11" t="s">
        <v>19</v>
      </c>
      <c r="H380" s="15"/>
      <c r="I380" s="19"/>
      <c r="J380" s="19">
        <v>27.0</v>
      </c>
    </row>
    <row r="381">
      <c r="A381" s="11"/>
      <c r="B381" s="15"/>
      <c r="C381" s="15"/>
      <c r="D381" s="15"/>
      <c r="E381" s="15"/>
      <c r="F381" s="15"/>
      <c r="G381" s="11" t="s">
        <v>20</v>
      </c>
      <c r="H381" s="15"/>
      <c r="I381" s="15"/>
      <c r="J381" s="15"/>
    </row>
    <row r="382">
      <c r="A382" s="11"/>
      <c r="B382" s="15"/>
      <c r="C382" s="15"/>
      <c r="D382" s="15"/>
      <c r="E382" s="15"/>
      <c r="F382" s="15"/>
      <c r="G382" s="20" t="s">
        <v>48</v>
      </c>
      <c r="H382" s="15"/>
      <c r="I382" s="19"/>
      <c r="J382" s="19">
        <v>300.0</v>
      </c>
    </row>
    <row r="383">
      <c r="A383" s="11"/>
      <c r="B383" s="15"/>
      <c r="C383" s="15"/>
      <c r="D383" s="15"/>
      <c r="E383" s="15"/>
      <c r="F383" s="15"/>
      <c r="G383" s="11" t="s">
        <v>21</v>
      </c>
      <c r="H383" s="15"/>
      <c r="I383" s="19"/>
      <c r="J383" s="19">
        <v>50.0</v>
      </c>
    </row>
    <row r="384">
      <c r="A384" s="11"/>
      <c r="B384" s="15"/>
      <c r="C384" s="15"/>
      <c r="D384" s="15"/>
      <c r="E384" s="15"/>
      <c r="F384" s="15"/>
      <c r="G384" s="19" t="s">
        <v>29</v>
      </c>
      <c r="H384" s="15"/>
      <c r="I384" s="19"/>
      <c r="J384" s="19">
        <v>218.0</v>
      </c>
    </row>
    <row r="385">
      <c r="A385" s="11"/>
      <c r="B385" s="15"/>
      <c r="C385" s="15"/>
      <c r="D385" s="15"/>
      <c r="E385" s="15"/>
      <c r="F385" s="15"/>
      <c r="G385" s="19" t="s">
        <v>24</v>
      </c>
      <c r="H385" s="15"/>
      <c r="I385" s="15"/>
      <c r="J385" s="19">
        <v>93.0</v>
      </c>
    </row>
    <row r="386">
      <c r="A386" s="11"/>
      <c r="B386" s="15"/>
      <c r="C386" s="15"/>
      <c r="D386" s="15"/>
      <c r="E386" s="15"/>
      <c r="F386" s="15"/>
      <c r="G386" s="19" t="s">
        <v>27</v>
      </c>
      <c r="H386" s="15"/>
      <c r="I386" s="15"/>
      <c r="J386" s="15"/>
    </row>
    <row r="387">
      <c r="A387" s="11"/>
      <c r="B387" s="15"/>
      <c r="C387" s="15"/>
      <c r="D387" s="15"/>
      <c r="E387" s="15"/>
      <c r="F387" s="15"/>
      <c r="G387" s="19" t="s">
        <v>30</v>
      </c>
      <c r="H387" s="15"/>
      <c r="I387" s="15"/>
      <c r="J387" s="15"/>
    </row>
    <row r="388">
      <c r="A388" s="11"/>
      <c r="B388" s="15"/>
      <c r="C388" s="15"/>
      <c r="D388" s="15"/>
      <c r="E388" s="15"/>
      <c r="F388" s="15"/>
      <c r="G388" s="19" t="s">
        <v>40</v>
      </c>
      <c r="H388" s="15"/>
      <c r="I388" s="15"/>
      <c r="J388" s="15"/>
    </row>
    <row r="389">
      <c r="A389" s="11"/>
      <c r="B389" s="15"/>
      <c r="C389" s="15"/>
      <c r="D389" s="15"/>
      <c r="E389" s="15"/>
      <c r="F389" s="15"/>
      <c r="G389" s="19" t="s">
        <v>31</v>
      </c>
      <c r="H389" s="15"/>
      <c r="I389" s="19"/>
      <c r="J389" s="15"/>
    </row>
    <row r="391">
      <c r="G391" s="7" t="s">
        <v>41</v>
      </c>
    </row>
    <row r="393">
      <c r="G393" s="7" t="s">
        <v>42</v>
      </c>
    </row>
    <row r="395">
      <c r="G395" s="32" t="s">
        <v>70</v>
      </c>
      <c r="J395" s="33"/>
    </row>
    <row r="398">
      <c r="A398" s="9" t="s">
        <v>71</v>
      </c>
      <c r="B398" s="27" t="s">
        <v>72</v>
      </c>
      <c r="C398" s="26"/>
      <c r="D398" s="11"/>
      <c r="F398" s="13"/>
      <c r="G398" s="11"/>
      <c r="H398" s="11"/>
      <c r="I398" s="11"/>
      <c r="K398" s="7"/>
    </row>
    <row r="399">
      <c r="A399" s="11"/>
      <c r="B399" s="11"/>
      <c r="C399" s="11"/>
      <c r="D399" s="15"/>
      <c r="E399" s="15"/>
      <c r="F399" s="15"/>
      <c r="G399" s="11"/>
      <c r="H399" s="15"/>
      <c r="I399" s="11"/>
      <c r="J399" s="15"/>
    </row>
    <row r="400">
      <c r="A400" s="11"/>
      <c r="B400" s="11"/>
      <c r="C400" s="11"/>
      <c r="D400" s="15"/>
      <c r="E400" s="15"/>
      <c r="F400" s="15"/>
      <c r="G400" s="11"/>
      <c r="H400" s="15"/>
      <c r="I400" s="11"/>
      <c r="J400" s="15"/>
    </row>
    <row r="401">
      <c r="A401" s="29" t="s">
        <v>59</v>
      </c>
      <c r="B401" s="11" t="s">
        <v>3</v>
      </c>
      <c r="C401" s="18">
        <v>795.0</v>
      </c>
      <c r="D401" s="17"/>
      <c r="E401" s="30" t="s">
        <v>60</v>
      </c>
      <c r="F401" s="15"/>
      <c r="G401" s="11" t="s">
        <v>4</v>
      </c>
      <c r="H401" s="15"/>
      <c r="I401" s="19">
        <v>50.0</v>
      </c>
      <c r="J401" s="19"/>
    </row>
    <row r="402">
      <c r="A402" s="11"/>
      <c r="B402" s="19" t="s">
        <v>24</v>
      </c>
      <c r="C402" s="19">
        <v>80.0</v>
      </c>
      <c r="D402" s="19"/>
      <c r="E402" s="15"/>
      <c r="F402" s="15"/>
      <c r="G402" s="20" t="s">
        <v>25</v>
      </c>
      <c r="H402" s="15"/>
      <c r="I402" s="19">
        <v>45.0</v>
      </c>
      <c r="J402" s="19"/>
    </row>
    <row r="403">
      <c r="A403" s="11"/>
      <c r="B403" s="19" t="s">
        <v>26</v>
      </c>
      <c r="C403" s="19"/>
      <c r="D403" s="19"/>
      <c r="E403" s="15"/>
      <c r="F403" s="15"/>
      <c r="G403" s="11" t="s">
        <v>6</v>
      </c>
      <c r="H403" s="15"/>
      <c r="I403" s="19">
        <v>525.0</v>
      </c>
      <c r="J403" s="19"/>
    </row>
    <row r="404">
      <c r="A404" s="11"/>
      <c r="B404" s="19" t="s">
        <v>27</v>
      </c>
      <c r="C404" s="19">
        <v>1050.0</v>
      </c>
      <c r="D404" s="19"/>
      <c r="E404" s="15"/>
      <c r="F404" s="15"/>
      <c r="G404" s="11" t="s">
        <v>7</v>
      </c>
      <c r="H404" s="15"/>
      <c r="I404" s="19">
        <v>150.0</v>
      </c>
      <c r="J404" s="19"/>
    </row>
    <row r="405">
      <c r="A405" s="11"/>
      <c r="B405" s="19" t="s">
        <v>37</v>
      </c>
      <c r="C405" s="19"/>
      <c r="D405" s="19"/>
      <c r="E405" s="15"/>
      <c r="F405" s="15"/>
      <c r="G405" s="11" t="s">
        <v>8</v>
      </c>
      <c r="H405" s="15"/>
      <c r="I405" s="19">
        <v>132.0</v>
      </c>
      <c r="J405" s="19"/>
    </row>
    <row r="406">
      <c r="A406" s="11"/>
      <c r="B406" s="19" t="s">
        <v>52</v>
      </c>
      <c r="C406" s="15"/>
      <c r="D406" s="19"/>
      <c r="E406" s="15"/>
      <c r="F406" s="15"/>
      <c r="G406" s="20" t="s">
        <v>47</v>
      </c>
      <c r="H406" s="15"/>
      <c r="I406" s="19">
        <v>150.0</v>
      </c>
      <c r="J406" s="19"/>
    </row>
    <row r="407">
      <c r="A407" s="11"/>
      <c r="B407" s="15"/>
      <c r="C407" s="15"/>
      <c r="D407" s="15"/>
      <c r="E407" s="15"/>
      <c r="F407" s="15"/>
      <c r="G407" s="11" t="s">
        <v>10</v>
      </c>
      <c r="H407" s="15"/>
      <c r="I407" s="19">
        <v>60.0</v>
      </c>
      <c r="J407" s="15"/>
    </row>
    <row r="408">
      <c r="A408" s="11"/>
      <c r="B408" s="31" t="s">
        <v>73</v>
      </c>
      <c r="E408" s="15"/>
      <c r="F408" s="15"/>
      <c r="G408" s="20" t="s">
        <v>34</v>
      </c>
      <c r="H408" s="15"/>
      <c r="I408" s="19">
        <v>57.0</v>
      </c>
      <c r="J408" s="19"/>
    </row>
    <row r="409">
      <c r="A409" s="11"/>
      <c r="B409" s="15"/>
      <c r="C409" s="15"/>
      <c r="D409" s="15"/>
      <c r="E409" s="15"/>
      <c r="F409" s="15"/>
      <c r="G409" s="20" t="s">
        <v>28</v>
      </c>
      <c r="H409" s="15"/>
      <c r="I409" s="15"/>
      <c r="J409" s="15"/>
    </row>
    <row r="410">
      <c r="A410" s="11"/>
      <c r="B410" s="15"/>
      <c r="C410" s="15"/>
      <c r="D410" s="15"/>
      <c r="E410" s="15"/>
      <c r="F410" s="15"/>
      <c r="G410" s="11" t="s">
        <v>11</v>
      </c>
      <c r="H410" s="15"/>
      <c r="I410" s="15"/>
      <c r="J410" s="15"/>
    </row>
    <row r="411">
      <c r="A411" s="11"/>
      <c r="B411" s="15"/>
      <c r="C411" s="15"/>
      <c r="D411" s="15"/>
      <c r="E411" s="15"/>
      <c r="F411" s="15"/>
      <c r="G411" s="11" t="s">
        <v>12</v>
      </c>
      <c r="H411" s="15"/>
      <c r="I411" s="15"/>
      <c r="J411" s="19"/>
    </row>
    <row r="412">
      <c r="A412" s="11"/>
      <c r="B412" s="15"/>
      <c r="C412" s="15"/>
      <c r="D412" s="15"/>
      <c r="E412" s="15"/>
      <c r="F412" s="15"/>
      <c r="G412" s="11" t="s">
        <v>13</v>
      </c>
      <c r="H412" s="15"/>
      <c r="I412" s="15"/>
      <c r="J412" s="19"/>
    </row>
    <row r="413">
      <c r="A413" s="11"/>
      <c r="B413" s="15"/>
      <c r="C413" s="15"/>
      <c r="D413" s="15"/>
      <c r="E413" s="15"/>
      <c r="F413" s="15"/>
      <c r="G413" s="11" t="s">
        <v>14</v>
      </c>
      <c r="H413" s="15"/>
      <c r="I413" s="19">
        <v>154.0</v>
      </c>
      <c r="J413" s="19"/>
    </row>
    <row r="414">
      <c r="A414" s="11"/>
      <c r="B414" s="15"/>
      <c r="C414" s="15"/>
      <c r="D414" s="15"/>
      <c r="E414" s="15"/>
      <c r="F414" s="15"/>
      <c r="G414" s="11" t="s">
        <v>15</v>
      </c>
      <c r="H414" s="15"/>
      <c r="I414" s="15"/>
      <c r="J414" s="15"/>
    </row>
    <row r="415">
      <c r="A415" s="11"/>
      <c r="B415" s="19"/>
      <c r="C415" s="15"/>
      <c r="D415" s="15"/>
      <c r="E415" s="15"/>
      <c r="F415" s="15"/>
      <c r="G415" s="11" t="s">
        <v>16</v>
      </c>
      <c r="H415" s="15"/>
      <c r="I415" s="15"/>
      <c r="J415" s="15"/>
    </row>
    <row r="416">
      <c r="A416" s="11"/>
      <c r="B416" s="15"/>
      <c r="C416" s="15"/>
      <c r="D416" s="15"/>
      <c r="E416" s="15"/>
      <c r="F416" s="15"/>
      <c r="G416" s="11" t="s">
        <v>17</v>
      </c>
      <c r="H416" s="15"/>
      <c r="I416" s="19"/>
      <c r="J416" s="15"/>
    </row>
    <row r="417">
      <c r="A417" s="11"/>
      <c r="B417" s="15"/>
      <c r="C417" s="15"/>
      <c r="D417" s="15"/>
      <c r="E417" s="15"/>
      <c r="F417" s="15"/>
      <c r="G417" s="11" t="s">
        <v>18</v>
      </c>
      <c r="H417" s="15"/>
      <c r="I417" s="15"/>
      <c r="J417" s="19"/>
    </row>
    <row r="418">
      <c r="A418" s="11"/>
      <c r="B418" s="15"/>
      <c r="C418" s="15"/>
      <c r="D418" s="15"/>
      <c r="E418" s="15"/>
      <c r="F418" s="15"/>
      <c r="G418" s="11" t="s">
        <v>19</v>
      </c>
      <c r="H418" s="15"/>
      <c r="I418" s="19">
        <v>75.0</v>
      </c>
      <c r="J418" s="19"/>
    </row>
    <row r="419">
      <c r="A419" s="11"/>
      <c r="B419" s="15"/>
      <c r="C419" s="15"/>
      <c r="D419" s="15"/>
      <c r="E419" s="15"/>
      <c r="F419" s="15"/>
      <c r="G419" s="11" t="s">
        <v>20</v>
      </c>
      <c r="H419" s="15"/>
      <c r="I419" s="15"/>
      <c r="J419" s="15"/>
    </row>
    <row r="420">
      <c r="A420" s="11"/>
      <c r="B420" s="15"/>
      <c r="C420" s="15"/>
      <c r="D420" s="15"/>
      <c r="E420" s="15"/>
      <c r="F420" s="15"/>
      <c r="G420" s="20" t="s">
        <v>48</v>
      </c>
      <c r="H420" s="15"/>
      <c r="I420" s="19">
        <v>300.0</v>
      </c>
      <c r="J420" s="19"/>
    </row>
    <row r="421">
      <c r="A421" s="11"/>
      <c r="B421" s="15"/>
      <c r="C421" s="15"/>
      <c r="D421" s="15"/>
      <c r="E421" s="15"/>
      <c r="F421" s="15"/>
      <c r="G421" s="11" t="s">
        <v>21</v>
      </c>
      <c r="H421" s="15"/>
      <c r="I421" s="19"/>
      <c r="J421" s="19"/>
    </row>
    <row r="422">
      <c r="A422" s="11"/>
      <c r="B422" s="15"/>
      <c r="C422" s="15"/>
      <c r="D422" s="15"/>
      <c r="E422" s="15"/>
      <c r="F422" s="15"/>
      <c r="G422" s="19" t="s">
        <v>29</v>
      </c>
      <c r="H422" s="15"/>
      <c r="I422" s="19"/>
      <c r="J422" s="19"/>
    </row>
    <row r="423">
      <c r="A423" s="11"/>
      <c r="B423" s="15"/>
      <c r="C423" s="15"/>
      <c r="D423" s="15"/>
      <c r="E423" s="15"/>
      <c r="F423" s="15"/>
      <c r="G423" s="19" t="s">
        <v>24</v>
      </c>
      <c r="H423" s="15"/>
      <c r="I423" s="19">
        <v>90.0</v>
      </c>
      <c r="J423" s="19"/>
    </row>
    <row r="424">
      <c r="A424" s="11"/>
      <c r="B424" s="15"/>
      <c r="C424" s="15"/>
      <c r="D424" s="15"/>
      <c r="E424" s="15"/>
      <c r="F424" s="15"/>
      <c r="G424" s="19" t="s">
        <v>27</v>
      </c>
      <c r="H424" s="15"/>
      <c r="I424" s="15"/>
      <c r="J424" s="15"/>
    </row>
    <row r="425">
      <c r="A425" s="11"/>
      <c r="B425" s="15"/>
      <c r="C425" s="15"/>
      <c r="D425" s="15"/>
      <c r="E425" s="15"/>
      <c r="F425" s="15"/>
      <c r="G425" s="19" t="s">
        <v>30</v>
      </c>
      <c r="H425" s="15"/>
      <c r="I425" s="15"/>
      <c r="J425" s="15"/>
    </row>
    <row r="426">
      <c r="A426" s="11"/>
      <c r="B426" s="15"/>
      <c r="C426" s="15"/>
      <c r="D426" s="15"/>
      <c r="E426" s="15"/>
      <c r="F426" s="15"/>
      <c r="G426" s="19" t="s">
        <v>40</v>
      </c>
      <c r="H426" s="15"/>
      <c r="I426" s="15"/>
      <c r="J426" s="15"/>
    </row>
    <row r="427">
      <c r="A427" s="11"/>
      <c r="B427" s="15"/>
      <c r="C427" s="15"/>
      <c r="D427" s="15"/>
      <c r="E427" s="15"/>
      <c r="F427" s="15"/>
      <c r="G427" s="19" t="s">
        <v>31</v>
      </c>
      <c r="H427" s="15"/>
      <c r="I427" s="19">
        <v>120.0</v>
      </c>
      <c r="J427" s="15"/>
    </row>
    <row r="429">
      <c r="G429" s="7" t="s">
        <v>41</v>
      </c>
    </row>
    <row r="431">
      <c r="G431" s="7" t="s">
        <v>42</v>
      </c>
    </row>
    <row r="433">
      <c r="G433" s="32" t="s">
        <v>74</v>
      </c>
      <c r="J433" s="33"/>
    </row>
    <row r="436">
      <c r="A436" s="9" t="s">
        <v>75</v>
      </c>
      <c r="B436" s="27" t="s">
        <v>76</v>
      </c>
      <c r="C436" s="26"/>
      <c r="D436" s="11"/>
      <c r="F436" s="13"/>
      <c r="G436" s="11"/>
      <c r="H436" s="11"/>
      <c r="I436" s="11"/>
      <c r="K436" s="7"/>
    </row>
    <row r="437">
      <c r="A437" s="11"/>
      <c r="B437" s="11"/>
      <c r="C437" s="11"/>
      <c r="D437" s="15"/>
      <c r="E437" s="15"/>
      <c r="F437" s="15"/>
      <c r="G437" s="11"/>
      <c r="H437" s="15"/>
      <c r="I437" s="11"/>
      <c r="J437" s="15"/>
    </row>
    <row r="438">
      <c r="A438" s="11"/>
      <c r="B438" s="11"/>
      <c r="C438" s="11"/>
      <c r="D438" s="15"/>
      <c r="E438" s="15"/>
      <c r="F438" s="15"/>
      <c r="G438" s="11"/>
      <c r="H438" s="15"/>
      <c r="I438" s="11"/>
      <c r="J438" s="15"/>
    </row>
    <row r="439">
      <c r="A439" s="29" t="s">
        <v>59</v>
      </c>
      <c r="B439" s="11" t="s">
        <v>3</v>
      </c>
      <c r="C439" s="18">
        <v>2980.0</v>
      </c>
      <c r="D439" s="17"/>
      <c r="E439" s="30" t="s">
        <v>60</v>
      </c>
      <c r="F439" s="15"/>
      <c r="G439" s="11" t="s">
        <v>4</v>
      </c>
      <c r="H439" s="15"/>
      <c r="I439" s="19">
        <v>52.0</v>
      </c>
      <c r="J439" s="19"/>
    </row>
    <row r="440">
      <c r="A440" s="11"/>
      <c r="B440" s="19" t="s">
        <v>24</v>
      </c>
      <c r="C440" s="19"/>
      <c r="D440" s="19"/>
      <c r="E440" s="15"/>
      <c r="F440" s="15"/>
      <c r="G440" s="20" t="s">
        <v>25</v>
      </c>
      <c r="H440" s="15"/>
      <c r="I440" s="19">
        <v>10.0</v>
      </c>
      <c r="J440" s="19"/>
    </row>
    <row r="441">
      <c r="A441" s="11"/>
      <c r="B441" s="19" t="s">
        <v>26</v>
      </c>
      <c r="C441" s="19"/>
      <c r="D441" s="19"/>
      <c r="E441" s="15"/>
      <c r="F441" s="15"/>
      <c r="G441" s="11" t="s">
        <v>6</v>
      </c>
      <c r="H441" s="15"/>
      <c r="I441" s="19">
        <v>260.0</v>
      </c>
      <c r="J441" s="19"/>
    </row>
    <row r="442">
      <c r="A442" s="11"/>
      <c r="B442" s="19" t="s">
        <v>27</v>
      </c>
      <c r="C442" s="19"/>
      <c r="D442" s="19"/>
      <c r="E442" s="15"/>
      <c r="F442" s="15"/>
      <c r="G442" s="11" t="s">
        <v>7</v>
      </c>
      <c r="H442" s="15"/>
      <c r="I442" s="19">
        <v>138.0</v>
      </c>
      <c r="J442" s="19"/>
    </row>
    <row r="443">
      <c r="A443" s="11"/>
      <c r="B443" s="19" t="s">
        <v>37</v>
      </c>
      <c r="C443" s="19"/>
      <c r="D443" s="19"/>
      <c r="E443" s="15"/>
      <c r="F443" s="15"/>
      <c r="G443" s="11" t="s">
        <v>8</v>
      </c>
      <c r="H443" s="15"/>
      <c r="I443" s="19">
        <v>132.0</v>
      </c>
      <c r="J443" s="19"/>
    </row>
    <row r="444">
      <c r="A444" s="11"/>
      <c r="B444" s="19" t="s">
        <v>52</v>
      </c>
      <c r="C444" s="19"/>
      <c r="D444" s="19"/>
      <c r="E444" s="15"/>
      <c r="F444" s="15"/>
      <c r="G444" s="20" t="s">
        <v>47</v>
      </c>
      <c r="H444" s="15"/>
      <c r="I444" s="19"/>
      <c r="J444" s="19"/>
    </row>
    <row r="445">
      <c r="A445" s="11"/>
      <c r="B445" s="15"/>
      <c r="C445" s="15"/>
      <c r="D445" s="15"/>
      <c r="E445" s="15"/>
      <c r="F445" s="15"/>
      <c r="G445" s="11" t="s">
        <v>10</v>
      </c>
      <c r="H445" s="15"/>
      <c r="I445" s="19"/>
      <c r="J445" s="15"/>
    </row>
    <row r="446">
      <c r="A446" s="11"/>
      <c r="B446" s="31" t="s">
        <v>77</v>
      </c>
      <c r="E446" s="15"/>
      <c r="F446" s="15"/>
      <c r="G446" s="20" t="s">
        <v>34</v>
      </c>
      <c r="H446" s="15"/>
      <c r="I446" s="19">
        <v>40.0</v>
      </c>
      <c r="J446" s="19"/>
    </row>
    <row r="447">
      <c r="A447" s="11"/>
      <c r="B447" s="15"/>
      <c r="C447" s="15"/>
      <c r="D447" s="15"/>
      <c r="E447" s="15"/>
      <c r="F447" s="15"/>
      <c r="G447" s="20" t="s">
        <v>28</v>
      </c>
      <c r="H447" s="15"/>
      <c r="I447" s="15"/>
      <c r="J447" s="15"/>
    </row>
    <row r="448">
      <c r="A448" s="11"/>
      <c r="B448" s="15"/>
      <c r="C448" s="15"/>
      <c r="D448" s="15"/>
      <c r="E448" s="15"/>
      <c r="F448" s="15"/>
      <c r="G448" s="11" t="s">
        <v>11</v>
      </c>
      <c r="H448" s="15"/>
      <c r="I448" s="15"/>
      <c r="J448" s="15"/>
    </row>
    <row r="449">
      <c r="A449" s="11"/>
      <c r="B449" s="15"/>
      <c r="C449" s="15"/>
      <c r="D449" s="15"/>
      <c r="E449" s="15"/>
      <c r="F449" s="15"/>
      <c r="G449" s="11" t="s">
        <v>12</v>
      </c>
      <c r="H449" s="15"/>
      <c r="I449" s="19">
        <v>80.0</v>
      </c>
      <c r="J449" s="19"/>
    </row>
    <row r="450">
      <c r="A450" s="11"/>
      <c r="B450" s="15"/>
      <c r="C450" s="15"/>
      <c r="D450" s="15"/>
      <c r="E450" s="15"/>
      <c r="F450" s="15"/>
      <c r="G450" s="11" t="s">
        <v>13</v>
      </c>
      <c r="H450" s="15"/>
      <c r="I450" s="19"/>
      <c r="J450" s="19"/>
    </row>
    <row r="451">
      <c r="A451" s="11"/>
      <c r="B451" s="15"/>
      <c r="C451" s="15"/>
      <c r="D451" s="15"/>
      <c r="E451" s="15"/>
      <c r="F451" s="15"/>
      <c r="G451" s="11" t="s">
        <v>14</v>
      </c>
      <c r="H451" s="15"/>
      <c r="I451" s="19">
        <v>70.0</v>
      </c>
      <c r="J451" s="19"/>
    </row>
    <row r="452">
      <c r="A452" s="11"/>
      <c r="B452" s="15"/>
      <c r="C452" s="15"/>
      <c r="D452" s="15"/>
      <c r="E452" s="15"/>
      <c r="F452" s="15"/>
      <c r="G452" s="11" t="s">
        <v>15</v>
      </c>
      <c r="H452" s="15"/>
      <c r="I452" s="15"/>
      <c r="J452" s="15"/>
    </row>
    <row r="453">
      <c r="A453" s="11"/>
      <c r="B453" s="19"/>
      <c r="C453" s="15"/>
      <c r="D453" s="15"/>
      <c r="E453" s="15"/>
      <c r="F453" s="15"/>
      <c r="G453" s="11" t="s">
        <v>16</v>
      </c>
      <c r="H453" s="15"/>
      <c r="I453" s="15"/>
      <c r="J453" s="15"/>
    </row>
    <row r="454">
      <c r="A454" s="11"/>
      <c r="B454" s="15"/>
      <c r="C454" s="15"/>
      <c r="D454" s="15"/>
      <c r="E454" s="15"/>
      <c r="F454" s="15"/>
      <c r="G454" s="11" t="s">
        <v>17</v>
      </c>
      <c r="H454" s="15"/>
      <c r="I454" s="19"/>
      <c r="J454" s="15"/>
    </row>
    <row r="455">
      <c r="A455" s="11"/>
      <c r="B455" s="15"/>
      <c r="C455" s="15"/>
      <c r="D455" s="15"/>
      <c r="E455" s="15"/>
      <c r="F455" s="15"/>
      <c r="G455" s="11" t="s">
        <v>18</v>
      </c>
      <c r="H455" s="15"/>
      <c r="I455" s="15"/>
      <c r="J455" s="19"/>
    </row>
    <row r="456">
      <c r="A456" s="11"/>
      <c r="B456" s="15"/>
      <c r="C456" s="15"/>
      <c r="D456" s="15"/>
      <c r="E456" s="15"/>
      <c r="F456" s="15"/>
      <c r="G456" s="11" t="s">
        <v>19</v>
      </c>
      <c r="H456" s="15"/>
      <c r="I456" s="19">
        <v>316.0</v>
      </c>
      <c r="J456" s="19"/>
    </row>
    <row r="457">
      <c r="A457" s="11"/>
      <c r="B457" s="15"/>
      <c r="C457" s="15"/>
      <c r="D457" s="15"/>
      <c r="E457" s="15"/>
      <c r="F457" s="15"/>
      <c r="G457" s="11" t="s">
        <v>20</v>
      </c>
      <c r="H457" s="15"/>
      <c r="I457" s="15"/>
      <c r="J457" s="15"/>
    </row>
    <row r="458">
      <c r="A458" s="11"/>
      <c r="B458" s="15"/>
      <c r="C458" s="15"/>
      <c r="D458" s="15"/>
      <c r="E458" s="15"/>
      <c r="F458" s="15"/>
      <c r="G458" s="20" t="s">
        <v>48</v>
      </c>
      <c r="H458" s="15"/>
      <c r="I458" s="19">
        <v>300.0</v>
      </c>
      <c r="J458" s="19"/>
    </row>
    <row r="459">
      <c r="A459" s="11"/>
      <c r="B459" s="15"/>
      <c r="C459" s="15"/>
      <c r="D459" s="15"/>
      <c r="E459" s="15"/>
      <c r="F459" s="15"/>
      <c r="G459" s="11" t="s">
        <v>21</v>
      </c>
      <c r="H459" s="15"/>
      <c r="I459" s="19">
        <v>190.0</v>
      </c>
      <c r="J459" s="19"/>
    </row>
    <row r="460">
      <c r="A460" s="11"/>
      <c r="B460" s="15"/>
      <c r="C460" s="15"/>
      <c r="D460" s="15"/>
      <c r="E460" s="15"/>
      <c r="F460" s="15"/>
      <c r="G460" s="19" t="s">
        <v>29</v>
      </c>
      <c r="H460" s="15"/>
      <c r="I460" s="19">
        <v>322.5</v>
      </c>
      <c r="J460" s="19"/>
    </row>
    <row r="461">
      <c r="A461" s="11"/>
      <c r="B461" s="15"/>
      <c r="C461" s="15"/>
      <c r="D461" s="15"/>
      <c r="E461" s="15"/>
      <c r="F461" s="15"/>
      <c r="G461" s="19" t="s">
        <v>24</v>
      </c>
      <c r="H461" s="15"/>
      <c r="I461" s="19"/>
      <c r="J461" s="19"/>
    </row>
    <row r="462">
      <c r="A462" s="11"/>
      <c r="B462" s="15"/>
      <c r="C462" s="15"/>
      <c r="D462" s="15"/>
      <c r="E462" s="15"/>
      <c r="F462" s="15"/>
      <c r="G462" s="19" t="s">
        <v>27</v>
      </c>
      <c r="H462" s="15"/>
      <c r="I462" s="15"/>
      <c r="J462" s="15"/>
    </row>
    <row r="463">
      <c r="A463" s="11"/>
      <c r="B463" s="15"/>
      <c r="C463" s="15"/>
      <c r="D463" s="15"/>
      <c r="E463" s="15"/>
      <c r="F463" s="15"/>
      <c r="G463" s="19" t="s">
        <v>30</v>
      </c>
      <c r="H463" s="15"/>
      <c r="I463" s="15"/>
      <c r="J463" s="15"/>
    </row>
    <row r="464">
      <c r="A464" s="11"/>
      <c r="B464" s="15"/>
      <c r="C464" s="15"/>
      <c r="D464" s="15"/>
      <c r="E464" s="15"/>
      <c r="F464" s="15"/>
      <c r="G464" s="19" t="s">
        <v>40</v>
      </c>
      <c r="H464" s="15"/>
      <c r="I464" s="15"/>
      <c r="J464" s="15"/>
    </row>
    <row r="465">
      <c r="A465" s="11"/>
      <c r="B465" s="15"/>
      <c r="C465" s="15"/>
      <c r="D465" s="15"/>
      <c r="E465" s="15"/>
      <c r="F465" s="15"/>
      <c r="G465" s="19" t="s">
        <v>31</v>
      </c>
      <c r="H465" s="15"/>
      <c r="I465" s="19">
        <v>120.0</v>
      </c>
      <c r="J465" s="15"/>
    </row>
    <row r="467">
      <c r="G467" s="7" t="s">
        <v>41</v>
      </c>
    </row>
    <row r="469">
      <c r="G469" s="7" t="s">
        <v>42</v>
      </c>
    </row>
    <row r="471">
      <c r="G471" s="32" t="s">
        <v>78</v>
      </c>
      <c r="J471" s="33"/>
    </row>
    <row r="475">
      <c r="A475" s="9" t="s">
        <v>79</v>
      </c>
      <c r="B475" s="27" t="s">
        <v>80</v>
      </c>
      <c r="C475" s="26"/>
      <c r="D475" s="11"/>
      <c r="F475" s="13"/>
      <c r="G475" s="11"/>
      <c r="H475" s="11"/>
      <c r="I475" s="11"/>
      <c r="K475" s="7"/>
    </row>
    <row r="476">
      <c r="A476" s="11"/>
      <c r="B476" s="11"/>
      <c r="C476" s="11"/>
      <c r="D476" s="15"/>
      <c r="E476" s="15"/>
      <c r="F476" s="15"/>
      <c r="G476" s="11"/>
      <c r="H476" s="15"/>
      <c r="I476" s="11"/>
      <c r="J476" s="15"/>
    </row>
    <row r="477">
      <c r="A477" s="11"/>
      <c r="B477" s="11"/>
      <c r="C477" s="11"/>
      <c r="D477" s="15"/>
      <c r="E477" s="15"/>
      <c r="F477" s="15"/>
      <c r="G477" s="11"/>
      <c r="H477" s="15"/>
      <c r="I477" s="11"/>
      <c r="J477" s="15"/>
    </row>
    <row r="478">
      <c r="A478" s="29" t="s">
        <v>59</v>
      </c>
      <c r="B478" s="11" t="s">
        <v>3</v>
      </c>
      <c r="C478" s="18">
        <v>2240.0</v>
      </c>
      <c r="D478" s="17"/>
      <c r="E478" s="30" t="s">
        <v>60</v>
      </c>
      <c r="F478" s="15"/>
      <c r="G478" s="11" t="s">
        <v>4</v>
      </c>
      <c r="H478" s="15"/>
      <c r="I478" s="19">
        <v>63.5</v>
      </c>
      <c r="J478" s="19"/>
    </row>
    <row r="479">
      <c r="A479" s="11"/>
      <c r="B479" s="19" t="s">
        <v>24</v>
      </c>
      <c r="C479" s="19"/>
      <c r="D479" s="19"/>
      <c r="E479" s="15"/>
      <c r="F479" s="15"/>
      <c r="G479" s="20" t="s">
        <v>25</v>
      </c>
      <c r="H479" s="15"/>
      <c r="I479" s="19">
        <v>110.0</v>
      </c>
      <c r="J479" s="19"/>
    </row>
    <row r="480">
      <c r="A480" s="11"/>
      <c r="B480" s="19" t="s">
        <v>26</v>
      </c>
      <c r="C480" s="19"/>
      <c r="D480" s="19"/>
      <c r="E480" s="15"/>
      <c r="F480" s="15"/>
      <c r="G480" s="11" t="s">
        <v>6</v>
      </c>
      <c r="H480" s="15"/>
      <c r="I480" s="19">
        <v>260.0</v>
      </c>
      <c r="J480" s="19"/>
    </row>
    <row r="481">
      <c r="A481" s="11"/>
      <c r="B481" s="19" t="s">
        <v>27</v>
      </c>
      <c r="C481" s="19">
        <v>1980.0</v>
      </c>
      <c r="D481" s="19"/>
      <c r="E481" s="15"/>
      <c r="F481" s="15"/>
      <c r="G481" s="20" t="s">
        <v>81</v>
      </c>
      <c r="H481" s="15"/>
      <c r="I481" s="19">
        <v>40.0</v>
      </c>
      <c r="J481" s="19"/>
    </row>
    <row r="482">
      <c r="A482" s="11"/>
      <c r="B482" s="19" t="s">
        <v>37</v>
      </c>
      <c r="C482" s="19"/>
      <c r="D482" s="19"/>
      <c r="E482" s="15"/>
      <c r="F482" s="15"/>
      <c r="G482" s="11" t="s">
        <v>8</v>
      </c>
      <c r="H482" s="15"/>
      <c r="I482" s="19">
        <v>132.0</v>
      </c>
      <c r="J482" s="19"/>
    </row>
    <row r="483">
      <c r="A483" s="11"/>
      <c r="B483" s="19" t="s">
        <v>52</v>
      </c>
      <c r="C483" s="19"/>
      <c r="D483" s="19"/>
      <c r="E483" s="15"/>
      <c r="F483" s="15"/>
      <c r="G483" s="20" t="s">
        <v>47</v>
      </c>
      <c r="H483" s="15"/>
      <c r="I483" s="19"/>
      <c r="J483" s="19"/>
    </row>
    <row r="484">
      <c r="A484" s="11"/>
      <c r="B484" s="15"/>
      <c r="C484" s="15"/>
      <c r="D484" s="15"/>
      <c r="E484" s="15"/>
      <c r="F484" s="15"/>
      <c r="G484" s="11" t="s">
        <v>10</v>
      </c>
      <c r="H484" s="15"/>
      <c r="I484" s="19">
        <v>300.0</v>
      </c>
      <c r="J484" s="15"/>
    </row>
    <row r="485">
      <c r="A485" s="11"/>
      <c r="B485" s="31" t="s">
        <v>82</v>
      </c>
      <c r="E485" s="15"/>
      <c r="F485" s="15"/>
      <c r="G485" s="20" t="s">
        <v>34</v>
      </c>
      <c r="H485" s="15"/>
      <c r="I485" s="19">
        <v>430.0</v>
      </c>
      <c r="J485" s="19"/>
    </row>
    <row r="486">
      <c r="A486" s="11"/>
      <c r="B486" s="15"/>
      <c r="C486" s="15"/>
      <c r="D486" s="15"/>
      <c r="E486" s="15"/>
      <c r="F486" s="15"/>
      <c r="G486" s="20" t="s">
        <v>28</v>
      </c>
      <c r="H486" s="15"/>
      <c r="I486" s="15"/>
      <c r="J486" s="15"/>
    </row>
    <row r="487">
      <c r="A487" s="11"/>
      <c r="B487" s="15"/>
      <c r="C487" s="15"/>
      <c r="D487" s="15"/>
      <c r="E487" s="15"/>
      <c r="F487" s="15"/>
      <c r="G487" s="11" t="s">
        <v>11</v>
      </c>
      <c r="H487" s="15"/>
      <c r="I487" s="15"/>
      <c r="J487" s="15"/>
    </row>
    <row r="488">
      <c r="A488" s="11"/>
      <c r="B488" s="15"/>
      <c r="C488" s="15"/>
      <c r="D488" s="15"/>
      <c r="E488" s="15"/>
      <c r="F488" s="15"/>
      <c r="G488" s="11" t="s">
        <v>12</v>
      </c>
      <c r="H488" s="15"/>
      <c r="I488" s="19"/>
      <c r="J488" s="19"/>
    </row>
    <row r="489">
      <c r="A489" s="11"/>
      <c r="B489" s="15"/>
      <c r="C489" s="15"/>
      <c r="D489" s="15"/>
      <c r="E489" s="15"/>
      <c r="F489" s="15"/>
      <c r="G489" s="11" t="s">
        <v>13</v>
      </c>
      <c r="H489" s="15"/>
      <c r="I489" s="19">
        <v>200.0</v>
      </c>
      <c r="J489" s="19"/>
    </row>
    <row r="490">
      <c r="A490" s="11"/>
      <c r="B490" s="15"/>
      <c r="C490" s="15"/>
      <c r="D490" s="15"/>
      <c r="E490" s="15"/>
      <c r="F490" s="15"/>
      <c r="G490" s="11" t="s">
        <v>14</v>
      </c>
      <c r="H490" s="15"/>
      <c r="I490" s="19"/>
      <c r="J490" s="19"/>
    </row>
    <row r="491">
      <c r="A491" s="11"/>
      <c r="B491" s="15"/>
      <c r="C491" s="15"/>
      <c r="D491" s="15"/>
      <c r="E491" s="15"/>
      <c r="F491" s="15"/>
      <c r="G491" s="11" t="s">
        <v>15</v>
      </c>
      <c r="H491" s="15"/>
      <c r="I491" s="15"/>
      <c r="J491" s="15"/>
    </row>
    <row r="492">
      <c r="A492" s="11"/>
      <c r="B492" s="19"/>
      <c r="C492" s="15"/>
      <c r="D492" s="15"/>
      <c r="E492" s="15"/>
      <c r="F492" s="15"/>
      <c r="G492" s="11" t="s">
        <v>16</v>
      </c>
      <c r="H492" s="15"/>
      <c r="I492" s="15"/>
      <c r="J492" s="15"/>
    </row>
    <row r="493">
      <c r="A493" s="11"/>
      <c r="B493" s="15"/>
      <c r="C493" s="15"/>
      <c r="D493" s="15"/>
      <c r="E493" s="15"/>
      <c r="F493" s="15"/>
      <c r="G493" s="11" t="s">
        <v>17</v>
      </c>
      <c r="H493" s="15"/>
      <c r="I493" s="19"/>
      <c r="J493" s="15"/>
    </row>
    <row r="494">
      <c r="A494" s="11"/>
      <c r="B494" s="15"/>
      <c r="C494" s="15"/>
      <c r="D494" s="15"/>
      <c r="E494" s="15"/>
      <c r="F494" s="15"/>
      <c r="G494" s="11" t="s">
        <v>18</v>
      </c>
      <c r="H494" s="15"/>
      <c r="I494" s="15"/>
      <c r="J494" s="19"/>
    </row>
    <row r="495">
      <c r="A495" s="11"/>
      <c r="B495" s="15"/>
      <c r="C495" s="15"/>
      <c r="D495" s="15"/>
      <c r="E495" s="15"/>
      <c r="F495" s="15"/>
      <c r="G495" s="11" t="s">
        <v>19</v>
      </c>
      <c r="H495" s="15"/>
      <c r="I495" s="19">
        <v>85.0</v>
      </c>
      <c r="J495" s="19"/>
    </row>
    <row r="496">
      <c r="A496" s="11"/>
      <c r="B496" s="15"/>
      <c r="C496" s="15"/>
      <c r="D496" s="15"/>
      <c r="E496" s="15"/>
      <c r="F496" s="15"/>
      <c r="G496" s="11" t="s">
        <v>20</v>
      </c>
      <c r="H496" s="15"/>
      <c r="I496" s="15"/>
      <c r="J496" s="15"/>
    </row>
    <row r="497">
      <c r="A497" s="11"/>
      <c r="B497" s="15"/>
      <c r="C497" s="15"/>
      <c r="D497" s="15"/>
      <c r="E497" s="15"/>
      <c r="F497" s="15"/>
      <c r="G497" s="20" t="s">
        <v>48</v>
      </c>
      <c r="H497" s="15"/>
      <c r="I497" s="19">
        <v>300.0</v>
      </c>
      <c r="J497" s="19"/>
    </row>
    <row r="498">
      <c r="A498" s="11"/>
      <c r="B498" s="15"/>
      <c r="C498" s="15"/>
      <c r="D498" s="15"/>
      <c r="E498" s="15"/>
      <c r="F498" s="15"/>
      <c r="G498" s="11" t="s">
        <v>21</v>
      </c>
      <c r="H498" s="15"/>
      <c r="I498" s="19"/>
      <c r="J498" s="19"/>
    </row>
    <row r="499">
      <c r="A499" s="11"/>
      <c r="B499" s="15"/>
      <c r="C499" s="15"/>
      <c r="D499" s="15"/>
      <c r="E499" s="15"/>
      <c r="F499" s="15"/>
      <c r="G499" s="19" t="s">
        <v>29</v>
      </c>
      <c r="H499" s="15"/>
      <c r="I499" s="19"/>
      <c r="J499" s="19"/>
    </row>
    <row r="500">
      <c r="A500" s="11"/>
      <c r="B500" s="15"/>
      <c r="C500" s="15"/>
      <c r="D500" s="15"/>
      <c r="E500" s="15"/>
      <c r="F500" s="15"/>
      <c r="G500" s="19" t="s">
        <v>24</v>
      </c>
      <c r="H500" s="15"/>
      <c r="I500" s="19"/>
      <c r="J500" s="19"/>
    </row>
    <row r="501">
      <c r="A501" s="11"/>
      <c r="B501" s="15"/>
      <c r="C501" s="15"/>
      <c r="D501" s="15"/>
      <c r="E501" s="15"/>
      <c r="F501" s="15"/>
      <c r="G501" s="19" t="s">
        <v>27</v>
      </c>
      <c r="H501" s="15"/>
      <c r="I501" s="15"/>
      <c r="J501" s="15"/>
    </row>
    <row r="502">
      <c r="A502" s="11"/>
      <c r="B502" s="15"/>
      <c r="C502" s="15"/>
      <c r="D502" s="15"/>
      <c r="E502" s="15"/>
      <c r="F502" s="15"/>
      <c r="G502" s="19" t="s">
        <v>83</v>
      </c>
      <c r="H502" s="15"/>
      <c r="I502" s="19">
        <v>940.0</v>
      </c>
      <c r="J502" s="15"/>
    </row>
    <row r="503">
      <c r="A503" s="11"/>
      <c r="B503" s="15"/>
      <c r="C503" s="15"/>
      <c r="D503" s="15"/>
      <c r="E503" s="15"/>
      <c r="F503" s="15"/>
      <c r="G503" s="19" t="s">
        <v>40</v>
      </c>
      <c r="H503" s="15"/>
      <c r="I503" s="15"/>
      <c r="J503" s="15"/>
    </row>
    <row r="504">
      <c r="A504" s="11"/>
      <c r="B504" s="15"/>
      <c r="C504" s="15"/>
      <c r="D504" s="15"/>
      <c r="E504" s="15"/>
      <c r="F504" s="15"/>
      <c r="G504" s="19" t="s">
        <v>31</v>
      </c>
      <c r="H504" s="15"/>
      <c r="I504" s="19"/>
      <c r="J504" s="15"/>
    </row>
    <row r="506">
      <c r="G506" s="7" t="s">
        <v>41</v>
      </c>
    </row>
    <row r="508">
      <c r="G508" s="7" t="s">
        <v>42</v>
      </c>
    </row>
    <row r="510">
      <c r="G510" s="32" t="s">
        <v>84</v>
      </c>
      <c r="J510" s="33"/>
    </row>
    <row r="513">
      <c r="A513" s="9" t="s">
        <v>85</v>
      </c>
      <c r="B513" s="28" t="s">
        <v>86</v>
      </c>
      <c r="C513" s="26"/>
      <c r="D513" s="11"/>
      <c r="F513" s="13"/>
      <c r="G513" s="11"/>
      <c r="H513" s="11"/>
      <c r="I513" s="11"/>
      <c r="K513" s="7"/>
    </row>
    <row r="514">
      <c r="A514" s="11"/>
      <c r="B514" s="11"/>
      <c r="C514" s="11"/>
      <c r="D514" s="15"/>
      <c r="E514" s="15"/>
      <c r="F514" s="15"/>
      <c r="G514" s="11"/>
      <c r="H514" s="15"/>
      <c r="I514" s="11"/>
      <c r="J514" s="15"/>
    </row>
    <row r="515">
      <c r="A515" s="11"/>
      <c r="B515" s="11"/>
      <c r="C515" s="11"/>
      <c r="D515" s="15"/>
      <c r="E515" s="15"/>
      <c r="F515" s="15"/>
      <c r="G515" s="11"/>
      <c r="H515" s="15"/>
      <c r="I515" s="11"/>
      <c r="J515" s="15"/>
    </row>
    <row r="516">
      <c r="A516" s="29" t="s">
        <v>59</v>
      </c>
      <c r="B516" s="11" t="s">
        <v>3</v>
      </c>
      <c r="C516" s="18">
        <v>1350.0</v>
      </c>
      <c r="D516" s="17"/>
      <c r="E516" s="30" t="s">
        <v>60</v>
      </c>
      <c r="F516" s="15"/>
      <c r="G516" s="11" t="s">
        <v>4</v>
      </c>
      <c r="H516" s="15"/>
      <c r="I516" s="19">
        <v>54.0</v>
      </c>
      <c r="J516" s="19"/>
    </row>
    <row r="517">
      <c r="A517" s="11"/>
      <c r="B517" s="19" t="s">
        <v>24</v>
      </c>
      <c r="C517" s="19"/>
      <c r="D517" s="19"/>
      <c r="E517" s="15"/>
      <c r="F517" s="15"/>
      <c r="G517" s="20" t="s">
        <v>25</v>
      </c>
      <c r="H517" s="15"/>
      <c r="I517" s="19">
        <v>30.0</v>
      </c>
      <c r="J517" s="19"/>
    </row>
    <row r="518">
      <c r="A518" s="11"/>
      <c r="B518" s="19" t="s">
        <v>26</v>
      </c>
      <c r="C518" s="19"/>
      <c r="D518" s="19"/>
      <c r="E518" s="15"/>
      <c r="F518" s="15"/>
      <c r="G518" s="11" t="s">
        <v>6</v>
      </c>
      <c r="H518" s="15"/>
      <c r="I518" s="19">
        <v>240.0</v>
      </c>
      <c r="J518" s="19"/>
    </row>
    <row r="519">
      <c r="A519" s="11"/>
      <c r="B519" s="19" t="s">
        <v>27</v>
      </c>
      <c r="C519" s="19">
        <v>230.0</v>
      </c>
      <c r="D519" s="19"/>
      <c r="E519" s="15"/>
      <c r="F519" s="15"/>
      <c r="G519" s="20" t="s">
        <v>81</v>
      </c>
      <c r="H519" s="15"/>
      <c r="I519" s="19">
        <v>150.0</v>
      </c>
      <c r="J519" s="19"/>
    </row>
    <row r="520">
      <c r="A520" s="11"/>
      <c r="B520" s="19" t="s">
        <v>37</v>
      </c>
      <c r="C520" s="19"/>
      <c r="D520" s="19"/>
      <c r="E520" s="15"/>
      <c r="F520" s="15"/>
      <c r="G520" s="11" t="s">
        <v>8</v>
      </c>
      <c r="H520" s="15"/>
      <c r="I520" s="19">
        <v>132.0</v>
      </c>
      <c r="J520" s="19"/>
    </row>
    <row r="521">
      <c r="A521" s="11"/>
      <c r="B521" s="19" t="s">
        <v>52</v>
      </c>
      <c r="C521" s="19"/>
      <c r="D521" s="19"/>
      <c r="E521" s="15"/>
      <c r="F521" s="15"/>
      <c r="G521" s="20" t="s">
        <v>47</v>
      </c>
      <c r="H521" s="15"/>
      <c r="I521" s="19">
        <v>377.0</v>
      </c>
      <c r="J521" s="19"/>
    </row>
    <row r="522">
      <c r="A522" s="11"/>
      <c r="B522" s="15"/>
      <c r="C522" s="15"/>
      <c r="D522" s="15"/>
      <c r="E522" s="15"/>
      <c r="F522" s="15"/>
      <c r="G522" s="11" t="s">
        <v>10</v>
      </c>
      <c r="H522" s="15"/>
      <c r="I522" s="19"/>
      <c r="J522" s="15"/>
    </row>
    <row r="523">
      <c r="A523" s="11"/>
      <c r="B523" s="31" t="s">
        <v>87</v>
      </c>
      <c r="E523" s="15"/>
      <c r="F523" s="15"/>
      <c r="G523" s="20" t="s">
        <v>34</v>
      </c>
      <c r="H523" s="15"/>
      <c r="I523" s="19">
        <v>20.0</v>
      </c>
      <c r="J523" s="19"/>
    </row>
    <row r="524">
      <c r="A524" s="11"/>
      <c r="B524" s="15"/>
      <c r="C524" s="15"/>
      <c r="D524" s="15"/>
      <c r="E524" s="15"/>
      <c r="F524" s="15"/>
      <c r="G524" s="20" t="s">
        <v>28</v>
      </c>
      <c r="H524" s="15"/>
      <c r="I524" s="15"/>
      <c r="J524" s="15"/>
    </row>
    <row r="525">
      <c r="A525" s="11"/>
      <c r="B525" s="15"/>
      <c r="C525" s="15"/>
      <c r="D525" s="15"/>
      <c r="E525" s="15"/>
      <c r="F525" s="15"/>
      <c r="G525" s="11" t="s">
        <v>11</v>
      </c>
      <c r="H525" s="15"/>
      <c r="I525" s="15"/>
      <c r="J525" s="15"/>
    </row>
    <row r="526">
      <c r="A526" s="11"/>
      <c r="B526" s="15"/>
      <c r="C526" s="15"/>
      <c r="D526" s="15"/>
      <c r="E526" s="15"/>
      <c r="F526" s="15"/>
      <c r="G526" s="11" t="s">
        <v>12</v>
      </c>
      <c r="H526" s="15"/>
      <c r="I526" s="19">
        <v>200.0</v>
      </c>
      <c r="J526" s="19"/>
    </row>
    <row r="527">
      <c r="A527" s="11"/>
      <c r="B527" s="15"/>
      <c r="C527" s="15"/>
      <c r="D527" s="15"/>
      <c r="E527" s="15"/>
      <c r="F527" s="15"/>
      <c r="G527" s="11" t="s">
        <v>13</v>
      </c>
      <c r="H527" s="15"/>
      <c r="I527" s="19"/>
      <c r="J527" s="19"/>
    </row>
    <row r="528">
      <c r="A528" s="11"/>
      <c r="B528" s="15"/>
      <c r="C528" s="15"/>
      <c r="D528" s="15"/>
      <c r="E528" s="15"/>
      <c r="F528" s="15"/>
      <c r="G528" s="11" t="s">
        <v>14</v>
      </c>
      <c r="H528" s="15"/>
      <c r="I528" s="19"/>
      <c r="J528" s="19"/>
    </row>
    <row r="529">
      <c r="A529" s="11"/>
      <c r="B529" s="15"/>
      <c r="C529" s="15"/>
      <c r="D529" s="15"/>
      <c r="E529" s="15"/>
      <c r="F529" s="15"/>
      <c r="G529" s="20" t="s">
        <v>88</v>
      </c>
      <c r="H529" s="15"/>
      <c r="I529" s="19">
        <v>100.0</v>
      </c>
      <c r="J529" s="15"/>
    </row>
    <row r="530">
      <c r="A530" s="11"/>
      <c r="B530" s="15"/>
      <c r="C530" s="15"/>
      <c r="D530" s="15"/>
      <c r="E530" s="15"/>
      <c r="F530" s="15"/>
      <c r="G530" s="11" t="s">
        <v>15</v>
      </c>
      <c r="H530" s="15"/>
      <c r="I530" s="15"/>
      <c r="J530" s="15"/>
    </row>
    <row r="531">
      <c r="A531" s="11"/>
      <c r="B531" s="19"/>
      <c r="C531" s="15"/>
      <c r="D531" s="15"/>
      <c r="E531" s="15"/>
      <c r="F531" s="15"/>
      <c r="G531" s="11" t="s">
        <v>16</v>
      </c>
      <c r="H531" s="15"/>
      <c r="I531" s="15"/>
      <c r="J531" s="15"/>
    </row>
    <row r="532">
      <c r="A532" s="11"/>
      <c r="B532" s="15"/>
      <c r="C532" s="15"/>
      <c r="D532" s="15"/>
      <c r="E532" s="15"/>
      <c r="F532" s="15"/>
      <c r="G532" s="11" t="s">
        <v>17</v>
      </c>
      <c r="H532" s="15"/>
      <c r="I532" s="19">
        <v>46.0</v>
      </c>
      <c r="J532" s="15"/>
    </row>
    <row r="533">
      <c r="A533" s="11"/>
      <c r="B533" s="15"/>
      <c r="C533" s="15"/>
      <c r="D533" s="15"/>
      <c r="E533" s="15"/>
      <c r="F533" s="15"/>
      <c r="G533" s="11" t="s">
        <v>18</v>
      </c>
      <c r="H533" s="15"/>
      <c r="I533" s="15"/>
      <c r="J533" s="19"/>
    </row>
    <row r="534">
      <c r="A534" s="11"/>
      <c r="B534" s="15"/>
      <c r="C534" s="15"/>
      <c r="D534" s="15"/>
      <c r="E534" s="15"/>
      <c r="F534" s="15"/>
      <c r="G534" s="11" t="s">
        <v>19</v>
      </c>
      <c r="H534" s="15"/>
      <c r="I534" s="19">
        <v>90.0</v>
      </c>
      <c r="J534" s="19"/>
    </row>
    <row r="535">
      <c r="A535" s="11"/>
      <c r="B535" s="15"/>
      <c r="C535" s="15"/>
      <c r="D535" s="15"/>
      <c r="E535" s="15"/>
      <c r="F535" s="15"/>
      <c r="G535" s="11" t="s">
        <v>20</v>
      </c>
      <c r="H535" s="15"/>
      <c r="I535" s="15"/>
      <c r="J535" s="15"/>
    </row>
    <row r="536">
      <c r="A536" s="11"/>
      <c r="B536" s="15"/>
      <c r="C536" s="15"/>
      <c r="D536" s="15"/>
      <c r="E536" s="15"/>
      <c r="F536" s="15"/>
      <c r="G536" s="20" t="s">
        <v>48</v>
      </c>
      <c r="H536" s="15"/>
      <c r="I536" s="19">
        <v>300.0</v>
      </c>
      <c r="J536" s="19"/>
    </row>
    <row r="537">
      <c r="A537" s="11"/>
      <c r="B537" s="15"/>
      <c r="C537" s="15"/>
      <c r="D537" s="15"/>
      <c r="E537" s="15"/>
      <c r="F537" s="15"/>
      <c r="G537" s="11" t="s">
        <v>21</v>
      </c>
      <c r="H537" s="15"/>
      <c r="I537" s="19">
        <v>20.0</v>
      </c>
      <c r="J537" s="19"/>
    </row>
    <row r="538">
      <c r="A538" s="11"/>
      <c r="B538" s="15"/>
      <c r="C538" s="15"/>
      <c r="D538" s="15"/>
      <c r="E538" s="15"/>
      <c r="F538" s="15"/>
      <c r="G538" s="19" t="s">
        <v>29</v>
      </c>
      <c r="H538" s="15"/>
      <c r="I538" s="19">
        <v>120.0</v>
      </c>
      <c r="J538" s="19"/>
    </row>
    <row r="539">
      <c r="A539" s="11"/>
      <c r="B539" s="15"/>
      <c r="C539" s="15"/>
      <c r="D539" s="15"/>
      <c r="E539" s="15"/>
      <c r="F539" s="15"/>
      <c r="G539" s="19" t="s">
        <v>24</v>
      </c>
      <c r="H539" s="15"/>
      <c r="I539" s="19"/>
      <c r="J539" s="19"/>
    </row>
    <row r="540">
      <c r="A540" s="11"/>
      <c r="B540" s="15"/>
      <c r="C540" s="15"/>
      <c r="D540" s="15"/>
      <c r="E540" s="15"/>
      <c r="F540" s="15"/>
      <c r="G540" s="19" t="s">
        <v>27</v>
      </c>
      <c r="H540" s="15"/>
      <c r="I540" s="15"/>
      <c r="J540" s="15"/>
    </row>
    <row r="541">
      <c r="A541" s="11"/>
      <c r="B541" s="15"/>
      <c r="C541" s="15"/>
      <c r="D541" s="15"/>
      <c r="E541" s="15"/>
      <c r="F541" s="15"/>
      <c r="G541" s="19" t="s">
        <v>83</v>
      </c>
      <c r="H541" s="15"/>
      <c r="I541" s="19"/>
      <c r="J541" s="15"/>
    </row>
    <row r="542">
      <c r="A542" s="11"/>
      <c r="B542" s="15"/>
      <c r="C542" s="15"/>
      <c r="D542" s="15"/>
      <c r="E542" s="15"/>
      <c r="F542" s="15"/>
      <c r="G542" s="19" t="s">
        <v>40</v>
      </c>
      <c r="H542" s="15"/>
      <c r="I542" s="15"/>
      <c r="J542" s="15"/>
    </row>
    <row r="543">
      <c r="A543" s="11"/>
      <c r="B543" s="15"/>
      <c r="C543" s="15"/>
      <c r="D543" s="15"/>
      <c r="E543" s="15"/>
      <c r="F543" s="15"/>
      <c r="G543" s="19" t="s">
        <v>31</v>
      </c>
      <c r="H543" s="15"/>
      <c r="I543" s="19"/>
      <c r="J543" s="15"/>
    </row>
    <row r="545">
      <c r="G545" s="7" t="s">
        <v>41</v>
      </c>
    </row>
    <row r="547">
      <c r="G547" s="7" t="s">
        <v>42</v>
      </c>
    </row>
    <row r="549">
      <c r="G549" s="32" t="s">
        <v>89</v>
      </c>
      <c r="J549" s="33"/>
    </row>
  </sheetData>
  <mergeCells count="23">
    <mergeCell ref="B214:C214"/>
    <mergeCell ref="B248:C248"/>
    <mergeCell ref="B285:C285"/>
    <mergeCell ref="B295:D295"/>
    <mergeCell ref="G320:I320"/>
    <mergeCell ref="B322:C322"/>
    <mergeCell ref="B332:D332"/>
    <mergeCell ref="G357:I357"/>
    <mergeCell ref="B360:C360"/>
    <mergeCell ref="B370:D370"/>
    <mergeCell ref="G395:I395"/>
    <mergeCell ref="B398:C398"/>
    <mergeCell ref="B408:D408"/>
    <mergeCell ref="G433:I433"/>
    <mergeCell ref="G510:I510"/>
    <mergeCell ref="G549:I549"/>
    <mergeCell ref="B436:C436"/>
    <mergeCell ref="B446:D446"/>
    <mergeCell ref="G471:I471"/>
    <mergeCell ref="B475:C475"/>
    <mergeCell ref="B485:D485"/>
    <mergeCell ref="B513:C513"/>
    <mergeCell ref="B523:D523"/>
  </mergeCells>
  <conditionalFormatting sqref="D1:D221 D223:D294 D296:D331 D333:D369 D371:D407 D409:D445 D447:D484 D486:D522 D524:D1008">
    <cfRule type="notContainsBlanks" dxfId="0" priority="1">
      <formula>LEN(TRIM(D1))&gt;0</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75"/>
    <col customWidth="1" min="3" max="3" width="26.63"/>
  </cols>
  <sheetData>
    <row r="1">
      <c r="A1" s="7"/>
    </row>
    <row r="2">
      <c r="A2" s="13" t="s">
        <v>90</v>
      </c>
      <c r="B2" s="34"/>
      <c r="C2" s="27" t="s">
        <v>91</v>
      </c>
      <c r="D2" s="26"/>
      <c r="E2" s="11"/>
      <c r="G2" s="13"/>
      <c r="H2" s="11"/>
      <c r="I2" s="11"/>
      <c r="J2" s="11"/>
      <c r="L2" s="7"/>
    </row>
    <row r="3">
      <c r="A3" s="11"/>
      <c r="B3" s="11"/>
      <c r="C3" s="11"/>
      <c r="D3" s="11"/>
      <c r="E3" s="15"/>
      <c r="F3" s="15"/>
      <c r="G3" s="15"/>
      <c r="H3" s="11"/>
      <c r="I3" s="15"/>
      <c r="J3" s="11"/>
      <c r="K3" s="15"/>
    </row>
    <row r="4">
      <c r="A4" s="11"/>
      <c r="B4" s="11"/>
      <c r="C4" s="11"/>
      <c r="D4" s="11"/>
      <c r="E4" s="15"/>
      <c r="F4" s="15"/>
      <c r="G4" s="15"/>
      <c r="H4" s="11"/>
      <c r="I4" s="15"/>
      <c r="J4" s="11"/>
      <c r="K4" s="15"/>
    </row>
    <row r="5">
      <c r="A5" s="29" t="s">
        <v>92</v>
      </c>
      <c r="B5" s="11"/>
      <c r="C5" s="11" t="s">
        <v>3</v>
      </c>
      <c r="D5" s="18">
        <v>1680.0</v>
      </c>
      <c r="E5" s="17"/>
      <c r="G5" s="35" t="s">
        <v>60</v>
      </c>
      <c r="H5" s="11" t="s">
        <v>4</v>
      </c>
      <c r="I5" s="15"/>
      <c r="J5" s="19">
        <v>100.0</v>
      </c>
      <c r="K5" s="19"/>
    </row>
    <row r="6">
      <c r="A6" s="11"/>
      <c r="B6" s="19"/>
      <c r="C6" s="19" t="s">
        <v>24</v>
      </c>
      <c r="D6" s="19"/>
      <c r="E6" s="19"/>
      <c r="F6" s="15"/>
      <c r="G6" s="15"/>
      <c r="H6" s="20" t="s">
        <v>25</v>
      </c>
      <c r="I6" s="15"/>
      <c r="J6" s="19"/>
      <c r="K6" s="19"/>
    </row>
    <row r="7">
      <c r="A7" s="36" t="s">
        <v>93</v>
      </c>
      <c r="B7" s="19"/>
      <c r="C7" s="19" t="s">
        <v>26</v>
      </c>
      <c r="D7" s="19"/>
      <c r="E7" s="19"/>
      <c r="F7" s="15"/>
      <c r="G7" s="15"/>
      <c r="H7" s="11" t="s">
        <v>6</v>
      </c>
      <c r="I7" s="15"/>
      <c r="J7" s="19">
        <v>300.0</v>
      </c>
      <c r="K7" s="19"/>
    </row>
    <row r="8">
      <c r="A8" s="11"/>
      <c r="B8" s="19"/>
      <c r="C8" s="19" t="s">
        <v>27</v>
      </c>
      <c r="D8" s="19">
        <v>2430.0</v>
      </c>
      <c r="E8" s="19"/>
      <c r="F8" s="15"/>
      <c r="G8" s="15"/>
      <c r="H8" s="20" t="s">
        <v>81</v>
      </c>
      <c r="I8" s="15"/>
      <c r="J8" s="19">
        <v>657.0</v>
      </c>
      <c r="K8" s="19"/>
    </row>
    <row r="9">
      <c r="A9" s="11"/>
      <c r="B9" s="19"/>
      <c r="C9" s="19" t="s">
        <v>37</v>
      </c>
      <c r="D9" s="19"/>
      <c r="E9" s="19"/>
      <c r="F9" s="15"/>
      <c r="G9" s="15"/>
      <c r="H9" s="11" t="s">
        <v>8</v>
      </c>
      <c r="I9" s="15"/>
      <c r="J9" s="19">
        <v>131.0</v>
      </c>
      <c r="K9" s="19"/>
    </row>
    <row r="10">
      <c r="A10" s="11"/>
      <c r="B10" s="19"/>
      <c r="C10" s="19" t="s">
        <v>52</v>
      </c>
      <c r="D10" s="19"/>
      <c r="E10" s="19"/>
      <c r="F10" s="15"/>
      <c r="G10" s="15"/>
      <c r="H10" s="20" t="s">
        <v>94</v>
      </c>
      <c r="I10" s="15"/>
      <c r="J10" s="19">
        <v>30.0</v>
      </c>
      <c r="K10" s="19"/>
    </row>
    <row r="11">
      <c r="A11" s="11"/>
      <c r="B11" s="15"/>
      <c r="C11" s="15"/>
      <c r="D11" s="15"/>
      <c r="E11" s="15"/>
      <c r="F11" s="15"/>
      <c r="G11" s="15"/>
      <c r="H11" s="11" t="s">
        <v>10</v>
      </c>
      <c r="I11" s="15"/>
      <c r="J11" s="19"/>
      <c r="K11" s="15"/>
    </row>
    <row r="12">
      <c r="A12" s="11"/>
      <c r="B12" s="37"/>
      <c r="C12" s="37"/>
      <c r="D12" s="37"/>
      <c r="E12" s="37"/>
      <c r="F12" s="15"/>
      <c r="G12" s="15"/>
      <c r="H12" s="20" t="s">
        <v>34</v>
      </c>
      <c r="I12" s="15"/>
      <c r="J12" s="19">
        <v>40.0</v>
      </c>
      <c r="K12" s="19"/>
    </row>
    <row r="13">
      <c r="A13" s="11"/>
      <c r="B13" s="15"/>
      <c r="C13" s="15"/>
      <c r="D13" s="15"/>
      <c r="E13" s="15"/>
      <c r="F13" s="15"/>
      <c r="G13" s="15"/>
      <c r="H13" s="20" t="s">
        <v>28</v>
      </c>
      <c r="I13" s="15"/>
      <c r="J13" s="15"/>
      <c r="K13" s="15"/>
    </row>
    <row r="14">
      <c r="A14" s="11"/>
      <c r="B14" s="15"/>
      <c r="C14" s="15"/>
      <c r="D14" s="15"/>
      <c r="E14" s="15"/>
      <c r="F14" s="15"/>
      <c r="G14" s="15"/>
      <c r="H14" s="11" t="s">
        <v>11</v>
      </c>
      <c r="I14" s="15"/>
      <c r="J14" s="15"/>
      <c r="K14" s="15"/>
    </row>
    <row r="15">
      <c r="A15" s="11"/>
      <c r="B15" s="15"/>
      <c r="C15" s="15"/>
      <c r="D15" s="15"/>
      <c r="E15" s="15"/>
      <c r="F15" s="15"/>
      <c r="G15" s="15"/>
      <c r="H15" s="11" t="s">
        <v>12</v>
      </c>
      <c r="I15" s="15"/>
      <c r="J15" s="19"/>
      <c r="K15" s="19"/>
    </row>
    <row r="16">
      <c r="A16" s="11"/>
      <c r="B16" s="15"/>
      <c r="C16" s="15"/>
      <c r="D16" s="15"/>
      <c r="E16" s="15"/>
      <c r="F16" s="15"/>
      <c r="G16" s="15"/>
      <c r="H16" s="20" t="s">
        <v>95</v>
      </c>
      <c r="I16" s="15"/>
      <c r="J16" s="19">
        <v>440.0</v>
      </c>
      <c r="K16" s="19"/>
    </row>
    <row r="17">
      <c r="A17" s="11"/>
      <c r="B17" s="15"/>
      <c r="C17" s="15"/>
      <c r="D17" s="15"/>
      <c r="E17" s="15"/>
      <c r="F17" s="15"/>
      <c r="G17" s="15"/>
      <c r="H17" s="11" t="s">
        <v>14</v>
      </c>
      <c r="I17" s="15"/>
      <c r="J17" s="19">
        <v>100.0</v>
      </c>
      <c r="K17" s="19"/>
    </row>
    <row r="18">
      <c r="A18" s="11"/>
      <c r="B18" s="15"/>
      <c r="C18" s="15"/>
      <c r="D18" s="15"/>
      <c r="E18" s="15"/>
      <c r="F18" s="15"/>
      <c r="G18" s="15"/>
      <c r="H18" s="20" t="s">
        <v>88</v>
      </c>
      <c r="I18" s="15"/>
      <c r="J18" s="19"/>
      <c r="K18" s="15"/>
    </row>
    <row r="19">
      <c r="A19" s="11"/>
      <c r="B19" s="15"/>
      <c r="C19" s="15"/>
      <c r="D19" s="15"/>
      <c r="E19" s="15"/>
      <c r="F19" s="15"/>
      <c r="G19" s="15"/>
      <c r="H19" s="11" t="s">
        <v>15</v>
      </c>
      <c r="I19" s="15"/>
      <c r="J19" s="15"/>
      <c r="K19" s="15"/>
    </row>
    <row r="20">
      <c r="A20" s="11"/>
      <c r="B20" s="19"/>
      <c r="C20" s="19"/>
      <c r="D20" s="15"/>
      <c r="E20" s="15"/>
      <c r="F20" s="15"/>
      <c r="G20" s="15"/>
      <c r="H20" s="11" t="s">
        <v>16</v>
      </c>
      <c r="I20" s="15"/>
      <c r="J20" s="19">
        <v>455.0</v>
      </c>
      <c r="K20" s="15"/>
    </row>
    <row r="21">
      <c r="A21" s="11"/>
      <c r="B21" s="15"/>
      <c r="C21" s="15"/>
      <c r="D21" s="15"/>
      <c r="E21" s="15"/>
      <c r="F21" s="15"/>
      <c r="G21" s="15"/>
      <c r="H21" s="11" t="s">
        <v>17</v>
      </c>
      <c r="I21" s="15"/>
      <c r="J21" s="19"/>
      <c r="K21" s="15"/>
    </row>
    <row r="22">
      <c r="A22" s="11"/>
      <c r="B22" s="15"/>
      <c r="C22" s="15"/>
      <c r="D22" s="15"/>
      <c r="E22" s="15"/>
      <c r="F22" s="15"/>
      <c r="G22" s="15"/>
      <c r="H22" s="11" t="s">
        <v>18</v>
      </c>
      <c r="I22" s="15"/>
      <c r="J22" s="15"/>
      <c r="K22" s="19"/>
    </row>
    <row r="23">
      <c r="A23" s="11"/>
      <c r="B23" s="15"/>
      <c r="C23" s="15"/>
      <c r="D23" s="15"/>
      <c r="E23" s="15"/>
      <c r="F23" s="15"/>
      <c r="G23" s="15"/>
      <c r="H23" s="11" t="s">
        <v>19</v>
      </c>
      <c r="I23" s="15"/>
      <c r="J23" s="19">
        <v>50.0</v>
      </c>
      <c r="K23" s="19"/>
    </row>
    <row r="24">
      <c r="A24" s="11"/>
      <c r="B24" s="15"/>
      <c r="C24" s="15"/>
      <c r="D24" s="15"/>
      <c r="E24" s="15"/>
      <c r="F24" s="15"/>
      <c r="G24" s="15"/>
      <c r="H24" s="11" t="s">
        <v>20</v>
      </c>
      <c r="I24" s="15"/>
      <c r="J24" s="19">
        <v>50.0</v>
      </c>
      <c r="K24" s="15"/>
    </row>
    <row r="25">
      <c r="A25" s="11"/>
      <c r="B25" s="15"/>
      <c r="C25" s="15"/>
      <c r="D25" s="15"/>
      <c r="E25" s="15"/>
      <c r="F25" s="15"/>
      <c r="G25" s="15"/>
      <c r="H25" s="38" t="s">
        <v>48</v>
      </c>
      <c r="I25" s="39"/>
      <c r="J25" s="24">
        <v>1234.0</v>
      </c>
      <c r="K25" s="19"/>
    </row>
    <row r="26">
      <c r="A26" s="11"/>
      <c r="B26" s="15"/>
      <c r="C26" s="15"/>
      <c r="D26" s="15"/>
      <c r="E26" s="15"/>
      <c r="F26" s="15"/>
      <c r="G26" s="15"/>
      <c r="H26" s="19" t="s">
        <v>29</v>
      </c>
      <c r="I26" s="15"/>
      <c r="J26" s="19">
        <v>285.0</v>
      </c>
      <c r="K26" s="19"/>
    </row>
    <row r="27">
      <c r="A27" s="11"/>
      <c r="B27" s="15"/>
      <c r="C27" s="15"/>
      <c r="D27" s="15"/>
      <c r="E27" s="15"/>
      <c r="F27" s="15"/>
      <c r="G27" s="15"/>
      <c r="H27" s="19" t="s">
        <v>24</v>
      </c>
      <c r="I27" s="15"/>
      <c r="J27" s="19"/>
      <c r="K27" s="19"/>
    </row>
    <row r="28">
      <c r="A28" s="11"/>
      <c r="B28" s="15"/>
      <c r="C28" s="15"/>
      <c r="D28" s="15"/>
      <c r="E28" s="15"/>
      <c r="F28" s="15"/>
      <c r="G28" s="15"/>
      <c r="H28" s="19" t="s">
        <v>27</v>
      </c>
      <c r="I28" s="15"/>
      <c r="J28" s="15"/>
      <c r="K28" s="15"/>
    </row>
    <row r="29">
      <c r="A29" s="11"/>
      <c r="B29" s="15"/>
      <c r="C29" s="15"/>
      <c r="D29" s="15"/>
      <c r="E29" s="15"/>
      <c r="F29" s="15"/>
      <c r="G29" s="15"/>
      <c r="H29" s="19" t="s">
        <v>83</v>
      </c>
      <c r="I29" s="15"/>
      <c r="J29" s="19">
        <v>780.0</v>
      </c>
      <c r="K29" s="15"/>
    </row>
    <row r="30">
      <c r="A30" s="11"/>
      <c r="B30" s="15"/>
      <c r="C30" s="15"/>
      <c r="D30" s="15"/>
      <c r="E30" s="15"/>
      <c r="F30" s="15"/>
      <c r="G30" s="15"/>
      <c r="H30" s="24" t="s">
        <v>96</v>
      </c>
      <c r="I30" s="39"/>
      <c r="J30" s="24">
        <v>500.0</v>
      </c>
      <c r="K30" s="15"/>
    </row>
    <row r="31">
      <c r="A31" s="11"/>
      <c r="B31" s="15"/>
      <c r="C31" s="15"/>
      <c r="D31" s="15"/>
      <c r="E31" s="15"/>
      <c r="F31" s="15"/>
      <c r="G31" s="15"/>
      <c r="H31" s="19" t="s">
        <v>31</v>
      </c>
      <c r="I31" s="15"/>
      <c r="J31" s="19">
        <v>10.0</v>
      </c>
      <c r="K31" s="15"/>
    </row>
    <row r="33">
      <c r="H33" s="7"/>
      <c r="J33" s="40" t="s">
        <v>97</v>
      </c>
    </row>
    <row r="35">
      <c r="A35" s="13" t="s">
        <v>98</v>
      </c>
      <c r="B35" s="34"/>
      <c r="C35" s="27" t="s">
        <v>99</v>
      </c>
      <c r="D35" s="26"/>
      <c r="E35" s="11"/>
      <c r="G35" s="13"/>
      <c r="H35" s="11"/>
      <c r="I35" s="11"/>
      <c r="J35" s="11"/>
    </row>
    <row r="36">
      <c r="A36" s="11"/>
      <c r="B36" s="11"/>
      <c r="C36" s="11"/>
      <c r="D36" s="11"/>
      <c r="E36" s="15"/>
      <c r="F36" s="15"/>
      <c r="G36" s="15"/>
      <c r="H36" s="11"/>
      <c r="I36" s="15"/>
      <c r="J36" s="11"/>
      <c r="K36" s="15"/>
    </row>
    <row r="37">
      <c r="A37" s="11"/>
      <c r="B37" s="11"/>
      <c r="C37" s="11"/>
      <c r="D37" s="11"/>
      <c r="E37" s="15"/>
      <c r="F37" s="15"/>
      <c r="G37" s="15"/>
      <c r="H37" s="11"/>
      <c r="I37" s="15"/>
      <c r="J37" s="11"/>
      <c r="K37" s="15"/>
    </row>
    <row r="38">
      <c r="A38" s="29" t="s">
        <v>100</v>
      </c>
      <c r="B38" s="11"/>
      <c r="C38" s="11" t="s">
        <v>3</v>
      </c>
      <c r="D38" s="18">
        <v>3855.0</v>
      </c>
      <c r="E38" s="17"/>
      <c r="G38" s="35" t="s">
        <v>60</v>
      </c>
      <c r="H38" s="11" t="s">
        <v>4</v>
      </c>
      <c r="I38" s="15"/>
      <c r="J38" s="19">
        <v>45.0</v>
      </c>
      <c r="K38" s="19"/>
    </row>
    <row r="39">
      <c r="A39" s="11"/>
      <c r="B39" s="19"/>
      <c r="C39" s="19" t="s">
        <v>24</v>
      </c>
      <c r="D39" s="19"/>
      <c r="E39" s="19"/>
      <c r="F39" s="15"/>
      <c r="G39" s="15"/>
      <c r="H39" s="20" t="s">
        <v>25</v>
      </c>
      <c r="I39" s="15"/>
      <c r="J39" s="19"/>
      <c r="K39" s="19"/>
    </row>
    <row r="40">
      <c r="A40" s="36" t="s">
        <v>101</v>
      </c>
      <c r="B40" s="19"/>
      <c r="C40" s="19" t="s">
        <v>26</v>
      </c>
      <c r="D40" s="19"/>
      <c r="E40" s="19"/>
      <c r="F40" s="15"/>
      <c r="G40" s="15"/>
      <c r="H40" s="11" t="s">
        <v>6</v>
      </c>
      <c r="I40" s="15"/>
      <c r="J40" s="19">
        <v>65.0</v>
      </c>
      <c r="K40" s="19"/>
      <c r="L40" s="7"/>
    </row>
    <row r="41">
      <c r="A41" s="11"/>
      <c r="B41" s="19"/>
      <c r="C41" s="19" t="s">
        <v>27</v>
      </c>
      <c r="D41" s="19"/>
      <c r="E41" s="19"/>
      <c r="F41" s="15"/>
      <c r="G41" s="15"/>
      <c r="H41" s="20" t="s">
        <v>81</v>
      </c>
      <c r="I41" s="15"/>
      <c r="J41" s="19"/>
      <c r="K41" s="19"/>
    </row>
    <row r="42">
      <c r="A42" s="11"/>
      <c r="B42" s="19"/>
      <c r="C42" s="19" t="s">
        <v>37</v>
      </c>
      <c r="D42" s="19"/>
      <c r="E42" s="19"/>
      <c r="F42" s="15"/>
      <c r="G42" s="15"/>
      <c r="H42" s="11" t="s">
        <v>8</v>
      </c>
      <c r="I42" s="15"/>
      <c r="J42" s="19">
        <v>132.0</v>
      </c>
      <c r="K42" s="19"/>
    </row>
    <row r="43">
      <c r="A43" s="11"/>
      <c r="B43" s="19"/>
      <c r="C43" s="19" t="s">
        <v>52</v>
      </c>
      <c r="D43" s="19"/>
      <c r="E43" s="19"/>
      <c r="F43" s="15"/>
      <c r="G43" s="15"/>
      <c r="H43" s="20" t="s">
        <v>102</v>
      </c>
      <c r="I43" s="15"/>
      <c r="J43" s="19">
        <v>23.0</v>
      </c>
      <c r="K43" s="19"/>
    </row>
    <row r="44">
      <c r="A44" s="11"/>
      <c r="B44" s="15"/>
      <c r="C44" s="15"/>
      <c r="D44" s="15"/>
      <c r="E44" s="15"/>
      <c r="F44" s="15"/>
      <c r="G44" s="15"/>
      <c r="H44" s="11" t="s">
        <v>10</v>
      </c>
      <c r="I44" s="15"/>
      <c r="J44" s="19">
        <v>45.0</v>
      </c>
      <c r="K44" s="15"/>
    </row>
    <row r="45">
      <c r="A45" s="11"/>
      <c r="B45" s="37"/>
      <c r="C45" s="37"/>
      <c r="D45" s="37"/>
      <c r="E45" s="37"/>
      <c r="F45" s="15"/>
      <c r="G45" s="15"/>
      <c r="H45" s="20" t="s">
        <v>34</v>
      </c>
      <c r="I45" s="15"/>
      <c r="J45" s="19">
        <v>20.0</v>
      </c>
      <c r="K45" s="19"/>
    </row>
    <row r="46">
      <c r="A46" s="11"/>
      <c r="B46" s="15"/>
      <c r="C46" s="15"/>
      <c r="D46" s="15"/>
      <c r="E46" s="15"/>
      <c r="F46" s="15"/>
      <c r="G46" s="15"/>
      <c r="H46" s="20" t="s">
        <v>28</v>
      </c>
      <c r="I46" s="15"/>
      <c r="J46" s="15"/>
      <c r="K46" s="15"/>
    </row>
    <row r="47">
      <c r="A47" s="11"/>
      <c r="B47" s="15"/>
      <c r="C47" s="15"/>
      <c r="D47" s="15"/>
      <c r="E47" s="15"/>
      <c r="F47" s="15"/>
      <c r="G47" s="15"/>
      <c r="H47" s="11" t="s">
        <v>11</v>
      </c>
      <c r="I47" s="15"/>
      <c r="J47" s="15"/>
      <c r="K47" s="15"/>
    </row>
    <row r="48">
      <c r="A48" s="11"/>
      <c r="B48" s="15"/>
      <c r="C48" s="15"/>
      <c r="D48" s="15"/>
      <c r="E48" s="15"/>
      <c r="F48" s="15"/>
      <c r="G48" s="15"/>
      <c r="H48" s="11" t="s">
        <v>12</v>
      </c>
      <c r="I48" s="15"/>
      <c r="J48" s="19"/>
      <c r="K48" s="19"/>
    </row>
    <row r="49">
      <c r="A49" s="11"/>
      <c r="B49" s="15"/>
      <c r="C49" s="15"/>
      <c r="D49" s="15"/>
      <c r="E49" s="15"/>
      <c r="F49" s="15"/>
      <c r="G49" s="15"/>
      <c r="H49" s="20" t="s">
        <v>95</v>
      </c>
      <c r="I49" s="15"/>
      <c r="J49" s="19">
        <v>145.0</v>
      </c>
      <c r="K49" s="19"/>
    </row>
    <row r="50">
      <c r="A50" s="11"/>
      <c r="B50" s="15"/>
      <c r="C50" s="15"/>
      <c r="D50" s="15"/>
      <c r="E50" s="15"/>
      <c r="F50" s="15"/>
      <c r="G50" s="15"/>
      <c r="H50" s="11" t="s">
        <v>14</v>
      </c>
      <c r="I50" s="15"/>
      <c r="J50" s="19">
        <v>115.0</v>
      </c>
      <c r="K50" s="19"/>
    </row>
    <row r="51">
      <c r="A51" s="11"/>
      <c r="B51" s="15"/>
      <c r="C51" s="15"/>
      <c r="D51" s="15"/>
      <c r="E51" s="15"/>
      <c r="F51" s="15"/>
      <c r="G51" s="15"/>
      <c r="H51" s="20" t="s">
        <v>103</v>
      </c>
      <c r="I51" s="15"/>
      <c r="J51" s="19">
        <v>100.0</v>
      </c>
      <c r="K51" s="15"/>
    </row>
    <row r="52">
      <c r="A52" s="11"/>
      <c r="B52" s="15"/>
      <c r="C52" s="15"/>
      <c r="D52" s="15"/>
      <c r="E52" s="15"/>
      <c r="F52" s="15"/>
      <c r="G52" s="15"/>
      <c r="H52" s="11" t="s">
        <v>15</v>
      </c>
      <c r="I52" s="15"/>
      <c r="J52" s="15"/>
      <c r="K52" s="15"/>
    </row>
    <row r="53">
      <c r="A53" s="11"/>
      <c r="B53" s="19"/>
      <c r="C53" s="19"/>
      <c r="D53" s="15"/>
      <c r="E53" s="15"/>
      <c r="F53" s="15"/>
      <c r="G53" s="15"/>
      <c r="H53" s="11" t="s">
        <v>16</v>
      </c>
      <c r="I53" s="15"/>
      <c r="J53" s="19"/>
      <c r="K53" s="15"/>
    </row>
    <row r="54">
      <c r="A54" s="11"/>
      <c r="B54" s="15"/>
      <c r="C54" s="15"/>
      <c r="D54" s="15"/>
      <c r="E54" s="15"/>
      <c r="F54" s="15"/>
      <c r="G54" s="15"/>
      <c r="H54" s="11" t="s">
        <v>17</v>
      </c>
      <c r="I54" s="15"/>
      <c r="J54" s="19">
        <v>265.0</v>
      </c>
      <c r="K54" s="15"/>
    </row>
    <row r="55">
      <c r="A55" s="11"/>
      <c r="B55" s="15"/>
      <c r="C55" s="15"/>
      <c r="D55" s="15"/>
      <c r="E55" s="15"/>
      <c r="F55" s="15"/>
      <c r="G55" s="15"/>
      <c r="H55" s="11" t="s">
        <v>18</v>
      </c>
      <c r="I55" s="15"/>
      <c r="J55" s="15"/>
      <c r="K55" s="19"/>
    </row>
    <row r="56">
      <c r="A56" s="11"/>
      <c r="B56" s="15"/>
      <c r="C56" s="15"/>
      <c r="D56" s="15"/>
      <c r="E56" s="15"/>
      <c r="F56" s="15"/>
      <c r="G56" s="15"/>
      <c r="H56" s="11" t="s">
        <v>19</v>
      </c>
      <c r="I56" s="15"/>
      <c r="J56" s="19"/>
      <c r="K56" s="19"/>
    </row>
    <row r="57">
      <c r="A57" s="11"/>
      <c r="B57" s="15"/>
      <c r="C57" s="15"/>
      <c r="D57" s="15"/>
      <c r="E57" s="15"/>
      <c r="F57" s="15"/>
      <c r="G57" s="15"/>
      <c r="H57" s="11" t="s">
        <v>20</v>
      </c>
      <c r="I57" s="15"/>
      <c r="J57" s="19">
        <v>50.0</v>
      </c>
      <c r="K57" s="15"/>
    </row>
    <row r="58">
      <c r="A58" s="11"/>
      <c r="B58" s="15"/>
      <c r="C58" s="15"/>
      <c r="D58" s="15"/>
      <c r="E58" s="15"/>
      <c r="F58" s="15"/>
      <c r="G58" s="15"/>
      <c r="H58" s="38" t="s">
        <v>48</v>
      </c>
      <c r="I58" s="39"/>
      <c r="J58" s="24"/>
      <c r="K58" s="19"/>
    </row>
    <row r="59">
      <c r="A59" s="11"/>
      <c r="B59" s="15"/>
      <c r="C59" s="15"/>
      <c r="D59" s="15"/>
      <c r="E59" s="41"/>
      <c r="F59" s="15"/>
      <c r="G59" s="15"/>
      <c r="H59" s="19" t="s">
        <v>29</v>
      </c>
      <c r="I59" s="15"/>
      <c r="J59" s="19">
        <v>275.0</v>
      </c>
      <c r="K59" s="19"/>
    </row>
    <row r="60">
      <c r="A60" s="11"/>
      <c r="B60" s="15"/>
      <c r="C60" s="15"/>
      <c r="D60" s="15"/>
      <c r="E60" s="15"/>
      <c r="F60" s="15"/>
      <c r="G60" s="15"/>
      <c r="H60" s="19" t="s">
        <v>24</v>
      </c>
      <c r="I60" s="15"/>
      <c r="J60" s="19"/>
      <c r="K60" s="19"/>
    </row>
    <row r="61">
      <c r="A61" s="11"/>
      <c r="B61" s="15"/>
      <c r="C61" s="15"/>
      <c r="D61" s="15"/>
      <c r="E61" s="15"/>
      <c r="F61" s="15"/>
      <c r="G61" s="15"/>
      <c r="H61" s="19" t="s">
        <v>27</v>
      </c>
      <c r="I61" s="15"/>
      <c r="J61" s="15"/>
      <c r="K61" s="15"/>
    </row>
    <row r="62">
      <c r="A62" s="11"/>
      <c r="B62" s="15"/>
      <c r="C62" s="15"/>
      <c r="D62" s="15"/>
      <c r="E62" s="15"/>
      <c r="F62" s="15"/>
      <c r="G62" s="15"/>
      <c r="H62" s="19" t="s">
        <v>83</v>
      </c>
      <c r="I62" s="15"/>
      <c r="J62" s="19">
        <v>90.0</v>
      </c>
      <c r="K62" s="15"/>
    </row>
    <row r="63">
      <c r="A63" s="11"/>
      <c r="B63" s="15"/>
      <c r="C63" s="15"/>
      <c r="D63" s="15"/>
      <c r="E63" s="15"/>
      <c r="F63" s="15"/>
      <c r="G63" s="15"/>
      <c r="H63" s="24" t="s">
        <v>96</v>
      </c>
      <c r="I63" s="39"/>
      <c r="J63" s="24">
        <v>500.0</v>
      </c>
      <c r="K63" s="15"/>
    </row>
    <row r="64">
      <c r="A64" s="11"/>
      <c r="B64" s="15"/>
      <c r="C64" s="15"/>
      <c r="D64" s="15"/>
      <c r="E64" s="15"/>
      <c r="F64" s="15"/>
      <c r="G64" s="15"/>
      <c r="H64" s="19" t="s">
        <v>31</v>
      </c>
      <c r="I64" s="15"/>
      <c r="J64" s="19">
        <v>135.0</v>
      </c>
      <c r="K64" s="15"/>
    </row>
    <row r="66">
      <c r="H66" s="7"/>
      <c r="J66" s="42"/>
    </row>
    <row r="67">
      <c r="A67" s="13" t="s">
        <v>104</v>
      </c>
      <c r="B67" s="34"/>
      <c r="C67" s="27" t="s">
        <v>105</v>
      </c>
      <c r="D67" s="26"/>
      <c r="E67" s="11"/>
      <c r="G67" s="13"/>
      <c r="H67" s="11"/>
      <c r="I67" s="11"/>
      <c r="J67" s="11"/>
    </row>
    <row r="68">
      <c r="A68" s="11"/>
      <c r="B68" s="11"/>
      <c r="C68" s="11"/>
      <c r="D68" s="11"/>
      <c r="E68" s="15"/>
      <c r="F68" s="15"/>
      <c r="G68" s="15"/>
      <c r="H68" s="11"/>
      <c r="I68" s="15"/>
      <c r="J68" s="11"/>
      <c r="K68" s="15"/>
    </row>
    <row r="69">
      <c r="A69" s="11"/>
      <c r="B69" s="11"/>
      <c r="C69" s="11"/>
      <c r="D69" s="11"/>
      <c r="E69" s="15"/>
      <c r="F69" s="15"/>
      <c r="G69" s="15"/>
      <c r="H69" s="11"/>
      <c r="I69" s="15"/>
      <c r="J69" s="11"/>
      <c r="K69" s="15"/>
    </row>
    <row r="70">
      <c r="A70" s="29" t="s">
        <v>106</v>
      </c>
      <c r="B70" s="11"/>
      <c r="C70" s="11" t="s">
        <v>3</v>
      </c>
      <c r="D70" s="18">
        <v>4840.0</v>
      </c>
      <c r="E70" s="17"/>
      <c r="G70" s="35" t="s">
        <v>60</v>
      </c>
      <c r="H70" s="11" t="s">
        <v>4</v>
      </c>
      <c r="I70" s="15"/>
      <c r="J70" s="19">
        <v>60.0</v>
      </c>
      <c r="K70" s="19"/>
    </row>
    <row r="71">
      <c r="A71" s="11"/>
      <c r="B71" s="19"/>
      <c r="C71" s="19" t="s">
        <v>24</v>
      </c>
      <c r="D71" s="19"/>
      <c r="E71" s="19"/>
      <c r="F71" s="15"/>
      <c r="G71" s="15"/>
      <c r="H71" s="20" t="s">
        <v>25</v>
      </c>
      <c r="I71" s="15"/>
      <c r="J71" s="19"/>
      <c r="K71" s="19"/>
    </row>
    <row r="72">
      <c r="A72" s="36" t="s">
        <v>107</v>
      </c>
      <c r="B72" s="19"/>
      <c r="C72" s="19" t="s">
        <v>26</v>
      </c>
      <c r="D72" s="19"/>
      <c r="E72" s="19"/>
      <c r="F72" s="15"/>
      <c r="G72" s="15"/>
      <c r="H72" s="11" t="s">
        <v>6</v>
      </c>
      <c r="I72" s="15"/>
      <c r="J72" s="19">
        <v>120.0</v>
      </c>
      <c r="K72" s="19"/>
    </row>
    <row r="73">
      <c r="A73" s="11"/>
      <c r="B73" s="19"/>
      <c r="C73" s="19" t="s">
        <v>27</v>
      </c>
      <c r="D73" s="19"/>
      <c r="E73" s="19"/>
      <c r="F73" s="15"/>
      <c r="G73" s="15"/>
      <c r="H73" s="20" t="s">
        <v>81</v>
      </c>
      <c r="I73" s="15"/>
      <c r="J73" s="19">
        <v>132.0</v>
      </c>
      <c r="K73" s="19"/>
      <c r="L73" s="7"/>
    </row>
    <row r="74">
      <c r="A74" s="11"/>
      <c r="B74" s="19"/>
      <c r="C74" s="19" t="s">
        <v>37</v>
      </c>
      <c r="D74" s="19"/>
      <c r="E74" s="19"/>
      <c r="F74" s="15"/>
      <c r="G74" s="15"/>
      <c r="H74" s="11" t="s">
        <v>8</v>
      </c>
      <c r="I74" s="15"/>
      <c r="J74" s="19">
        <v>132.0</v>
      </c>
      <c r="K74" s="19"/>
    </row>
    <row r="75">
      <c r="A75" s="11"/>
      <c r="B75" s="19"/>
      <c r="C75" s="19" t="s">
        <v>52</v>
      </c>
      <c r="D75" s="19"/>
      <c r="E75" s="19"/>
      <c r="F75" s="15"/>
      <c r="G75" s="15"/>
      <c r="H75" s="20" t="s">
        <v>94</v>
      </c>
      <c r="I75" s="15"/>
      <c r="J75" s="19"/>
      <c r="K75" s="19"/>
    </row>
    <row r="76">
      <c r="A76" s="11"/>
      <c r="B76" s="15"/>
      <c r="C76" s="15"/>
      <c r="D76" s="15"/>
      <c r="E76" s="15"/>
      <c r="F76" s="15"/>
      <c r="G76" s="15"/>
      <c r="H76" s="11" t="s">
        <v>10</v>
      </c>
      <c r="I76" s="15"/>
      <c r="J76" s="19">
        <v>62.0</v>
      </c>
      <c r="K76" s="15"/>
    </row>
    <row r="77">
      <c r="A77" s="11"/>
      <c r="B77" s="37"/>
      <c r="C77" s="37"/>
      <c r="D77" s="37"/>
      <c r="E77" s="37"/>
      <c r="F77" s="15"/>
      <c r="G77" s="15"/>
      <c r="H77" s="20" t="s">
        <v>34</v>
      </c>
      <c r="I77" s="15"/>
      <c r="J77" s="19">
        <v>40.0</v>
      </c>
      <c r="K77" s="19"/>
    </row>
    <row r="78">
      <c r="A78" s="11"/>
      <c r="B78" s="15"/>
      <c r="C78" s="15"/>
      <c r="D78" s="15"/>
      <c r="E78" s="15"/>
      <c r="F78" s="15"/>
      <c r="G78" s="15"/>
      <c r="H78" s="20" t="s">
        <v>28</v>
      </c>
      <c r="I78" s="15"/>
      <c r="J78" s="15"/>
      <c r="K78" s="15"/>
    </row>
    <row r="79">
      <c r="A79" s="11"/>
      <c r="B79" s="15"/>
      <c r="C79" s="15"/>
      <c r="D79" s="15"/>
      <c r="E79" s="15"/>
      <c r="F79" s="15"/>
      <c r="G79" s="15"/>
      <c r="H79" s="11" t="s">
        <v>11</v>
      </c>
      <c r="I79" s="15"/>
      <c r="J79" s="15"/>
      <c r="K79" s="15"/>
    </row>
    <row r="80">
      <c r="A80" s="11"/>
      <c r="B80" s="15"/>
      <c r="C80" s="15"/>
      <c r="D80" s="15"/>
      <c r="E80" s="15"/>
      <c r="F80" s="15"/>
      <c r="G80" s="15"/>
      <c r="H80" s="11" t="s">
        <v>12</v>
      </c>
      <c r="I80" s="15"/>
      <c r="J80" s="19"/>
      <c r="K80" s="19"/>
    </row>
    <row r="81">
      <c r="A81" s="11"/>
      <c r="B81" s="15"/>
      <c r="C81" s="15"/>
      <c r="D81" s="15"/>
      <c r="E81" s="15"/>
      <c r="F81" s="15"/>
      <c r="G81" s="15"/>
      <c r="H81" s="20" t="s">
        <v>95</v>
      </c>
      <c r="I81" s="15"/>
      <c r="J81" s="19">
        <v>618.0</v>
      </c>
      <c r="K81" s="19"/>
    </row>
    <row r="82">
      <c r="A82" s="11"/>
      <c r="B82" s="15"/>
      <c r="C82" s="15"/>
      <c r="D82" s="15"/>
      <c r="E82" s="15"/>
      <c r="F82" s="15"/>
      <c r="G82" s="15"/>
      <c r="H82" s="11" t="s">
        <v>14</v>
      </c>
      <c r="I82" s="15"/>
      <c r="J82" s="19">
        <v>1135.0</v>
      </c>
      <c r="K82" s="19"/>
    </row>
    <row r="83">
      <c r="A83" s="11"/>
      <c r="B83" s="15"/>
      <c r="C83" s="15"/>
      <c r="D83" s="15"/>
      <c r="E83" s="15"/>
      <c r="F83" s="15"/>
      <c r="G83" s="15"/>
      <c r="H83" s="20" t="s">
        <v>108</v>
      </c>
      <c r="I83" s="15"/>
      <c r="J83" s="19">
        <v>100.0</v>
      </c>
      <c r="K83" s="15"/>
    </row>
    <row r="84">
      <c r="A84" s="11"/>
      <c r="B84" s="15"/>
      <c r="C84" s="15"/>
      <c r="D84" s="15"/>
      <c r="E84" s="15"/>
      <c r="F84" s="15"/>
      <c r="G84" s="15"/>
      <c r="H84" s="11" t="s">
        <v>15</v>
      </c>
      <c r="I84" s="15"/>
      <c r="J84" s="15"/>
      <c r="K84" s="15"/>
    </row>
    <row r="85">
      <c r="A85" s="11"/>
      <c r="B85" s="19"/>
      <c r="C85" s="19"/>
      <c r="D85" s="15"/>
      <c r="E85" s="15"/>
      <c r="F85" s="15"/>
      <c r="G85" s="15"/>
      <c r="H85" s="11" t="s">
        <v>16</v>
      </c>
      <c r="I85" s="15"/>
      <c r="J85" s="19"/>
      <c r="K85" s="15"/>
    </row>
    <row r="86">
      <c r="A86" s="11"/>
      <c r="B86" s="15"/>
      <c r="C86" s="15"/>
      <c r="D86" s="15"/>
      <c r="E86" s="15"/>
      <c r="F86" s="15"/>
      <c r="G86" s="15"/>
      <c r="H86" s="11" t="s">
        <v>17</v>
      </c>
      <c r="I86" s="15"/>
      <c r="J86" s="19">
        <v>380.0</v>
      </c>
      <c r="K86" s="15"/>
    </row>
    <row r="87">
      <c r="A87" s="11"/>
      <c r="B87" s="15"/>
      <c r="C87" s="15"/>
      <c r="D87" s="15"/>
      <c r="E87" s="15"/>
      <c r="F87" s="15"/>
      <c r="G87" s="15"/>
      <c r="H87" s="11" t="s">
        <v>18</v>
      </c>
      <c r="I87" s="15"/>
      <c r="J87" s="19">
        <v>15.0</v>
      </c>
      <c r="K87" s="19"/>
    </row>
    <row r="88">
      <c r="A88" s="11"/>
      <c r="B88" s="15"/>
      <c r="C88" s="15"/>
      <c r="D88" s="15"/>
      <c r="E88" s="15"/>
      <c r="F88" s="15"/>
      <c r="G88" s="15"/>
      <c r="H88" s="11" t="s">
        <v>19</v>
      </c>
      <c r="I88" s="15"/>
      <c r="J88" s="19">
        <v>121.0</v>
      </c>
      <c r="K88" s="19"/>
    </row>
    <row r="89">
      <c r="A89" s="11"/>
      <c r="B89" s="15"/>
      <c r="C89" s="15"/>
      <c r="D89" s="15"/>
      <c r="E89" s="15"/>
      <c r="F89" s="15"/>
      <c r="G89" s="15"/>
      <c r="H89" s="11" t="s">
        <v>20</v>
      </c>
      <c r="I89" s="15"/>
      <c r="J89" s="19"/>
      <c r="K89" s="15"/>
    </row>
    <row r="90">
      <c r="A90" s="11"/>
      <c r="B90" s="15"/>
      <c r="C90" s="15"/>
      <c r="D90" s="15"/>
      <c r="E90" s="15"/>
      <c r="F90" s="15"/>
      <c r="G90" s="15"/>
      <c r="H90" s="38" t="s">
        <v>48</v>
      </c>
      <c r="I90" s="39"/>
      <c r="J90" s="24">
        <v>500.0</v>
      </c>
      <c r="K90" s="19"/>
    </row>
    <row r="91">
      <c r="A91" s="11"/>
      <c r="B91" s="15"/>
      <c r="C91" s="15"/>
      <c r="D91" s="15"/>
      <c r="E91" s="15"/>
      <c r="F91" s="15"/>
      <c r="G91" s="15"/>
      <c r="H91" s="19" t="s">
        <v>29</v>
      </c>
      <c r="I91" s="15"/>
      <c r="J91" s="19">
        <v>195.0</v>
      </c>
      <c r="K91" s="19"/>
    </row>
    <row r="92">
      <c r="A92" s="11"/>
      <c r="B92" s="15"/>
      <c r="C92" s="15"/>
      <c r="D92" s="15"/>
      <c r="E92" s="15"/>
      <c r="F92" s="15"/>
      <c r="G92" s="15"/>
      <c r="H92" s="19" t="s">
        <v>24</v>
      </c>
      <c r="I92" s="15"/>
      <c r="J92" s="19"/>
      <c r="K92" s="19"/>
    </row>
    <row r="93">
      <c r="A93" s="11"/>
      <c r="B93" s="15"/>
      <c r="C93" s="15"/>
      <c r="D93" s="15"/>
      <c r="E93" s="15"/>
      <c r="F93" s="15"/>
      <c r="G93" s="15"/>
      <c r="H93" s="19" t="s">
        <v>27</v>
      </c>
      <c r="I93" s="15"/>
      <c r="J93" s="15"/>
      <c r="K93" s="15"/>
    </row>
    <row r="94">
      <c r="A94" s="11"/>
      <c r="B94" s="15"/>
      <c r="C94" s="15"/>
      <c r="D94" s="15"/>
      <c r="E94" s="15"/>
      <c r="F94" s="15"/>
      <c r="G94" s="15"/>
      <c r="H94" s="19" t="s">
        <v>83</v>
      </c>
      <c r="I94" s="15"/>
      <c r="J94" s="19">
        <v>169.0</v>
      </c>
      <c r="K94" s="15"/>
    </row>
    <row r="95">
      <c r="A95" s="11"/>
      <c r="B95" s="15"/>
      <c r="C95" s="15"/>
      <c r="D95" s="15"/>
      <c r="E95" s="15"/>
      <c r="F95" s="15"/>
      <c r="G95" s="15"/>
      <c r="H95" s="24" t="s">
        <v>96</v>
      </c>
      <c r="I95" s="39"/>
      <c r="J95" s="24">
        <v>500.0</v>
      </c>
      <c r="K95" s="15"/>
    </row>
    <row r="96">
      <c r="A96" s="11"/>
      <c r="B96" s="15"/>
      <c r="C96" s="15"/>
      <c r="D96" s="15"/>
      <c r="E96" s="15"/>
      <c r="F96" s="15"/>
      <c r="G96" s="15"/>
      <c r="H96" s="19" t="s">
        <v>31</v>
      </c>
      <c r="I96" s="15"/>
      <c r="J96" s="19">
        <v>70.0</v>
      </c>
      <c r="K96" s="15"/>
    </row>
    <row r="98">
      <c r="H98" s="7"/>
      <c r="J98" s="42"/>
    </row>
    <row r="99">
      <c r="A99" s="13" t="s">
        <v>109</v>
      </c>
      <c r="B99" s="34"/>
      <c r="C99" s="43" t="s">
        <v>110</v>
      </c>
      <c r="D99" s="26"/>
      <c r="E99" s="11"/>
      <c r="G99" s="13"/>
      <c r="H99" s="11"/>
      <c r="I99" s="11"/>
      <c r="J99" s="11"/>
    </row>
    <row r="100">
      <c r="A100" s="11"/>
      <c r="B100" s="11"/>
      <c r="C100" s="11"/>
      <c r="D100" s="11"/>
      <c r="E100" s="15"/>
      <c r="F100" s="15"/>
      <c r="G100" s="15"/>
      <c r="H100" s="11"/>
      <c r="I100" s="15"/>
      <c r="J100" s="11"/>
      <c r="K100" s="15"/>
    </row>
    <row r="101">
      <c r="A101" s="11"/>
      <c r="B101" s="11"/>
      <c r="C101" s="11"/>
      <c r="D101" s="11"/>
      <c r="E101" s="15"/>
      <c r="F101" s="15"/>
      <c r="G101" s="15"/>
      <c r="H101" s="11"/>
      <c r="I101" s="15"/>
      <c r="J101" s="11"/>
      <c r="K101" s="15"/>
    </row>
    <row r="102">
      <c r="A102" s="29" t="s">
        <v>111</v>
      </c>
      <c r="B102" s="11"/>
      <c r="C102" s="11" t="s">
        <v>3</v>
      </c>
      <c r="D102" s="18">
        <v>4195.0</v>
      </c>
      <c r="E102" s="17"/>
      <c r="G102" s="35" t="s">
        <v>60</v>
      </c>
      <c r="H102" s="11" t="s">
        <v>4</v>
      </c>
      <c r="I102" s="15"/>
      <c r="J102" s="19">
        <v>45.0</v>
      </c>
      <c r="K102" s="19"/>
    </row>
    <row r="103">
      <c r="A103" s="11"/>
      <c r="B103" s="19"/>
      <c r="C103" s="19" t="s">
        <v>24</v>
      </c>
      <c r="D103" s="19"/>
      <c r="E103" s="19"/>
      <c r="F103" s="15"/>
      <c r="G103" s="15"/>
      <c r="H103" s="20" t="s">
        <v>25</v>
      </c>
      <c r="I103" s="15"/>
      <c r="J103" s="19"/>
      <c r="K103" s="19"/>
    </row>
    <row r="104">
      <c r="A104" s="36" t="s">
        <v>112</v>
      </c>
      <c r="B104" s="19"/>
      <c r="C104" s="19" t="s">
        <v>26</v>
      </c>
      <c r="D104" s="19"/>
      <c r="E104" s="19"/>
      <c r="F104" s="15"/>
      <c r="G104" s="15"/>
      <c r="H104" s="11" t="s">
        <v>6</v>
      </c>
      <c r="I104" s="15"/>
      <c r="J104" s="19">
        <v>60.0</v>
      </c>
      <c r="K104" s="19"/>
    </row>
    <row r="105">
      <c r="A105" s="11"/>
      <c r="B105" s="19"/>
      <c r="C105" s="19" t="s">
        <v>27</v>
      </c>
      <c r="D105" s="19"/>
      <c r="E105" s="19"/>
      <c r="F105" s="15"/>
      <c r="G105" s="15"/>
      <c r="H105" s="20" t="s">
        <v>81</v>
      </c>
      <c r="I105" s="15"/>
      <c r="J105" s="19"/>
      <c r="K105" s="19"/>
      <c r="L105" s="7"/>
    </row>
    <row r="106">
      <c r="A106" s="11"/>
      <c r="B106" s="19"/>
      <c r="C106" s="19" t="s">
        <v>37</v>
      </c>
      <c r="D106" s="19"/>
      <c r="E106" s="19"/>
      <c r="F106" s="15"/>
      <c r="G106" s="15"/>
      <c r="H106" s="11" t="s">
        <v>8</v>
      </c>
      <c r="I106" s="15"/>
      <c r="J106" s="19">
        <v>162.0</v>
      </c>
      <c r="K106" s="19"/>
    </row>
    <row r="107">
      <c r="A107" s="11"/>
      <c r="B107" s="19"/>
      <c r="C107" s="19" t="s">
        <v>52</v>
      </c>
      <c r="D107" s="19"/>
      <c r="E107" s="19"/>
      <c r="F107" s="15"/>
      <c r="G107" s="15"/>
      <c r="H107" s="20" t="s">
        <v>94</v>
      </c>
      <c r="I107" s="15"/>
      <c r="J107" s="19">
        <v>123.0</v>
      </c>
      <c r="K107" s="19"/>
    </row>
    <row r="108">
      <c r="A108" s="11"/>
      <c r="B108" s="15"/>
      <c r="C108" s="15"/>
      <c r="D108" s="15"/>
      <c r="E108" s="15"/>
      <c r="F108" s="15"/>
      <c r="G108" s="15"/>
      <c r="H108" s="11" t="s">
        <v>10</v>
      </c>
      <c r="I108" s="15"/>
      <c r="J108" s="19">
        <v>420.0</v>
      </c>
      <c r="K108" s="15"/>
    </row>
    <row r="109">
      <c r="A109" s="11"/>
      <c r="B109" s="37"/>
      <c r="C109" s="37"/>
      <c r="D109" s="37"/>
      <c r="E109" s="37"/>
      <c r="F109" s="15"/>
      <c r="G109" s="15"/>
      <c r="H109" s="20" t="s">
        <v>34</v>
      </c>
      <c r="I109" s="15"/>
      <c r="J109" s="19">
        <v>20.0</v>
      </c>
      <c r="K109" s="19"/>
    </row>
    <row r="110">
      <c r="A110" s="11"/>
      <c r="B110" s="15"/>
      <c r="C110" s="15"/>
      <c r="D110" s="15"/>
      <c r="E110" s="15"/>
      <c r="F110" s="15"/>
      <c r="G110" s="15"/>
      <c r="H110" s="20" t="s">
        <v>28</v>
      </c>
      <c r="I110" s="15"/>
      <c r="J110" s="15"/>
      <c r="K110" s="15"/>
    </row>
    <row r="111">
      <c r="A111" s="11"/>
      <c r="B111" s="15"/>
      <c r="C111" s="15"/>
      <c r="D111" s="15"/>
      <c r="E111" s="15"/>
      <c r="F111" s="15"/>
      <c r="G111" s="15"/>
      <c r="H111" s="11" t="s">
        <v>11</v>
      </c>
      <c r="I111" s="15"/>
      <c r="J111" s="15"/>
      <c r="K111" s="15"/>
    </row>
    <row r="112">
      <c r="A112" s="11"/>
      <c r="B112" s="15"/>
      <c r="C112" s="15"/>
      <c r="D112" s="15"/>
      <c r="E112" s="15"/>
      <c r="F112" s="15"/>
      <c r="G112" s="15"/>
      <c r="H112" s="11" t="s">
        <v>12</v>
      </c>
      <c r="I112" s="15"/>
      <c r="J112" s="19"/>
      <c r="K112" s="19"/>
    </row>
    <row r="113">
      <c r="A113" s="11"/>
      <c r="B113" s="15"/>
      <c r="C113" s="15"/>
      <c r="D113" s="15"/>
      <c r="E113" s="15"/>
      <c r="F113" s="15"/>
      <c r="G113" s="15"/>
      <c r="H113" s="20" t="s">
        <v>95</v>
      </c>
      <c r="I113" s="15"/>
      <c r="J113" s="19"/>
      <c r="K113" s="19"/>
    </row>
    <row r="114">
      <c r="A114" s="11"/>
      <c r="B114" s="15"/>
      <c r="C114" s="15"/>
      <c r="D114" s="15"/>
      <c r="E114" s="15"/>
      <c r="F114" s="15"/>
      <c r="G114" s="15"/>
      <c r="H114" s="11" t="s">
        <v>14</v>
      </c>
      <c r="I114" s="15"/>
      <c r="J114" s="19">
        <v>165.0</v>
      </c>
      <c r="K114" s="19"/>
    </row>
    <row r="115">
      <c r="A115" s="11"/>
      <c r="B115" s="15"/>
      <c r="C115" s="15"/>
      <c r="D115" s="15"/>
      <c r="E115" s="15"/>
      <c r="F115" s="15"/>
      <c r="G115" s="15"/>
      <c r="H115" s="20" t="s">
        <v>108</v>
      </c>
      <c r="I115" s="15"/>
      <c r="J115" s="19">
        <v>100.0</v>
      </c>
      <c r="K115" s="15"/>
    </row>
    <row r="116">
      <c r="A116" s="11"/>
      <c r="B116" s="15"/>
      <c r="C116" s="15"/>
      <c r="D116" s="15"/>
      <c r="E116" s="15"/>
      <c r="F116" s="15"/>
      <c r="G116" s="15"/>
      <c r="H116" s="11" t="s">
        <v>15</v>
      </c>
      <c r="I116" s="15"/>
      <c r="J116" s="15"/>
      <c r="K116" s="15"/>
    </row>
    <row r="117">
      <c r="A117" s="11"/>
      <c r="B117" s="19"/>
      <c r="C117" s="19"/>
      <c r="D117" s="15"/>
      <c r="E117" s="15"/>
      <c r="F117" s="15"/>
      <c r="G117" s="15"/>
      <c r="H117" s="11" t="s">
        <v>16</v>
      </c>
      <c r="I117" s="15"/>
      <c r="J117" s="19"/>
      <c r="K117" s="15"/>
    </row>
    <row r="118">
      <c r="A118" s="11"/>
      <c r="B118" s="15"/>
      <c r="C118" s="15"/>
      <c r="D118" s="15"/>
      <c r="E118" s="15"/>
      <c r="F118" s="15"/>
      <c r="G118" s="15"/>
      <c r="H118" s="11" t="s">
        <v>17</v>
      </c>
      <c r="I118" s="15"/>
      <c r="J118" s="19"/>
      <c r="K118" s="15"/>
    </row>
    <row r="119">
      <c r="A119" s="11"/>
      <c r="B119" s="15"/>
      <c r="C119" s="15"/>
      <c r="D119" s="15"/>
      <c r="E119" s="15"/>
      <c r="F119" s="15"/>
      <c r="G119" s="15"/>
      <c r="H119" s="11" t="s">
        <v>18</v>
      </c>
      <c r="I119" s="15"/>
      <c r="J119" s="19"/>
      <c r="K119" s="19"/>
    </row>
    <row r="120">
      <c r="A120" s="11"/>
      <c r="B120" s="15"/>
      <c r="C120" s="15"/>
      <c r="D120" s="15"/>
      <c r="E120" s="15"/>
      <c r="F120" s="15"/>
      <c r="G120" s="15"/>
      <c r="H120" s="11" t="s">
        <v>19</v>
      </c>
      <c r="I120" s="15"/>
      <c r="J120" s="19"/>
      <c r="K120" s="19"/>
    </row>
    <row r="121">
      <c r="A121" s="11"/>
      <c r="B121" s="15"/>
      <c r="C121" s="15"/>
      <c r="D121" s="15"/>
      <c r="E121" s="15"/>
      <c r="F121" s="15"/>
      <c r="G121" s="15"/>
      <c r="H121" s="11" t="s">
        <v>20</v>
      </c>
      <c r="I121" s="15"/>
      <c r="J121" s="19"/>
      <c r="K121" s="15"/>
    </row>
    <row r="122">
      <c r="A122" s="11"/>
      <c r="B122" s="15"/>
      <c r="C122" s="15"/>
      <c r="D122" s="15"/>
      <c r="E122" s="15"/>
      <c r="F122" s="15"/>
      <c r="G122" s="15"/>
      <c r="H122" s="38" t="s">
        <v>48</v>
      </c>
      <c r="I122" s="39"/>
      <c r="J122" s="24">
        <v>500.0</v>
      </c>
      <c r="K122" s="19"/>
    </row>
    <row r="123">
      <c r="A123" s="11"/>
      <c r="B123" s="15"/>
      <c r="C123" s="15"/>
      <c r="D123" s="15"/>
      <c r="E123" s="15"/>
      <c r="F123" s="15"/>
      <c r="G123" s="15"/>
      <c r="H123" s="19" t="s">
        <v>29</v>
      </c>
      <c r="I123" s="15"/>
      <c r="J123" s="19">
        <v>150.0</v>
      </c>
      <c r="K123" s="19"/>
    </row>
    <row r="124">
      <c r="A124" s="11"/>
      <c r="B124" s="15"/>
      <c r="C124" s="15"/>
      <c r="D124" s="15"/>
      <c r="E124" s="15"/>
      <c r="F124" s="15"/>
      <c r="G124" s="15"/>
      <c r="H124" s="19" t="s">
        <v>24</v>
      </c>
      <c r="I124" s="15"/>
      <c r="J124" s="19"/>
      <c r="K124" s="19"/>
    </row>
    <row r="125">
      <c r="A125" s="11"/>
      <c r="B125" s="15"/>
      <c r="C125" s="15"/>
      <c r="D125" s="15"/>
      <c r="E125" s="15"/>
      <c r="F125" s="15"/>
      <c r="G125" s="15"/>
      <c r="H125" s="19" t="s">
        <v>27</v>
      </c>
      <c r="I125" s="15"/>
      <c r="J125" s="15"/>
      <c r="K125" s="15"/>
    </row>
    <row r="126">
      <c r="A126" s="11"/>
      <c r="B126" s="15"/>
      <c r="C126" s="15"/>
      <c r="D126" s="15"/>
      <c r="E126" s="15"/>
      <c r="F126" s="15"/>
      <c r="G126" s="15"/>
      <c r="H126" s="19" t="s">
        <v>83</v>
      </c>
      <c r="I126" s="15"/>
      <c r="J126" s="19"/>
      <c r="K126" s="15"/>
    </row>
    <row r="127">
      <c r="A127" s="11"/>
      <c r="B127" s="15"/>
      <c r="C127" s="15"/>
      <c r="D127" s="15"/>
      <c r="E127" s="15"/>
      <c r="F127" s="15"/>
      <c r="G127" s="15"/>
      <c r="H127" s="24" t="s">
        <v>96</v>
      </c>
      <c r="I127" s="39"/>
      <c r="J127" s="24">
        <v>500.0</v>
      </c>
      <c r="K127" s="15"/>
    </row>
    <row r="128">
      <c r="A128" s="11"/>
      <c r="B128" s="15"/>
      <c r="C128" s="15"/>
      <c r="D128" s="15"/>
      <c r="E128" s="15"/>
      <c r="F128" s="15"/>
      <c r="G128" s="15"/>
      <c r="H128" s="19" t="s">
        <v>31</v>
      </c>
      <c r="I128" s="15"/>
      <c r="J128" s="19">
        <v>692.0</v>
      </c>
      <c r="K128" s="15"/>
    </row>
    <row r="130">
      <c r="A130" s="13" t="s">
        <v>113</v>
      </c>
      <c r="B130" s="34"/>
      <c r="C130" s="27" t="s">
        <v>114</v>
      </c>
      <c r="D130" s="26"/>
      <c r="E130" s="11"/>
      <c r="G130" s="13"/>
      <c r="H130" s="11"/>
      <c r="I130" s="11"/>
      <c r="J130" s="11"/>
    </row>
    <row r="131">
      <c r="A131" s="11"/>
      <c r="B131" s="11"/>
      <c r="C131" s="11"/>
      <c r="D131" s="11"/>
      <c r="E131" s="15"/>
      <c r="F131" s="15"/>
      <c r="G131" s="15"/>
      <c r="H131" s="11"/>
      <c r="I131" s="15"/>
      <c r="J131" s="11"/>
      <c r="K131" s="15"/>
    </row>
    <row r="132">
      <c r="A132" s="11"/>
      <c r="B132" s="11"/>
      <c r="C132" s="11"/>
      <c r="D132" s="11"/>
      <c r="E132" s="15"/>
      <c r="F132" s="15"/>
      <c r="G132" s="15"/>
      <c r="H132" s="11"/>
      <c r="I132" s="15"/>
      <c r="J132" s="11"/>
      <c r="K132" s="15"/>
    </row>
    <row r="133">
      <c r="A133" s="29" t="s">
        <v>115</v>
      </c>
      <c r="B133" s="11"/>
      <c r="C133" s="11" t="s">
        <v>3</v>
      </c>
      <c r="D133" s="18">
        <v>5900.0</v>
      </c>
      <c r="E133" s="17"/>
      <c r="G133" s="35" t="s">
        <v>60</v>
      </c>
      <c r="H133" s="11" t="s">
        <v>4</v>
      </c>
      <c r="I133" s="15"/>
      <c r="J133" s="19">
        <v>100.0</v>
      </c>
      <c r="K133" s="19"/>
    </row>
    <row r="134">
      <c r="A134" s="11"/>
      <c r="B134" s="19"/>
      <c r="C134" s="19" t="s">
        <v>24</v>
      </c>
      <c r="D134" s="19"/>
      <c r="E134" s="19"/>
      <c r="F134" s="15"/>
      <c r="G134" s="15"/>
      <c r="H134" s="20" t="s">
        <v>25</v>
      </c>
      <c r="I134" s="15"/>
      <c r="J134" s="19"/>
      <c r="K134" s="19"/>
    </row>
    <row r="135">
      <c r="A135" s="36" t="s">
        <v>116</v>
      </c>
      <c r="B135" s="19"/>
      <c r="C135" s="19" t="s">
        <v>26</v>
      </c>
      <c r="D135" s="19"/>
      <c r="E135" s="19"/>
      <c r="F135" s="15"/>
      <c r="G135" s="15"/>
      <c r="H135" s="11" t="s">
        <v>6</v>
      </c>
      <c r="I135" s="15"/>
      <c r="J135" s="19">
        <v>60.0</v>
      </c>
      <c r="K135" s="19"/>
    </row>
    <row r="136">
      <c r="A136" s="11"/>
      <c r="B136" s="19"/>
      <c r="C136" s="19" t="s">
        <v>27</v>
      </c>
      <c r="D136" s="19"/>
      <c r="E136" s="19"/>
      <c r="F136" s="15"/>
      <c r="G136" s="15"/>
      <c r="H136" s="20" t="s">
        <v>81</v>
      </c>
      <c r="I136" s="15"/>
      <c r="J136" s="19"/>
      <c r="K136" s="19"/>
      <c r="L136" s="7"/>
    </row>
    <row r="137">
      <c r="A137" s="11"/>
      <c r="B137" s="19"/>
      <c r="C137" s="19" t="s">
        <v>37</v>
      </c>
      <c r="D137" s="19"/>
      <c r="E137" s="19"/>
      <c r="F137" s="15"/>
      <c r="G137" s="15"/>
      <c r="H137" s="11" t="s">
        <v>8</v>
      </c>
      <c r="I137" s="15"/>
      <c r="J137" s="19">
        <v>632.0</v>
      </c>
      <c r="K137" s="19"/>
    </row>
    <row r="138">
      <c r="A138" s="11"/>
      <c r="B138" s="19"/>
      <c r="C138" s="19" t="s">
        <v>52</v>
      </c>
      <c r="D138" s="19"/>
      <c r="E138" s="19"/>
      <c r="F138" s="15"/>
      <c r="G138" s="15"/>
      <c r="H138" s="20" t="s">
        <v>94</v>
      </c>
      <c r="I138" s="15"/>
      <c r="J138" s="19">
        <v>155.0</v>
      </c>
      <c r="K138" s="19"/>
    </row>
    <row r="139">
      <c r="A139" s="11"/>
      <c r="B139" s="15"/>
      <c r="C139" s="15"/>
      <c r="D139" s="15"/>
      <c r="E139" s="15"/>
      <c r="F139" s="15"/>
      <c r="G139" s="15"/>
      <c r="H139" s="11" t="s">
        <v>10</v>
      </c>
      <c r="I139" s="15"/>
      <c r="J139" s="19"/>
      <c r="K139" s="15"/>
    </row>
    <row r="140">
      <c r="A140" s="11"/>
      <c r="B140" s="37"/>
      <c r="C140" s="37"/>
      <c r="D140" s="37"/>
      <c r="E140" s="37"/>
      <c r="F140" s="15"/>
      <c r="G140" s="15"/>
      <c r="H140" s="20" t="s">
        <v>34</v>
      </c>
      <c r="I140" s="15"/>
      <c r="J140" s="19"/>
      <c r="K140" s="19"/>
    </row>
    <row r="141">
      <c r="A141" s="11"/>
      <c r="B141" s="15"/>
      <c r="C141" s="15"/>
      <c r="D141" s="15"/>
      <c r="E141" s="15"/>
      <c r="F141" s="15"/>
      <c r="G141" s="15"/>
      <c r="H141" s="20" t="s">
        <v>28</v>
      </c>
      <c r="I141" s="15"/>
      <c r="J141" s="15"/>
      <c r="K141" s="15"/>
    </row>
    <row r="142">
      <c r="A142" s="11"/>
      <c r="B142" s="15"/>
      <c r="C142" s="15"/>
      <c r="D142" s="15"/>
      <c r="E142" s="15"/>
      <c r="F142" s="15"/>
      <c r="G142" s="15"/>
      <c r="H142" s="11" t="s">
        <v>11</v>
      </c>
      <c r="I142" s="15"/>
      <c r="J142" s="15"/>
      <c r="K142" s="15"/>
    </row>
    <row r="143">
      <c r="A143" s="11"/>
      <c r="B143" s="15"/>
      <c r="C143" s="15"/>
      <c r="D143" s="15"/>
      <c r="E143" s="15"/>
      <c r="F143" s="15"/>
      <c r="G143" s="15"/>
      <c r="H143" s="11" t="s">
        <v>12</v>
      </c>
      <c r="I143" s="15"/>
      <c r="J143" s="19"/>
      <c r="K143" s="19"/>
    </row>
    <row r="144">
      <c r="A144" s="11"/>
      <c r="B144" s="15"/>
      <c r="C144" s="15"/>
      <c r="D144" s="15"/>
      <c r="E144" s="15"/>
      <c r="F144" s="15"/>
      <c r="G144" s="15"/>
      <c r="H144" s="20" t="s">
        <v>95</v>
      </c>
      <c r="I144" s="15"/>
      <c r="J144" s="19">
        <v>1800.0</v>
      </c>
      <c r="K144" s="19"/>
    </row>
    <row r="145">
      <c r="A145" s="11"/>
      <c r="B145" s="15"/>
      <c r="C145" s="15"/>
      <c r="D145" s="15"/>
      <c r="E145" s="15"/>
      <c r="F145" s="15"/>
      <c r="G145" s="15"/>
      <c r="H145" s="11" t="s">
        <v>14</v>
      </c>
      <c r="I145" s="15"/>
      <c r="J145" s="19">
        <v>30.0</v>
      </c>
      <c r="K145" s="19"/>
    </row>
    <row r="146">
      <c r="A146" s="11"/>
      <c r="B146" s="15"/>
      <c r="C146" s="15"/>
      <c r="D146" s="15"/>
      <c r="E146" s="15"/>
      <c r="F146" s="15"/>
      <c r="G146" s="15"/>
      <c r="H146" s="20" t="s">
        <v>108</v>
      </c>
      <c r="I146" s="15"/>
      <c r="J146" s="19">
        <v>100.0</v>
      </c>
      <c r="K146" s="15"/>
    </row>
    <row r="147">
      <c r="A147" s="11"/>
      <c r="B147" s="15"/>
      <c r="C147" s="15"/>
      <c r="D147" s="15"/>
      <c r="E147" s="15"/>
      <c r="F147" s="15"/>
      <c r="G147" s="15"/>
      <c r="H147" s="11" t="s">
        <v>15</v>
      </c>
      <c r="I147" s="15"/>
      <c r="J147" s="15"/>
      <c r="K147" s="15"/>
    </row>
    <row r="148">
      <c r="A148" s="11"/>
      <c r="B148" s="19"/>
      <c r="C148" s="19"/>
      <c r="D148" s="15"/>
      <c r="E148" s="15"/>
      <c r="F148" s="15"/>
      <c r="G148" s="15"/>
      <c r="H148" s="11" t="s">
        <v>16</v>
      </c>
      <c r="I148" s="15"/>
      <c r="J148" s="19"/>
      <c r="K148" s="15"/>
    </row>
    <row r="149">
      <c r="A149" s="11"/>
      <c r="B149" s="15"/>
      <c r="C149" s="15"/>
      <c r="D149" s="15"/>
      <c r="E149" s="15"/>
      <c r="F149" s="15"/>
      <c r="G149" s="15"/>
      <c r="H149" s="11" t="s">
        <v>17</v>
      </c>
      <c r="I149" s="15"/>
      <c r="J149" s="19"/>
      <c r="K149" s="15"/>
    </row>
    <row r="150">
      <c r="A150" s="11"/>
      <c r="B150" s="15"/>
      <c r="C150" s="15"/>
      <c r="D150" s="15"/>
      <c r="E150" s="15"/>
      <c r="F150" s="15"/>
      <c r="G150" s="15"/>
      <c r="H150" s="11" t="s">
        <v>18</v>
      </c>
      <c r="I150" s="15"/>
      <c r="J150" s="19"/>
      <c r="K150" s="19"/>
    </row>
    <row r="151">
      <c r="A151" s="11"/>
      <c r="B151" s="15"/>
      <c r="C151" s="15"/>
      <c r="D151" s="15"/>
      <c r="E151" s="15"/>
      <c r="F151" s="15"/>
      <c r="G151" s="15"/>
      <c r="H151" s="11" t="s">
        <v>19</v>
      </c>
      <c r="I151" s="15"/>
      <c r="J151" s="19">
        <v>230.0</v>
      </c>
      <c r="K151" s="19"/>
    </row>
    <row r="152">
      <c r="A152" s="11"/>
      <c r="B152" s="15"/>
      <c r="C152" s="15"/>
      <c r="D152" s="15"/>
      <c r="E152" s="15"/>
      <c r="F152" s="15"/>
      <c r="G152" s="15"/>
      <c r="H152" s="11" t="s">
        <v>20</v>
      </c>
      <c r="I152" s="15"/>
      <c r="J152" s="19"/>
      <c r="K152" s="15"/>
    </row>
    <row r="153">
      <c r="A153" s="11"/>
      <c r="B153" s="15"/>
      <c r="C153" s="15"/>
      <c r="D153" s="15"/>
      <c r="E153" s="15"/>
      <c r="F153" s="15"/>
      <c r="G153" s="15"/>
      <c r="H153" s="38" t="s">
        <v>48</v>
      </c>
      <c r="I153" s="39"/>
      <c r="J153" s="24">
        <v>500.0</v>
      </c>
      <c r="K153" s="19"/>
    </row>
    <row r="154">
      <c r="A154" s="11"/>
      <c r="B154" s="15"/>
      <c r="C154" s="15"/>
      <c r="D154" s="15"/>
      <c r="E154" s="15"/>
      <c r="F154" s="15"/>
      <c r="G154" s="15"/>
      <c r="H154" s="19" t="s">
        <v>29</v>
      </c>
      <c r="I154" s="15"/>
      <c r="J154" s="19">
        <v>230.0</v>
      </c>
      <c r="K154" s="19"/>
    </row>
    <row r="155">
      <c r="A155" s="11"/>
      <c r="B155" s="15"/>
      <c r="C155" s="15"/>
      <c r="D155" s="15"/>
      <c r="E155" s="15"/>
      <c r="F155" s="15"/>
      <c r="G155" s="15"/>
      <c r="H155" s="19" t="s">
        <v>24</v>
      </c>
      <c r="I155" s="15"/>
      <c r="J155" s="19"/>
      <c r="K155" s="19"/>
    </row>
    <row r="156">
      <c r="A156" s="11"/>
      <c r="B156" s="15"/>
      <c r="C156" s="15"/>
      <c r="D156" s="15"/>
      <c r="E156" s="15"/>
      <c r="F156" s="15"/>
      <c r="G156" s="15"/>
      <c r="H156" s="19" t="s">
        <v>27</v>
      </c>
      <c r="I156" s="15"/>
      <c r="J156" s="15"/>
      <c r="K156" s="15"/>
    </row>
    <row r="157">
      <c r="A157" s="11"/>
      <c r="B157" s="15"/>
      <c r="C157" s="15"/>
      <c r="D157" s="15"/>
      <c r="E157" s="15"/>
      <c r="F157" s="15"/>
      <c r="G157" s="15"/>
      <c r="H157" s="19" t="s">
        <v>83</v>
      </c>
      <c r="I157" s="15"/>
      <c r="J157" s="19"/>
      <c r="K157" s="15"/>
    </row>
    <row r="158">
      <c r="A158" s="11"/>
      <c r="B158" s="15"/>
      <c r="C158" s="15"/>
      <c r="D158" s="15"/>
      <c r="E158" s="15"/>
      <c r="F158" s="15"/>
      <c r="G158" s="15"/>
      <c r="H158" s="24" t="s">
        <v>96</v>
      </c>
      <c r="I158" s="39"/>
      <c r="J158" s="24">
        <v>500.0</v>
      </c>
      <c r="K158" s="15"/>
    </row>
    <row r="159">
      <c r="A159" s="11"/>
      <c r="B159" s="15"/>
      <c r="C159" s="15"/>
      <c r="D159" s="15"/>
      <c r="E159" s="15"/>
      <c r="F159" s="15"/>
      <c r="G159" s="15"/>
      <c r="H159" s="19" t="s">
        <v>31</v>
      </c>
      <c r="I159" s="15"/>
      <c r="J159" s="19">
        <v>138.0</v>
      </c>
      <c r="K159" s="15"/>
    </row>
    <row r="162">
      <c r="A162" s="13" t="s">
        <v>117</v>
      </c>
      <c r="B162" s="34"/>
      <c r="C162" s="27" t="s">
        <v>118</v>
      </c>
      <c r="D162" s="26"/>
      <c r="E162" s="11"/>
      <c r="G162" s="13"/>
      <c r="H162" s="11"/>
      <c r="I162" s="11"/>
      <c r="J162" s="11"/>
    </row>
    <row r="163">
      <c r="A163" s="11"/>
      <c r="B163" s="11"/>
      <c r="C163" s="11"/>
      <c r="D163" s="11"/>
      <c r="E163" s="15"/>
      <c r="F163" s="15"/>
      <c r="G163" s="15"/>
      <c r="H163" s="11"/>
      <c r="I163" s="15"/>
      <c r="J163" s="11"/>
      <c r="K163" s="15"/>
    </row>
    <row r="164">
      <c r="A164" s="11"/>
      <c r="B164" s="11"/>
      <c r="C164" s="11"/>
      <c r="D164" s="11"/>
      <c r="E164" s="15"/>
      <c r="F164" s="15"/>
      <c r="G164" s="15"/>
      <c r="H164" s="11"/>
      <c r="I164" s="15"/>
      <c r="J164" s="11"/>
      <c r="K164" s="15"/>
    </row>
    <row r="165">
      <c r="A165" s="29" t="s">
        <v>119</v>
      </c>
      <c r="B165" s="11"/>
      <c r="C165" s="11" t="s">
        <v>3</v>
      </c>
      <c r="D165" s="18">
        <v>3935.0</v>
      </c>
      <c r="E165" s="17"/>
      <c r="G165" s="35" t="s">
        <v>60</v>
      </c>
      <c r="H165" s="11" t="s">
        <v>4</v>
      </c>
      <c r="I165" s="15"/>
      <c r="J165" s="19">
        <v>70.0</v>
      </c>
      <c r="K165" s="19"/>
    </row>
    <row r="166">
      <c r="A166" s="11"/>
      <c r="B166" s="19"/>
      <c r="C166" s="19" t="s">
        <v>24</v>
      </c>
      <c r="D166" s="19"/>
      <c r="E166" s="19"/>
      <c r="F166" s="15"/>
      <c r="G166" s="15"/>
      <c r="H166" s="20" t="s">
        <v>25</v>
      </c>
      <c r="I166" s="15"/>
      <c r="J166" s="19"/>
      <c r="K166" s="19"/>
    </row>
    <row r="167">
      <c r="A167" s="36" t="s">
        <v>120</v>
      </c>
      <c r="B167" s="19"/>
      <c r="C167" s="19" t="s">
        <v>26</v>
      </c>
      <c r="D167" s="19"/>
      <c r="E167" s="19"/>
      <c r="F167" s="15"/>
      <c r="G167" s="15"/>
      <c r="H167" s="11" t="s">
        <v>6</v>
      </c>
      <c r="I167" s="15"/>
      <c r="J167" s="19">
        <v>242.0</v>
      </c>
      <c r="K167" s="19"/>
    </row>
    <row r="168">
      <c r="A168" s="11"/>
      <c r="B168" s="19"/>
      <c r="C168" s="19" t="s">
        <v>27</v>
      </c>
      <c r="D168" s="19"/>
      <c r="E168" s="19"/>
      <c r="F168" s="15"/>
      <c r="G168" s="15"/>
      <c r="H168" s="20" t="s">
        <v>81</v>
      </c>
      <c r="I168" s="15"/>
      <c r="J168" s="19">
        <v>75.0</v>
      </c>
      <c r="K168" s="19"/>
      <c r="L168" s="7"/>
    </row>
    <row r="169">
      <c r="A169" s="11"/>
      <c r="B169" s="19"/>
      <c r="C169" s="19" t="s">
        <v>37</v>
      </c>
      <c r="D169" s="19"/>
      <c r="E169" s="19"/>
      <c r="F169" s="15"/>
      <c r="G169" s="15"/>
      <c r="H169" s="11" t="s">
        <v>8</v>
      </c>
      <c r="I169" s="15"/>
      <c r="J169" s="19">
        <v>132.0</v>
      </c>
      <c r="K169" s="19"/>
    </row>
    <row r="170">
      <c r="A170" s="11"/>
      <c r="B170" s="19"/>
      <c r="C170" s="19" t="s">
        <v>52</v>
      </c>
      <c r="D170" s="19"/>
      <c r="E170" s="19"/>
      <c r="F170" s="15"/>
      <c r="G170" s="15"/>
      <c r="H170" s="20" t="s">
        <v>94</v>
      </c>
      <c r="I170" s="15"/>
      <c r="J170" s="19">
        <v>7.0</v>
      </c>
      <c r="K170" s="19"/>
    </row>
    <row r="171">
      <c r="A171" s="11"/>
      <c r="B171" s="15"/>
      <c r="C171" s="15"/>
      <c r="D171" s="15"/>
      <c r="E171" s="15"/>
      <c r="F171" s="15"/>
      <c r="G171" s="15"/>
      <c r="H171" s="11" t="s">
        <v>10</v>
      </c>
      <c r="I171" s="15"/>
      <c r="J171" s="19"/>
      <c r="K171" s="15"/>
    </row>
    <row r="172">
      <c r="A172" s="11"/>
      <c r="B172" s="37"/>
      <c r="C172" s="37"/>
      <c r="D172" s="37"/>
      <c r="E172" s="37"/>
      <c r="F172" s="15"/>
      <c r="G172" s="15"/>
      <c r="H172" s="20" t="s">
        <v>34</v>
      </c>
      <c r="I172" s="15"/>
      <c r="J172" s="19">
        <v>20.0</v>
      </c>
      <c r="K172" s="19"/>
    </row>
    <row r="173">
      <c r="A173" s="11"/>
      <c r="B173" s="15"/>
      <c r="C173" s="15"/>
      <c r="D173" s="15"/>
      <c r="E173" s="15"/>
      <c r="F173" s="15"/>
      <c r="G173" s="15"/>
      <c r="H173" s="20" t="s">
        <v>28</v>
      </c>
      <c r="I173" s="15"/>
      <c r="J173" s="15"/>
      <c r="K173" s="15"/>
    </row>
    <row r="174">
      <c r="A174" s="11"/>
      <c r="B174" s="15"/>
      <c r="C174" s="15"/>
      <c r="D174" s="15"/>
      <c r="E174" s="15"/>
      <c r="F174" s="15"/>
      <c r="G174" s="15"/>
      <c r="H174" s="11" t="s">
        <v>11</v>
      </c>
      <c r="I174" s="15"/>
      <c r="J174" s="15"/>
      <c r="K174" s="15"/>
    </row>
    <row r="175">
      <c r="A175" s="11"/>
      <c r="B175" s="15"/>
      <c r="C175" s="15"/>
      <c r="D175" s="15"/>
      <c r="E175" s="15"/>
      <c r="F175" s="15"/>
      <c r="G175" s="15"/>
      <c r="H175" s="11" t="s">
        <v>12</v>
      </c>
      <c r="I175" s="15"/>
      <c r="J175" s="19"/>
      <c r="K175" s="19"/>
    </row>
    <row r="176">
      <c r="A176" s="11"/>
      <c r="B176" s="15"/>
      <c r="C176" s="15"/>
      <c r="D176" s="15"/>
      <c r="E176" s="15"/>
      <c r="F176" s="15"/>
      <c r="G176" s="15"/>
      <c r="H176" s="20" t="s">
        <v>95</v>
      </c>
      <c r="I176" s="15"/>
      <c r="J176" s="19">
        <v>350.0</v>
      </c>
      <c r="K176" s="19"/>
    </row>
    <row r="177">
      <c r="A177" s="11"/>
      <c r="B177" s="15"/>
      <c r="C177" s="15"/>
      <c r="D177" s="15"/>
      <c r="E177" s="15"/>
      <c r="F177" s="15"/>
      <c r="G177" s="15"/>
      <c r="H177" s="11" t="s">
        <v>14</v>
      </c>
      <c r="I177" s="15"/>
      <c r="J177" s="19">
        <v>330.0</v>
      </c>
      <c r="K177" s="19"/>
    </row>
    <row r="178">
      <c r="A178" s="11"/>
      <c r="B178" s="15"/>
      <c r="C178" s="15"/>
      <c r="D178" s="15"/>
      <c r="E178" s="15"/>
      <c r="F178" s="15"/>
      <c r="G178" s="15"/>
      <c r="H178" s="20" t="s">
        <v>108</v>
      </c>
      <c r="I178" s="15"/>
      <c r="J178" s="19">
        <v>100.0</v>
      </c>
      <c r="K178" s="15"/>
    </row>
    <row r="179">
      <c r="A179" s="11"/>
      <c r="B179" s="15"/>
      <c r="C179" s="15"/>
      <c r="D179" s="15"/>
      <c r="E179" s="15"/>
      <c r="F179" s="15"/>
      <c r="G179" s="15"/>
      <c r="H179" s="11" t="s">
        <v>15</v>
      </c>
      <c r="I179" s="15"/>
      <c r="J179" s="15"/>
      <c r="K179" s="15"/>
    </row>
    <row r="180">
      <c r="A180" s="11"/>
      <c r="B180" s="19"/>
      <c r="C180" s="19"/>
      <c r="D180" s="15"/>
      <c r="E180" s="15"/>
      <c r="F180" s="15"/>
      <c r="G180" s="15"/>
      <c r="H180" s="11" t="s">
        <v>16</v>
      </c>
      <c r="I180" s="15"/>
      <c r="J180" s="19"/>
      <c r="K180" s="15"/>
    </row>
    <row r="181">
      <c r="A181" s="11"/>
      <c r="B181" s="15"/>
      <c r="C181" s="15"/>
      <c r="D181" s="15"/>
      <c r="E181" s="15"/>
      <c r="F181" s="15"/>
      <c r="G181" s="15"/>
      <c r="H181" s="11" t="s">
        <v>17</v>
      </c>
      <c r="I181" s="15"/>
      <c r="J181" s="19"/>
      <c r="K181" s="15"/>
    </row>
    <row r="182">
      <c r="A182" s="11"/>
      <c r="B182" s="15"/>
      <c r="C182" s="15"/>
      <c r="D182" s="15"/>
      <c r="E182" s="15"/>
      <c r="F182" s="15"/>
      <c r="G182" s="15"/>
      <c r="H182" s="11" t="s">
        <v>18</v>
      </c>
      <c r="I182" s="15"/>
      <c r="J182" s="19"/>
      <c r="K182" s="19"/>
    </row>
    <row r="183">
      <c r="A183" s="11"/>
      <c r="B183" s="15"/>
      <c r="C183" s="15"/>
      <c r="D183" s="15"/>
      <c r="E183" s="15"/>
      <c r="F183" s="15"/>
      <c r="G183" s="15"/>
      <c r="H183" s="11" t="s">
        <v>19</v>
      </c>
      <c r="I183" s="15"/>
      <c r="J183" s="19">
        <v>180.0</v>
      </c>
      <c r="K183" s="19"/>
    </row>
    <row r="184">
      <c r="A184" s="11"/>
      <c r="B184" s="15"/>
      <c r="C184" s="15"/>
      <c r="D184" s="15"/>
      <c r="E184" s="15"/>
      <c r="F184" s="15"/>
      <c r="G184" s="15"/>
      <c r="H184" s="11" t="s">
        <v>20</v>
      </c>
      <c r="I184" s="15"/>
      <c r="J184" s="19">
        <v>50.0</v>
      </c>
      <c r="K184" s="15"/>
    </row>
    <row r="185">
      <c r="A185" s="11"/>
      <c r="B185" s="15"/>
      <c r="C185" s="15"/>
      <c r="D185" s="15"/>
      <c r="E185" s="15"/>
      <c r="F185" s="15"/>
      <c r="G185" s="15"/>
      <c r="H185" s="38" t="s">
        <v>121</v>
      </c>
      <c r="I185" s="39"/>
      <c r="J185" s="24">
        <v>500.0</v>
      </c>
      <c r="K185" s="19"/>
    </row>
    <row r="186">
      <c r="A186" s="11"/>
      <c r="B186" s="15"/>
      <c r="C186" s="15"/>
      <c r="D186" s="15"/>
      <c r="E186" s="15"/>
      <c r="F186" s="15"/>
      <c r="G186" s="15"/>
      <c r="H186" s="19" t="s">
        <v>29</v>
      </c>
      <c r="I186" s="15"/>
      <c r="J186" s="19">
        <v>240.0</v>
      </c>
      <c r="K186" s="19"/>
    </row>
    <row r="187">
      <c r="A187" s="11"/>
      <c r="B187" s="15"/>
      <c r="C187" s="15"/>
      <c r="D187" s="15"/>
      <c r="E187" s="15"/>
      <c r="F187" s="15"/>
      <c r="G187" s="15"/>
      <c r="H187" s="19" t="s">
        <v>24</v>
      </c>
      <c r="I187" s="15"/>
      <c r="J187" s="19">
        <v>85.0</v>
      </c>
      <c r="K187" s="19"/>
    </row>
    <row r="188">
      <c r="A188" s="11"/>
      <c r="B188" s="15"/>
      <c r="C188" s="15"/>
      <c r="D188" s="15"/>
      <c r="E188" s="15"/>
      <c r="F188" s="15"/>
      <c r="G188" s="15"/>
      <c r="H188" s="19" t="s">
        <v>27</v>
      </c>
      <c r="I188" s="15"/>
      <c r="J188" s="15"/>
      <c r="K188" s="15"/>
    </row>
    <row r="189">
      <c r="A189" s="11"/>
      <c r="B189" s="15"/>
      <c r="C189" s="15"/>
      <c r="D189" s="15"/>
      <c r="E189" s="15"/>
      <c r="F189" s="15"/>
      <c r="G189" s="15"/>
      <c r="H189" s="19" t="s">
        <v>83</v>
      </c>
      <c r="I189" s="15"/>
      <c r="J189" s="19"/>
      <c r="K189" s="15"/>
    </row>
    <row r="190">
      <c r="A190" s="11"/>
      <c r="B190" s="15"/>
      <c r="C190" s="15"/>
      <c r="D190" s="15"/>
      <c r="E190" s="15"/>
      <c r="F190" s="15"/>
      <c r="G190" s="15"/>
      <c r="H190" s="24" t="s">
        <v>122</v>
      </c>
      <c r="I190" s="39"/>
      <c r="J190" s="24">
        <v>500.0</v>
      </c>
      <c r="K190" s="15"/>
    </row>
    <row r="191">
      <c r="A191" s="11"/>
      <c r="B191" s="15"/>
      <c r="C191" s="15"/>
      <c r="D191" s="15"/>
      <c r="E191" s="15"/>
      <c r="F191" s="15"/>
      <c r="G191" s="15"/>
      <c r="H191" s="19" t="s">
        <v>31</v>
      </c>
      <c r="I191" s="15"/>
      <c r="J191" s="19" t="s">
        <v>123</v>
      </c>
      <c r="K191" s="15"/>
    </row>
    <row r="192">
      <c r="J192" s="7" t="s">
        <v>124</v>
      </c>
    </row>
    <row r="193">
      <c r="A193" s="44"/>
      <c r="B193" s="44"/>
      <c r="C193" s="44"/>
      <c r="D193" s="44"/>
      <c r="E193" s="44"/>
      <c r="F193" s="44"/>
      <c r="G193" s="44"/>
      <c r="H193" s="44"/>
      <c r="I193" s="44"/>
      <c r="J193" s="45" t="s">
        <v>125</v>
      </c>
    </row>
    <row r="194">
      <c r="A194" s="44"/>
      <c r="B194" s="44"/>
      <c r="C194" s="46"/>
      <c r="D194" s="46"/>
      <c r="E194" s="44"/>
      <c r="F194" s="44"/>
      <c r="G194" s="44"/>
      <c r="H194" s="44"/>
      <c r="I194" s="44"/>
      <c r="J194" s="45" t="s">
        <v>126</v>
      </c>
      <c r="K194" s="44"/>
      <c r="L194" s="44"/>
      <c r="M194" s="44"/>
      <c r="N194" s="44"/>
      <c r="O194" s="44"/>
      <c r="P194" s="44"/>
      <c r="Q194" s="44"/>
      <c r="R194" s="44"/>
      <c r="S194" s="44"/>
      <c r="T194" s="44"/>
      <c r="U194" s="44"/>
      <c r="V194" s="44"/>
      <c r="W194" s="44"/>
      <c r="X194" s="44"/>
      <c r="Y194" s="44"/>
      <c r="Z194" s="44"/>
      <c r="AA194" s="44"/>
    </row>
    <row r="195">
      <c r="A195" s="47" t="s">
        <v>127</v>
      </c>
      <c r="B195" s="48"/>
      <c r="C195" s="49" t="s">
        <v>128</v>
      </c>
      <c r="D195" s="50"/>
      <c r="E195" s="44"/>
      <c r="F195" s="44"/>
      <c r="G195" s="44"/>
      <c r="H195" s="44"/>
      <c r="I195" s="44"/>
      <c r="J195" s="44"/>
      <c r="K195" s="44"/>
      <c r="L195" s="44"/>
      <c r="M195" s="44"/>
      <c r="N195" s="44"/>
      <c r="O195" s="44"/>
      <c r="P195" s="44"/>
      <c r="Q195" s="44"/>
      <c r="R195" s="44"/>
      <c r="S195" s="44"/>
      <c r="T195" s="44"/>
      <c r="U195" s="44"/>
      <c r="V195" s="44"/>
      <c r="W195" s="44"/>
      <c r="X195" s="44"/>
      <c r="Y195" s="44"/>
      <c r="Z195" s="44"/>
      <c r="AA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row>
    <row r="198">
      <c r="A198" s="51" t="s">
        <v>129</v>
      </c>
      <c r="B198" s="44"/>
      <c r="C198" s="44" t="s">
        <v>3</v>
      </c>
      <c r="D198" s="45">
        <v>2940.0</v>
      </c>
      <c r="E198" s="52"/>
      <c r="F198" s="44"/>
      <c r="G198" s="53" t="s">
        <v>60</v>
      </c>
      <c r="H198" s="44" t="s">
        <v>4</v>
      </c>
      <c r="I198" s="44"/>
      <c r="J198" s="45">
        <v>90.0</v>
      </c>
      <c r="K198" s="44"/>
      <c r="L198" s="44"/>
      <c r="M198" s="44"/>
      <c r="N198" s="44"/>
      <c r="O198" s="44"/>
      <c r="P198" s="44"/>
      <c r="Q198" s="44"/>
      <c r="R198" s="44"/>
      <c r="S198" s="44"/>
      <c r="T198" s="44"/>
      <c r="U198" s="44"/>
      <c r="V198" s="44"/>
      <c r="W198" s="44"/>
      <c r="X198" s="44"/>
      <c r="Y198" s="44"/>
      <c r="Z198" s="44"/>
      <c r="AA198" s="44"/>
    </row>
    <row r="199">
      <c r="A199" s="44"/>
      <c r="B199" s="44"/>
      <c r="C199" s="44" t="s">
        <v>24</v>
      </c>
      <c r="D199" s="44"/>
      <c r="E199" s="44"/>
      <c r="F199" s="44"/>
      <c r="G199" s="44"/>
      <c r="H199" s="44" t="s">
        <v>25</v>
      </c>
      <c r="I199" s="44"/>
      <c r="J199" s="44"/>
      <c r="K199" s="44"/>
      <c r="L199" s="44"/>
      <c r="M199" s="44"/>
      <c r="N199" s="44"/>
      <c r="O199" s="44"/>
      <c r="P199" s="44"/>
      <c r="Q199" s="44"/>
      <c r="R199" s="44"/>
      <c r="S199" s="44"/>
      <c r="T199" s="44"/>
      <c r="U199" s="44"/>
      <c r="V199" s="44"/>
      <c r="W199" s="44"/>
      <c r="X199" s="44"/>
      <c r="Y199" s="44"/>
      <c r="Z199" s="44"/>
      <c r="AA199" s="44"/>
    </row>
    <row r="200">
      <c r="A200" s="54" t="s">
        <v>130</v>
      </c>
      <c r="B200" s="44"/>
      <c r="C200" s="44" t="s">
        <v>26</v>
      </c>
      <c r="D200" s="44"/>
      <c r="E200" s="44"/>
      <c r="F200" s="44"/>
      <c r="G200" s="44"/>
      <c r="H200" s="44" t="s">
        <v>6</v>
      </c>
      <c r="I200" s="44"/>
      <c r="J200" s="45">
        <v>160.0</v>
      </c>
      <c r="K200" s="44"/>
      <c r="L200" s="44"/>
      <c r="M200" s="44"/>
      <c r="N200" s="44"/>
      <c r="O200" s="44"/>
      <c r="P200" s="44"/>
      <c r="Q200" s="44"/>
      <c r="R200" s="44"/>
      <c r="S200" s="44"/>
      <c r="T200" s="44"/>
      <c r="U200" s="44"/>
      <c r="V200" s="44"/>
      <c r="W200" s="44"/>
      <c r="X200" s="44"/>
      <c r="Y200" s="44"/>
      <c r="Z200" s="44"/>
      <c r="AA200" s="44"/>
    </row>
    <row r="201">
      <c r="A201" s="44"/>
      <c r="B201" s="44"/>
      <c r="C201" s="44" t="s">
        <v>27</v>
      </c>
      <c r="D201" s="44"/>
      <c r="E201" s="44"/>
      <c r="F201" s="44"/>
      <c r="G201" s="44"/>
      <c r="H201" s="44" t="s">
        <v>81</v>
      </c>
      <c r="I201" s="44"/>
      <c r="J201" s="44"/>
      <c r="K201" s="44"/>
      <c r="L201" s="44"/>
      <c r="M201" s="44"/>
      <c r="N201" s="44"/>
      <c r="O201" s="44"/>
      <c r="P201" s="44"/>
      <c r="Q201" s="44"/>
      <c r="R201" s="44"/>
      <c r="S201" s="44"/>
      <c r="T201" s="44"/>
      <c r="U201" s="44"/>
      <c r="V201" s="44"/>
      <c r="W201" s="44"/>
      <c r="X201" s="44"/>
      <c r="Y201" s="44"/>
      <c r="Z201" s="44"/>
      <c r="AA201" s="44"/>
    </row>
    <row r="202">
      <c r="A202" s="44"/>
      <c r="B202" s="44"/>
      <c r="C202" s="44" t="s">
        <v>37</v>
      </c>
      <c r="D202" s="44"/>
      <c r="E202" s="44"/>
      <c r="F202" s="44"/>
      <c r="G202" s="44"/>
      <c r="H202" s="44" t="s">
        <v>8</v>
      </c>
      <c r="I202" s="44"/>
      <c r="J202" s="45">
        <v>132.0</v>
      </c>
      <c r="K202" s="44"/>
      <c r="L202" s="44"/>
      <c r="M202" s="44"/>
      <c r="N202" s="44"/>
      <c r="O202" s="44"/>
      <c r="P202" s="44"/>
      <c r="Q202" s="44"/>
      <c r="R202" s="44"/>
      <c r="S202" s="44"/>
      <c r="T202" s="44"/>
      <c r="U202" s="44"/>
      <c r="V202" s="44"/>
      <c r="W202" s="44"/>
      <c r="X202" s="44"/>
      <c r="Y202" s="44"/>
      <c r="Z202" s="44"/>
      <c r="AA202" s="44"/>
    </row>
    <row r="203">
      <c r="A203" s="44"/>
      <c r="B203" s="44"/>
      <c r="C203" s="44" t="s">
        <v>52</v>
      </c>
      <c r="D203" s="44"/>
      <c r="E203" s="44"/>
      <c r="F203" s="44"/>
      <c r="G203" s="44"/>
      <c r="H203" s="44" t="s">
        <v>94</v>
      </c>
      <c r="I203" s="44"/>
      <c r="J203" s="44"/>
      <c r="K203" s="44"/>
      <c r="L203" s="44"/>
      <c r="M203" s="44"/>
      <c r="N203" s="44"/>
      <c r="O203" s="44"/>
      <c r="P203" s="44"/>
      <c r="Q203" s="44"/>
      <c r="R203" s="44"/>
      <c r="S203" s="44"/>
      <c r="T203" s="44"/>
      <c r="U203" s="44"/>
      <c r="V203" s="44"/>
      <c r="W203" s="44"/>
      <c r="X203" s="44"/>
      <c r="Y203" s="44"/>
      <c r="Z203" s="44"/>
      <c r="AA203" s="44"/>
    </row>
    <row r="204">
      <c r="A204" s="44"/>
      <c r="B204" s="44"/>
      <c r="C204" s="44"/>
      <c r="D204" s="44"/>
      <c r="E204" s="44"/>
      <c r="F204" s="44"/>
      <c r="G204" s="44"/>
      <c r="H204" s="44" t="s">
        <v>10</v>
      </c>
      <c r="I204" s="44"/>
      <c r="J204" s="44"/>
      <c r="K204" s="44"/>
      <c r="L204" s="44"/>
      <c r="M204" s="44"/>
      <c r="N204" s="44"/>
      <c r="O204" s="44"/>
      <c r="P204" s="44"/>
      <c r="Q204" s="44"/>
      <c r="R204" s="44"/>
      <c r="S204" s="44"/>
      <c r="T204" s="44"/>
      <c r="U204" s="44"/>
      <c r="V204" s="44"/>
      <c r="W204" s="44"/>
      <c r="X204" s="44"/>
      <c r="Y204" s="44"/>
      <c r="Z204" s="44"/>
      <c r="AA204" s="44"/>
    </row>
    <row r="205">
      <c r="A205" s="44"/>
      <c r="B205" s="52"/>
      <c r="C205" s="52"/>
      <c r="D205" s="52"/>
      <c r="E205" s="52"/>
      <c r="F205" s="44"/>
      <c r="G205" s="44"/>
      <c r="H205" s="44" t="s">
        <v>34</v>
      </c>
      <c r="I205" s="44"/>
      <c r="J205" s="44"/>
      <c r="K205" s="44"/>
      <c r="L205" s="44"/>
      <c r="M205" s="44"/>
      <c r="N205" s="44"/>
      <c r="O205" s="44"/>
      <c r="P205" s="44"/>
      <c r="Q205" s="44"/>
      <c r="R205" s="44"/>
      <c r="S205" s="44"/>
      <c r="T205" s="44"/>
      <c r="U205" s="44"/>
      <c r="V205" s="44"/>
      <c r="W205" s="44"/>
      <c r="X205" s="44"/>
      <c r="Y205" s="44"/>
      <c r="Z205" s="44"/>
      <c r="AA205" s="44"/>
    </row>
    <row r="206">
      <c r="A206" s="44"/>
      <c r="B206" s="44"/>
      <c r="C206" s="44"/>
      <c r="D206" s="44"/>
      <c r="E206" s="44"/>
      <c r="F206" s="44"/>
      <c r="G206" s="44"/>
      <c r="H206" s="44" t="s">
        <v>28</v>
      </c>
      <c r="I206" s="44"/>
      <c r="J206" s="44"/>
      <c r="K206" s="44"/>
      <c r="L206" s="44"/>
      <c r="M206" s="44"/>
      <c r="N206" s="44"/>
      <c r="O206" s="44"/>
      <c r="P206" s="44"/>
      <c r="Q206" s="44"/>
      <c r="R206" s="44"/>
      <c r="S206" s="44"/>
      <c r="T206" s="44"/>
      <c r="U206" s="44"/>
      <c r="V206" s="44"/>
      <c r="W206" s="44"/>
      <c r="X206" s="44"/>
      <c r="Y206" s="44"/>
      <c r="Z206" s="44"/>
      <c r="AA206" s="44"/>
    </row>
    <row r="207">
      <c r="A207" s="44"/>
      <c r="B207" s="44"/>
      <c r="C207" s="44"/>
      <c r="D207" s="44"/>
      <c r="E207" s="44"/>
      <c r="F207" s="44"/>
      <c r="G207" s="44"/>
      <c r="H207" s="44" t="s">
        <v>11</v>
      </c>
      <c r="I207" s="44"/>
      <c r="J207" s="45">
        <v>145.0</v>
      </c>
      <c r="K207" s="44"/>
      <c r="L207" s="44"/>
      <c r="M207" s="44"/>
      <c r="N207" s="44"/>
      <c r="O207" s="44"/>
      <c r="P207" s="44"/>
      <c r="Q207" s="44"/>
      <c r="R207" s="44"/>
      <c r="S207" s="44"/>
      <c r="T207" s="44"/>
      <c r="U207" s="44"/>
      <c r="V207" s="44"/>
      <c r="W207" s="44"/>
      <c r="X207" s="44"/>
      <c r="Y207" s="44"/>
      <c r="Z207" s="44"/>
      <c r="AA207" s="44"/>
    </row>
    <row r="208">
      <c r="A208" s="44"/>
      <c r="B208" s="44"/>
      <c r="C208" s="44"/>
      <c r="D208" s="44"/>
      <c r="E208" s="44"/>
      <c r="F208" s="44"/>
      <c r="G208" s="44"/>
      <c r="H208" s="44" t="s">
        <v>12</v>
      </c>
      <c r="I208" s="44"/>
      <c r="J208" s="44"/>
      <c r="K208" s="44"/>
      <c r="L208" s="44"/>
      <c r="M208" s="44"/>
      <c r="N208" s="44"/>
      <c r="O208" s="44"/>
      <c r="P208" s="44"/>
      <c r="Q208" s="44"/>
      <c r="R208" s="44"/>
      <c r="S208" s="44"/>
      <c r="T208" s="44"/>
      <c r="U208" s="44"/>
      <c r="V208" s="44"/>
      <c r="W208" s="44"/>
      <c r="X208" s="44"/>
      <c r="Y208" s="44"/>
      <c r="Z208" s="44"/>
      <c r="AA208" s="44"/>
    </row>
    <row r="209">
      <c r="A209" s="44"/>
      <c r="B209" s="44"/>
      <c r="C209" s="44"/>
      <c r="D209" s="44"/>
      <c r="E209" s="44"/>
      <c r="F209" s="44"/>
      <c r="G209" s="44"/>
      <c r="H209" s="44" t="s">
        <v>95</v>
      </c>
      <c r="I209" s="44"/>
      <c r="J209" s="44"/>
      <c r="K209" s="44"/>
      <c r="L209" s="44"/>
      <c r="M209" s="44"/>
      <c r="N209" s="44"/>
      <c r="O209" s="44"/>
      <c r="P209" s="44"/>
      <c r="Q209" s="44"/>
      <c r="R209" s="44"/>
      <c r="S209" s="44"/>
      <c r="T209" s="44"/>
      <c r="U209" s="44"/>
      <c r="V209" s="44"/>
      <c r="W209" s="44"/>
      <c r="X209" s="44"/>
      <c r="Y209" s="44"/>
      <c r="Z209" s="44"/>
      <c r="AA209" s="44"/>
    </row>
    <row r="210">
      <c r="A210" s="44"/>
      <c r="B210" s="44"/>
      <c r="C210" s="44"/>
      <c r="D210" s="44"/>
      <c r="E210" s="44"/>
      <c r="F210" s="44"/>
      <c r="G210" s="44"/>
      <c r="H210" s="44" t="s">
        <v>14</v>
      </c>
      <c r="I210" s="44"/>
      <c r="J210" s="45">
        <v>700.0</v>
      </c>
      <c r="K210" s="44"/>
      <c r="L210" s="44"/>
      <c r="M210" s="44"/>
      <c r="N210" s="44"/>
      <c r="O210" s="44"/>
      <c r="P210" s="44"/>
      <c r="Q210" s="44"/>
      <c r="R210" s="44"/>
      <c r="S210" s="44"/>
      <c r="T210" s="44"/>
      <c r="U210" s="44"/>
      <c r="V210" s="44"/>
      <c r="W210" s="44"/>
      <c r="X210" s="44"/>
      <c r="Y210" s="44"/>
      <c r="Z210" s="44"/>
      <c r="AA210" s="44"/>
    </row>
    <row r="211">
      <c r="A211" s="44"/>
      <c r="B211" s="44"/>
      <c r="C211" s="44"/>
      <c r="D211" s="44"/>
      <c r="E211" s="44"/>
      <c r="F211" s="44"/>
      <c r="G211" s="44"/>
      <c r="H211" s="44" t="s">
        <v>108</v>
      </c>
      <c r="I211" s="44"/>
      <c r="J211" s="44"/>
      <c r="K211" s="44"/>
      <c r="L211" s="44"/>
      <c r="M211" s="44"/>
      <c r="N211" s="44"/>
      <c r="O211" s="44"/>
      <c r="P211" s="44"/>
      <c r="Q211" s="44"/>
      <c r="R211" s="44"/>
      <c r="S211" s="44"/>
      <c r="T211" s="44"/>
      <c r="U211" s="44"/>
      <c r="V211" s="44"/>
      <c r="W211" s="44"/>
      <c r="X211" s="44"/>
      <c r="Y211" s="44"/>
      <c r="Z211" s="44"/>
      <c r="AA211" s="44"/>
    </row>
    <row r="212">
      <c r="A212" s="44"/>
      <c r="B212" s="44"/>
      <c r="C212" s="44"/>
      <c r="D212" s="44"/>
      <c r="E212" s="44"/>
      <c r="F212" s="44"/>
      <c r="G212" s="44"/>
      <c r="H212" s="44" t="s">
        <v>15</v>
      </c>
      <c r="I212" s="44"/>
      <c r="J212" s="44"/>
      <c r="K212" s="44"/>
      <c r="L212" s="44"/>
      <c r="M212" s="44"/>
      <c r="N212" s="44"/>
      <c r="O212" s="44"/>
      <c r="P212" s="44"/>
      <c r="Q212" s="44"/>
      <c r="R212" s="44"/>
      <c r="S212" s="44"/>
      <c r="T212" s="44"/>
      <c r="U212" s="44"/>
      <c r="V212" s="44"/>
      <c r="W212" s="44"/>
      <c r="X212" s="44"/>
      <c r="Y212" s="44"/>
      <c r="Z212" s="44"/>
      <c r="AA212" s="44"/>
    </row>
    <row r="213">
      <c r="A213" s="44"/>
      <c r="B213" s="44"/>
      <c r="C213" s="44"/>
      <c r="D213" s="44"/>
      <c r="E213" s="44"/>
      <c r="F213" s="44"/>
      <c r="G213" s="44"/>
      <c r="H213" s="44" t="s">
        <v>16</v>
      </c>
      <c r="I213" s="44"/>
      <c r="J213" s="44"/>
      <c r="K213" s="44"/>
      <c r="L213" s="44"/>
      <c r="M213" s="44"/>
      <c r="N213" s="44"/>
      <c r="O213" s="44"/>
      <c r="P213" s="44"/>
      <c r="Q213" s="44"/>
      <c r="R213" s="44"/>
      <c r="S213" s="44"/>
      <c r="T213" s="44"/>
      <c r="U213" s="44"/>
      <c r="V213" s="44"/>
      <c r="W213" s="44"/>
      <c r="X213" s="44"/>
      <c r="Y213" s="44"/>
      <c r="Z213" s="44"/>
      <c r="AA213" s="44"/>
    </row>
    <row r="214">
      <c r="A214" s="44"/>
      <c r="B214" s="44"/>
      <c r="C214" s="44"/>
      <c r="D214" s="44"/>
      <c r="E214" s="44"/>
      <c r="F214" s="44"/>
      <c r="G214" s="44"/>
      <c r="H214" s="45" t="s">
        <v>131</v>
      </c>
      <c r="I214" s="44"/>
      <c r="J214" s="45">
        <v>3075.0</v>
      </c>
      <c r="K214" s="44"/>
      <c r="L214" s="44"/>
      <c r="M214" s="44"/>
      <c r="N214" s="44"/>
      <c r="O214" s="44"/>
      <c r="P214" s="44"/>
      <c r="Q214" s="44"/>
      <c r="R214" s="44"/>
      <c r="S214" s="44"/>
      <c r="T214" s="44"/>
      <c r="U214" s="44"/>
      <c r="V214" s="44"/>
      <c r="W214" s="44"/>
      <c r="X214" s="44"/>
      <c r="Y214" s="44"/>
      <c r="Z214" s="44"/>
      <c r="AA214" s="44"/>
    </row>
    <row r="215">
      <c r="A215" s="44"/>
      <c r="B215" s="44"/>
      <c r="C215" s="44"/>
      <c r="D215" s="44"/>
      <c r="E215" s="44"/>
      <c r="F215" s="44"/>
      <c r="G215" s="44"/>
      <c r="H215" s="44" t="s">
        <v>18</v>
      </c>
      <c r="I215" s="44"/>
      <c r="J215" s="45">
        <v>50.0</v>
      </c>
      <c r="K215" s="44"/>
      <c r="L215" s="44"/>
      <c r="M215" s="44"/>
      <c r="N215" s="44"/>
      <c r="O215" s="44"/>
      <c r="P215" s="44"/>
      <c r="Q215" s="44"/>
      <c r="R215" s="44"/>
      <c r="S215" s="44"/>
      <c r="T215" s="44"/>
      <c r="U215" s="44"/>
      <c r="V215" s="44"/>
      <c r="W215" s="44"/>
      <c r="X215" s="44"/>
      <c r="Y215" s="44"/>
      <c r="Z215" s="44"/>
      <c r="AA215" s="44"/>
    </row>
    <row r="216">
      <c r="A216" s="44"/>
      <c r="B216" s="44"/>
      <c r="C216" s="44"/>
      <c r="D216" s="44"/>
      <c r="E216" s="44"/>
      <c r="F216" s="44"/>
      <c r="G216" s="44"/>
      <c r="H216" s="44" t="s">
        <v>19</v>
      </c>
      <c r="I216" s="44"/>
      <c r="J216" s="45">
        <v>40.0</v>
      </c>
      <c r="K216" s="44"/>
      <c r="L216" s="44"/>
      <c r="M216" s="44"/>
      <c r="N216" s="44"/>
      <c r="O216" s="44"/>
      <c r="P216" s="44"/>
      <c r="Q216" s="44"/>
      <c r="R216" s="44"/>
      <c r="S216" s="44"/>
      <c r="T216" s="44"/>
      <c r="U216" s="44"/>
      <c r="V216" s="44"/>
      <c r="W216" s="44"/>
      <c r="X216" s="44"/>
      <c r="Y216" s="44"/>
      <c r="Z216" s="44"/>
      <c r="AA216" s="44"/>
    </row>
    <row r="217">
      <c r="A217" s="44"/>
      <c r="B217" s="44"/>
      <c r="C217" s="44"/>
      <c r="D217" s="44"/>
      <c r="E217" s="44"/>
      <c r="F217" s="44"/>
      <c r="G217" s="44"/>
      <c r="H217" s="44" t="s">
        <v>20</v>
      </c>
      <c r="I217" s="44"/>
      <c r="J217" s="44"/>
      <c r="K217" s="44"/>
      <c r="L217" s="44"/>
      <c r="M217" s="44"/>
      <c r="N217" s="44"/>
      <c r="O217" s="44"/>
      <c r="P217" s="44"/>
      <c r="Q217" s="44"/>
      <c r="R217" s="44"/>
      <c r="S217" s="44"/>
      <c r="T217" s="44"/>
      <c r="U217" s="44"/>
      <c r="V217" s="44"/>
      <c r="W217" s="44"/>
      <c r="X217" s="44"/>
      <c r="Y217" s="44"/>
      <c r="Z217" s="44"/>
      <c r="AA217" s="44"/>
    </row>
    <row r="218">
      <c r="A218" s="44"/>
      <c r="B218" s="44"/>
      <c r="C218" s="44"/>
      <c r="D218" s="44"/>
      <c r="E218" s="44"/>
      <c r="F218" s="44"/>
      <c r="G218" s="44"/>
      <c r="H218" s="55" t="s">
        <v>48</v>
      </c>
      <c r="I218" s="55"/>
      <c r="J218" s="56">
        <v>500.0</v>
      </c>
      <c r="K218" s="44"/>
      <c r="L218" s="44"/>
      <c r="M218" s="44"/>
      <c r="N218" s="44"/>
      <c r="O218" s="44"/>
      <c r="P218" s="44"/>
      <c r="Q218" s="44"/>
      <c r="R218" s="44"/>
      <c r="S218" s="44"/>
      <c r="T218" s="44"/>
      <c r="U218" s="44"/>
      <c r="V218" s="44"/>
      <c r="W218" s="44"/>
      <c r="X218" s="44"/>
      <c r="Y218" s="44"/>
      <c r="Z218" s="44"/>
      <c r="AA218" s="44"/>
    </row>
    <row r="219">
      <c r="A219" s="44"/>
      <c r="B219" s="44"/>
      <c r="C219" s="44"/>
      <c r="D219" s="44"/>
      <c r="E219" s="44"/>
      <c r="F219" s="44"/>
      <c r="G219" s="44"/>
      <c r="H219" s="44" t="s">
        <v>29</v>
      </c>
      <c r="I219" s="44"/>
      <c r="J219" s="45">
        <v>217.5</v>
      </c>
      <c r="K219" s="44"/>
      <c r="L219" s="44"/>
      <c r="M219" s="44"/>
      <c r="N219" s="44"/>
      <c r="O219" s="44"/>
      <c r="P219" s="44"/>
      <c r="Q219" s="44"/>
      <c r="R219" s="44"/>
      <c r="S219" s="44"/>
      <c r="T219" s="44"/>
      <c r="U219" s="44"/>
      <c r="V219" s="44"/>
      <c r="W219" s="44"/>
      <c r="X219" s="44"/>
      <c r="Y219" s="44"/>
      <c r="Z219" s="44"/>
      <c r="AA219" s="44"/>
    </row>
    <row r="220">
      <c r="A220" s="44"/>
      <c r="B220" s="44"/>
      <c r="C220" s="44"/>
      <c r="D220" s="44"/>
      <c r="E220" s="44"/>
      <c r="F220" s="44"/>
      <c r="G220" s="44"/>
      <c r="H220" s="44" t="s">
        <v>24</v>
      </c>
      <c r="I220" s="44"/>
      <c r="J220" s="44"/>
      <c r="K220" s="44"/>
      <c r="L220" s="44"/>
      <c r="M220" s="44"/>
      <c r="N220" s="44"/>
      <c r="O220" s="44"/>
      <c r="P220" s="44"/>
      <c r="Q220" s="44"/>
      <c r="R220" s="44"/>
      <c r="S220" s="44"/>
      <c r="T220" s="44"/>
      <c r="U220" s="44"/>
      <c r="V220" s="44"/>
      <c r="W220" s="44"/>
      <c r="X220" s="44"/>
      <c r="Y220" s="44"/>
      <c r="Z220" s="44"/>
      <c r="AA220" s="44"/>
    </row>
    <row r="221">
      <c r="A221" s="44"/>
      <c r="B221" s="44"/>
      <c r="C221" s="44"/>
      <c r="D221" s="44"/>
      <c r="E221" s="44"/>
      <c r="F221" s="44"/>
      <c r="G221" s="44"/>
      <c r="H221" s="44" t="s">
        <v>27</v>
      </c>
      <c r="I221" s="44"/>
      <c r="J221" s="44"/>
      <c r="K221" s="44"/>
      <c r="L221" s="44"/>
      <c r="M221" s="44"/>
      <c r="N221" s="44"/>
      <c r="O221" s="44"/>
      <c r="P221" s="44"/>
      <c r="Q221" s="44"/>
      <c r="R221" s="44"/>
      <c r="S221" s="44"/>
      <c r="T221" s="44"/>
      <c r="U221" s="44"/>
      <c r="V221" s="44"/>
      <c r="W221" s="44"/>
      <c r="X221" s="44"/>
      <c r="Y221" s="44"/>
      <c r="Z221" s="44"/>
      <c r="AA221" s="44"/>
    </row>
    <row r="222">
      <c r="A222" s="44"/>
      <c r="B222" s="44"/>
      <c r="C222" s="44"/>
      <c r="D222" s="44"/>
      <c r="E222" s="44"/>
      <c r="F222" s="44"/>
      <c r="G222" s="44"/>
      <c r="H222" s="44" t="s">
        <v>83</v>
      </c>
      <c r="I222" s="44"/>
      <c r="J222" s="44"/>
      <c r="K222" s="44"/>
      <c r="L222" s="44"/>
      <c r="M222" s="44"/>
      <c r="N222" s="44"/>
      <c r="O222" s="44"/>
      <c r="P222" s="44"/>
      <c r="Q222" s="44"/>
      <c r="R222" s="44"/>
      <c r="S222" s="44"/>
      <c r="T222" s="44"/>
      <c r="U222" s="44"/>
      <c r="V222" s="44"/>
      <c r="W222" s="44"/>
      <c r="X222" s="44"/>
      <c r="Y222" s="44"/>
      <c r="Z222" s="44"/>
      <c r="AA222" s="44"/>
    </row>
    <row r="223">
      <c r="A223" s="44"/>
      <c r="B223" s="44"/>
      <c r="C223" s="44"/>
      <c r="D223" s="44"/>
      <c r="E223" s="44"/>
      <c r="F223" s="57"/>
      <c r="G223" s="44"/>
      <c r="H223" s="55" t="s">
        <v>96</v>
      </c>
      <c r="I223" s="55"/>
      <c r="J223" s="56">
        <v>500.0</v>
      </c>
      <c r="K223" s="44"/>
      <c r="L223" s="44"/>
      <c r="M223" s="44"/>
      <c r="N223" s="44"/>
      <c r="O223" s="44"/>
      <c r="P223" s="44"/>
      <c r="Q223" s="44"/>
      <c r="R223" s="44"/>
      <c r="S223" s="44"/>
      <c r="T223" s="44"/>
      <c r="U223" s="44"/>
      <c r="V223" s="44"/>
      <c r="W223" s="44"/>
      <c r="X223" s="44"/>
      <c r="Y223" s="44"/>
      <c r="Z223" s="44"/>
      <c r="AA223" s="44"/>
    </row>
    <row r="224">
      <c r="A224" s="44"/>
      <c r="B224" s="44"/>
      <c r="C224" s="44"/>
      <c r="D224" s="44"/>
      <c r="E224" s="44"/>
      <c r="F224" s="44"/>
      <c r="G224" s="44"/>
      <c r="H224" s="44" t="s">
        <v>31</v>
      </c>
      <c r="I224" s="44"/>
      <c r="J224" s="45">
        <v>361.0</v>
      </c>
      <c r="K224" s="44"/>
      <c r="L224" s="44"/>
      <c r="M224" s="44"/>
      <c r="N224" s="44"/>
      <c r="O224" s="44"/>
      <c r="P224" s="44"/>
      <c r="Q224" s="44"/>
      <c r="R224" s="44"/>
      <c r="S224" s="44"/>
      <c r="T224" s="44"/>
      <c r="U224" s="44"/>
      <c r="V224" s="44"/>
      <c r="W224" s="44"/>
      <c r="X224" s="44"/>
      <c r="Y224" s="44"/>
      <c r="Z224" s="44"/>
      <c r="AA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row>
    <row r="227">
      <c r="A227" s="44"/>
      <c r="B227" s="44"/>
      <c r="C227" s="44"/>
      <c r="D227" s="44"/>
      <c r="E227" s="44"/>
      <c r="F227" s="44"/>
      <c r="G227" s="44"/>
      <c r="H227" s="44"/>
      <c r="I227" s="44"/>
      <c r="J227" s="44"/>
    </row>
    <row r="228">
      <c r="A228" s="44"/>
      <c r="B228" s="44"/>
      <c r="C228" s="46"/>
      <c r="D228" s="46"/>
      <c r="E228" s="44"/>
      <c r="F228" s="44"/>
      <c r="G228" s="44"/>
      <c r="H228" s="44"/>
      <c r="I228" s="44"/>
      <c r="J228" s="44"/>
      <c r="K228" s="44"/>
      <c r="L228" s="44"/>
      <c r="M228" s="44"/>
      <c r="N228" s="44"/>
      <c r="O228" s="44"/>
      <c r="P228" s="44"/>
      <c r="Q228" s="44"/>
      <c r="R228" s="44"/>
      <c r="S228" s="44"/>
      <c r="T228" s="44"/>
      <c r="U228" s="44"/>
      <c r="V228" s="44"/>
      <c r="W228" s="44"/>
      <c r="X228" s="44"/>
      <c r="Y228" s="44"/>
      <c r="Z228" s="44"/>
      <c r="AA228" s="44"/>
    </row>
    <row r="229">
      <c r="A229" s="47" t="s">
        <v>71</v>
      </c>
      <c r="B229" s="48"/>
      <c r="C229" s="58" t="s">
        <v>132</v>
      </c>
      <c r="D229" s="50"/>
      <c r="E229" s="44"/>
      <c r="F229" s="44"/>
      <c r="G229" s="44"/>
      <c r="H229" s="44"/>
      <c r="I229" s="44"/>
      <c r="J229" s="44"/>
      <c r="K229" s="44"/>
      <c r="L229" s="44"/>
      <c r="M229" s="44"/>
      <c r="N229" s="44"/>
      <c r="O229" s="44"/>
      <c r="P229" s="44"/>
      <c r="Q229" s="44"/>
      <c r="R229" s="44"/>
      <c r="S229" s="44"/>
      <c r="T229" s="44"/>
      <c r="U229" s="44"/>
      <c r="V229" s="44"/>
      <c r="W229" s="44"/>
      <c r="X229" s="44"/>
      <c r="Y229" s="44"/>
      <c r="Z229" s="44"/>
      <c r="AA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row>
    <row r="232">
      <c r="A232" s="51" t="s">
        <v>133</v>
      </c>
      <c r="B232" s="44"/>
      <c r="C232" s="44" t="s">
        <v>3</v>
      </c>
      <c r="D232" s="45">
        <v>1560.0</v>
      </c>
      <c r="E232" s="52"/>
      <c r="F232" s="44"/>
      <c r="G232" s="53" t="s">
        <v>60</v>
      </c>
      <c r="H232" s="44" t="s">
        <v>4</v>
      </c>
      <c r="I232" s="44"/>
      <c r="J232" s="45">
        <v>140.0</v>
      </c>
      <c r="K232" s="44"/>
      <c r="L232" s="44"/>
      <c r="M232" s="44"/>
      <c r="N232" s="44"/>
      <c r="O232" s="44"/>
      <c r="P232" s="44"/>
      <c r="Q232" s="44"/>
      <c r="R232" s="44"/>
      <c r="S232" s="44"/>
      <c r="T232" s="44"/>
      <c r="U232" s="44"/>
      <c r="V232" s="44"/>
      <c r="W232" s="44"/>
      <c r="X232" s="44"/>
      <c r="Y232" s="44"/>
      <c r="Z232" s="44"/>
      <c r="AA232" s="44"/>
    </row>
    <row r="233">
      <c r="A233" s="44"/>
      <c r="B233" s="44"/>
      <c r="C233" s="44" t="s">
        <v>24</v>
      </c>
      <c r="D233" s="44"/>
      <c r="E233" s="44"/>
      <c r="F233" s="44"/>
      <c r="G233" s="44"/>
      <c r="H233" s="44" t="s">
        <v>25</v>
      </c>
      <c r="I233" s="44"/>
      <c r="J233" s="44"/>
      <c r="K233" s="44"/>
      <c r="L233" s="44"/>
      <c r="M233" s="44"/>
      <c r="N233" s="44"/>
      <c r="O233" s="44"/>
      <c r="P233" s="44"/>
      <c r="Q233" s="44"/>
      <c r="R233" s="44"/>
      <c r="S233" s="44"/>
      <c r="T233" s="44"/>
      <c r="U233" s="44"/>
      <c r="V233" s="44"/>
      <c r="W233" s="44"/>
      <c r="X233" s="44"/>
      <c r="Y233" s="44"/>
      <c r="Z233" s="44"/>
      <c r="AA233" s="44"/>
    </row>
    <row r="234">
      <c r="A234" s="54" t="s">
        <v>134</v>
      </c>
      <c r="B234" s="44"/>
      <c r="C234" s="44" t="s">
        <v>26</v>
      </c>
      <c r="D234" s="44"/>
      <c r="E234" s="44"/>
      <c r="F234" s="44"/>
      <c r="G234" s="44"/>
      <c r="H234" s="44" t="s">
        <v>6</v>
      </c>
      <c r="I234" s="44"/>
      <c r="J234" s="45">
        <v>60.0</v>
      </c>
      <c r="K234" s="44"/>
      <c r="L234" s="44"/>
      <c r="M234" s="44"/>
      <c r="N234" s="44"/>
      <c r="O234" s="44"/>
      <c r="P234" s="44"/>
      <c r="Q234" s="44"/>
      <c r="R234" s="44"/>
      <c r="S234" s="44"/>
      <c r="T234" s="44"/>
      <c r="U234" s="44"/>
      <c r="V234" s="44"/>
      <c r="W234" s="44"/>
      <c r="X234" s="44"/>
      <c r="Y234" s="44"/>
      <c r="Z234" s="44"/>
      <c r="AA234" s="44"/>
    </row>
    <row r="235">
      <c r="A235" s="44"/>
      <c r="B235" s="44"/>
      <c r="C235" s="44" t="s">
        <v>27</v>
      </c>
      <c r="D235" s="44"/>
      <c r="E235" s="44"/>
      <c r="F235" s="44"/>
      <c r="G235" s="44"/>
      <c r="H235" s="44" t="s">
        <v>81</v>
      </c>
      <c r="I235" s="44"/>
      <c r="J235" s="45">
        <v>82.0</v>
      </c>
      <c r="K235" s="44"/>
      <c r="L235" s="44"/>
      <c r="M235" s="44"/>
      <c r="N235" s="44"/>
      <c r="O235" s="44"/>
      <c r="P235" s="44"/>
      <c r="Q235" s="44"/>
      <c r="R235" s="44"/>
      <c r="S235" s="44"/>
      <c r="T235" s="44"/>
      <c r="U235" s="44"/>
      <c r="V235" s="44"/>
      <c r="W235" s="44"/>
      <c r="X235" s="44"/>
      <c r="Y235" s="44"/>
      <c r="Z235" s="44"/>
      <c r="AA235" s="44"/>
    </row>
    <row r="236">
      <c r="A236" s="44"/>
      <c r="B236" s="44"/>
      <c r="C236" s="44" t="s">
        <v>37</v>
      </c>
      <c r="D236" s="44"/>
      <c r="E236" s="44"/>
      <c r="F236" s="44"/>
      <c r="G236" s="44"/>
      <c r="H236" s="44" t="s">
        <v>8</v>
      </c>
      <c r="I236" s="44"/>
      <c r="J236" s="45">
        <v>132.0</v>
      </c>
      <c r="K236" s="44"/>
      <c r="L236" s="44"/>
      <c r="M236" s="44"/>
      <c r="N236" s="44"/>
      <c r="O236" s="44"/>
      <c r="P236" s="44"/>
      <c r="Q236" s="44"/>
      <c r="R236" s="44"/>
      <c r="S236" s="44"/>
      <c r="T236" s="44"/>
      <c r="U236" s="44"/>
      <c r="V236" s="44"/>
      <c r="W236" s="44"/>
      <c r="X236" s="44"/>
      <c r="Y236" s="44"/>
      <c r="Z236" s="44"/>
      <c r="AA236" s="44"/>
    </row>
    <row r="237">
      <c r="A237" s="44"/>
      <c r="B237" s="44"/>
      <c r="C237" s="44" t="s">
        <v>52</v>
      </c>
      <c r="D237" s="44"/>
      <c r="E237" s="44"/>
      <c r="F237" s="44"/>
      <c r="G237" s="44"/>
      <c r="H237" s="44" t="s">
        <v>94</v>
      </c>
      <c r="I237" s="44"/>
      <c r="J237" s="45">
        <v>87.0</v>
      </c>
      <c r="K237" s="44"/>
      <c r="L237" s="44"/>
      <c r="M237" s="44"/>
      <c r="N237" s="44"/>
      <c r="O237" s="44"/>
      <c r="P237" s="44"/>
      <c r="Q237" s="44"/>
      <c r="R237" s="44"/>
      <c r="S237" s="44"/>
      <c r="T237" s="44"/>
      <c r="U237" s="44"/>
      <c r="V237" s="44"/>
      <c r="W237" s="44"/>
      <c r="X237" s="44"/>
      <c r="Y237" s="44"/>
      <c r="Z237" s="44"/>
      <c r="AA237" s="44"/>
    </row>
    <row r="238">
      <c r="A238" s="44"/>
      <c r="B238" s="44"/>
      <c r="C238" s="44"/>
      <c r="D238" s="44"/>
      <c r="E238" s="44"/>
      <c r="F238" s="44"/>
      <c r="G238" s="44"/>
      <c r="H238" s="44" t="s">
        <v>10</v>
      </c>
      <c r="I238" s="44"/>
      <c r="J238" s="44"/>
      <c r="K238" s="44"/>
      <c r="L238" s="44"/>
      <c r="M238" s="44"/>
      <c r="N238" s="44"/>
      <c r="O238" s="44"/>
      <c r="P238" s="44"/>
      <c r="Q238" s="44"/>
      <c r="R238" s="44"/>
      <c r="S238" s="44"/>
      <c r="T238" s="44"/>
      <c r="U238" s="44"/>
      <c r="V238" s="44"/>
      <c r="W238" s="44"/>
      <c r="X238" s="44"/>
      <c r="Y238" s="44"/>
      <c r="Z238" s="44"/>
      <c r="AA238" s="44"/>
    </row>
    <row r="239">
      <c r="A239" s="44"/>
      <c r="B239" s="52"/>
      <c r="C239" s="52"/>
      <c r="D239" s="52"/>
      <c r="E239" s="52"/>
      <c r="F239" s="44"/>
      <c r="G239" s="44"/>
      <c r="H239" s="44" t="s">
        <v>34</v>
      </c>
      <c r="I239" s="44"/>
      <c r="J239" s="45">
        <v>20.0</v>
      </c>
      <c r="K239" s="44"/>
      <c r="L239" s="44"/>
      <c r="M239" s="44"/>
      <c r="N239" s="44"/>
      <c r="O239" s="44"/>
      <c r="P239" s="44"/>
      <c r="Q239" s="44"/>
      <c r="R239" s="44"/>
      <c r="S239" s="44"/>
      <c r="T239" s="44"/>
      <c r="U239" s="44"/>
      <c r="V239" s="44"/>
      <c r="W239" s="44"/>
      <c r="X239" s="44"/>
      <c r="Y239" s="44"/>
      <c r="Z239" s="44"/>
      <c r="AA239" s="44"/>
    </row>
    <row r="240">
      <c r="A240" s="44"/>
      <c r="B240" s="44"/>
      <c r="C240" s="44"/>
      <c r="D240" s="44"/>
      <c r="E240" s="44"/>
      <c r="F240" s="44"/>
      <c r="G240" s="44"/>
      <c r="H240" s="44" t="s">
        <v>28</v>
      </c>
      <c r="I240" s="44"/>
      <c r="J240" s="44"/>
      <c r="K240" s="44"/>
      <c r="L240" s="44"/>
      <c r="M240" s="44"/>
      <c r="N240" s="44"/>
      <c r="O240" s="44"/>
      <c r="P240" s="44"/>
      <c r="Q240" s="44"/>
      <c r="R240" s="44"/>
      <c r="S240" s="44"/>
      <c r="T240" s="44"/>
      <c r="U240" s="44"/>
      <c r="V240" s="44"/>
      <c r="W240" s="44"/>
      <c r="X240" s="44"/>
      <c r="Y240" s="44"/>
      <c r="Z240" s="44"/>
      <c r="AA240" s="44"/>
    </row>
    <row r="241">
      <c r="A241" s="44"/>
      <c r="B241" s="44"/>
      <c r="C241" s="44"/>
      <c r="D241" s="44"/>
      <c r="E241" s="44"/>
      <c r="F241" s="44"/>
      <c r="G241" s="44"/>
      <c r="H241" s="44" t="s">
        <v>11</v>
      </c>
      <c r="I241" s="44"/>
      <c r="J241" s="44"/>
      <c r="K241" s="44"/>
      <c r="L241" s="44"/>
      <c r="M241" s="44"/>
      <c r="N241" s="44"/>
      <c r="O241" s="44"/>
      <c r="P241" s="44"/>
      <c r="Q241" s="44"/>
      <c r="R241" s="44"/>
      <c r="S241" s="44"/>
      <c r="T241" s="44"/>
      <c r="U241" s="44"/>
      <c r="V241" s="44"/>
      <c r="W241" s="44"/>
      <c r="X241" s="44"/>
      <c r="Y241" s="44"/>
      <c r="Z241" s="44"/>
      <c r="AA241" s="44"/>
    </row>
    <row r="242">
      <c r="A242" s="44"/>
      <c r="B242" s="44"/>
      <c r="C242" s="44"/>
      <c r="D242" s="44"/>
      <c r="E242" s="44"/>
      <c r="F242" s="44"/>
      <c r="G242" s="44"/>
      <c r="H242" s="44" t="s">
        <v>12</v>
      </c>
      <c r="I242" s="44"/>
      <c r="J242" s="44"/>
      <c r="K242" s="44"/>
      <c r="L242" s="44"/>
      <c r="M242" s="44"/>
      <c r="N242" s="44"/>
      <c r="O242" s="44"/>
      <c r="P242" s="44"/>
      <c r="Q242" s="44"/>
      <c r="R242" s="44"/>
      <c r="S242" s="44"/>
      <c r="T242" s="44"/>
      <c r="U242" s="44"/>
      <c r="V242" s="44"/>
      <c r="W242" s="44"/>
      <c r="X242" s="44"/>
      <c r="Y242" s="44"/>
      <c r="Z242" s="44"/>
      <c r="AA242" s="44"/>
    </row>
    <row r="243">
      <c r="A243" s="44"/>
      <c r="B243" s="44"/>
      <c r="C243" s="44"/>
      <c r="D243" s="44"/>
      <c r="E243" s="44"/>
      <c r="F243" s="44"/>
      <c r="G243" s="44"/>
      <c r="H243" s="44" t="s">
        <v>95</v>
      </c>
      <c r="I243" s="44"/>
      <c r="J243" s="44"/>
      <c r="K243" s="44"/>
      <c r="L243" s="44"/>
      <c r="M243" s="44"/>
      <c r="N243" s="44"/>
      <c r="O243" s="44"/>
      <c r="P243" s="44"/>
      <c r="Q243" s="44"/>
      <c r="R243" s="44"/>
      <c r="S243" s="44"/>
      <c r="T243" s="44"/>
      <c r="U243" s="44"/>
      <c r="V243" s="44"/>
      <c r="W243" s="44"/>
      <c r="X243" s="44"/>
      <c r="Y243" s="44"/>
      <c r="Z243" s="44"/>
      <c r="AA243" s="44"/>
    </row>
    <row r="244">
      <c r="A244" s="44"/>
      <c r="B244" s="44"/>
      <c r="C244" s="44"/>
      <c r="D244" s="44"/>
      <c r="E244" s="44"/>
      <c r="F244" s="44"/>
      <c r="G244" s="44"/>
      <c r="H244" s="44" t="s">
        <v>14</v>
      </c>
      <c r="I244" s="44"/>
      <c r="J244" s="45">
        <v>25.0</v>
      </c>
      <c r="K244" s="44"/>
      <c r="L244" s="44"/>
      <c r="M244" s="44"/>
      <c r="N244" s="44"/>
      <c r="O244" s="44"/>
      <c r="P244" s="44"/>
      <c r="Q244" s="44"/>
      <c r="R244" s="44"/>
      <c r="S244" s="44"/>
      <c r="T244" s="44"/>
      <c r="U244" s="44"/>
      <c r="V244" s="44"/>
      <c r="W244" s="44"/>
      <c r="X244" s="44"/>
      <c r="Y244" s="44"/>
      <c r="Z244" s="44"/>
      <c r="AA244" s="44"/>
    </row>
    <row r="245">
      <c r="A245" s="44"/>
      <c r="B245" s="44"/>
      <c r="C245" s="44"/>
      <c r="D245" s="44"/>
      <c r="E245" s="44"/>
      <c r="F245" s="44"/>
      <c r="G245" s="44"/>
      <c r="H245" s="44" t="s">
        <v>108</v>
      </c>
      <c r="I245" s="44"/>
      <c r="J245" s="45">
        <v>100.0</v>
      </c>
      <c r="K245" s="44"/>
      <c r="L245" s="44"/>
      <c r="M245" s="44"/>
      <c r="N245" s="44"/>
      <c r="O245" s="44"/>
      <c r="P245" s="44"/>
      <c r="Q245" s="44"/>
      <c r="R245" s="44"/>
      <c r="S245" s="44"/>
      <c r="T245" s="44"/>
      <c r="U245" s="44"/>
      <c r="V245" s="44"/>
      <c r="W245" s="44"/>
      <c r="X245" s="44"/>
      <c r="Y245" s="44"/>
      <c r="Z245" s="44"/>
      <c r="AA245" s="44"/>
    </row>
    <row r="246">
      <c r="A246" s="44"/>
      <c r="B246" s="44"/>
      <c r="C246" s="44"/>
      <c r="D246" s="44"/>
      <c r="E246" s="44"/>
      <c r="F246" s="44"/>
      <c r="G246" s="44"/>
      <c r="H246" s="44" t="s">
        <v>15</v>
      </c>
      <c r="I246" s="44"/>
      <c r="J246" s="44"/>
      <c r="K246" s="44"/>
      <c r="L246" s="44"/>
      <c r="M246" s="44"/>
      <c r="N246" s="44"/>
      <c r="O246" s="44"/>
      <c r="P246" s="44"/>
      <c r="Q246" s="44"/>
      <c r="R246" s="44"/>
      <c r="S246" s="44"/>
      <c r="T246" s="44"/>
      <c r="U246" s="44"/>
      <c r="V246" s="44"/>
      <c r="W246" s="44"/>
      <c r="X246" s="44"/>
      <c r="Y246" s="44"/>
      <c r="Z246" s="44"/>
      <c r="AA246" s="44"/>
    </row>
    <row r="247">
      <c r="A247" s="44"/>
      <c r="B247" s="44"/>
      <c r="C247" s="44"/>
      <c r="D247" s="44"/>
      <c r="E247" s="44"/>
      <c r="F247" s="44"/>
      <c r="G247" s="44"/>
      <c r="H247" s="44" t="s">
        <v>16</v>
      </c>
      <c r="I247" s="44"/>
      <c r="J247" s="44"/>
      <c r="K247" s="44"/>
      <c r="L247" s="44"/>
      <c r="M247" s="44"/>
      <c r="N247" s="44"/>
      <c r="O247" s="44"/>
      <c r="P247" s="44"/>
      <c r="Q247" s="44"/>
      <c r="R247" s="44"/>
      <c r="S247" s="44"/>
      <c r="T247" s="44"/>
      <c r="U247" s="44"/>
      <c r="V247" s="44"/>
      <c r="W247" s="44"/>
      <c r="X247" s="44"/>
      <c r="Y247" s="44"/>
      <c r="Z247" s="44"/>
      <c r="AA247" s="44"/>
    </row>
    <row r="248">
      <c r="A248" s="44"/>
      <c r="B248" s="44"/>
      <c r="C248" s="44"/>
      <c r="D248" s="44"/>
      <c r="E248" s="44"/>
      <c r="F248" s="44"/>
      <c r="G248" s="44"/>
      <c r="H248" s="45" t="s">
        <v>131</v>
      </c>
      <c r="I248" s="44"/>
      <c r="J248" s="45">
        <v>50.0</v>
      </c>
      <c r="K248" s="44"/>
      <c r="L248" s="44"/>
      <c r="M248" s="44"/>
      <c r="N248" s="44"/>
      <c r="O248" s="44"/>
      <c r="P248" s="44"/>
      <c r="Q248" s="44"/>
      <c r="R248" s="44"/>
      <c r="S248" s="44"/>
      <c r="T248" s="44"/>
      <c r="U248" s="44"/>
      <c r="V248" s="44"/>
      <c r="W248" s="44"/>
      <c r="X248" s="44"/>
      <c r="Y248" s="44"/>
      <c r="Z248" s="44"/>
      <c r="AA248" s="44"/>
    </row>
    <row r="249">
      <c r="A249" s="44"/>
      <c r="B249" s="44"/>
      <c r="C249" s="44"/>
      <c r="D249" s="44"/>
      <c r="E249" s="44"/>
      <c r="F249" s="44"/>
      <c r="G249" s="44"/>
      <c r="H249" s="44" t="s">
        <v>18</v>
      </c>
      <c r="I249" s="44"/>
      <c r="J249" s="44"/>
      <c r="K249" s="44"/>
      <c r="L249" s="44"/>
      <c r="M249" s="44"/>
      <c r="N249" s="44"/>
      <c r="O249" s="44"/>
      <c r="P249" s="44"/>
      <c r="Q249" s="44"/>
      <c r="R249" s="44"/>
      <c r="S249" s="44"/>
      <c r="T249" s="44"/>
      <c r="U249" s="44"/>
      <c r="V249" s="44"/>
      <c r="W249" s="44"/>
      <c r="X249" s="44"/>
      <c r="Y249" s="44"/>
      <c r="Z249" s="44"/>
      <c r="AA249" s="44"/>
    </row>
    <row r="250">
      <c r="A250" s="44"/>
      <c r="B250" s="44"/>
      <c r="C250" s="44"/>
      <c r="D250" s="44"/>
      <c r="E250" s="44"/>
      <c r="F250" s="44"/>
      <c r="G250" s="44"/>
      <c r="H250" s="44" t="s">
        <v>19</v>
      </c>
      <c r="I250" s="44"/>
      <c r="J250" s="45">
        <v>40.0</v>
      </c>
      <c r="K250" s="44"/>
      <c r="L250" s="44"/>
      <c r="M250" s="44"/>
      <c r="N250" s="44"/>
      <c r="O250" s="44"/>
      <c r="P250" s="44"/>
      <c r="Q250" s="44"/>
      <c r="R250" s="44"/>
      <c r="S250" s="44"/>
      <c r="T250" s="44"/>
      <c r="U250" s="44"/>
      <c r="V250" s="44"/>
      <c r="W250" s="44"/>
      <c r="X250" s="44"/>
      <c r="Y250" s="44"/>
      <c r="Z250" s="44"/>
      <c r="AA250" s="44"/>
    </row>
    <row r="251">
      <c r="A251" s="44"/>
      <c r="B251" s="44"/>
      <c r="C251" s="44"/>
      <c r="D251" s="44"/>
      <c r="E251" s="44"/>
      <c r="F251" s="44"/>
      <c r="G251" s="44"/>
      <c r="H251" s="44" t="s">
        <v>20</v>
      </c>
      <c r="I251" s="44"/>
      <c r="J251" s="44"/>
      <c r="K251" s="44"/>
      <c r="L251" s="44"/>
      <c r="M251" s="44"/>
      <c r="N251" s="44"/>
      <c r="O251" s="44"/>
      <c r="P251" s="44"/>
      <c r="Q251" s="44"/>
      <c r="R251" s="44"/>
      <c r="S251" s="44"/>
      <c r="T251" s="44"/>
      <c r="U251" s="44"/>
      <c r="V251" s="44"/>
      <c r="W251" s="44"/>
      <c r="X251" s="44"/>
      <c r="Y251" s="44"/>
      <c r="Z251" s="44"/>
      <c r="AA251" s="44"/>
    </row>
    <row r="252">
      <c r="A252" s="44"/>
      <c r="B252" s="44"/>
      <c r="C252" s="44"/>
      <c r="D252" s="44"/>
      <c r="E252" s="44"/>
      <c r="F252" s="44"/>
      <c r="G252" s="44"/>
      <c r="H252" s="55" t="s">
        <v>48</v>
      </c>
      <c r="I252" s="55"/>
      <c r="J252" s="56">
        <v>500.0</v>
      </c>
      <c r="K252" s="44"/>
      <c r="L252" s="44"/>
      <c r="M252" s="44"/>
      <c r="N252" s="44"/>
      <c r="O252" s="44"/>
      <c r="P252" s="44"/>
      <c r="Q252" s="44"/>
      <c r="R252" s="44"/>
      <c r="S252" s="44"/>
      <c r="T252" s="44"/>
      <c r="U252" s="44"/>
      <c r="V252" s="44"/>
      <c r="W252" s="44"/>
      <c r="X252" s="44"/>
      <c r="Y252" s="44"/>
      <c r="Z252" s="44"/>
      <c r="AA252" s="44"/>
    </row>
    <row r="253">
      <c r="A253" s="44"/>
      <c r="B253" s="44"/>
      <c r="C253" s="44"/>
      <c r="D253" s="44"/>
      <c r="E253" s="44"/>
      <c r="F253" s="44"/>
      <c r="G253" s="44"/>
      <c r="H253" s="44" t="s">
        <v>29</v>
      </c>
      <c r="I253" s="44"/>
      <c r="J253" s="45">
        <v>120.0</v>
      </c>
      <c r="K253" s="44"/>
      <c r="L253" s="44"/>
      <c r="M253" s="44"/>
      <c r="N253" s="44"/>
      <c r="O253" s="44"/>
      <c r="P253" s="44"/>
      <c r="Q253" s="44"/>
      <c r="R253" s="44"/>
      <c r="S253" s="44"/>
      <c r="T253" s="44"/>
      <c r="U253" s="44"/>
      <c r="V253" s="44"/>
      <c r="W253" s="44"/>
      <c r="X253" s="44"/>
      <c r="Y253" s="44"/>
      <c r="Z253" s="44"/>
      <c r="AA253" s="44"/>
    </row>
    <row r="254">
      <c r="A254" s="44"/>
      <c r="B254" s="44"/>
      <c r="C254" s="44"/>
      <c r="D254" s="44"/>
      <c r="E254" s="44"/>
      <c r="F254" s="44"/>
      <c r="G254" s="44"/>
      <c r="H254" s="44" t="s">
        <v>24</v>
      </c>
      <c r="I254" s="44"/>
      <c r="J254" s="44"/>
      <c r="K254" s="44"/>
      <c r="L254" s="44"/>
      <c r="M254" s="44"/>
      <c r="N254" s="44"/>
      <c r="O254" s="44"/>
      <c r="P254" s="44"/>
      <c r="Q254" s="44"/>
      <c r="R254" s="44"/>
      <c r="S254" s="44"/>
      <c r="T254" s="44"/>
      <c r="U254" s="44"/>
      <c r="V254" s="44"/>
      <c r="W254" s="44"/>
      <c r="X254" s="44"/>
      <c r="Y254" s="44"/>
      <c r="Z254" s="44"/>
      <c r="AA254" s="44"/>
    </row>
    <row r="255">
      <c r="A255" s="44"/>
      <c r="B255" s="44"/>
      <c r="C255" s="44"/>
      <c r="D255" s="44"/>
      <c r="E255" s="44"/>
      <c r="F255" s="44"/>
      <c r="G255" s="44"/>
      <c r="H255" s="44" t="s">
        <v>27</v>
      </c>
      <c r="I255" s="44"/>
      <c r="J255" s="44"/>
      <c r="K255" s="44"/>
      <c r="L255" s="44"/>
      <c r="M255" s="44"/>
      <c r="N255" s="44"/>
      <c r="O255" s="44"/>
      <c r="P255" s="44"/>
      <c r="Q255" s="44"/>
      <c r="R255" s="44"/>
      <c r="S255" s="44"/>
      <c r="T255" s="44"/>
      <c r="U255" s="44"/>
      <c r="V255" s="44"/>
      <c r="W255" s="44"/>
      <c r="X255" s="44"/>
      <c r="Y255" s="44"/>
      <c r="Z255" s="44"/>
      <c r="AA255" s="44"/>
    </row>
    <row r="256">
      <c r="A256" s="44"/>
      <c r="B256" s="44"/>
      <c r="C256" s="44"/>
      <c r="D256" s="44"/>
      <c r="E256" s="44"/>
      <c r="F256" s="44"/>
      <c r="G256" s="44"/>
      <c r="H256" s="44" t="s">
        <v>83</v>
      </c>
      <c r="I256" s="44"/>
      <c r="J256" s="44"/>
      <c r="K256" s="44"/>
      <c r="L256" s="44"/>
      <c r="M256" s="44"/>
      <c r="N256" s="44"/>
      <c r="O256" s="44"/>
      <c r="P256" s="44"/>
      <c r="Q256" s="44"/>
      <c r="R256" s="44"/>
      <c r="S256" s="44"/>
      <c r="T256" s="44"/>
      <c r="U256" s="44"/>
      <c r="V256" s="44"/>
      <c r="W256" s="44"/>
      <c r="X256" s="44"/>
      <c r="Y256" s="44"/>
      <c r="Z256" s="44"/>
      <c r="AA256" s="44"/>
    </row>
    <row r="257">
      <c r="A257" s="44"/>
      <c r="B257" s="44"/>
      <c r="C257" s="44"/>
      <c r="D257" s="44"/>
      <c r="E257" s="44"/>
      <c r="F257" s="44"/>
      <c r="G257" s="44"/>
      <c r="H257" s="55" t="s">
        <v>96</v>
      </c>
      <c r="I257" s="55"/>
      <c r="J257" s="56">
        <v>500.0</v>
      </c>
      <c r="K257" s="44"/>
      <c r="L257" s="44"/>
      <c r="M257" s="44"/>
      <c r="N257" s="44"/>
      <c r="O257" s="44"/>
      <c r="P257" s="44"/>
      <c r="Q257" s="44"/>
      <c r="R257" s="44"/>
      <c r="S257" s="44"/>
      <c r="T257" s="44"/>
      <c r="U257" s="44"/>
      <c r="V257" s="44"/>
      <c r="W257" s="44"/>
      <c r="X257" s="44"/>
      <c r="Y257" s="44"/>
      <c r="Z257" s="44"/>
      <c r="AA257" s="44"/>
    </row>
    <row r="258">
      <c r="A258" s="44"/>
      <c r="B258" s="44"/>
      <c r="C258" s="44"/>
      <c r="D258" s="44"/>
      <c r="E258" s="44"/>
      <c r="F258" s="44"/>
      <c r="G258" s="44"/>
      <c r="H258" s="44" t="s">
        <v>31</v>
      </c>
      <c r="I258" s="44"/>
      <c r="J258" s="44"/>
      <c r="K258" s="44"/>
      <c r="L258" s="44"/>
      <c r="M258" s="44"/>
      <c r="N258" s="44"/>
      <c r="O258" s="44"/>
      <c r="P258" s="44"/>
      <c r="Q258" s="44"/>
      <c r="R258" s="44"/>
      <c r="S258" s="44"/>
      <c r="T258" s="44"/>
      <c r="U258" s="44"/>
      <c r="V258" s="44"/>
      <c r="W258" s="44"/>
      <c r="X258" s="44"/>
      <c r="Y258" s="44"/>
      <c r="Z258" s="44"/>
      <c r="AA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row>
    <row r="260">
      <c r="A260" s="47" t="s">
        <v>75</v>
      </c>
      <c r="B260" s="48"/>
      <c r="C260" s="59" t="s">
        <v>135</v>
      </c>
      <c r="D260" s="50"/>
      <c r="E260" s="44"/>
      <c r="F260" s="44"/>
      <c r="G260" s="44"/>
      <c r="H260" s="44"/>
      <c r="I260" s="44"/>
      <c r="J260" s="44"/>
      <c r="K260" s="44"/>
      <c r="L260" s="44"/>
      <c r="M260" s="44"/>
      <c r="N260" s="44"/>
      <c r="O260" s="44"/>
      <c r="P260" s="44"/>
      <c r="Q260" s="44"/>
      <c r="R260" s="44"/>
      <c r="S260" s="44"/>
      <c r="T260" s="44"/>
      <c r="U260" s="44"/>
      <c r="V260" s="44"/>
      <c r="W260" s="44"/>
      <c r="X260" s="44"/>
      <c r="Y260" s="44"/>
      <c r="Z260" s="44"/>
      <c r="AA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row>
    <row r="263">
      <c r="A263" s="51" t="s">
        <v>136</v>
      </c>
      <c r="B263" s="44"/>
      <c r="C263" s="44" t="s">
        <v>3</v>
      </c>
      <c r="D263" s="45">
        <v>3745.0</v>
      </c>
      <c r="E263" s="52"/>
      <c r="F263" s="44"/>
      <c r="G263" s="53" t="s">
        <v>60</v>
      </c>
      <c r="H263" s="44" t="s">
        <v>4</v>
      </c>
      <c r="I263" s="44"/>
      <c r="J263" s="45">
        <v>85.0</v>
      </c>
      <c r="K263" s="44"/>
      <c r="L263" s="44"/>
      <c r="M263" s="44"/>
      <c r="N263" s="44"/>
      <c r="O263" s="44"/>
      <c r="P263" s="44"/>
      <c r="Q263" s="44"/>
      <c r="R263" s="44"/>
      <c r="S263" s="44"/>
      <c r="T263" s="44"/>
      <c r="U263" s="44"/>
      <c r="V263" s="44"/>
      <c r="W263" s="44"/>
      <c r="X263" s="44"/>
      <c r="Y263" s="44"/>
      <c r="Z263" s="44"/>
      <c r="AA263" s="44"/>
    </row>
    <row r="264">
      <c r="A264" s="44"/>
      <c r="B264" s="44"/>
      <c r="C264" s="44" t="s">
        <v>24</v>
      </c>
      <c r="D264" s="44"/>
      <c r="E264" s="44"/>
      <c r="F264" s="44"/>
      <c r="G264" s="44"/>
      <c r="H264" s="44" t="s">
        <v>25</v>
      </c>
      <c r="I264" s="44"/>
      <c r="J264" s="44"/>
      <c r="K264" s="44"/>
      <c r="L264" s="44"/>
      <c r="M264" s="44"/>
      <c r="N264" s="44"/>
      <c r="O264" s="44"/>
      <c r="P264" s="44"/>
      <c r="Q264" s="44"/>
      <c r="R264" s="44"/>
      <c r="S264" s="44"/>
      <c r="T264" s="44"/>
      <c r="U264" s="44"/>
      <c r="V264" s="44"/>
      <c r="W264" s="44"/>
      <c r="X264" s="44"/>
      <c r="Y264" s="44"/>
      <c r="Z264" s="44"/>
      <c r="AA264" s="44"/>
    </row>
    <row r="265">
      <c r="A265" s="54" t="s">
        <v>137</v>
      </c>
      <c r="B265" s="44"/>
      <c r="C265" s="44" t="s">
        <v>26</v>
      </c>
      <c r="D265" s="44"/>
      <c r="E265" s="44"/>
      <c r="F265" s="44"/>
      <c r="G265" s="44"/>
      <c r="H265" s="44" t="s">
        <v>6</v>
      </c>
      <c r="I265" s="44"/>
      <c r="J265" s="45" t="s">
        <v>138</v>
      </c>
      <c r="K265" s="44"/>
      <c r="L265" s="44"/>
      <c r="M265" s="44"/>
      <c r="N265" s="44"/>
      <c r="O265" s="44"/>
      <c r="P265" s="44"/>
      <c r="Q265" s="44"/>
      <c r="R265" s="44"/>
      <c r="S265" s="44"/>
      <c r="T265" s="44"/>
      <c r="U265" s="44"/>
      <c r="V265" s="44"/>
      <c r="W265" s="44"/>
      <c r="X265" s="44"/>
      <c r="Y265" s="44"/>
      <c r="Z265" s="44"/>
      <c r="AA265" s="44"/>
    </row>
    <row r="266">
      <c r="A266" s="44"/>
      <c r="B266" s="44"/>
      <c r="C266" s="44" t="s">
        <v>27</v>
      </c>
      <c r="D266" s="44"/>
      <c r="E266" s="44"/>
      <c r="F266" s="44"/>
      <c r="G266" s="44"/>
      <c r="H266" s="44" t="s">
        <v>81</v>
      </c>
      <c r="I266" s="44"/>
      <c r="J266" s="45"/>
      <c r="K266" s="44"/>
      <c r="L266" s="44"/>
      <c r="M266" s="44"/>
      <c r="N266" s="44"/>
      <c r="O266" s="44"/>
      <c r="P266" s="44"/>
      <c r="Q266" s="44"/>
      <c r="R266" s="44"/>
      <c r="S266" s="44"/>
      <c r="T266" s="44"/>
      <c r="U266" s="44"/>
      <c r="V266" s="44"/>
      <c r="W266" s="44"/>
      <c r="X266" s="44"/>
      <c r="Y266" s="44"/>
      <c r="Z266" s="44"/>
      <c r="AA266" s="44"/>
    </row>
    <row r="267">
      <c r="A267" s="44"/>
      <c r="B267" s="44"/>
      <c r="C267" s="44" t="s">
        <v>37</v>
      </c>
      <c r="D267" s="44"/>
      <c r="E267" s="44"/>
      <c r="F267" s="44"/>
      <c r="G267" s="44"/>
      <c r="H267" s="44" t="s">
        <v>8</v>
      </c>
      <c r="I267" s="44"/>
      <c r="J267" s="45" t="s">
        <v>139</v>
      </c>
      <c r="K267" s="44"/>
      <c r="L267" s="44"/>
      <c r="M267" s="44"/>
      <c r="N267" s="44"/>
      <c r="O267" s="44"/>
      <c r="P267" s="44"/>
      <c r="Q267" s="44"/>
      <c r="R267" s="44"/>
      <c r="S267" s="44"/>
      <c r="T267" s="44"/>
      <c r="U267" s="44"/>
      <c r="V267" s="44"/>
      <c r="W267" s="44"/>
      <c r="X267" s="44"/>
      <c r="Y267" s="44"/>
      <c r="Z267" s="44"/>
      <c r="AA267" s="44"/>
    </row>
    <row r="268">
      <c r="A268" s="44"/>
      <c r="B268" s="44"/>
      <c r="C268" s="44" t="s">
        <v>52</v>
      </c>
      <c r="D268" s="44"/>
      <c r="E268" s="44"/>
      <c r="F268" s="44"/>
      <c r="G268" s="44"/>
      <c r="H268" s="44" t="s">
        <v>94</v>
      </c>
      <c r="I268" s="44"/>
      <c r="J268" s="45"/>
      <c r="K268" s="44"/>
      <c r="L268" s="44"/>
      <c r="M268" s="44"/>
      <c r="N268" s="44"/>
      <c r="O268" s="44"/>
      <c r="P268" s="44"/>
      <c r="Q268" s="44"/>
      <c r="R268" s="44"/>
      <c r="S268" s="44"/>
      <c r="T268" s="44"/>
      <c r="U268" s="44"/>
      <c r="V268" s="44"/>
      <c r="W268" s="44"/>
      <c r="X268" s="44"/>
      <c r="Y268" s="44"/>
      <c r="Z268" s="44"/>
      <c r="AA268" s="44"/>
    </row>
    <row r="269">
      <c r="A269" s="44"/>
      <c r="B269" s="44"/>
      <c r="C269" s="44"/>
      <c r="D269" s="44"/>
      <c r="E269" s="44"/>
      <c r="F269" s="44"/>
      <c r="G269" s="44"/>
      <c r="H269" s="44" t="s">
        <v>10</v>
      </c>
      <c r="I269" s="44"/>
      <c r="J269" s="44"/>
      <c r="K269" s="44"/>
      <c r="L269" s="44"/>
      <c r="M269" s="44"/>
      <c r="N269" s="44"/>
      <c r="O269" s="44"/>
      <c r="P269" s="44"/>
      <c r="Q269" s="44"/>
      <c r="R269" s="44"/>
      <c r="S269" s="44"/>
      <c r="T269" s="44"/>
      <c r="U269" s="44"/>
      <c r="V269" s="44"/>
      <c r="W269" s="44"/>
      <c r="X269" s="44"/>
      <c r="Y269" s="44"/>
      <c r="Z269" s="44"/>
      <c r="AA269" s="44"/>
    </row>
    <row r="270">
      <c r="A270" s="44"/>
      <c r="B270" s="52"/>
      <c r="C270" s="52"/>
      <c r="D270" s="52"/>
      <c r="E270" s="52"/>
      <c r="F270" s="44"/>
      <c r="G270" s="44"/>
      <c r="H270" s="44" t="s">
        <v>34</v>
      </c>
      <c r="I270" s="44"/>
      <c r="J270" s="45">
        <v>20.0</v>
      </c>
      <c r="K270" s="44"/>
      <c r="L270" s="44"/>
      <c r="M270" s="44"/>
      <c r="N270" s="44"/>
      <c r="O270" s="44"/>
      <c r="P270" s="44"/>
      <c r="Q270" s="44"/>
      <c r="R270" s="44"/>
      <c r="S270" s="44"/>
      <c r="T270" s="44"/>
      <c r="U270" s="44"/>
      <c r="V270" s="44"/>
      <c r="W270" s="44"/>
      <c r="X270" s="44"/>
      <c r="Y270" s="44"/>
      <c r="Z270" s="44"/>
      <c r="AA270" s="44"/>
    </row>
    <row r="271">
      <c r="A271" s="44"/>
      <c r="B271" s="44"/>
      <c r="C271" s="44"/>
      <c r="D271" s="44"/>
      <c r="E271" s="44"/>
      <c r="F271" s="44"/>
      <c r="G271" s="44"/>
      <c r="H271" s="44" t="s">
        <v>28</v>
      </c>
      <c r="I271" s="44"/>
      <c r="J271" s="44"/>
      <c r="K271" s="44"/>
      <c r="L271" s="44"/>
      <c r="M271" s="44"/>
      <c r="N271" s="44"/>
      <c r="O271" s="44"/>
      <c r="P271" s="44"/>
      <c r="Q271" s="44"/>
      <c r="R271" s="44"/>
      <c r="S271" s="44"/>
      <c r="T271" s="44"/>
      <c r="U271" s="44"/>
      <c r="V271" s="44"/>
      <c r="W271" s="44"/>
      <c r="X271" s="44"/>
      <c r="Y271" s="44"/>
      <c r="Z271" s="44"/>
      <c r="AA271" s="44"/>
    </row>
    <row r="272">
      <c r="A272" s="44"/>
      <c r="B272" s="44"/>
      <c r="C272" s="44"/>
      <c r="D272" s="44"/>
      <c r="E272" s="44"/>
      <c r="F272" s="44"/>
      <c r="G272" s="44"/>
      <c r="H272" s="44" t="s">
        <v>11</v>
      </c>
      <c r="I272" s="44"/>
      <c r="J272" s="44"/>
      <c r="K272" s="44"/>
      <c r="L272" s="44"/>
      <c r="M272" s="44"/>
      <c r="N272" s="44"/>
      <c r="O272" s="44"/>
      <c r="P272" s="44"/>
      <c r="Q272" s="44"/>
      <c r="R272" s="44"/>
      <c r="S272" s="44"/>
      <c r="T272" s="44"/>
      <c r="U272" s="44"/>
      <c r="V272" s="44"/>
      <c r="W272" s="44"/>
      <c r="X272" s="44"/>
      <c r="Y272" s="44"/>
      <c r="Z272" s="44"/>
      <c r="AA272" s="44"/>
    </row>
    <row r="273">
      <c r="A273" s="44"/>
      <c r="B273" s="44"/>
      <c r="C273" s="44"/>
      <c r="D273" s="44"/>
      <c r="E273" s="44"/>
      <c r="F273" s="44"/>
      <c r="G273" s="44"/>
      <c r="H273" s="44" t="s">
        <v>12</v>
      </c>
      <c r="I273" s="44"/>
      <c r="J273" s="44"/>
      <c r="K273" s="44"/>
      <c r="L273" s="44"/>
      <c r="M273" s="44"/>
      <c r="N273" s="44"/>
      <c r="O273" s="44"/>
      <c r="P273" s="44"/>
      <c r="Q273" s="44"/>
      <c r="R273" s="44"/>
      <c r="S273" s="44"/>
      <c r="T273" s="44"/>
      <c r="U273" s="44"/>
      <c r="V273" s="44"/>
      <c r="W273" s="44"/>
      <c r="X273" s="44"/>
      <c r="Y273" s="44"/>
      <c r="Z273" s="44"/>
      <c r="AA273" s="44"/>
    </row>
    <row r="274">
      <c r="A274" s="44"/>
      <c r="B274" s="44"/>
      <c r="C274" s="44"/>
      <c r="D274" s="44"/>
      <c r="E274" s="44"/>
      <c r="F274" s="44"/>
      <c r="G274" s="44"/>
      <c r="H274" s="44" t="s">
        <v>95</v>
      </c>
      <c r="I274" s="44"/>
      <c r="J274" s="44"/>
      <c r="K274" s="44"/>
      <c r="L274" s="44"/>
      <c r="M274" s="44"/>
      <c r="N274" s="44"/>
      <c r="O274" s="44"/>
      <c r="P274" s="44"/>
      <c r="Q274" s="44"/>
      <c r="R274" s="44"/>
      <c r="S274" s="44"/>
      <c r="T274" s="44"/>
      <c r="U274" s="44"/>
      <c r="V274" s="44"/>
      <c r="W274" s="44"/>
      <c r="X274" s="44"/>
      <c r="Y274" s="44"/>
      <c r="Z274" s="44"/>
      <c r="AA274" s="44"/>
    </row>
    <row r="275">
      <c r="A275" s="44"/>
      <c r="B275" s="44"/>
      <c r="C275" s="44"/>
      <c r="D275" s="44"/>
      <c r="E275" s="44"/>
      <c r="F275" s="44"/>
      <c r="G275" s="44"/>
      <c r="H275" s="44" t="s">
        <v>14</v>
      </c>
      <c r="I275" s="44"/>
      <c r="J275" s="45" t="s">
        <v>140</v>
      </c>
      <c r="K275" s="44"/>
      <c r="L275" s="44"/>
      <c r="M275" s="44"/>
      <c r="N275" s="44"/>
      <c r="O275" s="44"/>
      <c r="P275" s="44"/>
      <c r="Q275" s="44"/>
      <c r="R275" s="44"/>
      <c r="S275" s="44"/>
      <c r="T275" s="44"/>
      <c r="U275" s="44"/>
      <c r="V275" s="44"/>
      <c r="W275" s="44"/>
      <c r="X275" s="44"/>
      <c r="Y275" s="44"/>
      <c r="Z275" s="44"/>
      <c r="AA275" s="44"/>
    </row>
    <row r="276">
      <c r="A276" s="44"/>
      <c r="B276" s="44"/>
      <c r="C276" s="44"/>
      <c r="D276" s="44"/>
      <c r="E276" s="44"/>
      <c r="F276" s="44"/>
      <c r="G276" s="44"/>
      <c r="H276" s="44" t="s">
        <v>108</v>
      </c>
      <c r="I276" s="44"/>
      <c r="J276" s="45">
        <v>100.0</v>
      </c>
      <c r="K276" s="44"/>
      <c r="L276" s="44"/>
      <c r="M276" s="44"/>
      <c r="N276" s="44"/>
      <c r="O276" s="44"/>
      <c r="P276" s="44"/>
      <c r="Q276" s="44"/>
      <c r="R276" s="44"/>
      <c r="S276" s="44"/>
      <c r="T276" s="44"/>
      <c r="U276" s="44"/>
      <c r="V276" s="44"/>
      <c r="W276" s="44"/>
      <c r="X276" s="44"/>
      <c r="Y276" s="44"/>
      <c r="Z276" s="44"/>
      <c r="AA276" s="44"/>
    </row>
    <row r="277">
      <c r="A277" s="44"/>
      <c r="B277" s="44"/>
      <c r="C277" s="44"/>
      <c r="D277" s="44"/>
      <c r="E277" s="44"/>
      <c r="F277" s="44"/>
      <c r="G277" s="44"/>
      <c r="H277" s="44" t="s">
        <v>15</v>
      </c>
      <c r="I277" s="44"/>
      <c r="J277" s="44"/>
      <c r="K277" s="44"/>
      <c r="L277" s="44"/>
      <c r="M277" s="44"/>
      <c r="N277" s="44"/>
      <c r="O277" s="44"/>
      <c r="P277" s="44"/>
      <c r="Q277" s="44"/>
      <c r="R277" s="44"/>
      <c r="S277" s="44"/>
      <c r="T277" s="44"/>
      <c r="U277" s="44"/>
      <c r="V277" s="44"/>
      <c r="W277" s="44"/>
      <c r="X277" s="44"/>
      <c r="Y277" s="44"/>
      <c r="Z277" s="44"/>
      <c r="AA277" s="44"/>
    </row>
    <row r="278">
      <c r="A278" s="44"/>
      <c r="B278" s="44"/>
      <c r="C278" s="44"/>
      <c r="D278" s="44"/>
      <c r="E278" s="44"/>
      <c r="F278" s="44"/>
      <c r="G278" s="44"/>
      <c r="H278" s="44" t="s">
        <v>16</v>
      </c>
      <c r="I278" s="44"/>
      <c r="J278" s="44"/>
      <c r="K278" s="44"/>
      <c r="L278" s="44"/>
      <c r="M278" s="44"/>
      <c r="N278" s="44"/>
      <c r="O278" s="44"/>
      <c r="P278" s="44"/>
      <c r="Q278" s="44"/>
      <c r="R278" s="44"/>
      <c r="S278" s="44"/>
      <c r="T278" s="44"/>
      <c r="U278" s="44"/>
      <c r="V278" s="44"/>
      <c r="W278" s="44"/>
      <c r="X278" s="44"/>
      <c r="Y278" s="44"/>
      <c r="Z278" s="44"/>
      <c r="AA278" s="44"/>
    </row>
    <row r="279">
      <c r="A279" s="44"/>
      <c r="B279" s="44"/>
      <c r="C279" s="44"/>
      <c r="D279" s="44"/>
      <c r="E279" s="44"/>
      <c r="F279" s="44"/>
      <c r="G279" s="44"/>
      <c r="H279" s="45" t="s">
        <v>131</v>
      </c>
      <c r="I279" s="44"/>
      <c r="J279" s="45"/>
      <c r="K279" s="44"/>
      <c r="L279" s="44"/>
      <c r="M279" s="44"/>
      <c r="N279" s="44"/>
      <c r="O279" s="44"/>
      <c r="P279" s="44"/>
      <c r="Q279" s="44"/>
      <c r="R279" s="44"/>
      <c r="S279" s="44"/>
      <c r="T279" s="44"/>
      <c r="U279" s="44"/>
      <c r="V279" s="44"/>
      <c r="W279" s="44"/>
      <c r="X279" s="44"/>
      <c r="Y279" s="44"/>
      <c r="Z279" s="44"/>
      <c r="AA279" s="44"/>
    </row>
    <row r="280">
      <c r="A280" s="44"/>
      <c r="B280" s="44"/>
      <c r="C280" s="44"/>
      <c r="D280" s="44"/>
      <c r="E280" s="44"/>
      <c r="F280" s="44"/>
      <c r="G280" s="44"/>
      <c r="H280" s="44" t="s">
        <v>18</v>
      </c>
      <c r="I280" s="44"/>
      <c r="J280" s="44"/>
      <c r="K280" s="44"/>
      <c r="L280" s="44"/>
      <c r="M280" s="44"/>
      <c r="N280" s="44"/>
      <c r="O280" s="44"/>
      <c r="P280" s="44"/>
      <c r="Q280" s="44"/>
      <c r="R280" s="44"/>
      <c r="S280" s="44"/>
      <c r="T280" s="44"/>
      <c r="U280" s="44"/>
      <c r="V280" s="44"/>
      <c r="W280" s="44"/>
      <c r="X280" s="44"/>
      <c r="Y280" s="44"/>
      <c r="Z280" s="44"/>
      <c r="AA280" s="44"/>
    </row>
    <row r="281">
      <c r="A281" s="44"/>
      <c r="B281" s="44"/>
      <c r="C281" s="44"/>
      <c r="D281" s="44"/>
      <c r="E281" s="44"/>
      <c r="F281" s="44"/>
      <c r="G281" s="44"/>
      <c r="H281" s="44" t="s">
        <v>19</v>
      </c>
      <c r="I281" s="44"/>
      <c r="J281" s="45" t="s">
        <v>141</v>
      </c>
      <c r="K281" s="44"/>
      <c r="L281" s="44"/>
      <c r="M281" s="44"/>
      <c r="N281" s="44"/>
      <c r="O281" s="44"/>
      <c r="P281" s="44"/>
      <c r="Q281" s="44"/>
      <c r="R281" s="44"/>
      <c r="S281" s="44"/>
      <c r="T281" s="44"/>
      <c r="U281" s="44"/>
      <c r="V281" s="44"/>
      <c r="W281" s="44"/>
      <c r="X281" s="44"/>
      <c r="Y281" s="44"/>
      <c r="Z281" s="44"/>
      <c r="AA281" s="44"/>
    </row>
    <row r="282">
      <c r="A282" s="44"/>
      <c r="B282" s="44"/>
      <c r="C282" s="44"/>
      <c r="D282" s="44"/>
      <c r="E282" s="44"/>
      <c r="F282" s="44"/>
      <c r="G282" s="44"/>
      <c r="H282" s="44" t="s">
        <v>20</v>
      </c>
      <c r="I282" s="44"/>
      <c r="J282" s="44"/>
      <c r="K282" s="44"/>
      <c r="L282" s="44"/>
      <c r="M282" s="44"/>
      <c r="N282" s="44"/>
      <c r="O282" s="44"/>
      <c r="P282" s="44"/>
      <c r="Q282" s="44"/>
      <c r="R282" s="44"/>
      <c r="S282" s="44"/>
      <c r="T282" s="44"/>
      <c r="U282" s="44"/>
      <c r="V282" s="44"/>
      <c r="W282" s="44"/>
      <c r="X282" s="44"/>
      <c r="Y282" s="44"/>
      <c r="Z282" s="44"/>
      <c r="AA282" s="44"/>
    </row>
    <row r="283">
      <c r="A283" s="44"/>
      <c r="B283" s="44"/>
      <c r="C283" s="44"/>
      <c r="D283" s="44"/>
      <c r="E283" s="44"/>
      <c r="F283" s="44"/>
      <c r="G283" s="44"/>
      <c r="H283" s="55" t="s">
        <v>48</v>
      </c>
      <c r="I283" s="55"/>
      <c r="J283" s="56">
        <v>500.0</v>
      </c>
      <c r="K283" s="44"/>
      <c r="L283" s="44"/>
      <c r="M283" s="44"/>
      <c r="N283" s="44"/>
      <c r="O283" s="44"/>
      <c r="P283" s="44"/>
      <c r="Q283" s="44"/>
      <c r="R283" s="44"/>
      <c r="S283" s="44"/>
      <c r="T283" s="44"/>
      <c r="U283" s="44"/>
      <c r="V283" s="44"/>
      <c r="W283" s="44"/>
      <c r="X283" s="44"/>
      <c r="Y283" s="44"/>
      <c r="Z283" s="44"/>
      <c r="AA283" s="44"/>
    </row>
    <row r="284">
      <c r="A284" s="44"/>
      <c r="B284" s="44"/>
      <c r="C284" s="44"/>
      <c r="D284" s="44"/>
      <c r="E284" s="44"/>
      <c r="F284" s="44"/>
      <c r="G284" s="44"/>
      <c r="H284" s="44" t="s">
        <v>29</v>
      </c>
      <c r="I284" s="44"/>
      <c r="J284" s="45">
        <v>230.0</v>
      </c>
      <c r="K284" s="44"/>
      <c r="L284" s="44"/>
      <c r="M284" s="44"/>
      <c r="N284" s="44"/>
      <c r="O284" s="44"/>
      <c r="P284" s="44"/>
      <c r="Q284" s="44"/>
      <c r="R284" s="44"/>
      <c r="S284" s="44"/>
      <c r="T284" s="44"/>
      <c r="U284" s="44"/>
      <c r="V284" s="44"/>
      <c r="W284" s="44"/>
      <c r="X284" s="44"/>
      <c r="Y284" s="44"/>
      <c r="Z284" s="44"/>
      <c r="AA284" s="44"/>
    </row>
    <row r="285">
      <c r="A285" s="44"/>
      <c r="B285" s="44"/>
      <c r="C285" s="44"/>
      <c r="D285" s="44"/>
      <c r="E285" s="44"/>
      <c r="F285" s="44"/>
      <c r="G285" s="44"/>
      <c r="H285" s="44" t="s">
        <v>24</v>
      </c>
      <c r="I285" s="44"/>
      <c r="J285" s="44"/>
      <c r="K285" s="44"/>
      <c r="L285" s="44"/>
      <c r="M285" s="44"/>
      <c r="N285" s="44"/>
      <c r="O285" s="44"/>
      <c r="P285" s="44"/>
      <c r="Q285" s="44"/>
      <c r="R285" s="44"/>
      <c r="S285" s="44"/>
      <c r="T285" s="44"/>
      <c r="U285" s="44"/>
      <c r="V285" s="44"/>
      <c r="W285" s="44"/>
      <c r="X285" s="44"/>
      <c r="Y285" s="44"/>
      <c r="Z285" s="44"/>
      <c r="AA285" s="44"/>
    </row>
    <row r="286">
      <c r="A286" s="44"/>
      <c r="B286" s="44"/>
      <c r="C286" s="44"/>
      <c r="D286" s="44"/>
      <c r="E286" s="44"/>
      <c r="F286" s="44"/>
      <c r="G286" s="44"/>
      <c r="H286" s="44" t="s">
        <v>27</v>
      </c>
      <c r="I286" s="44"/>
      <c r="J286" s="44"/>
      <c r="K286" s="44"/>
      <c r="L286" s="44"/>
      <c r="M286" s="44"/>
      <c r="N286" s="44"/>
      <c r="O286" s="44"/>
      <c r="P286" s="44"/>
      <c r="Q286" s="44"/>
      <c r="R286" s="44"/>
      <c r="S286" s="44"/>
      <c r="T286" s="44"/>
      <c r="U286" s="44"/>
      <c r="V286" s="44"/>
      <c r="W286" s="44"/>
      <c r="X286" s="44"/>
      <c r="Y286" s="44"/>
      <c r="Z286" s="44"/>
      <c r="AA286" s="44"/>
    </row>
    <row r="287">
      <c r="A287" s="44"/>
      <c r="B287" s="44"/>
      <c r="C287" s="44"/>
      <c r="D287" s="44"/>
      <c r="E287" s="44"/>
      <c r="F287" s="44"/>
      <c r="G287" s="44"/>
      <c r="H287" s="44" t="s">
        <v>83</v>
      </c>
      <c r="I287" s="44"/>
      <c r="J287" s="45">
        <v>4093.0</v>
      </c>
      <c r="K287" s="44"/>
      <c r="L287" s="44"/>
      <c r="M287" s="44"/>
      <c r="N287" s="44"/>
      <c r="O287" s="44"/>
      <c r="P287" s="44"/>
      <c r="Q287" s="44"/>
      <c r="R287" s="44"/>
      <c r="S287" s="44"/>
      <c r="T287" s="44"/>
      <c r="U287" s="44"/>
      <c r="V287" s="44"/>
      <c r="W287" s="44"/>
      <c r="X287" s="44"/>
      <c r="Y287" s="44"/>
      <c r="Z287" s="44"/>
      <c r="AA287" s="44"/>
    </row>
    <row r="288">
      <c r="A288" s="44"/>
      <c r="B288" s="44"/>
      <c r="C288" s="44"/>
      <c r="D288" s="44"/>
      <c r="E288" s="44"/>
      <c r="F288" s="44"/>
      <c r="G288" s="44"/>
      <c r="H288" s="55" t="s">
        <v>96</v>
      </c>
      <c r="I288" s="55"/>
      <c r="J288" s="56">
        <v>500.0</v>
      </c>
      <c r="K288" s="44"/>
      <c r="L288" s="44"/>
      <c r="M288" s="44"/>
      <c r="N288" s="44"/>
      <c r="O288" s="44"/>
      <c r="P288" s="44"/>
      <c r="Q288" s="44"/>
      <c r="R288" s="44"/>
      <c r="S288" s="44"/>
      <c r="T288" s="44"/>
      <c r="U288" s="44"/>
      <c r="V288" s="44"/>
      <c r="W288" s="44"/>
      <c r="X288" s="44"/>
      <c r="Y288" s="44"/>
      <c r="Z288" s="44"/>
      <c r="AA288" s="44"/>
    </row>
    <row r="289">
      <c r="A289" s="44"/>
      <c r="B289" s="44"/>
      <c r="C289" s="44"/>
      <c r="D289" s="44"/>
      <c r="E289" s="44"/>
      <c r="F289" s="44"/>
      <c r="G289" s="44"/>
      <c r="H289" s="44" t="s">
        <v>31</v>
      </c>
      <c r="I289" s="44"/>
      <c r="J289" s="45" t="s">
        <v>142</v>
      </c>
      <c r="K289" s="44"/>
      <c r="L289" s="44"/>
      <c r="M289" s="44"/>
      <c r="N289" s="44"/>
      <c r="O289" s="44"/>
      <c r="P289" s="44"/>
      <c r="Q289" s="44"/>
      <c r="R289" s="44"/>
      <c r="S289" s="44"/>
      <c r="T289" s="44"/>
      <c r="U289" s="44"/>
      <c r="V289" s="44"/>
      <c r="W289" s="44"/>
      <c r="X289" s="44"/>
      <c r="Y289" s="44"/>
      <c r="Z289" s="44"/>
      <c r="AA289" s="44"/>
    </row>
    <row r="291">
      <c r="A291" s="47" t="s">
        <v>79</v>
      </c>
      <c r="B291" s="48"/>
      <c r="C291" s="59" t="s">
        <v>143</v>
      </c>
      <c r="D291" s="50"/>
      <c r="E291" s="44"/>
      <c r="F291" s="44"/>
      <c r="G291" s="44"/>
      <c r="H291" s="44"/>
      <c r="I291" s="44"/>
      <c r="J291" s="44"/>
      <c r="K291" s="44"/>
      <c r="L291" s="44"/>
      <c r="M291" s="44"/>
      <c r="N291" s="44"/>
      <c r="O291" s="44"/>
      <c r="P291" s="44"/>
      <c r="Q291" s="44"/>
      <c r="R291" s="44"/>
      <c r="S291" s="44"/>
      <c r="T291" s="44"/>
      <c r="U291" s="44"/>
      <c r="V291" s="44"/>
      <c r="W291" s="44"/>
      <c r="X291" s="44"/>
      <c r="Y291" s="44"/>
      <c r="Z291" s="44"/>
      <c r="AA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row>
    <row r="294">
      <c r="A294" s="51" t="s">
        <v>144</v>
      </c>
      <c r="B294" s="44"/>
      <c r="C294" s="44" t="s">
        <v>3</v>
      </c>
      <c r="D294" s="45">
        <v>3320.0</v>
      </c>
      <c r="E294" s="52"/>
      <c r="F294" s="44"/>
      <c r="G294" s="53" t="s">
        <v>60</v>
      </c>
      <c r="H294" s="44" t="s">
        <v>4</v>
      </c>
      <c r="I294" s="44"/>
      <c r="J294" s="45">
        <v>85.0</v>
      </c>
      <c r="K294" s="44"/>
      <c r="L294" s="44"/>
      <c r="M294" s="44"/>
      <c r="N294" s="44"/>
      <c r="O294" s="44"/>
      <c r="P294" s="44"/>
      <c r="Q294" s="44"/>
      <c r="R294" s="44"/>
      <c r="S294" s="44"/>
      <c r="T294" s="44"/>
      <c r="U294" s="44"/>
      <c r="V294" s="44"/>
      <c r="W294" s="44"/>
      <c r="X294" s="44"/>
      <c r="Y294" s="44"/>
      <c r="Z294" s="44"/>
      <c r="AA294" s="44"/>
    </row>
    <row r="295">
      <c r="A295" s="44"/>
      <c r="B295" s="44"/>
      <c r="C295" s="44" t="s">
        <v>24</v>
      </c>
      <c r="D295" s="44"/>
      <c r="E295" s="44"/>
      <c r="F295" s="44"/>
      <c r="G295" s="44"/>
      <c r="H295" s="44" t="s">
        <v>25</v>
      </c>
      <c r="I295" s="44"/>
      <c r="J295" s="45">
        <v>20.0</v>
      </c>
      <c r="K295" s="44"/>
      <c r="L295" s="44"/>
      <c r="M295" s="44"/>
      <c r="N295" s="44"/>
      <c r="O295" s="44"/>
      <c r="P295" s="44"/>
      <c r="Q295" s="44"/>
      <c r="R295" s="44"/>
      <c r="S295" s="44"/>
      <c r="T295" s="44"/>
      <c r="U295" s="44"/>
      <c r="V295" s="44"/>
      <c r="W295" s="44"/>
      <c r="X295" s="44"/>
      <c r="Y295" s="44"/>
      <c r="Z295" s="44"/>
      <c r="AA295" s="44"/>
    </row>
    <row r="296">
      <c r="A296" s="54" t="s">
        <v>145</v>
      </c>
      <c r="B296" s="44"/>
      <c r="C296" s="44" t="s">
        <v>26</v>
      </c>
      <c r="D296" s="44"/>
      <c r="E296" s="44"/>
      <c r="F296" s="44"/>
      <c r="G296" s="44"/>
      <c r="H296" s="44" t="s">
        <v>6</v>
      </c>
      <c r="I296" s="44"/>
      <c r="J296" s="45">
        <v>120.0</v>
      </c>
      <c r="K296" s="44"/>
      <c r="L296" s="44"/>
      <c r="M296" s="44"/>
      <c r="N296" s="44"/>
      <c r="O296" s="44"/>
      <c r="P296" s="44"/>
      <c r="Q296" s="44"/>
      <c r="R296" s="44"/>
      <c r="S296" s="44"/>
      <c r="T296" s="44"/>
      <c r="U296" s="44"/>
      <c r="V296" s="44"/>
      <c r="W296" s="44"/>
      <c r="X296" s="44"/>
      <c r="Y296" s="44"/>
      <c r="Z296" s="44"/>
      <c r="AA296" s="44"/>
    </row>
    <row r="297">
      <c r="A297" s="44"/>
      <c r="B297" s="44"/>
      <c r="C297" s="44" t="s">
        <v>27</v>
      </c>
      <c r="D297" s="44"/>
      <c r="E297" s="44"/>
      <c r="F297" s="44"/>
      <c r="G297" s="44"/>
      <c r="H297" s="44" t="s">
        <v>81</v>
      </c>
      <c r="I297" s="44"/>
      <c r="J297" s="45">
        <v>86.0</v>
      </c>
      <c r="K297" s="44"/>
      <c r="L297" s="44"/>
      <c r="M297" s="44"/>
      <c r="N297" s="44"/>
      <c r="O297" s="44"/>
      <c r="P297" s="44"/>
      <c r="Q297" s="44"/>
      <c r="R297" s="44"/>
      <c r="S297" s="44"/>
      <c r="T297" s="44"/>
      <c r="U297" s="44"/>
      <c r="V297" s="44"/>
      <c r="W297" s="44"/>
      <c r="X297" s="44"/>
      <c r="Y297" s="44"/>
      <c r="Z297" s="44"/>
      <c r="AA297" s="44"/>
    </row>
    <row r="298">
      <c r="A298" s="44"/>
      <c r="B298" s="44"/>
      <c r="C298" s="44" t="s">
        <v>37</v>
      </c>
      <c r="D298" s="44"/>
      <c r="E298" s="44"/>
      <c r="F298" s="44"/>
      <c r="G298" s="44"/>
      <c r="H298" s="44" t="s">
        <v>8</v>
      </c>
      <c r="I298" s="44"/>
      <c r="J298" s="45"/>
      <c r="K298" s="44"/>
      <c r="L298" s="44"/>
      <c r="M298" s="44"/>
      <c r="N298" s="44"/>
      <c r="O298" s="44"/>
      <c r="P298" s="44"/>
      <c r="Q298" s="44"/>
      <c r="R298" s="44"/>
      <c r="S298" s="44"/>
      <c r="T298" s="44"/>
      <c r="U298" s="44"/>
      <c r="V298" s="44"/>
      <c r="W298" s="44"/>
      <c r="X298" s="44"/>
      <c r="Y298" s="44"/>
      <c r="Z298" s="44"/>
      <c r="AA298" s="44"/>
    </row>
    <row r="299">
      <c r="A299" s="44"/>
      <c r="B299" s="44"/>
      <c r="C299" s="44" t="s">
        <v>52</v>
      </c>
      <c r="D299" s="44"/>
      <c r="E299" s="44"/>
      <c r="F299" s="44"/>
      <c r="G299" s="44"/>
      <c r="H299" s="44" t="s">
        <v>94</v>
      </c>
      <c r="I299" s="44"/>
      <c r="J299" s="45"/>
      <c r="K299" s="44"/>
      <c r="L299" s="44"/>
      <c r="M299" s="44"/>
      <c r="N299" s="44"/>
      <c r="O299" s="44"/>
      <c r="P299" s="44"/>
      <c r="Q299" s="44"/>
      <c r="R299" s="44"/>
      <c r="S299" s="44"/>
      <c r="T299" s="44"/>
      <c r="U299" s="44"/>
      <c r="V299" s="44"/>
      <c r="W299" s="44"/>
      <c r="X299" s="44"/>
      <c r="Y299" s="44"/>
      <c r="Z299" s="44"/>
      <c r="AA299" s="44"/>
    </row>
    <row r="300">
      <c r="A300" s="44"/>
      <c r="B300" s="44"/>
      <c r="C300" s="44"/>
      <c r="D300" s="44"/>
      <c r="E300" s="44"/>
      <c r="F300" s="44"/>
      <c r="G300" s="44"/>
      <c r="H300" s="44" t="s">
        <v>10</v>
      </c>
      <c r="I300" s="44"/>
      <c r="J300" s="44"/>
      <c r="K300" s="44"/>
      <c r="L300" s="44"/>
      <c r="M300" s="44"/>
      <c r="N300" s="44"/>
      <c r="O300" s="44"/>
      <c r="P300" s="44"/>
      <c r="Q300" s="44"/>
      <c r="R300" s="44"/>
      <c r="S300" s="44"/>
      <c r="T300" s="44"/>
      <c r="U300" s="44"/>
      <c r="V300" s="44"/>
      <c r="W300" s="44"/>
      <c r="X300" s="44"/>
      <c r="Y300" s="44"/>
      <c r="Z300" s="44"/>
      <c r="AA300" s="44"/>
    </row>
    <row r="301">
      <c r="A301" s="44"/>
      <c r="B301" s="52"/>
      <c r="C301" s="52"/>
      <c r="D301" s="52"/>
      <c r="E301" s="52"/>
      <c r="F301" s="44"/>
      <c r="G301" s="44"/>
      <c r="H301" s="44" t="s">
        <v>34</v>
      </c>
      <c r="I301" s="44"/>
      <c r="J301" s="45">
        <v>20.0</v>
      </c>
      <c r="K301" s="44"/>
      <c r="L301" s="44"/>
      <c r="M301" s="44"/>
      <c r="N301" s="44"/>
      <c r="O301" s="44"/>
      <c r="P301" s="44"/>
      <c r="Q301" s="44"/>
      <c r="R301" s="44"/>
      <c r="S301" s="44"/>
      <c r="T301" s="44"/>
      <c r="U301" s="44"/>
      <c r="V301" s="44"/>
      <c r="W301" s="44"/>
      <c r="X301" s="44"/>
      <c r="Y301" s="44"/>
      <c r="Z301" s="44"/>
      <c r="AA301" s="44"/>
    </row>
    <row r="302">
      <c r="A302" s="44"/>
      <c r="B302" s="44"/>
      <c r="C302" s="44"/>
      <c r="D302" s="44"/>
      <c r="E302" s="44"/>
      <c r="F302" s="44"/>
      <c r="G302" s="44"/>
      <c r="H302" s="44" t="s">
        <v>28</v>
      </c>
      <c r="I302" s="44"/>
      <c r="J302" s="44"/>
      <c r="K302" s="44"/>
      <c r="L302" s="44"/>
      <c r="M302" s="44"/>
      <c r="N302" s="44"/>
      <c r="O302" s="44"/>
      <c r="P302" s="44"/>
      <c r="Q302" s="44"/>
      <c r="R302" s="44"/>
      <c r="S302" s="44"/>
      <c r="T302" s="44"/>
      <c r="U302" s="44"/>
      <c r="V302" s="44"/>
      <c r="W302" s="44"/>
      <c r="X302" s="44"/>
      <c r="Y302" s="44"/>
      <c r="Z302" s="44"/>
      <c r="AA302" s="44"/>
    </row>
    <row r="303">
      <c r="A303" s="44"/>
      <c r="B303" s="44"/>
      <c r="C303" s="44"/>
      <c r="D303" s="44"/>
      <c r="E303" s="44"/>
      <c r="F303" s="44"/>
      <c r="G303" s="44"/>
      <c r="H303" s="44" t="s">
        <v>11</v>
      </c>
      <c r="I303" s="44"/>
      <c r="J303" s="44"/>
      <c r="K303" s="44"/>
      <c r="L303" s="44"/>
      <c r="M303" s="44"/>
      <c r="N303" s="44"/>
      <c r="O303" s="44"/>
      <c r="P303" s="44"/>
      <c r="Q303" s="44"/>
      <c r="R303" s="44"/>
      <c r="S303" s="44"/>
      <c r="T303" s="44"/>
      <c r="U303" s="44"/>
      <c r="V303" s="44"/>
      <c r="W303" s="44"/>
      <c r="X303" s="44"/>
      <c r="Y303" s="44"/>
      <c r="Z303" s="44"/>
      <c r="AA303" s="44"/>
    </row>
    <row r="304">
      <c r="A304" s="44"/>
      <c r="B304" s="44"/>
      <c r="C304" s="44"/>
      <c r="D304" s="44"/>
      <c r="E304" s="44"/>
      <c r="F304" s="44"/>
      <c r="G304" s="44"/>
      <c r="H304" s="44" t="s">
        <v>12</v>
      </c>
      <c r="I304" s="44"/>
      <c r="J304" s="44"/>
      <c r="K304" s="44"/>
      <c r="L304" s="44"/>
      <c r="M304" s="44"/>
      <c r="N304" s="44"/>
      <c r="O304" s="44"/>
      <c r="P304" s="44"/>
      <c r="Q304" s="44"/>
      <c r="R304" s="44"/>
      <c r="S304" s="44"/>
      <c r="T304" s="44"/>
      <c r="U304" s="44"/>
      <c r="V304" s="44"/>
      <c r="W304" s="44"/>
      <c r="X304" s="44"/>
      <c r="Y304" s="44"/>
      <c r="Z304" s="44"/>
      <c r="AA304" s="44"/>
    </row>
    <row r="305">
      <c r="A305" s="44"/>
      <c r="B305" s="44"/>
      <c r="C305" s="44"/>
      <c r="D305" s="44"/>
      <c r="E305" s="44"/>
      <c r="F305" s="44"/>
      <c r="G305" s="44"/>
      <c r="H305" s="44" t="s">
        <v>95</v>
      </c>
      <c r="I305" s="44"/>
      <c r="J305" s="45">
        <v>720.0</v>
      </c>
      <c r="K305" s="44"/>
      <c r="L305" s="44"/>
      <c r="M305" s="44"/>
      <c r="N305" s="44"/>
      <c r="O305" s="44"/>
      <c r="P305" s="44"/>
      <c r="Q305" s="44"/>
      <c r="R305" s="44"/>
      <c r="S305" s="44"/>
      <c r="T305" s="44"/>
      <c r="U305" s="44"/>
      <c r="V305" s="44"/>
      <c r="W305" s="44"/>
      <c r="X305" s="44"/>
      <c r="Y305" s="44"/>
      <c r="Z305" s="44"/>
      <c r="AA305" s="44"/>
    </row>
    <row r="306">
      <c r="A306" s="44"/>
      <c r="B306" s="44"/>
      <c r="C306" s="44"/>
      <c r="D306" s="44"/>
      <c r="E306" s="44"/>
      <c r="F306" s="44"/>
      <c r="G306" s="44"/>
      <c r="H306" s="44" t="s">
        <v>14</v>
      </c>
      <c r="I306" s="44"/>
      <c r="J306" s="45"/>
      <c r="K306" s="44"/>
      <c r="L306" s="44"/>
      <c r="M306" s="44"/>
      <c r="N306" s="44"/>
      <c r="O306" s="44"/>
      <c r="P306" s="44"/>
      <c r="Q306" s="44"/>
      <c r="R306" s="44"/>
      <c r="S306" s="44"/>
      <c r="T306" s="44"/>
      <c r="U306" s="44"/>
      <c r="V306" s="44"/>
      <c r="W306" s="44"/>
      <c r="X306" s="44"/>
      <c r="Y306" s="44"/>
      <c r="Z306" s="44"/>
      <c r="AA306" s="44"/>
    </row>
    <row r="307">
      <c r="A307" s="44"/>
      <c r="B307" s="44"/>
      <c r="C307" s="44"/>
      <c r="D307" s="44"/>
      <c r="E307" s="44"/>
      <c r="F307" s="44"/>
      <c r="G307" s="44"/>
      <c r="H307" s="44" t="s">
        <v>108</v>
      </c>
      <c r="I307" s="44"/>
      <c r="J307" s="45">
        <v>100.0</v>
      </c>
      <c r="K307" s="44"/>
      <c r="L307" s="44"/>
      <c r="M307" s="44"/>
      <c r="N307" s="44"/>
      <c r="O307" s="44"/>
      <c r="P307" s="44"/>
      <c r="Q307" s="44"/>
      <c r="R307" s="44"/>
      <c r="S307" s="44"/>
      <c r="T307" s="44"/>
      <c r="U307" s="44"/>
      <c r="V307" s="44"/>
      <c r="W307" s="44"/>
      <c r="X307" s="44"/>
      <c r="Y307" s="44"/>
      <c r="Z307" s="44"/>
      <c r="AA307" s="44"/>
    </row>
    <row r="308">
      <c r="A308" s="44"/>
      <c r="B308" s="44"/>
      <c r="C308" s="44"/>
      <c r="D308" s="44"/>
      <c r="E308" s="44"/>
      <c r="F308" s="44"/>
      <c r="G308" s="44"/>
      <c r="H308" s="44" t="s">
        <v>15</v>
      </c>
      <c r="I308" s="44"/>
      <c r="J308" s="44"/>
      <c r="K308" s="44"/>
      <c r="L308" s="44"/>
      <c r="M308" s="44"/>
      <c r="N308" s="44"/>
      <c r="O308" s="44"/>
      <c r="P308" s="44"/>
      <c r="Q308" s="44"/>
      <c r="R308" s="44"/>
      <c r="S308" s="44"/>
      <c r="T308" s="44"/>
      <c r="U308" s="44"/>
      <c r="V308" s="44"/>
      <c r="W308" s="44"/>
      <c r="X308" s="44"/>
      <c r="Y308" s="44"/>
      <c r="Z308" s="44"/>
      <c r="AA308" s="44"/>
    </row>
    <row r="309">
      <c r="A309" s="44"/>
      <c r="B309" s="44"/>
      <c r="C309" s="44"/>
      <c r="D309" s="44"/>
      <c r="E309" s="44"/>
      <c r="F309" s="44"/>
      <c r="G309" s="44"/>
      <c r="H309" s="44" t="s">
        <v>16</v>
      </c>
      <c r="I309" s="44"/>
      <c r="J309" s="44"/>
      <c r="K309" s="44"/>
      <c r="L309" s="44"/>
      <c r="M309" s="44"/>
      <c r="N309" s="44"/>
      <c r="O309" s="44"/>
      <c r="P309" s="44"/>
      <c r="Q309" s="44"/>
      <c r="R309" s="44"/>
      <c r="S309" s="44"/>
      <c r="T309" s="44"/>
      <c r="U309" s="44"/>
      <c r="V309" s="44"/>
      <c r="W309" s="44"/>
      <c r="X309" s="44"/>
      <c r="Y309" s="44"/>
      <c r="Z309" s="44"/>
      <c r="AA309" s="44"/>
    </row>
    <row r="310">
      <c r="A310" s="44"/>
      <c r="B310" s="44"/>
      <c r="C310" s="44"/>
      <c r="D310" s="44"/>
      <c r="E310" s="44"/>
      <c r="F310" s="44"/>
      <c r="G310" s="44"/>
      <c r="H310" s="45" t="s">
        <v>131</v>
      </c>
      <c r="I310" s="44"/>
      <c r="J310" s="45">
        <v>500.0</v>
      </c>
      <c r="K310" s="44"/>
      <c r="L310" s="44"/>
      <c r="M310" s="44"/>
      <c r="N310" s="44"/>
      <c r="O310" s="44"/>
      <c r="P310" s="44"/>
      <c r="Q310" s="44"/>
      <c r="R310" s="44"/>
      <c r="S310" s="44"/>
      <c r="T310" s="44"/>
      <c r="U310" s="44"/>
      <c r="V310" s="44"/>
      <c r="W310" s="44"/>
      <c r="X310" s="44"/>
      <c r="Y310" s="44"/>
      <c r="Z310" s="44"/>
      <c r="AA310" s="44"/>
    </row>
    <row r="311">
      <c r="A311" s="44"/>
      <c r="B311" s="44"/>
      <c r="C311" s="44"/>
      <c r="D311" s="44"/>
      <c r="E311" s="44"/>
      <c r="F311" s="44"/>
      <c r="G311" s="44"/>
      <c r="H311" s="44" t="s">
        <v>18</v>
      </c>
      <c r="I311" s="44"/>
      <c r="J311" s="44"/>
      <c r="K311" s="44"/>
      <c r="L311" s="44"/>
      <c r="M311" s="44"/>
      <c r="N311" s="44"/>
      <c r="O311" s="44"/>
      <c r="P311" s="44"/>
      <c r="Q311" s="44"/>
      <c r="R311" s="44"/>
      <c r="S311" s="44"/>
      <c r="T311" s="44"/>
      <c r="U311" s="44"/>
      <c r="V311" s="44"/>
      <c r="W311" s="44"/>
      <c r="X311" s="44"/>
      <c r="Y311" s="44"/>
      <c r="Z311" s="44"/>
      <c r="AA311" s="44"/>
    </row>
    <row r="312">
      <c r="A312" s="44"/>
      <c r="B312" s="44"/>
      <c r="C312" s="44"/>
      <c r="D312" s="44"/>
      <c r="E312" s="44"/>
      <c r="F312" s="44"/>
      <c r="G312" s="44"/>
      <c r="H312" s="44" t="s">
        <v>19</v>
      </c>
      <c r="I312" s="44"/>
      <c r="J312" s="45">
        <v>160.0</v>
      </c>
      <c r="K312" s="44"/>
      <c r="L312" s="44"/>
      <c r="M312" s="44"/>
      <c r="N312" s="44"/>
      <c r="O312" s="44"/>
      <c r="P312" s="44"/>
      <c r="Q312" s="44"/>
      <c r="R312" s="44"/>
      <c r="S312" s="44"/>
      <c r="T312" s="44"/>
      <c r="U312" s="44"/>
      <c r="V312" s="44"/>
      <c r="W312" s="44"/>
      <c r="X312" s="44"/>
      <c r="Y312" s="44"/>
      <c r="Z312" s="44"/>
      <c r="AA312" s="44"/>
    </row>
    <row r="313">
      <c r="A313" s="44"/>
      <c r="B313" s="44"/>
      <c r="C313" s="44"/>
      <c r="D313" s="44"/>
      <c r="E313" s="44"/>
      <c r="F313" s="44"/>
      <c r="G313" s="44"/>
      <c r="H313" s="44" t="s">
        <v>20</v>
      </c>
      <c r="I313" s="44"/>
      <c r="J313" s="45">
        <v>50.0</v>
      </c>
      <c r="K313" s="44"/>
      <c r="L313" s="44"/>
      <c r="M313" s="44"/>
      <c r="N313" s="44"/>
      <c r="O313" s="44"/>
      <c r="P313" s="44"/>
      <c r="Q313" s="44"/>
      <c r="R313" s="44"/>
      <c r="S313" s="44"/>
      <c r="T313" s="44"/>
      <c r="U313" s="44"/>
      <c r="V313" s="44"/>
      <c r="W313" s="44"/>
      <c r="X313" s="44"/>
      <c r="Y313" s="44"/>
      <c r="Z313" s="44"/>
      <c r="AA313" s="44"/>
    </row>
    <row r="314">
      <c r="A314" s="44"/>
      <c r="B314" s="44"/>
      <c r="C314" s="44"/>
      <c r="D314" s="44"/>
      <c r="E314" s="44"/>
      <c r="F314" s="44"/>
      <c r="G314" s="44"/>
      <c r="H314" s="55" t="s">
        <v>48</v>
      </c>
      <c r="I314" s="55"/>
      <c r="J314" s="56">
        <v>500.0</v>
      </c>
      <c r="K314" s="44"/>
      <c r="L314" s="44"/>
      <c r="M314" s="44"/>
      <c r="N314" s="44"/>
      <c r="O314" s="44"/>
      <c r="P314" s="44"/>
      <c r="Q314" s="44"/>
      <c r="R314" s="44"/>
      <c r="S314" s="44"/>
      <c r="T314" s="44"/>
      <c r="U314" s="44"/>
      <c r="V314" s="44"/>
      <c r="W314" s="44"/>
      <c r="X314" s="44"/>
      <c r="Y314" s="44"/>
      <c r="Z314" s="44"/>
      <c r="AA314" s="44"/>
    </row>
    <row r="315">
      <c r="A315" s="44"/>
      <c r="B315" s="44"/>
      <c r="C315" s="44"/>
      <c r="D315" s="44"/>
      <c r="E315" s="44"/>
      <c r="F315" s="44"/>
      <c r="G315" s="44"/>
      <c r="H315" s="44" t="s">
        <v>29</v>
      </c>
      <c r="I315" s="44"/>
      <c r="J315" s="45">
        <v>315.0</v>
      </c>
      <c r="K315" s="44"/>
      <c r="L315" s="44"/>
      <c r="M315" s="44"/>
      <c r="N315" s="44"/>
      <c r="O315" s="44"/>
      <c r="P315" s="44"/>
      <c r="Q315" s="44"/>
      <c r="R315" s="44"/>
      <c r="S315" s="44"/>
      <c r="T315" s="44"/>
      <c r="U315" s="44"/>
      <c r="V315" s="44"/>
      <c r="W315" s="44"/>
      <c r="X315" s="44"/>
      <c r="Y315" s="44"/>
      <c r="Z315" s="44"/>
      <c r="AA315" s="44"/>
    </row>
    <row r="316">
      <c r="A316" s="44"/>
      <c r="B316" s="44"/>
      <c r="C316" s="44"/>
      <c r="D316" s="44"/>
      <c r="E316" s="44"/>
      <c r="F316" s="44"/>
      <c r="G316" s="44"/>
      <c r="H316" s="44" t="s">
        <v>24</v>
      </c>
      <c r="I316" s="44"/>
      <c r="J316" s="44"/>
      <c r="K316" s="44"/>
      <c r="L316" s="44"/>
      <c r="M316" s="44"/>
      <c r="N316" s="44"/>
      <c r="O316" s="44"/>
      <c r="P316" s="44"/>
      <c r="Q316" s="44"/>
      <c r="R316" s="44"/>
      <c r="S316" s="44"/>
      <c r="T316" s="44"/>
      <c r="U316" s="44"/>
      <c r="V316" s="44"/>
      <c r="W316" s="44"/>
      <c r="X316" s="44"/>
      <c r="Y316" s="44"/>
      <c r="Z316" s="44"/>
      <c r="AA316" s="44"/>
    </row>
    <row r="317">
      <c r="A317" s="44"/>
      <c r="B317" s="44"/>
      <c r="C317" s="44"/>
      <c r="D317" s="44"/>
      <c r="E317" s="44"/>
      <c r="F317" s="44"/>
      <c r="G317" s="44"/>
      <c r="H317" s="44" t="s">
        <v>27</v>
      </c>
      <c r="I317" s="44"/>
      <c r="J317" s="44"/>
      <c r="K317" s="44"/>
      <c r="L317" s="44"/>
      <c r="M317" s="44"/>
      <c r="N317" s="44"/>
      <c r="O317" s="44"/>
      <c r="P317" s="44"/>
      <c r="Q317" s="44"/>
      <c r="R317" s="44"/>
      <c r="S317" s="44"/>
      <c r="T317" s="44"/>
      <c r="U317" s="44"/>
      <c r="V317" s="44"/>
      <c r="W317" s="44"/>
      <c r="X317" s="44"/>
      <c r="Y317" s="44"/>
      <c r="Z317" s="44"/>
      <c r="AA317" s="44"/>
    </row>
    <row r="318">
      <c r="A318" s="44"/>
      <c r="B318" s="44"/>
      <c r="C318" s="44"/>
      <c r="D318" s="44"/>
      <c r="E318" s="44"/>
      <c r="F318" s="44"/>
      <c r="G318" s="44"/>
      <c r="H318" s="44" t="s">
        <v>83</v>
      </c>
      <c r="I318" s="44"/>
      <c r="J318" s="45">
        <v>471.0</v>
      </c>
      <c r="K318" s="44"/>
      <c r="L318" s="44"/>
      <c r="M318" s="44"/>
      <c r="N318" s="44"/>
      <c r="O318" s="44"/>
      <c r="P318" s="44"/>
      <c r="Q318" s="44"/>
      <c r="R318" s="44"/>
      <c r="S318" s="44"/>
      <c r="T318" s="44"/>
      <c r="U318" s="44"/>
      <c r="V318" s="44"/>
      <c r="W318" s="44"/>
      <c r="X318" s="44"/>
      <c r="Y318" s="44"/>
      <c r="Z318" s="44"/>
      <c r="AA318" s="44"/>
    </row>
    <row r="319">
      <c r="A319" s="44"/>
      <c r="B319" s="44"/>
      <c r="C319" s="44"/>
      <c r="D319" s="44"/>
      <c r="E319" s="44"/>
      <c r="F319" s="44"/>
      <c r="G319" s="44"/>
      <c r="H319" s="55" t="s">
        <v>96</v>
      </c>
      <c r="I319" s="55"/>
      <c r="J319" s="56">
        <v>500.0</v>
      </c>
      <c r="K319" s="44"/>
      <c r="L319" s="44"/>
      <c r="M319" s="44"/>
      <c r="N319" s="44"/>
      <c r="O319" s="44"/>
      <c r="P319" s="44"/>
      <c r="Q319" s="44"/>
      <c r="R319" s="44"/>
      <c r="S319" s="44"/>
      <c r="T319" s="44"/>
      <c r="U319" s="44"/>
      <c r="V319" s="44"/>
      <c r="W319" s="44"/>
      <c r="X319" s="44"/>
      <c r="Y319" s="44"/>
      <c r="Z319" s="44"/>
      <c r="AA319" s="44"/>
    </row>
    <row r="320">
      <c r="A320" s="44"/>
      <c r="B320" s="44"/>
      <c r="C320" s="44"/>
      <c r="D320" s="44"/>
      <c r="E320" s="44"/>
      <c r="F320" s="44"/>
      <c r="G320" s="44"/>
      <c r="H320" s="44" t="s">
        <v>31</v>
      </c>
      <c r="I320" s="44"/>
      <c r="J320" s="45">
        <v>70.0</v>
      </c>
      <c r="K320" s="44"/>
      <c r="L320" s="44"/>
      <c r="M320" s="44"/>
      <c r="N320" s="44"/>
      <c r="O320" s="44"/>
      <c r="P320" s="44"/>
      <c r="Q320" s="44"/>
      <c r="R320" s="44"/>
      <c r="S320" s="44"/>
      <c r="T320" s="44"/>
      <c r="U320" s="44"/>
      <c r="V320" s="44"/>
      <c r="W320" s="44"/>
      <c r="X320" s="44"/>
      <c r="Y320" s="44"/>
      <c r="Z320" s="44"/>
      <c r="AA320" s="44"/>
    </row>
    <row r="323">
      <c r="A323" s="47" t="s">
        <v>146</v>
      </c>
      <c r="B323" s="48"/>
      <c r="C323" s="60" t="s">
        <v>147</v>
      </c>
      <c r="D323" s="50"/>
      <c r="E323" s="44"/>
      <c r="F323" s="44"/>
      <c r="G323" s="44"/>
      <c r="H323" s="44"/>
      <c r="I323" s="44"/>
      <c r="J323" s="44"/>
      <c r="K323" s="44"/>
      <c r="L323" s="44"/>
      <c r="M323" s="44"/>
      <c r="N323" s="44"/>
      <c r="O323" s="44"/>
      <c r="P323" s="44"/>
      <c r="Q323" s="44"/>
      <c r="R323" s="44"/>
      <c r="S323" s="44"/>
      <c r="T323" s="44"/>
      <c r="U323" s="44"/>
      <c r="V323" s="44"/>
      <c r="W323" s="44"/>
      <c r="X323" s="44"/>
      <c r="Y323" s="44"/>
      <c r="Z323" s="44"/>
      <c r="AA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row>
    <row r="326">
      <c r="A326" s="51" t="s">
        <v>148</v>
      </c>
      <c r="B326" s="44"/>
      <c r="C326" s="44" t="s">
        <v>3</v>
      </c>
      <c r="D326" s="45">
        <v>1210.0</v>
      </c>
      <c r="E326" s="52"/>
      <c r="F326" s="44"/>
      <c r="G326" s="53" t="s">
        <v>60</v>
      </c>
      <c r="H326" s="44" t="s">
        <v>4</v>
      </c>
      <c r="I326" s="44"/>
      <c r="J326" s="45">
        <v>400.0</v>
      </c>
      <c r="K326" s="44"/>
      <c r="L326" s="44"/>
      <c r="M326" s="44"/>
      <c r="N326" s="44"/>
      <c r="O326" s="44"/>
      <c r="P326" s="44"/>
      <c r="Q326" s="44"/>
      <c r="R326" s="44"/>
      <c r="S326" s="44"/>
      <c r="T326" s="44"/>
      <c r="U326" s="44"/>
      <c r="V326" s="44"/>
      <c r="W326" s="44"/>
      <c r="X326" s="44"/>
      <c r="Y326" s="44"/>
      <c r="Z326" s="44"/>
      <c r="AA326" s="44"/>
    </row>
    <row r="327">
      <c r="A327" s="44"/>
      <c r="B327" s="44"/>
      <c r="C327" s="44" t="s">
        <v>24</v>
      </c>
      <c r="D327" s="44"/>
      <c r="E327" s="44"/>
      <c r="F327" s="44"/>
      <c r="G327" s="44"/>
      <c r="H327" s="44" t="s">
        <v>25</v>
      </c>
      <c r="I327" s="44"/>
      <c r="J327" s="44"/>
      <c r="K327" s="44"/>
      <c r="L327" s="44"/>
      <c r="M327" s="44"/>
      <c r="N327" s="44"/>
      <c r="O327" s="44"/>
      <c r="P327" s="44"/>
      <c r="Q327" s="44"/>
      <c r="R327" s="44"/>
      <c r="S327" s="44"/>
      <c r="T327" s="44"/>
      <c r="U327" s="44"/>
      <c r="V327" s="44"/>
      <c r="W327" s="44"/>
      <c r="X327" s="44"/>
      <c r="Y327" s="44"/>
      <c r="Z327" s="44"/>
      <c r="AA327" s="44"/>
    </row>
    <row r="328">
      <c r="A328" s="54" t="s">
        <v>149</v>
      </c>
      <c r="B328" s="44"/>
      <c r="C328" s="44" t="s">
        <v>26</v>
      </c>
      <c r="D328" s="45">
        <v>4412.0</v>
      </c>
      <c r="E328" s="44"/>
      <c r="F328" s="44"/>
      <c r="G328" s="44"/>
      <c r="H328" s="44" t="s">
        <v>6</v>
      </c>
      <c r="I328" s="44"/>
      <c r="J328" s="45"/>
      <c r="K328" s="44"/>
      <c r="L328" s="44"/>
      <c r="M328" s="44"/>
      <c r="N328" s="44"/>
      <c r="O328" s="44"/>
      <c r="P328" s="44"/>
      <c r="Q328" s="44"/>
      <c r="R328" s="44"/>
      <c r="S328" s="44"/>
      <c r="T328" s="44"/>
      <c r="U328" s="44"/>
      <c r="V328" s="44"/>
      <c r="W328" s="44"/>
      <c r="X328" s="44"/>
      <c r="Y328" s="44"/>
      <c r="Z328" s="44"/>
      <c r="AA328" s="44"/>
    </row>
    <row r="329">
      <c r="A329" s="44"/>
      <c r="B329" s="44"/>
      <c r="C329" s="44" t="s">
        <v>27</v>
      </c>
      <c r="D329" s="44"/>
      <c r="E329" s="44"/>
      <c r="F329" s="44"/>
      <c r="G329" s="44"/>
      <c r="H329" s="44" t="s">
        <v>81</v>
      </c>
      <c r="I329" s="44"/>
      <c r="J329" s="45">
        <v>458.0</v>
      </c>
      <c r="K329" s="44"/>
      <c r="L329" s="44"/>
      <c r="M329" s="44"/>
      <c r="N329" s="44"/>
      <c r="O329" s="44"/>
      <c r="P329" s="44"/>
      <c r="Q329" s="44"/>
      <c r="R329" s="44"/>
      <c r="S329" s="44"/>
      <c r="T329" s="44"/>
      <c r="U329" s="44"/>
      <c r="V329" s="44"/>
      <c r="W329" s="44"/>
      <c r="X329" s="44"/>
      <c r="Y329" s="44"/>
      <c r="Z329" s="44"/>
      <c r="AA329" s="44"/>
    </row>
    <row r="330">
      <c r="A330" s="44"/>
      <c r="B330" s="44"/>
      <c r="C330" s="44" t="s">
        <v>37</v>
      </c>
      <c r="D330" s="44"/>
      <c r="E330" s="44"/>
      <c r="F330" s="44"/>
      <c r="G330" s="44"/>
      <c r="H330" s="44" t="s">
        <v>8</v>
      </c>
      <c r="I330" s="44"/>
      <c r="J330" s="45">
        <v>625.0</v>
      </c>
      <c r="K330" s="44"/>
      <c r="L330" s="44"/>
      <c r="M330" s="44"/>
      <c r="N330" s="44"/>
      <c r="O330" s="44"/>
      <c r="P330" s="44"/>
      <c r="Q330" s="44"/>
      <c r="R330" s="44"/>
      <c r="S330" s="44"/>
      <c r="T330" s="44"/>
      <c r="U330" s="44"/>
      <c r="V330" s="44"/>
      <c r="W330" s="44"/>
      <c r="X330" s="44"/>
      <c r="Y330" s="44"/>
      <c r="Z330" s="44"/>
      <c r="AA330" s="44"/>
    </row>
    <row r="331">
      <c r="A331" s="44"/>
      <c r="B331" s="44"/>
      <c r="C331" s="44" t="s">
        <v>52</v>
      </c>
      <c r="D331" s="44"/>
      <c r="E331" s="44"/>
      <c r="F331" s="44"/>
      <c r="G331" s="44"/>
      <c r="H331" s="44" t="s">
        <v>94</v>
      </c>
      <c r="I331" s="44"/>
      <c r="J331" s="45">
        <v>483.0</v>
      </c>
      <c r="K331" s="44"/>
      <c r="L331" s="44"/>
      <c r="M331" s="44"/>
      <c r="N331" s="44"/>
      <c r="O331" s="44"/>
      <c r="P331" s="44"/>
      <c r="Q331" s="44"/>
      <c r="R331" s="44"/>
      <c r="S331" s="44"/>
      <c r="T331" s="44"/>
      <c r="U331" s="44"/>
      <c r="V331" s="44"/>
      <c r="W331" s="44"/>
      <c r="X331" s="44"/>
      <c r="Y331" s="44"/>
      <c r="Z331" s="44"/>
      <c r="AA331" s="44"/>
    </row>
    <row r="332">
      <c r="A332" s="44"/>
      <c r="B332" s="44"/>
      <c r="C332" s="44"/>
      <c r="D332" s="44"/>
      <c r="E332" s="44"/>
      <c r="F332" s="44"/>
      <c r="G332" s="44"/>
      <c r="H332" s="44" t="s">
        <v>10</v>
      </c>
      <c r="I332" s="44"/>
      <c r="J332" s="44"/>
      <c r="K332" s="44"/>
      <c r="L332" s="44"/>
      <c r="M332" s="44"/>
      <c r="N332" s="44"/>
      <c r="O332" s="44"/>
      <c r="P332" s="44"/>
      <c r="Q332" s="44"/>
      <c r="R332" s="44"/>
      <c r="S332" s="44"/>
      <c r="T332" s="44"/>
      <c r="U332" s="44"/>
      <c r="V332" s="44"/>
      <c r="W332" s="44"/>
      <c r="X332" s="44"/>
      <c r="Y332" s="44"/>
      <c r="Z332" s="44"/>
      <c r="AA332" s="44"/>
    </row>
    <row r="333">
      <c r="A333" s="44"/>
      <c r="B333" s="52"/>
      <c r="C333" s="52"/>
      <c r="D333" s="52"/>
      <c r="E333" s="52"/>
      <c r="F333" s="44"/>
      <c r="G333" s="44"/>
      <c r="H333" s="44" t="s">
        <v>34</v>
      </c>
      <c r="I333" s="44"/>
      <c r="J333" s="45">
        <v>20.0</v>
      </c>
      <c r="K333" s="44"/>
      <c r="L333" s="44"/>
      <c r="M333" s="44"/>
      <c r="N333" s="44"/>
      <c r="O333" s="44"/>
      <c r="P333" s="44"/>
      <c r="Q333" s="44"/>
      <c r="R333" s="44"/>
      <c r="S333" s="44"/>
      <c r="T333" s="44"/>
      <c r="U333" s="44"/>
      <c r="V333" s="44"/>
      <c r="W333" s="44"/>
      <c r="X333" s="44"/>
      <c r="Y333" s="44"/>
      <c r="Z333" s="44"/>
      <c r="AA333" s="44"/>
    </row>
    <row r="334">
      <c r="A334" s="44"/>
      <c r="B334" s="44"/>
      <c r="C334" s="44"/>
      <c r="D334" s="44"/>
      <c r="E334" s="44"/>
      <c r="F334" s="44"/>
      <c r="G334" s="44"/>
      <c r="H334" s="44" t="s">
        <v>28</v>
      </c>
      <c r="I334" s="44"/>
      <c r="J334" s="44"/>
      <c r="K334" s="44"/>
      <c r="L334" s="44"/>
      <c r="M334" s="44"/>
      <c r="N334" s="44"/>
      <c r="O334" s="44"/>
      <c r="P334" s="44"/>
      <c r="Q334" s="44"/>
      <c r="R334" s="44"/>
      <c r="S334" s="44"/>
      <c r="T334" s="44"/>
      <c r="U334" s="44"/>
      <c r="V334" s="44"/>
      <c r="W334" s="44"/>
      <c r="X334" s="44"/>
      <c r="Y334" s="44"/>
      <c r="Z334" s="44"/>
      <c r="AA334" s="44"/>
    </row>
    <row r="335">
      <c r="A335" s="44"/>
      <c r="B335" s="44"/>
      <c r="C335" s="44"/>
      <c r="D335" s="44"/>
      <c r="E335" s="44"/>
      <c r="F335" s="44"/>
      <c r="G335" s="44"/>
      <c r="H335" s="44" t="s">
        <v>11</v>
      </c>
      <c r="I335" s="44"/>
      <c r="J335" s="44"/>
      <c r="K335" s="44"/>
      <c r="L335" s="44"/>
      <c r="M335" s="44"/>
      <c r="N335" s="44"/>
      <c r="O335" s="44"/>
      <c r="P335" s="44"/>
      <c r="Q335" s="44"/>
      <c r="R335" s="44"/>
      <c r="S335" s="44"/>
      <c r="T335" s="44"/>
      <c r="U335" s="44"/>
      <c r="V335" s="44"/>
      <c r="W335" s="44"/>
      <c r="X335" s="44"/>
      <c r="Y335" s="44"/>
      <c r="Z335" s="44"/>
      <c r="AA335" s="44"/>
    </row>
    <row r="336">
      <c r="A336" s="44"/>
      <c r="B336" s="44"/>
      <c r="C336" s="44"/>
      <c r="D336" s="44"/>
      <c r="E336" s="44"/>
      <c r="F336" s="44"/>
      <c r="G336" s="44"/>
      <c r="H336" s="44" t="s">
        <v>12</v>
      </c>
      <c r="I336" s="44"/>
      <c r="J336" s="44"/>
      <c r="K336" s="44"/>
      <c r="L336" s="44"/>
      <c r="M336" s="44"/>
      <c r="N336" s="44"/>
      <c r="O336" s="44"/>
      <c r="P336" s="44"/>
      <c r="Q336" s="44"/>
      <c r="R336" s="44"/>
      <c r="S336" s="44"/>
      <c r="T336" s="44"/>
      <c r="U336" s="44"/>
      <c r="V336" s="44"/>
      <c r="W336" s="44"/>
      <c r="X336" s="44"/>
      <c r="Y336" s="44"/>
      <c r="Z336" s="44"/>
      <c r="AA336" s="44"/>
    </row>
    <row r="337">
      <c r="A337" s="44"/>
      <c r="B337" s="44"/>
      <c r="C337" s="44"/>
      <c r="D337" s="44"/>
      <c r="E337" s="44"/>
      <c r="F337" s="44"/>
      <c r="G337" s="44"/>
      <c r="H337" s="44" t="s">
        <v>95</v>
      </c>
      <c r="I337" s="44"/>
      <c r="J337" s="45">
        <v>500.0</v>
      </c>
      <c r="K337" s="44"/>
      <c r="L337" s="44"/>
      <c r="M337" s="44"/>
      <c r="N337" s="44"/>
      <c r="O337" s="44"/>
      <c r="P337" s="44"/>
      <c r="Q337" s="44"/>
      <c r="R337" s="44"/>
      <c r="S337" s="44"/>
      <c r="T337" s="44"/>
      <c r="U337" s="44"/>
      <c r="V337" s="44"/>
      <c r="W337" s="44"/>
      <c r="X337" s="44"/>
      <c r="Y337" s="44"/>
      <c r="Z337" s="44"/>
      <c r="AA337" s="44"/>
    </row>
    <row r="338">
      <c r="A338" s="44"/>
      <c r="B338" s="44"/>
      <c r="C338" s="44"/>
      <c r="D338" s="44"/>
      <c r="E338" s="44"/>
      <c r="F338" s="44"/>
      <c r="G338" s="44"/>
      <c r="H338" s="44" t="s">
        <v>14</v>
      </c>
      <c r="I338" s="44"/>
      <c r="J338" s="45">
        <v>385.0</v>
      </c>
      <c r="K338" s="44"/>
      <c r="L338" s="44"/>
      <c r="M338" s="44"/>
      <c r="N338" s="44"/>
      <c r="O338" s="44"/>
      <c r="P338" s="44"/>
      <c r="Q338" s="44"/>
      <c r="R338" s="44"/>
      <c r="S338" s="44"/>
      <c r="T338" s="44"/>
      <c r="U338" s="44"/>
      <c r="V338" s="44"/>
      <c r="W338" s="44"/>
      <c r="X338" s="44"/>
      <c r="Y338" s="44"/>
      <c r="Z338" s="44"/>
      <c r="AA338" s="44"/>
    </row>
    <row r="339">
      <c r="A339" s="44"/>
      <c r="B339" s="44"/>
      <c r="C339" s="44"/>
      <c r="D339" s="44"/>
      <c r="E339" s="44"/>
      <c r="F339" s="44"/>
      <c r="G339" s="44"/>
      <c r="H339" s="44" t="s">
        <v>108</v>
      </c>
      <c r="I339" s="44"/>
      <c r="J339" s="45"/>
      <c r="K339" s="44"/>
      <c r="L339" s="44"/>
      <c r="M339" s="44"/>
      <c r="N339" s="44"/>
      <c r="O339" s="44"/>
      <c r="P339" s="44"/>
      <c r="Q339" s="44"/>
      <c r="R339" s="44"/>
      <c r="S339" s="44"/>
      <c r="T339" s="44"/>
      <c r="U339" s="44"/>
      <c r="V339" s="44"/>
      <c r="W339" s="44"/>
      <c r="X339" s="44"/>
      <c r="Y339" s="44"/>
      <c r="Z339" s="44"/>
      <c r="AA339" s="44"/>
    </row>
    <row r="340">
      <c r="A340" s="44"/>
      <c r="B340" s="44"/>
      <c r="C340" s="44"/>
      <c r="D340" s="44"/>
      <c r="E340" s="44"/>
      <c r="F340" s="44"/>
      <c r="G340" s="44"/>
      <c r="H340" s="44" t="s">
        <v>15</v>
      </c>
      <c r="I340" s="44"/>
      <c r="J340" s="44"/>
      <c r="K340" s="44"/>
      <c r="L340" s="44"/>
      <c r="M340" s="44"/>
      <c r="N340" s="44"/>
      <c r="O340" s="44"/>
      <c r="P340" s="44"/>
      <c r="Q340" s="44"/>
      <c r="R340" s="44"/>
      <c r="S340" s="44"/>
      <c r="T340" s="44"/>
      <c r="U340" s="44"/>
      <c r="V340" s="44"/>
      <c r="W340" s="44"/>
      <c r="X340" s="44"/>
      <c r="Y340" s="44"/>
      <c r="Z340" s="44"/>
      <c r="AA340" s="44"/>
    </row>
    <row r="341">
      <c r="A341" s="44"/>
      <c r="B341" s="44"/>
      <c r="C341" s="44"/>
      <c r="D341" s="44"/>
      <c r="E341" s="44"/>
      <c r="F341" s="44"/>
      <c r="G341" s="44"/>
      <c r="H341" s="44" t="s">
        <v>16</v>
      </c>
      <c r="I341" s="44"/>
      <c r="J341" s="44"/>
      <c r="K341" s="44"/>
      <c r="L341" s="44"/>
      <c r="M341" s="44"/>
      <c r="N341" s="44"/>
      <c r="O341" s="44"/>
      <c r="P341" s="44"/>
      <c r="Q341" s="44"/>
      <c r="R341" s="44"/>
      <c r="S341" s="44"/>
      <c r="T341" s="44"/>
      <c r="U341" s="44"/>
      <c r="V341" s="44"/>
      <c r="W341" s="44"/>
      <c r="X341" s="44"/>
      <c r="Y341" s="44"/>
      <c r="Z341" s="44"/>
      <c r="AA341" s="44"/>
    </row>
    <row r="342">
      <c r="A342" s="44"/>
      <c r="B342" s="44"/>
      <c r="C342" s="44"/>
      <c r="D342" s="44"/>
      <c r="E342" s="44"/>
      <c r="F342" s="44"/>
      <c r="G342" s="44"/>
      <c r="H342" s="45" t="s">
        <v>131</v>
      </c>
      <c r="I342" s="44"/>
      <c r="J342" s="45"/>
      <c r="K342" s="44"/>
      <c r="L342" s="44"/>
      <c r="M342" s="44"/>
      <c r="N342" s="44"/>
      <c r="O342" s="44"/>
      <c r="P342" s="44"/>
      <c r="Q342" s="44"/>
      <c r="R342" s="44"/>
      <c r="S342" s="44"/>
      <c r="T342" s="44"/>
      <c r="U342" s="44"/>
      <c r="V342" s="44"/>
      <c r="W342" s="44"/>
      <c r="X342" s="44"/>
      <c r="Y342" s="44"/>
      <c r="Z342" s="44"/>
      <c r="AA342" s="44"/>
    </row>
    <row r="343">
      <c r="A343" s="44"/>
      <c r="B343" s="44"/>
      <c r="C343" s="44"/>
      <c r="D343" s="44"/>
      <c r="E343" s="44"/>
      <c r="F343" s="44"/>
      <c r="G343" s="44"/>
      <c r="H343" s="44" t="s">
        <v>18</v>
      </c>
      <c r="I343" s="44"/>
      <c r="J343" s="45">
        <v>40.0</v>
      </c>
      <c r="K343" s="44"/>
      <c r="L343" s="44"/>
      <c r="M343" s="44"/>
      <c r="N343" s="44"/>
      <c r="O343" s="44"/>
      <c r="P343" s="44"/>
      <c r="Q343" s="44"/>
      <c r="R343" s="44"/>
      <c r="S343" s="44"/>
      <c r="T343" s="44"/>
      <c r="U343" s="44"/>
      <c r="V343" s="44"/>
      <c r="W343" s="44"/>
      <c r="X343" s="44"/>
      <c r="Y343" s="44"/>
      <c r="Z343" s="44"/>
      <c r="AA343" s="44"/>
    </row>
    <row r="344">
      <c r="A344" s="44"/>
      <c r="B344" s="44"/>
      <c r="C344" s="44"/>
      <c r="D344" s="44"/>
      <c r="E344" s="44"/>
      <c r="F344" s="44"/>
      <c r="G344" s="44"/>
      <c r="H344" s="44" t="s">
        <v>19</v>
      </c>
      <c r="I344" s="44"/>
      <c r="J344" s="45">
        <v>36.0</v>
      </c>
      <c r="K344" s="44"/>
      <c r="L344" s="44"/>
      <c r="M344" s="44"/>
      <c r="N344" s="44"/>
      <c r="O344" s="44"/>
      <c r="P344" s="44"/>
      <c r="Q344" s="44"/>
      <c r="R344" s="44"/>
      <c r="S344" s="44"/>
      <c r="T344" s="44"/>
      <c r="U344" s="44"/>
      <c r="V344" s="44"/>
      <c r="W344" s="44"/>
      <c r="X344" s="44"/>
      <c r="Y344" s="44"/>
      <c r="Z344" s="44"/>
      <c r="AA344" s="44"/>
    </row>
    <row r="345">
      <c r="A345" s="44"/>
      <c r="B345" s="44"/>
      <c r="C345" s="44"/>
      <c r="D345" s="44"/>
      <c r="E345" s="44"/>
      <c r="F345" s="44"/>
      <c r="G345" s="44"/>
      <c r="H345" s="44" t="s">
        <v>20</v>
      </c>
      <c r="I345" s="44"/>
      <c r="J345" s="45">
        <v>50.0</v>
      </c>
      <c r="K345" s="44"/>
      <c r="L345" s="44"/>
      <c r="M345" s="44"/>
      <c r="N345" s="44"/>
      <c r="O345" s="44"/>
      <c r="P345" s="44"/>
      <c r="Q345" s="44"/>
      <c r="R345" s="44"/>
      <c r="S345" s="44"/>
      <c r="T345" s="44"/>
      <c r="U345" s="44"/>
      <c r="V345" s="44"/>
      <c r="W345" s="44"/>
      <c r="X345" s="44"/>
      <c r="Y345" s="44"/>
      <c r="Z345" s="44"/>
      <c r="AA345" s="44"/>
    </row>
    <row r="346">
      <c r="A346" s="44"/>
      <c r="B346" s="44"/>
      <c r="C346" s="44"/>
      <c r="D346" s="44"/>
      <c r="E346" s="44"/>
      <c r="F346" s="44"/>
      <c r="G346" s="44"/>
      <c r="H346" s="55" t="s">
        <v>48</v>
      </c>
      <c r="I346" s="55"/>
      <c r="J346" s="56">
        <v>300.0</v>
      </c>
      <c r="K346" s="44"/>
      <c r="L346" s="44"/>
      <c r="M346" s="44"/>
      <c r="N346" s="44"/>
      <c r="O346" s="44"/>
      <c r="P346" s="44"/>
      <c r="Q346" s="44"/>
      <c r="R346" s="44"/>
      <c r="S346" s="44"/>
      <c r="T346" s="44"/>
      <c r="U346" s="44"/>
      <c r="V346" s="44"/>
      <c r="W346" s="44"/>
      <c r="X346" s="44"/>
      <c r="Y346" s="44"/>
      <c r="Z346" s="44"/>
      <c r="AA346" s="44"/>
    </row>
    <row r="347">
      <c r="A347" s="44"/>
      <c r="B347" s="44"/>
      <c r="C347" s="44"/>
      <c r="D347" s="44"/>
      <c r="E347" s="44"/>
      <c r="F347" s="44"/>
      <c r="G347" s="44"/>
      <c r="H347" s="44" t="s">
        <v>29</v>
      </c>
      <c r="I347" s="44"/>
      <c r="J347" s="45"/>
      <c r="K347" s="44"/>
      <c r="L347" s="44"/>
      <c r="M347" s="44"/>
      <c r="N347" s="44"/>
      <c r="O347" s="44"/>
      <c r="P347" s="44"/>
      <c r="Q347" s="44"/>
      <c r="R347" s="44"/>
      <c r="S347" s="44"/>
      <c r="T347" s="44"/>
      <c r="U347" s="44"/>
      <c r="V347" s="44"/>
      <c r="W347" s="44"/>
      <c r="X347" s="44"/>
      <c r="Y347" s="44"/>
      <c r="Z347" s="44"/>
      <c r="AA347" s="44"/>
    </row>
    <row r="348">
      <c r="A348" s="44"/>
      <c r="B348" s="44"/>
      <c r="C348" s="44"/>
      <c r="D348" s="44"/>
      <c r="E348" s="44"/>
      <c r="F348" s="44"/>
      <c r="G348" s="44"/>
      <c r="H348" s="44" t="s">
        <v>24</v>
      </c>
      <c r="I348" s="44"/>
      <c r="J348" s="44"/>
      <c r="K348" s="44"/>
      <c r="L348" s="44"/>
      <c r="M348" s="44"/>
      <c r="N348" s="44"/>
      <c r="O348" s="44"/>
      <c r="P348" s="44"/>
      <c r="Q348" s="44"/>
      <c r="R348" s="44"/>
      <c r="S348" s="44"/>
      <c r="T348" s="44"/>
      <c r="U348" s="44"/>
      <c r="V348" s="44"/>
      <c r="W348" s="44"/>
      <c r="X348" s="44"/>
      <c r="Y348" s="44"/>
      <c r="Z348" s="44"/>
      <c r="AA348" s="44"/>
    </row>
    <row r="349">
      <c r="A349" s="44"/>
      <c r="B349" s="44"/>
      <c r="C349" s="44"/>
      <c r="D349" s="44"/>
      <c r="E349" s="44"/>
      <c r="F349" s="44"/>
      <c r="G349" s="44"/>
      <c r="H349" s="44" t="s">
        <v>27</v>
      </c>
      <c r="I349" s="44"/>
      <c r="J349" s="44"/>
      <c r="K349" s="44"/>
      <c r="L349" s="44"/>
      <c r="M349" s="44"/>
      <c r="N349" s="44"/>
      <c r="O349" s="44"/>
      <c r="P349" s="44"/>
      <c r="Q349" s="44"/>
      <c r="R349" s="44"/>
      <c r="S349" s="44"/>
      <c r="T349" s="44"/>
      <c r="U349" s="44"/>
      <c r="V349" s="44"/>
      <c r="W349" s="44"/>
      <c r="X349" s="44"/>
      <c r="Y349" s="44"/>
      <c r="Z349" s="44"/>
      <c r="AA349" s="44"/>
    </row>
    <row r="350">
      <c r="A350" s="44"/>
      <c r="B350" s="44"/>
      <c r="C350" s="44"/>
      <c r="D350" s="44"/>
      <c r="E350" s="44"/>
      <c r="F350" s="44"/>
      <c r="G350" s="44"/>
      <c r="H350" s="44" t="s">
        <v>83</v>
      </c>
      <c r="I350" s="44"/>
      <c r="J350" s="45">
        <v>1415.0</v>
      </c>
      <c r="K350" s="44"/>
      <c r="L350" s="44"/>
      <c r="M350" s="44"/>
      <c r="N350" s="44"/>
      <c r="O350" s="44"/>
      <c r="P350" s="44"/>
      <c r="Q350" s="44"/>
      <c r="R350" s="44"/>
      <c r="S350" s="44"/>
      <c r="T350" s="44"/>
      <c r="U350" s="44"/>
      <c r="V350" s="44"/>
      <c r="W350" s="44"/>
      <c r="X350" s="44"/>
      <c r="Y350" s="44"/>
      <c r="Z350" s="44"/>
      <c r="AA350" s="44"/>
    </row>
    <row r="351">
      <c r="A351" s="44"/>
      <c r="B351" s="44"/>
      <c r="C351" s="44"/>
      <c r="D351" s="44"/>
      <c r="E351" s="44"/>
      <c r="F351" s="44"/>
      <c r="G351" s="44"/>
      <c r="H351" s="55" t="s">
        <v>96</v>
      </c>
      <c r="I351" s="55"/>
      <c r="J351" s="56"/>
      <c r="K351" s="44"/>
      <c r="L351" s="44"/>
      <c r="M351" s="44"/>
      <c r="N351" s="44"/>
      <c r="O351" s="44"/>
      <c r="P351" s="44"/>
      <c r="Q351" s="44"/>
      <c r="R351" s="44"/>
      <c r="S351" s="44"/>
      <c r="T351" s="44"/>
      <c r="U351" s="44"/>
      <c r="V351" s="44"/>
      <c r="W351" s="44"/>
      <c r="X351" s="44"/>
      <c r="Y351" s="44"/>
      <c r="Z351" s="44"/>
      <c r="AA351" s="44"/>
    </row>
    <row r="352">
      <c r="A352" s="44"/>
      <c r="B352" s="44"/>
      <c r="C352" s="44"/>
      <c r="D352" s="44"/>
      <c r="E352" s="44"/>
      <c r="F352" s="44"/>
      <c r="G352" s="44"/>
      <c r="H352" s="44" t="s">
        <v>31</v>
      </c>
      <c r="I352" s="44"/>
      <c r="J352" s="44"/>
      <c r="K352" s="44"/>
      <c r="L352" s="44"/>
      <c r="M352" s="44"/>
      <c r="N352" s="44"/>
      <c r="O352" s="44"/>
      <c r="P352" s="44"/>
      <c r="Q352" s="44"/>
      <c r="R352" s="44"/>
      <c r="S352" s="44"/>
      <c r="T352" s="44"/>
      <c r="U352" s="44"/>
      <c r="V352" s="44"/>
      <c r="W352" s="44"/>
      <c r="X352" s="44"/>
      <c r="Y352" s="44"/>
      <c r="Z352" s="44"/>
      <c r="AA352"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row>
  </sheetData>
  <mergeCells count="11">
    <mergeCell ref="C229:D229"/>
    <mergeCell ref="C260:D260"/>
    <mergeCell ref="C291:D291"/>
    <mergeCell ref="C323:D323"/>
    <mergeCell ref="C2:D2"/>
    <mergeCell ref="C35:D35"/>
    <mergeCell ref="C67:D67"/>
    <mergeCell ref="C99:D99"/>
    <mergeCell ref="C130:D130"/>
    <mergeCell ref="C162:D162"/>
    <mergeCell ref="C195:D195"/>
  </mergeCells>
  <conditionalFormatting sqref="E2:E11 E13:E192">
    <cfRule type="notContainsBlanks" dxfId="0" priority="1">
      <formula>LEN(TRIM(E2))&gt;0</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75"/>
    <col customWidth="1" min="3" max="3" width="26.63"/>
  </cols>
  <sheetData>
    <row r="1">
      <c r="A1" s="7"/>
    </row>
    <row r="2">
      <c r="A2" s="47" t="s">
        <v>150</v>
      </c>
      <c r="B2" s="48"/>
      <c r="C2" s="60" t="s">
        <v>151</v>
      </c>
      <c r="D2" s="50"/>
      <c r="E2" s="44"/>
      <c r="F2" s="44"/>
      <c r="G2" s="44"/>
      <c r="H2" s="44"/>
      <c r="I2" s="44"/>
      <c r="J2" s="44"/>
      <c r="K2" s="44"/>
      <c r="L2" s="44"/>
      <c r="M2" s="44"/>
      <c r="N2" s="44"/>
      <c r="O2" s="44"/>
      <c r="P2" s="44"/>
      <c r="Q2" s="44"/>
      <c r="R2" s="44"/>
      <c r="S2" s="44"/>
      <c r="T2" s="44"/>
      <c r="U2" s="44"/>
      <c r="V2" s="44"/>
      <c r="W2" s="44"/>
      <c r="X2" s="44"/>
      <c r="Y2" s="44"/>
      <c r="Z2" s="44"/>
      <c r="AA2" s="44"/>
    </row>
    <row r="3">
      <c r="A3" s="44"/>
      <c r="B3" s="44"/>
      <c r="C3" s="56" t="s">
        <v>152</v>
      </c>
      <c r="D3" s="44"/>
      <c r="E3" s="44"/>
      <c r="F3" s="44"/>
      <c r="G3" s="44"/>
      <c r="H3" s="44"/>
      <c r="I3" s="44"/>
      <c r="J3" s="44"/>
      <c r="K3" s="44"/>
      <c r="L3" s="44"/>
      <c r="M3" s="44"/>
      <c r="N3" s="44"/>
      <c r="O3" s="44"/>
      <c r="P3" s="44"/>
      <c r="Q3" s="44"/>
      <c r="R3" s="44"/>
      <c r="S3" s="44"/>
      <c r="T3" s="44"/>
      <c r="U3" s="44"/>
      <c r="V3" s="44"/>
      <c r="W3" s="44"/>
      <c r="X3" s="44"/>
      <c r="Y3" s="44"/>
      <c r="Z3" s="44"/>
      <c r="AA3" s="44"/>
    </row>
    <row r="4">
      <c r="A4" s="44"/>
      <c r="B4" s="44"/>
      <c r="C4" s="61" t="s">
        <v>153</v>
      </c>
      <c r="D4" s="44"/>
      <c r="E4" s="44"/>
      <c r="F4" s="44"/>
      <c r="G4" s="44"/>
      <c r="H4" s="44"/>
      <c r="I4" s="44"/>
      <c r="J4" s="44"/>
      <c r="K4" s="44"/>
      <c r="L4" s="44"/>
      <c r="M4" s="44"/>
      <c r="N4" s="44"/>
      <c r="O4" s="44"/>
      <c r="P4" s="44"/>
      <c r="Q4" s="44"/>
      <c r="R4" s="44"/>
      <c r="S4" s="44"/>
      <c r="T4" s="44"/>
      <c r="U4" s="44"/>
      <c r="V4" s="44"/>
      <c r="W4" s="44"/>
      <c r="X4" s="44"/>
      <c r="Y4" s="44"/>
      <c r="Z4" s="44"/>
      <c r="AA4" s="44"/>
    </row>
    <row r="5">
      <c r="A5" s="62"/>
      <c r="B5" s="44"/>
      <c r="C5" s="44"/>
      <c r="D5" s="45"/>
      <c r="E5" s="52"/>
      <c r="F5" s="44"/>
      <c r="G5" s="53"/>
      <c r="H5" s="44"/>
      <c r="I5" s="44"/>
      <c r="J5" s="45"/>
      <c r="K5" s="44"/>
      <c r="L5" s="44"/>
      <c r="M5" s="44"/>
      <c r="N5" s="44"/>
      <c r="O5" s="44"/>
      <c r="P5" s="44"/>
      <c r="Q5" s="44"/>
      <c r="R5" s="44"/>
      <c r="S5" s="44"/>
      <c r="T5" s="44"/>
      <c r="U5" s="44"/>
      <c r="V5" s="44"/>
      <c r="W5" s="44"/>
      <c r="X5" s="44"/>
      <c r="Y5" s="44"/>
      <c r="Z5" s="44"/>
      <c r="AA5" s="44"/>
    </row>
    <row r="6">
      <c r="A6" s="62"/>
      <c r="B6" s="44"/>
      <c r="C6" s="44"/>
      <c r="D6" s="45"/>
      <c r="E6" s="52"/>
      <c r="F6" s="44"/>
      <c r="G6" s="53"/>
      <c r="H6" s="44"/>
      <c r="I6" s="44"/>
      <c r="J6" s="45"/>
      <c r="K6" s="44"/>
      <c r="L6" s="44"/>
      <c r="M6" s="44"/>
      <c r="N6" s="44"/>
      <c r="O6" s="44"/>
      <c r="P6" s="44"/>
      <c r="Q6" s="44"/>
      <c r="R6" s="44"/>
      <c r="S6" s="44"/>
      <c r="T6" s="44"/>
      <c r="U6" s="44"/>
      <c r="V6" s="44"/>
      <c r="W6" s="44"/>
      <c r="X6" s="44"/>
      <c r="Y6" s="44"/>
      <c r="Z6" s="44"/>
      <c r="AA6" s="44"/>
    </row>
    <row r="7">
      <c r="A7" s="51" t="s">
        <v>154</v>
      </c>
      <c r="B7" s="44"/>
      <c r="C7" s="44" t="s">
        <v>3</v>
      </c>
      <c r="D7" s="45">
        <v>3035.0</v>
      </c>
      <c r="E7" s="52"/>
      <c r="F7" s="44"/>
      <c r="G7" s="53" t="s">
        <v>60</v>
      </c>
      <c r="H7" s="44" t="s">
        <v>4</v>
      </c>
      <c r="I7" s="44"/>
      <c r="J7" s="45">
        <v>90.0</v>
      </c>
      <c r="K7" s="44"/>
      <c r="L7" s="44"/>
      <c r="M7" s="44"/>
      <c r="N7" s="44"/>
      <c r="O7" s="44"/>
      <c r="P7" s="44"/>
      <c r="Q7" s="44"/>
      <c r="R7" s="44"/>
      <c r="S7" s="44"/>
      <c r="T7" s="44"/>
      <c r="U7" s="44"/>
      <c r="V7" s="44"/>
      <c r="W7" s="44"/>
      <c r="X7" s="44"/>
      <c r="Y7" s="44"/>
      <c r="Z7" s="44"/>
      <c r="AA7" s="44"/>
    </row>
    <row r="8">
      <c r="A8" s="44"/>
      <c r="B8" s="44"/>
      <c r="C8" s="44" t="s">
        <v>24</v>
      </c>
      <c r="D8" s="44"/>
      <c r="E8" s="44"/>
      <c r="F8" s="44"/>
      <c r="G8" s="44"/>
      <c r="H8" s="44" t="s">
        <v>25</v>
      </c>
      <c r="I8" s="44"/>
      <c r="J8" s="45"/>
      <c r="K8" s="44"/>
      <c r="L8" s="44"/>
      <c r="M8" s="44"/>
      <c r="N8" s="44"/>
      <c r="O8" s="44"/>
      <c r="P8" s="44"/>
      <c r="Q8" s="44"/>
      <c r="R8" s="44"/>
      <c r="S8" s="44"/>
      <c r="T8" s="44"/>
      <c r="U8" s="44"/>
      <c r="V8" s="44"/>
      <c r="W8" s="44"/>
      <c r="X8" s="44"/>
      <c r="Y8" s="44"/>
      <c r="Z8" s="44"/>
      <c r="AA8" s="44"/>
    </row>
    <row r="9">
      <c r="A9" s="54" t="s">
        <v>155</v>
      </c>
      <c r="B9" s="44"/>
      <c r="C9" s="44" t="s">
        <v>26</v>
      </c>
      <c r="D9" s="44"/>
      <c r="E9" s="44"/>
      <c r="F9" s="44"/>
      <c r="G9" s="44"/>
      <c r="H9" s="44" t="s">
        <v>6</v>
      </c>
      <c r="I9" s="44"/>
      <c r="J9" s="45">
        <v>60.0</v>
      </c>
      <c r="K9" s="44"/>
      <c r="L9" s="44"/>
      <c r="M9" s="44"/>
      <c r="N9" s="44"/>
      <c r="O9" s="44"/>
      <c r="P9" s="44"/>
      <c r="Q9" s="44"/>
      <c r="R9" s="44"/>
      <c r="S9" s="44"/>
      <c r="T9" s="44"/>
      <c r="U9" s="44"/>
      <c r="V9" s="44"/>
      <c r="W9" s="44"/>
      <c r="X9" s="44"/>
      <c r="Y9" s="44"/>
      <c r="Z9" s="44"/>
      <c r="AA9" s="44"/>
    </row>
    <row r="10">
      <c r="A10" s="44"/>
      <c r="B10" s="44"/>
      <c r="C10" s="44" t="s">
        <v>27</v>
      </c>
      <c r="D10" s="44"/>
      <c r="E10" s="44"/>
      <c r="F10" s="44"/>
      <c r="G10" s="44"/>
      <c r="H10" s="44" t="s">
        <v>81</v>
      </c>
      <c r="I10" s="44"/>
      <c r="J10" s="45">
        <v>185.0</v>
      </c>
      <c r="K10" s="44"/>
      <c r="L10" s="44"/>
      <c r="M10" s="44"/>
      <c r="N10" s="44"/>
      <c r="O10" s="44"/>
      <c r="P10" s="44"/>
      <c r="Q10" s="44"/>
      <c r="R10" s="44"/>
      <c r="S10" s="44"/>
      <c r="T10" s="44"/>
      <c r="U10" s="44"/>
      <c r="V10" s="44"/>
      <c r="W10" s="44"/>
      <c r="X10" s="44"/>
      <c r="Y10" s="44"/>
      <c r="Z10" s="44"/>
      <c r="AA10" s="44"/>
    </row>
    <row r="11">
      <c r="A11" s="44"/>
      <c r="B11" s="44"/>
      <c r="C11" s="44" t="s">
        <v>37</v>
      </c>
      <c r="D11" s="44"/>
      <c r="E11" s="44"/>
      <c r="F11" s="44"/>
      <c r="G11" s="44"/>
      <c r="H11" s="44" t="s">
        <v>8</v>
      </c>
      <c r="I11" s="44"/>
      <c r="J11" s="45">
        <v>500.0</v>
      </c>
      <c r="K11" s="44"/>
      <c r="L11" s="44"/>
      <c r="M11" s="44"/>
      <c r="N11" s="44"/>
      <c r="O11" s="44"/>
      <c r="P11" s="44"/>
      <c r="Q11" s="44"/>
      <c r="R11" s="44"/>
      <c r="S11" s="44"/>
      <c r="T11" s="44"/>
      <c r="U11" s="44"/>
      <c r="V11" s="44"/>
      <c r="W11" s="44"/>
      <c r="X11" s="44"/>
      <c r="Y11" s="44"/>
      <c r="Z11" s="44"/>
      <c r="AA11" s="44"/>
    </row>
    <row r="12">
      <c r="A12" s="44"/>
      <c r="B12" s="44"/>
      <c r="C12" s="44" t="s">
        <v>52</v>
      </c>
      <c r="D12" s="44"/>
      <c r="E12" s="44"/>
      <c r="F12" s="44"/>
      <c r="G12" s="44"/>
      <c r="H12" s="44" t="s">
        <v>94</v>
      </c>
      <c r="I12" s="44"/>
      <c r="J12" s="45">
        <v>1586.0</v>
      </c>
      <c r="K12" s="44"/>
      <c r="L12" s="44"/>
      <c r="M12" s="44"/>
      <c r="N12" s="44"/>
      <c r="O12" s="44"/>
      <c r="P12" s="44"/>
      <c r="Q12" s="44"/>
      <c r="R12" s="44"/>
      <c r="S12" s="44"/>
      <c r="T12" s="44"/>
      <c r="U12" s="44"/>
      <c r="V12" s="44"/>
      <c r="W12" s="44"/>
      <c r="X12" s="44"/>
      <c r="Y12" s="44"/>
      <c r="Z12" s="44"/>
      <c r="AA12" s="44"/>
    </row>
    <row r="13">
      <c r="A13" s="44"/>
      <c r="B13" s="44"/>
      <c r="C13" s="44"/>
      <c r="D13" s="44"/>
      <c r="E13" s="44"/>
      <c r="F13" s="44"/>
      <c r="G13" s="44"/>
      <c r="H13" s="44" t="s">
        <v>10</v>
      </c>
      <c r="I13" s="44"/>
      <c r="J13" s="44"/>
      <c r="K13" s="44"/>
      <c r="L13" s="44"/>
      <c r="M13" s="44"/>
      <c r="N13" s="44"/>
      <c r="O13" s="44"/>
      <c r="P13" s="44"/>
      <c r="Q13" s="44"/>
      <c r="R13" s="44"/>
      <c r="S13" s="44"/>
      <c r="T13" s="44"/>
      <c r="U13" s="44"/>
      <c r="V13" s="44"/>
      <c r="W13" s="44"/>
      <c r="X13" s="44"/>
      <c r="Y13" s="44"/>
      <c r="Z13" s="44"/>
      <c r="AA13" s="44"/>
    </row>
    <row r="14">
      <c r="A14" s="44"/>
      <c r="B14" s="52"/>
      <c r="C14" s="52"/>
      <c r="D14" s="52"/>
      <c r="E14" s="52"/>
      <c r="F14" s="44"/>
      <c r="G14" s="44"/>
      <c r="H14" s="44" t="s">
        <v>34</v>
      </c>
      <c r="I14" s="44"/>
      <c r="J14" s="45">
        <v>15.0</v>
      </c>
      <c r="K14" s="44"/>
      <c r="L14" s="44"/>
      <c r="M14" s="44"/>
      <c r="N14" s="44"/>
      <c r="O14" s="44"/>
      <c r="P14" s="44"/>
      <c r="Q14" s="44"/>
      <c r="R14" s="44"/>
      <c r="S14" s="44"/>
      <c r="T14" s="44"/>
      <c r="U14" s="44"/>
      <c r="V14" s="44"/>
      <c r="W14" s="44"/>
      <c r="X14" s="44"/>
      <c r="Y14" s="44"/>
      <c r="Z14" s="44"/>
      <c r="AA14" s="44"/>
    </row>
    <row r="15">
      <c r="A15" s="44"/>
      <c r="B15" s="44"/>
      <c r="C15" s="44"/>
      <c r="D15" s="44"/>
      <c r="E15" s="44"/>
      <c r="F15" s="44"/>
      <c r="G15" s="44"/>
      <c r="H15" s="44" t="s">
        <v>28</v>
      </c>
      <c r="I15" s="44"/>
      <c r="J15" s="44"/>
      <c r="K15" s="44"/>
      <c r="L15" s="44"/>
      <c r="M15" s="44"/>
      <c r="N15" s="44"/>
      <c r="O15" s="44"/>
      <c r="P15" s="44"/>
      <c r="Q15" s="44"/>
      <c r="R15" s="44"/>
      <c r="S15" s="44"/>
      <c r="T15" s="44"/>
      <c r="U15" s="44"/>
      <c r="V15" s="44"/>
      <c r="W15" s="44"/>
      <c r="X15" s="44"/>
      <c r="Y15" s="44"/>
      <c r="Z15" s="44"/>
      <c r="AA15" s="44"/>
    </row>
    <row r="16">
      <c r="A16" s="44"/>
      <c r="B16" s="44"/>
      <c r="C16" s="44"/>
      <c r="D16" s="44"/>
      <c r="E16" s="44"/>
      <c r="F16" s="44"/>
      <c r="G16" s="44"/>
      <c r="H16" s="44" t="s">
        <v>11</v>
      </c>
      <c r="I16" s="44"/>
      <c r="J16" s="44"/>
      <c r="K16" s="44"/>
      <c r="L16" s="44"/>
      <c r="M16" s="44"/>
      <c r="N16" s="44"/>
      <c r="O16" s="44"/>
      <c r="P16" s="44"/>
      <c r="Q16" s="44"/>
      <c r="R16" s="44"/>
      <c r="S16" s="44"/>
      <c r="T16" s="44"/>
      <c r="U16" s="44"/>
      <c r="V16" s="44"/>
      <c r="W16" s="44"/>
      <c r="X16" s="44"/>
      <c r="Y16" s="44"/>
      <c r="Z16" s="44"/>
      <c r="AA16" s="44"/>
    </row>
    <row r="17">
      <c r="A17" s="44"/>
      <c r="B17" s="44"/>
      <c r="C17" s="44"/>
      <c r="D17" s="44"/>
      <c r="E17" s="44"/>
      <c r="F17" s="44"/>
      <c r="G17" s="44"/>
      <c r="H17" s="44" t="s">
        <v>12</v>
      </c>
      <c r="I17" s="44"/>
      <c r="J17" s="44"/>
      <c r="K17" s="44"/>
      <c r="L17" s="44"/>
      <c r="M17" s="44"/>
      <c r="N17" s="44"/>
      <c r="O17" s="44"/>
      <c r="P17" s="44"/>
      <c r="Q17" s="44"/>
      <c r="R17" s="44"/>
      <c r="S17" s="44"/>
      <c r="T17" s="44"/>
      <c r="U17" s="44"/>
      <c r="V17" s="44"/>
      <c r="W17" s="44"/>
      <c r="X17" s="44"/>
      <c r="Y17" s="44"/>
      <c r="Z17" s="44"/>
      <c r="AA17" s="44"/>
    </row>
    <row r="18">
      <c r="A18" s="44"/>
      <c r="B18" s="44"/>
      <c r="C18" s="44"/>
      <c r="D18" s="44"/>
      <c r="E18" s="44"/>
      <c r="F18" s="44"/>
      <c r="G18" s="44"/>
      <c r="H18" s="44" t="s">
        <v>95</v>
      </c>
      <c r="I18" s="44"/>
      <c r="J18" s="45"/>
      <c r="K18" s="44"/>
      <c r="L18" s="44"/>
      <c r="M18" s="44"/>
      <c r="N18" s="44"/>
      <c r="O18" s="44"/>
      <c r="P18" s="44"/>
      <c r="Q18" s="44"/>
      <c r="R18" s="44"/>
      <c r="S18" s="44"/>
      <c r="T18" s="44"/>
      <c r="U18" s="44"/>
      <c r="V18" s="44"/>
      <c r="W18" s="44"/>
      <c r="X18" s="44"/>
      <c r="Y18" s="44"/>
      <c r="Z18" s="44"/>
      <c r="AA18" s="44"/>
    </row>
    <row r="19">
      <c r="A19" s="44"/>
      <c r="B19" s="44"/>
      <c r="C19" s="44"/>
      <c r="D19" s="44"/>
      <c r="E19" s="44"/>
      <c r="F19" s="44"/>
      <c r="G19" s="44"/>
      <c r="H19" s="44" t="s">
        <v>14</v>
      </c>
      <c r="I19" s="44"/>
      <c r="J19" s="45"/>
      <c r="K19" s="44"/>
      <c r="L19" s="44"/>
      <c r="M19" s="44"/>
      <c r="N19" s="44"/>
      <c r="O19" s="44"/>
      <c r="P19" s="44"/>
      <c r="Q19" s="44"/>
      <c r="R19" s="44"/>
      <c r="S19" s="44"/>
      <c r="T19" s="44"/>
      <c r="U19" s="44"/>
      <c r="V19" s="44"/>
      <c r="W19" s="44"/>
      <c r="X19" s="44"/>
      <c r="Y19" s="44"/>
      <c r="Z19" s="44"/>
      <c r="AA19" s="44"/>
    </row>
    <row r="20">
      <c r="A20" s="44"/>
      <c r="B20" s="44"/>
      <c r="C20" s="44"/>
      <c r="D20" s="44"/>
      <c r="E20" s="44"/>
      <c r="F20" s="44"/>
      <c r="G20" s="44"/>
      <c r="H20" s="44" t="s">
        <v>108</v>
      </c>
      <c r="I20" s="44"/>
      <c r="J20" s="45">
        <v>100.0</v>
      </c>
      <c r="K20" s="44"/>
      <c r="L20" s="44"/>
      <c r="M20" s="44"/>
      <c r="N20" s="44"/>
      <c r="O20" s="44"/>
      <c r="P20" s="44"/>
      <c r="Q20" s="44"/>
      <c r="R20" s="44"/>
      <c r="S20" s="44"/>
      <c r="T20" s="44"/>
      <c r="U20" s="44"/>
      <c r="V20" s="44"/>
      <c r="W20" s="44"/>
      <c r="X20" s="44"/>
      <c r="Y20" s="44"/>
      <c r="Z20" s="44"/>
      <c r="AA20" s="44"/>
    </row>
    <row r="21">
      <c r="A21" s="44"/>
      <c r="B21" s="44"/>
      <c r="C21" s="44"/>
      <c r="D21" s="44"/>
      <c r="E21" s="44"/>
      <c r="F21" s="44"/>
      <c r="G21" s="44"/>
      <c r="H21" s="45" t="s">
        <v>156</v>
      </c>
      <c r="I21" s="44"/>
      <c r="J21" s="45">
        <v>1100.0</v>
      </c>
      <c r="K21" s="44"/>
      <c r="L21" s="44"/>
      <c r="M21" s="44"/>
      <c r="N21" s="44"/>
      <c r="O21" s="44"/>
      <c r="P21" s="44"/>
      <c r="Q21" s="44"/>
      <c r="R21" s="44"/>
      <c r="S21" s="44"/>
      <c r="T21" s="44"/>
      <c r="U21" s="44"/>
      <c r="V21" s="44"/>
      <c r="W21" s="44"/>
      <c r="X21" s="44"/>
      <c r="Y21" s="44"/>
      <c r="Z21" s="44"/>
      <c r="AA21" s="44"/>
    </row>
    <row r="22">
      <c r="A22" s="44"/>
      <c r="B22" s="44"/>
      <c r="C22" s="44"/>
      <c r="D22" s="44"/>
      <c r="E22" s="44"/>
      <c r="F22" s="44"/>
      <c r="G22" s="44"/>
      <c r="H22" s="44" t="s">
        <v>16</v>
      </c>
      <c r="I22" s="44"/>
      <c r="J22" s="44"/>
      <c r="K22" s="44"/>
      <c r="L22" s="44"/>
      <c r="M22" s="44"/>
      <c r="N22" s="44"/>
      <c r="O22" s="44"/>
      <c r="P22" s="44"/>
      <c r="Q22" s="44"/>
      <c r="R22" s="44"/>
      <c r="S22" s="44"/>
      <c r="T22" s="44"/>
      <c r="U22" s="44"/>
      <c r="V22" s="44"/>
      <c r="W22" s="44"/>
      <c r="X22" s="44"/>
      <c r="Y22" s="44"/>
      <c r="Z22" s="44"/>
      <c r="AA22" s="44"/>
    </row>
    <row r="23">
      <c r="A23" s="44"/>
      <c r="B23" s="44"/>
      <c r="C23" s="44"/>
      <c r="D23" s="44"/>
      <c r="E23" s="44"/>
      <c r="F23" s="44"/>
      <c r="G23" s="44"/>
      <c r="H23" s="45" t="s">
        <v>131</v>
      </c>
      <c r="I23" s="44"/>
      <c r="J23" s="45">
        <v>120.0</v>
      </c>
      <c r="K23" s="44"/>
      <c r="L23" s="44"/>
      <c r="M23" s="44"/>
      <c r="N23" s="44"/>
      <c r="O23" s="44"/>
      <c r="P23" s="44"/>
      <c r="Q23" s="44"/>
      <c r="R23" s="44"/>
      <c r="S23" s="44"/>
      <c r="T23" s="44"/>
      <c r="U23" s="44"/>
      <c r="V23" s="44"/>
      <c r="W23" s="44"/>
      <c r="X23" s="44"/>
      <c r="Y23" s="44"/>
      <c r="Z23" s="44"/>
      <c r="AA23" s="44"/>
    </row>
    <row r="24">
      <c r="A24" s="44"/>
      <c r="B24" s="44"/>
      <c r="C24" s="44"/>
      <c r="D24" s="44"/>
      <c r="E24" s="44"/>
      <c r="F24" s="44"/>
      <c r="G24" s="44"/>
      <c r="H24" s="44" t="s">
        <v>18</v>
      </c>
      <c r="I24" s="44"/>
      <c r="J24" s="45">
        <v>20.0</v>
      </c>
      <c r="K24" s="44"/>
      <c r="L24" s="44"/>
      <c r="M24" s="44"/>
      <c r="N24" s="44"/>
      <c r="O24" s="44"/>
      <c r="P24" s="44"/>
      <c r="Q24" s="44"/>
      <c r="R24" s="44"/>
      <c r="S24" s="44"/>
      <c r="T24" s="44"/>
      <c r="U24" s="44"/>
      <c r="V24" s="44"/>
      <c r="W24" s="44"/>
      <c r="X24" s="44"/>
      <c r="Y24" s="44"/>
      <c r="Z24" s="44"/>
      <c r="AA24" s="44"/>
    </row>
    <row r="25">
      <c r="A25" s="44"/>
      <c r="B25" s="44"/>
      <c r="C25" s="44"/>
      <c r="D25" s="44"/>
      <c r="E25" s="44"/>
      <c r="F25" s="44"/>
      <c r="G25" s="44"/>
      <c r="H25" s="44" t="s">
        <v>19</v>
      </c>
      <c r="I25" s="44"/>
      <c r="J25" s="45"/>
      <c r="K25" s="44"/>
      <c r="L25" s="44"/>
      <c r="M25" s="44"/>
      <c r="N25" s="44"/>
      <c r="O25" s="44"/>
      <c r="P25" s="44"/>
      <c r="Q25" s="44"/>
      <c r="R25" s="44"/>
      <c r="S25" s="44"/>
      <c r="T25" s="44"/>
      <c r="U25" s="44"/>
      <c r="V25" s="44"/>
      <c r="W25" s="44"/>
      <c r="X25" s="44"/>
      <c r="Y25" s="44"/>
      <c r="Z25" s="44"/>
      <c r="AA25" s="44"/>
    </row>
    <row r="26">
      <c r="A26" s="44"/>
      <c r="B26" s="44"/>
      <c r="C26" s="44"/>
      <c r="D26" s="44"/>
      <c r="E26" s="44"/>
      <c r="F26" s="44"/>
      <c r="G26" s="44"/>
      <c r="H26" s="44" t="s">
        <v>20</v>
      </c>
      <c r="I26" s="44"/>
      <c r="J26" s="45"/>
      <c r="K26" s="44"/>
      <c r="L26" s="44"/>
      <c r="M26" s="44"/>
      <c r="N26" s="44"/>
      <c r="O26" s="44"/>
      <c r="P26" s="44"/>
      <c r="Q26" s="44"/>
      <c r="R26" s="44"/>
      <c r="S26" s="44"/>
      <c r="T26" s="44"/>
      <c r="U26" s="44"/>
      <c r="V26" s="44"/>
      <c r="W26" s="44"/>
      <c r="X26" s="44"/>
      <c r="Y26" s="44"/>
      <c r="Z26" s="44"/>
      <c r="AA26" s="44"/>
    </row>
    <row r="27">
      <c r="A27" s="44"/>
      <c r="B27" s="44"/>
      <c r="C27" s="44"/>
      <c r="D27" s="44"/>
      <c r="E27" s="44"/>
      <c r="F27" s="44"/>
      <c r="G27" s="44"/>
      <c r="H27" s="55" t="s">
        <v>48</v>
      </c>
      <c r="I27" s="55"/>
      <c r="J27" s="56">
        <v>600.0</v>
      </c>
      <c r="K27" s="44"/>
      <c r="L27" s="44"/>
      <c r="M27" s="44"/>
      <c r="N27" s="44"/>
      <c r="O27" s="44"/>
      <c r="P27" s="44"/>
      <c r="Q27" s="44"/>
      <c r="R27" s="44"/>
      <c r="S27" s="44"/>
      <c r="T27" s="44"/>
      <c r="U27" s="44"/>
      <c r="V27" s="44"/>
      <c r="W27" s="44"/>
      <c r="X27" s="44"/>
      <c r="Y27" s="44"/>
      <c r="Z27" s="44"/>
      <c r="AA27" s="44"/>
    </row>
    <row r="28">
      <c r="A28" s="44"/>
      <c r="B28" s="44"/>
      <c r="C28" s="44"/>
      <c r="D28" s="44"/>
      <c r="E28" s="44"/>
      <c r="F28" s="44"/>
      <c r="G28" s="44"/>
      <c r="H28" s="44" t="s">
        <v>29</v>
      </c>
      <c r="I28" s="44"/>
      <c r="J28" s="45"/>
      <c r="K28" s="44"/>
      <c r="L28" s="44"/>
      <c r="M28" s="44"/>
      <c r="N28" s="44"/>
      <c r="O28" s="44"/>
      <c r="P28" s="44"/>
      <c r="Q28" s="44"/>
      <c r="R28" s="44"/>
      <c r="S28" s="44"/>
      <c r="T28" s="44"/>
      <c r="U28" s="44"/>
      <c r="V28" s="44"/>
      <c r="W28" s="44"/>
      <c r="X28" s="44"/>
      <c r="Y28" s="44"/>
      <c r="Z28" s="44"/>
      <c r="AA28" s="44"/>
    </row>
    <row r="29">
      <c r="A29" s="44"/>
      <c r="B29" s="44"/>
      <c r="C29" s="44"/>
      <c r="D29" s="44"/>
      <c r="E29" s="44"/>
      <c r="F29" s="44"/>
      <c r="G29" s="44"/>
      <c r="H29" s="44" t="s">
        <v>24</v>
      </c>
      <c r="I29" s="44"/>
      <c r="J29" s="44"/>
      <c r="K29" s="44"/>
      <c r="L29" s="44"/>
      <c r="M29" s="44"/>
      <c r="N29" s="44"/>
      <c r="O29" s="44"/>
      <c r="P29" s="44"/>
      <c r="Q29" s="44"/>
      <c r="R29" s="44"/>
      <c r="S29" s="44"/>
      <c r="T29" s="44"/>
      <c r="U29" s="44"/>
      <c r="V29" s="44"/>
      <c r="W29" s="44"/>
      <c r="X29" s="44"/>
      <c r="Y29" s="44"/>
      <c r="Z29" s="44"/>
      <c r="AA29" s="44"/>
    </row>
    <row r="30">
      <c r="A30" s="44"/>
      <c r="B30" s="44"/>
      <c r="C30" s="44"/>
      <c r="D30" s="44"/>
      <c r="E30" s="44"/>
      <c r="F30" s="44"/>
      <c r="G30" s="44"/>
      <c r="H30" s="44" t="s">
        <v>27</v>
      </c>
      <c r="I30" s="44"/>
      <c r="J30" s="44"/>
      <c r="K30" s="44"/>
      <c r="L30" s="44"/>
      <c r="M30" s="44"/>
      <c r="N30" s="44"/>
      <c r="O30" s="44"/>
      <c r="P30" s="44"/>
      <c r="Q30" s="44"/>
      <c r="R30" s="44"/>
      <c r="S30" s="44"/>
      <c r="T30" s="44"/>
      <c r="U30" s="44"/>
      <c r="V30" s="44"/>
      <c r="W30" s="44"/>
      <c r="X30" s="44"/>
      <c r="Y30" s="44"/>
      <c r="Z30" s="44"/>
      <c r="AA30" s="44"/>
    </row>
    <row r="31">
      <c r="A31" s="44"/>
      <c r="B31" s="44"/>
      <c r="C31" s="44"/>
      <c r="D31" s="44"/>
      <c r="E31" s="44"/>
      <c r="F31" s="44"/>
      <c r="G31" s="44"/>
      <c r="H31" s="44" t="s">
        <v>83</v>
      </c>
      <c r="I31" s="44"/>
      <c r="J31" s="45"/>
      <c r="K31" s="44"/>
      <c r="L31" s="44"/>
      <c r="M31" s="44"/>
      <c r="N31" s="44"/>
      <c r="O31" s="44"/>
      <c r="P31" s="44"/>
      <c r="Q31" s="44"/>
      <c r="R31" s="44"/>
      <c r="S31" s="44"/>
      <c r="T31" s="44"/>
      <c r="U31" s="44"/>
      <c r="V31" s="44"/>
      <c r="W31" s="44"/>
      <c r="X31" s="44"/>
      <c r="Y31" s="44"/>
      <c r="Z31" s="44"/>
      <c r="AA31" s="44"/>
    </row>
    <row r="32">
      <c r="A32" s="44"/>
      <c r="B32" s="44"/>
      <c r="C32" s="44"/>
      <c r="D32" s="44"/>
      <c r="E32" s="44"/>
      <c r="F32" s="44"/>
      <c r="G32" s="44"/>
      <c r="H32" s="55" t="s">
        <v>96</v>
      </c>
      <c r="I32" s="55"/>
      <c r="J32" s="61"/>
      <c r="K32" s="44"/>
      <c r="L32" s="44"/>
      <c r="M32" s="44"/>
      <c r="N32" s="44"/>
      <c r="O32" s="44"/>
      <c r="P32" s="44"/>
      <c r="Q32" s="44"/>
      <c r="R32" s="44"/>
      <c r="S32" s="44"/>
      <c r="T32" s="44"/>
      <c r="U32" s="44"/>
      <c r="V32" s="44"/>
      <c r="W32" s="44"/>
      <c r="X32" s="44"/>
      <c r="Y32" s="44"/>
      <c r="Z32" s="44"/>
      <c r="AA32" s="44"/>
    </row>
    <row r="33">
      <c r="A33" s="44"/>
      <c r="B33" s="44"/>
      <c r="C33" s="44"/>
      <c r="D33" s="44"/>
      <c r="E33" s="44"/>
      <c r="F33" s="44"/>
      <c r="G33" s="44"/>
      <c r="H33" s="44" t="s">
        <v>31</v>
      </c>
      <c r="I33" s="44"/>
      <c r="J33" s="45"/>
      <c r="K33" s="44"/>
      <c r="L33" s="44"/>
      <c r="M33" s="44"/>
      <c r="N33" s="44"/>
      <c r="O33" s="44"/>
      <c r="P33" s="44"/>
      <c r="Q33" s="44"/>
      <c r="R33" s="44"/>
      <c r="S33" s="44"/>
      <c r="T33" s="44"/>
      <c r="U33" s="44"/>
      <c r="V33" s="44"/>
      <c r="W33" s="44"/>
      <c r="X33" s="44"/>
      <c r="Y33" s="44"/>
      <c r="Z33" s="44"/>
      <c r="AA33" s="44"/>
    </row>
    <row r="35">
      <c r="H35" s="7"/>
      <c r="J35" s="40">
        <v>3776.0</v>
      </c>
    </row>
    <row r="37">
      <c r="A37" s="47" t="s">
        <v>98</v>
      </c>
      <c r="B37" s="48"/>
      <c r="C37" s="59" t="s">
        <v>157</v>
      </c>
      <c r="D37" s="50"/>
      <c r="E37" s="44"/>
      <c r="F37" s="44"/>
      <c r="G37" s="44"/>
      <c r="H37" s="44"/>
      <c r="I37" s="44"/>
      <c r="J37" s="44"/>
      <c r="K37" s="44"/>
      <c r="L37" s="44"/>
      <c r="M37" s="44"/>
      <c r="N37" s="44"/>
      <c r="O37" s="44"/>
      <c r="P37" s="44"/>
      <c r="Q37" s="44"/>
      <c r="R37" s="44"/>
      <c r="S37" s="44"/>
      <c r="T37" s="44"/>
      <c r="U37" s="44"/>
      <c r="V37" s="44"/>
      <c r="W37" s="44"/>
      <c r="X37" s="44"/>
      <c r="Y37" s="44"/>
      <c r="Z37" s="44"/>
      <c r="AA37" s="44"/>
    </row>
    <row r="38">
      <c r="A38" s="44"/>
      <c r="B38" s="44"/>
      <c r="C38" s="56" t="s">
        <v>152</v>
      </c>
      <c r="D38" s="44"/>
      <c r="E38" s="44"/>
      <c r="F38" s="44"/>
      <c r="G38" s="44"/>
      <c r="H38" s="44"/>
      <c r="I38" s="44"/>
      <c r="J38" s="44"/>
      <c r="K38" s="44"/>
      <c r="L38" s="44"/>
      <c r="M38" s="44"/>
      <c r="N38" s="44"/>
      <c r="O38" s="44"/>
      <c r="P38" s="44"/>
      <c r="Q38" s="44"/>
      <c r="R38" s="44"/>
      <c r="S38" s="44"/>
      <c r="T38" s="44"/>
      <c r="U38" s="44"/>
      <c r="V38" s="44"/>
      <c r="W38" s="44"/>
      <c r="X38" s="44"/>
      <c r="Y38" s="44"/>
      <c r="Z38" s="44"/>
      <c r="AA38" s="44"/>
    </row>
    <row r="39">
      <c r="A39" s="44"/>
      <c r="B39" s="44"/>
      <c r="C39" s="56" t="s">
        <v>158</v>
      </c>
      <c r="D39" s="44"/>
      <c r="E39" s="44"/>
      <c r="F39" s="44"/>
      <c r="G39" s="44"/>
      <c r="H39" s="44"/>
      <c r="I39" s="44"/>
      <c r="J39" s="44"/>
      <c r="K39" s="44"/>
      <c r="L39" s="44"/>
      <c r="M39" s="44"/>
      <c r="N39" s="44"/>
      <c r="O39" s="44"/>
      <c r="P39" s="44"/>
      <c r="Q39" s="44"/>
      <c r="R39" s="44"/>
      <c r="S39" s="44"/>
      <c r="T39" s="44"/>
      <c r="U39" s="44"/>
      <c r="V39" s="44"/>
      <c r="W39" s="44"/>
      <c r="X39" s="44"/>
      <c r="Y39" s="44"/>
      <c r="Z39" s="44"/>
      <c r="AA39" s="44"/>
    </row>
    <row r="40">
      <c r="A40" s="62"/>
      <c r="B40" s="44"/>
      <c r="C40" s="44"/>
      <c r="D40" s="45"/>
      <c r="E40" s="52"/>
      <c r="F40" s="44"/>
      <c r="G40" s="53"/>
      <c r="H40" s="44"/>
      <c r="I40" s="44"/>
      <c r="J40" s="45"/>
      <c r="K40" s="44"/>
      <c r="L40" s="44"/>
      <c r="M40" s="44"/>
      <c r="N40" s="44"/>
      <c r="O40" s="44"/>
      <c r="P40" s="44"/>
      <c r="Q40" s="44"/>
      <c r="R40" s="44"/>
      <c r="S40" s="44"/>
      <c r="T40" s="44"/>
      <c r="U40" s="44"/>
      <c r="V40" s="44"/>
      <c r="W40" s="44"/>
      <c r="X40" s="44"/>
      <c r="Y40" s="44"/>
      <c r="Z40" s="44"/>
      <c r="AA40" s="44"/>
    </row>
    <row r="41">
      <c r="A41" s="62"/>
      <c r="B41" s="44"/>
      <c r="C41" s="44"/>
      <c r="D41" s="45"/>
      <c r="E41" s="52"/>
      <c r="F41" s="44"/>
      <c r="G41" s="53"/>
      <c r="H41" s="44"/>
      <c r="I41" s="44"/>
      <c r="J41" s="45"/>
      <c r="K41" s="44"/>
      <c r="L41" s="44"/>
      <c r="M41" s="44"/>
      <c r="N41" s="44"/>
      <c r="O41" s="44"/>
      <c r="P41" s="44"/>
      <c r="Q41" s="44"/>
      <c r="R41" s="44"/>
      <c r="S41" s="44"/>
      <c r="T41" s="44"/>
      <c r="U41" s="44"/>
      <c r="V41" s="44"/>
      <c r="W41" s="44"/>
      <c r="X41" s="44"/>
      <c r="Y41" s="44"/>
      <c r="Z41" s="44"/>
      <c r="AA41" s="44"/>
    </row>
    <row r="42">
      <c r="A42" s="51" t="s">
        <v>159</v>
      </c>
      <c r="B42" s="44"/>
      <c r="C42" s="44" t="s">
        <v>3</v>
      </c>
      <c r="D42" s="45">
        <v>5135.0</v>
      </c>
      <c r="E42" s="52"/>
      <c r="F42" s="44"/>
      <c r="G42" s="53" t="s">
        <v>60</v>
      </c>
      <c r="H42" s="44" t="s">
        <v>4</v>
      </c>
      <c r="I42" s="44"/>
      <c r="J42" s="45">
        <v>80.0</v>
      </c>
      <c r="K42" s="44"/>
      <c r="L42" s="44"/>
      <c r="M42" s="44"/>
      <c r="N42" s="44"/>
      <c r="O42" s="44"/>
      <c r="P42" s="44"/>
      <c r="Q42" s="44"/>
      <c r="R42" s="44"/>
      <c r="S42" s="44"/>
      <c r="T42" s="44"/>
      <c r="U42" s="44"/>
      <c r="V42" s="44"/>
      <c r="W42" s="44"/>
      <c r="X42" s="44"/>
      <c r="Y42" s="44"/>
      <c r="Z42" s="44"/>
      <c r="AA42" s="44"/>
    </row>
    <row r="43">
      <c r="A43" s="44"/>
      <c r="B43" s="44"/>
      <c r="C43" s="44" t="s">
        <v>24</v>
      </c>
      <c r="D43" s="44"/>
      <c r="E43" s="44"/>
      <c r="F43" s="44"/>
      <c r="G43" s="44"/>
      <c r="H43" s="44" t="s">
        <v>25</v>
      </c>
      <c r="I43" s="44"/>
      <c r="J43" s="45"/>
      <c r="K43" s="44"/>
      <c r="L43" s="44"/>
      <c r="M43" s="44"/>
      <c r="N43" s="44"/>
      <c r="O43" s="44"/>
      <c r="P43" s="44"/>
      <c r="Q43" s="44"/>
      <c r="R43" s="44"/>
      <c r="S43" s="44"/>
      <c r="T43" s="44"/>
      <c r="U43" s="44"/>
      <c r="V43" s="44"/>
      <c r="W43" s="44"/>
      <c r="X43" s="44"/>
      <c r="Y43" s="44"/>
      <c r="Z43" s="44"/>
      <c r="AA43" s="44"/>
    </row>
    <row r="44">
      <c r="A44" s="54" t="s">
        <v>116</v>
      </c>
      <c r="B44" s="44"/>
      <c r="C44" s="44" t="s">
        <v>26</v>
      </c>
      <c r="D44" s="44"/>
      <c r="E44" s="44"/>
      <c r="F44" s="44"/>
      <c r="G44" s="44"/>
      <c r="H44" s="44" t="s">
        <v>6</v>
      </c>
      <c r="I44" s="44"/>
      <c r="J44" s="45">
        <v>180.0</v>
      </c>
      <c r="K44" s="44"/>
      <c r="L44" s="44"/>
      <c r="M44" s="44"/>
      <c r="N44" s="44"/>
      <c r="O44" s="44"/>
      <c r="P44" s="44"/>
      <c r="Q44" s="44"/>
      <c r="R44" s="44"/>
      <c r="S44" s="44"/>
      <c r="T44" s="44"/>
      <c r="U44" s="44"/>
      <c r="V44" s="44"/>
      <c r="W44" s="44"/>
      <c r="X44" s="44"/>
      <c r="Y44" s="44"/>
      <c r="Z44" s="44"/>
      <c r="AA44" s="44"/>
    </row>
    <row r="45">
      <c r="A45" s="44"/>
      <c r="B45" s="44"/>
      <c r="C45" s="44" t="s">
        <v>27</v>
      </c>
      <c r="D45" s="44"/>
      <c r="E45" s="44"/>
      <c r="F45" s="44"/>
      <c r="G45" s="44"/>
      <c r="H45" s="44" t="s">
        <v>81</v>
      </c>
      <c r="I45" s="44"/>
      <c r="J45" s="45"/>
      <c r="K45" s="44"/>
      <c r="L45" s="44"/>
      <c r="M45" s="44"/>
      <c r="N45" s="44"/>
      <c r="O45" s="44"/>
      <c r="P45" s="44"/>
      <c r="Q45" s="44"/>
      <c r="R45" s="44"/>
      <c r="S45" s="44"/>
      <c r="T45" s="44"/>
      <c r="U45" s="44"/>
      <c r="V45" s="44"/>
      <c r="W45" s="44"/>
      <c r="X45" s="44"/>
      <c r="Y45" s="44"/>
      <c r="Z45" s="44"/>
      <c r="AA45" s="44"/>
    </row>
    <row r="46">
      <c r="A46" s="44"/>
      <c r="B46" s="44"/>
      <c r="C46" s="44" t="s">
        <v>37</v>
      </c>
      <c r="D46" s="44"/>
      <c r="E46" s="44"/>
      <c r="F46" s="44"/>
      <c r="G46" s="44"/>
      <c r="H46" s="44" t="s">
        <v>8</v>
      </c>
      <c r="I46" s="44"/>
      <c r="J46" s="45">
        <v>500.0</v>
      </c>
      <c r="K46" s="44"/>
      <c r="L46" s="44"/>
      <c r="M46" s="44"/>
      <c r="N46" s="44"/>
      <c r="O46" s="44"/>
      <c r="P46" s="44"/>
      <c r="Q46" s="44"/>
      <c r="R46" s="44"/>
      <c r="S46" s="44"/>
      <c r="T46" s="44"/>
      <c r="U46" s="44"/>
      <c r="V46" s="44"/>
      <c r="W46" s="44"/>
      <c r="X46" s="44"/>
      <c r="Y46" s="44"/>
      <c r="Z46" s="44"/>
      <c r="AA46" s="44"/>
    </row>
    <row r="47">
      <c r="A47" s="44"/>
      <c r="B47" s="44"/>
      <c r="C47" s="44" t="s">
        <v>52</v>
      </c>
      <c r="D47" s="44"/>
      <c r="E47" s="44"/>
      <c r="F47" s="44"/>
      <c r="G47" s="44"/>
      <c r="H47" s="44" t="s">
        <v>94</v>
      </c>
      <c r="I47" s="44"/>
      <c r="J47" s="45">
        <v>1805.0</v>
      </c>
      <c r="K47" s="44"/>
      <c r="L47" s="44"/>
      <c r="M47" s="44"/>
      <c r="N47" s="44"/>
      <c r="O47" s="44"/>
      <c r="P47" s="44"/>
      <c r="Q47" s="44"/>
      <c r="R47" s="44"/>
      <c r="S47" s="44"/>
      <c r="T47" s="44"/>
      <c r="U47" s="44"/>
      <c r="V47" s="44"/>
      <c r="W47" s="44"/>
      <c r="X47" s="44"/>
      <c r="Y47" s="44"/>
      <c r="Z47" s="44"/>
      <c r="AA47" s="44"/>
    </row>
    <row r="48">
      <c r="A48" s="44"/>
      <c r="B48" s="44"/>
      <c r="C48" s="44"/>
      <c r="D48" s="44"/>
      <c r="E48" s="44"/>
      <c r="F48" s="44"/>
      <c r="G48" s="44"/>
      <c r="H48" s="44" t="s">
        <v>10</v>
      </c>
      <c r="I48" s="44"/>
      <c r="J48" s="44"/>
      <c r="K48" s="44"/>
      <c r="L48" s="44"/>
      <c r="M48" s="44"/>
      <c r="N48" s="44"/>
      <c r="O48" s="44"/>
      <c r="P48" s="44"/>
      <c r="Q48" s="44"/>
      <c r="R48" s="44"/>
      <c r="S48" s="44"/>
      <c r="T48" s="44"/>
      <c r="U48" s="44"/>
      <c r="V48" s="44"/>
      <c r="W48" s="44"/>
      <c r="X48" s="44"/>
      <c r="Y48" s="44"/>
      <c r="Z48" s="44"/>
      <c r="AA48" s="44"/>
    </row>
    <row r="49">
      <c r="A49" s="44"/>
      <c r="B49" s="52"/>
      <c r="C49" s="52"/>
      <c r="D49" s="52"/>
      <c r="E49" s="52"/>
      <c r="F49" s="44"/>
      <c r="G49" s="44"/>
      <c r="H49" s="44" t="s">
        <v>34</v>
      </c>
      <c r="I49" s="44"/>
      <c r="J49" s="45">
        <v>20.0</v>
      </c>
      <c r="K49" s="44"/>
      <c r="L49" s="44"/>
      <c r="M49" s="44"/>
      <c r="N49" s="44"/>
      <c r="O49" s="44"/>
      <c r="P49" s="44"/>
      <c r="Q49" s="44"/>
      <c r="R49" s="44"/>
      <c r="S49" s="44"/>
      <c r="T49" s="44"/>
      <c r="U49" s="44"/>
      <c r="V49" s="44"/>
      <c r="W49" s="44"/>
      <c r="X49" s="44"/>
      <c r="Y49" s="44"/>
      <c r="Z49" s="44"/>
      <c r="AA49" s="44"/>
    </row>
    <row r="50">
      <c r="A50" s="44"/>
      <c r="B50" s="44"/>
      <c r="C50" s="44"/>
      <c r="D50" s="44"/>
      <c r="E50" s="44"/>
      <c r="F50" s="44"/>
      <c r="G50" s="44"/>
      <c r="H50" s="44" t="s">
        <v>28</v>
      </c>
      <c r="I50" s="44"/>
      <c r="J50" s="44"/>
      <c r="K50" s="44"/>
      <c r="L50" s="44"/>
      <c r="M50" s="44"/>
      <c r="N50" s="44"/>
      <c r="O50" s="44"/>
      <c r="P50" s="44"/>
      <c r="Q50" s="44"/>
      <c r="R50" s="44"/>
      <c r="S50" s="44"/>
      <c r="T50" s="44"/>
      <c r="U50" s="44"/>
      <c r="V50" s="44"/>
      <c r="W50" s="44"/>
      <c r="X50" s="44"/>
      <c r="Y50" s="44"/>
      <c r="Z50" s="44"/>
      <c r="AA50" s="44"/>
    </row>
    <row r="51">
      <c r="A51" s="44"/>
      <c r="B51" s="44"/>
      <c r="C51" s="44"/>
      <c r="D51" s="44"/>
      <c r="E51" s="44"/>
      <c r="F51" s="44"/>
      <c r="G51" s="44"/>
      <c r="H51" s="44" t="s">
        <v>11</v>
      </c>
      <c r="I51" s="44"/>
      <c r="J51" s="44"/>
      <c r="K51" s="44"/>
      <c r="L51" s="44"/>
      <c r="M51" s="44"/>
      <c r="N51" s="44"/>
      <c r="O51" s="44"/>
      <c r="P51" s="44"/>
      <c r="Q51" s="44"/>
      <c r="R51" s="44"/>
      <c r="S51" s="44"/>
      <c r="T51" s="44"/>
      <c r="U51" s="44"/>
      <c r="V51" s="44"/>
      <c r="W51" s="44"/>
      <c r="X51" s="44"/>
      <c r="Y51" s="44"/>
      <c r="Z51" s="44"/>
      <c r="AA51" s="44"/>
    </row>
    <row r="52">
      <c r="A52" s="44"/>
      <c r="B52" s="44"/>
      <c r="C52" s="44"/>
      <c r="D52" s="44"/>
      <c r="E52" s="44"/>
      <c r="F52" s="44"/>
      <c r="G52" s="44"/>
      <c r="H52" s="44" t="s">
        <v>12</v>
      </c>
      <c r="I52" s="44"/>
      <c r="J52" s="45">
        <v>300.0</v>
      </c>
      <c r="K52" s="44"/>
      <c r="L52" s="44"/>
      <c r="M52" s="44"/>
      <c r="N52" s="44"/>
      <c r="O52" s="44"/>
      <c r="P52" s="44"/>
      <c r="Q52" s="44"/>
      <c r="R52" s="44"/>
      <c r="S52" s="44"/>
      <c r="T52" s="44"/>
      <c r="U52" s="44"/>
      <c r="V52" s="44"/>
      <c r="W52" s="44"/>
      <c r="X52" s="44"/>
      <c r="Y52" s="44"/>
      <c r="Z52" s="44"/>
      <c r="AA52" s="44"/>
    </row>
    <row r="53">
      <c r="A53" s="44"/>
      <c r="B53" s="44"/>
      <c r="C53" s="44"/>
      <c r="D53" s="44"/>
      <c r="E53" s="44"/>
      <c r="F53" s="44"/>
      <c r="G53" s="44"/>
      <c r="H53" s="44" t="s">
        <v>95</v>
      </c>
      <c r="I53" s="44"/>
      <c r="J53" s="45">
        <v>40.0</v>
      </c>
      <c r="K53" s="44"/>
      <c r="L53" s="44"/>
      <c r="M53" s="44"/>
      <c r="N53" s="44"/>
      <c r="O53" s="44"/>
      <c r="P53" s="44"/>
      <c r="Q53" s="44"/>
      <c r="R53" s="44"/>
      <c r="S53" s="44"/>
      <c r="T53" s="44"/>
      <c r="U53" s="44"/>
      <c r="V53" s="44"/>
      <c r="W53" s="44"/>
      <c r="X53" s="44"/>
      <c r="Y53" s="44"/>
      <c r="Z53" s="44"/>
      <c r="AA53" s="44"/>
    </row>
    <row r="54">
      <c r="A54" s="44"/>
      <c r="B54" s="44"/>
      <c r="C54" s="44"/>
      <c r="D54" s="44"/>
      <c r="E54" s="44"/>
      <c r="F54" s="44"/>
      <c r="G54" s="44"/>
      <c r="H54" s="44" t="s">
        <v>14</v>
      </c>
      <c r="I54" s="44"/>
      <c r="J54" s="45">
        <v>200.0</v>
      </c>
      <c r="K54" s="44"/>
      <c r="L54" s="44"/>
      <c r="M54" s="44"/>
      <c r="N54" s="44"/>
      <c r="O54" s="44"/>
      <c r="P54" s="44"/>
      <c r="Q54" s="44"/>
      <c r="R54" s="44"/>
      <c r="S54" s="44"/>
      <c r="T54" s="44"/>
      <c r="U54" s="44"/>
      <c r="V54" s="44"/>
      <c r="W54" s="44"/>
      <c r="X54" s="44"/>
      <c r="Y54" s="44"/>
      <c r="Z54" s="44"/>
      <c r="AA54" s="44"/>
    </row>
    <row r="55">
      <c r="A55" s="44"/>
      <c r="B55" s="44"/>
      <c r="C55" s="44"/>
      <c r="D55" s="44"/>
      <c r="E55" s="44"/>
      <c r="F55" s="44"/>
      <c r="G55" s="44"/>
      <c r="H55" s="44" t="s">
        <v>108</v>
      </c>
      <c r="I55" s="44"/>
      <c r="J55" s="45">
        <v>470.0</v>
      </c>
      <c r="K55" s="44"/>
      <c r="L55" s="44"/>
      <c r="M55" s="44"/>
      <c r="N55" s="44"/>
      <c r="O55" s="44"/>
      <c r="P55" s="44"/>
      <c r="Q55" s="44"/>
      <c r="R55" s="44"/>
      <c r="S55" s="44"/>
      <c r="T55" s="44"/>
      <c r="U55" s="44"/>
      <c r="V55" s="44"/>
      <c r="W55" s="44"/>
      <c r="X55" s="44"/>
      <c r="Y55" s="44"/>
      <c r="Z55" s="44"/>
      <c r="AA55" s="44"/>
    </row>
    <row r="56">
      <c r="A56" s="44"/>
      <c r="B56" s="44"/>
      <c r="C56" s="44"/>
      <c r="D56" s="44"/>
      <c r="E56" s="44"/>
      <c r="F56" s="44"/>
      <c r="G56" s="44"/>
      <c r="H56" s="45" t="s">
        <v>156</v>
      </c>
      <c r="I56" s="44"/>
      <c r="J56" s="45"/>
      <c r="K56" s="44"/>
      <c r="L56" s="44"/>
      <c r="M56" s="44"/>
      <c r="N56" s="44"/>
      <c r="O56" s="44"/>
      <c r="P56" s="44"/>
      <c r="Q56" s="44"/>
      <c r="R56" s="44"/>
      <c r="S56" s="44"/>
      <c r="T56" s="44"/>
      <c r="U56" s="44"/>
      <c r="V56" s="44"/>
      <c r="W56" s="44"/>
      <c r="X56" s="44"/>
      <c r="Y56" s="44"/>
      <c r="Z56" s="44"/>
      <c r="AA56" s="44"/>
    </row>
    <row r="57">
      <c r="A57" s="44"/>
      <c r="B57" s="44"/>
      <c r="C57" s="44"/>
      <c r="D57" s="44"/>
      <c r="E57" s="44"/>
      <c r="F57" s="44"/>
      <c r="G57" s="44"/>
      <c r="H57" s="44" t="s">
        <v>16</v>
      </c>
      <c r="I57" s="44"/>
      <c r="J57" s="44"/>
      <c r="K57" s="44"/>
      <c r="L57" s="44"/>
      <c r="M57" s="44"/>
      <c r="N57" s="44"/>
      <c r="O57" s="44"/>
      <c r="P57" s="44"/>
      <c r="Q57" s="44"/>
      <c r="R57" s="44"/>
      <c r="S57" s="44"/>
      <c r="T57" s="44"/>
      <c r="U57" s="44"/>
      <c r="V57" s="44"/>
      <c r="W57" s="44"/>
      <c r="X57" s="44"/>
      <c r="Y57" s="44"/>
      <c r="Z57" s="44"/>
      <c r="AA57" s="44"/>
    </row>
    <row r="58">
      <c r="A58" s="44"/>
      <c r="B58" s="44"/>
      <c r="C58" s="44"/>
      <c r="D58" s="44"/>
      <c r="E58" s="44"/>
      <c r="F58" s="44"/>
      <c r="G58" s="44"/>
      <c r="H58" s="45" t="s">
        <v>131</v>
      </c>
      <c r="I58" s="44"/>
      <c r="J58" s="45"/>
      <c r="K58" s="44"/>
      <c r="L58" s="44"/>
      <c r="M58" s="44"/>
      <c r="N58" s="44"/>
      <c r="O58" s="44"/>
      <c r="P58" s="44"/>
      <c r="Q58" s="44"/>
      <c r="R58" s="44"/>
      <c r="S58" s="44"/>
      <c r="T58" s="44"/>
      <c r="U58" s="44"/>
      <c r="V58" s="44"/>
      <c r="W58" s="44"/>
      <c r="X58" s="44"/>
      <c r="Y58" s="44"/>
      <c r="Z58" s="44"/>
      <c r="AA58" s="44"/>
    </row>
    <row r="59">
      <c r="A59" s="44"/>
      <c r="B59" s="44"/>
      <c r="C59" s="44"/>
      <c r="D59" s="44"/>
      <c r="E59" s="44"/>
      <c r="F59" s="44"/>
      <c r="G59" s="44"/>
      <c r="H59" s="44" t="s">
        <v>18</v>
      </c>
      <c r="I59" s="44"/>
      <c r="J59" s="45">
        <v>20.0</v>
      </c>
      <c r="K59" s="44"/>
      <c r="L59" s="44"/>
      <c r="M59" s="44"/>
      <c r="N59" s="44"/>
      <c r="O59" s="44"/>
      <c r="P59" s="44"/>
      <c r="Q59" s="44"/>
      <c r="R59" s="44"/>
      <c r="S59" s="44"/>
      <c r="T59" s="44"/>
      <c r="U59" s="44"/>
      <c r="V59" s="44"/>
      <c r="W59" s="44"/>
      <c r="X59" s="44"/>
      <c r="Y59" s="44"/>
      <c r="Z59" s="44"/>
      <c r="AA59" s="44"/>
    </row>
    <row r="60">
      <c r="A60" s="44"/>
      <c r="B60" s="44"/>
      <c r="C60" s="44"/>
      <c r="D60" s="44"/>
      <c r="E60" s="44"/>
      <c r="F60" s="44"/>
      <c r="G60" s="44"/>
      <c r="H60" s="44" t="s">
        <v>19</v>
      </c>
      <c r="I60" s="44"/>
      <c r="J60" s="45"/>
      <c r="K60" s="44"/>
      <c r="L60" s="44"/>
      <c r="M60" s="44"/>
      <c r="N60" s="44"/>
      <c r="O60" s="44"/>
      <c r="P60" s="44"/>
      <c r="Q60" s="44"/>
      <c r="R60" s="44"/>
      <c r="S60" s="44"/>
      <c r="T60" s="44"/>
      <c r="U60" s="44"/>
      <c r="V60" s="44"/>
      <c r="W60" s="44"/>
      <c r="X60" s="44"/>
      <c r="Y60" s="44"/>
      <c r="Z60" s="44"/>
      <c r="AA60" s="44"/>
    </row>
    <row r="61">
      <c r="A61" s="44"/>
      <c r="B61" s="44"/>
      <c r="C61" s="44"/>
      <c r="D61" s="44"/>
      <c r="E61" s="44"/>
      <c r="F61" s="44"/>
      <c r="G61" s="44"/>
      <c r="H61" s="44" t="s">
        <v>20</v>
      </c>
      <c r="I61" s="44"/>
      <c r="J61" s="45">
        <v>50.0</v>
      </c>
      <c r="K61" s="44"/>
      <c r="L61" s="44"/>
      <c r="M61" s="44"/>
      <c r="N61" s="44"/>
      <c r="O61" s="44"/>
      <c r="P61" s="44"/>
      <c r="Q61" s="44"/>
      <c r="R61" s="44"/>
      <c r="S61" s="44"/>
      <c r="T61" s="44"/>
      <c r="U61" s="44"/>
      <c r="V61" s="44"/>
      <c r="W61" s="44"/>
      <c r="X61" s="44"/>
      <c r="Y61" s="44"/>
      <c r="Z61" s="44"/>
      <c r="AA61" s="44"/>
    </row>
    <row r="62">
      <c r="A62" s="44"/>
      <c r="B62" s="44"/>
      <c r="C62" s="44"/>
      <c r="D62" s="44"/>
      <c r="E62" s="44"/>
      <c r="F62" s="44"/>
      <c r="G62" s="44"/>
      <c r="H62" s="55" t="s">
        <v>48</v>
      </c>
      <c r="I62" s="55"/>
      <c r="J62" s="56">
        <v>600.0</v>
      </c>
      <c r="K62" s="44"/>
      <c r="L62" s="44"/>
      <c r="M62" s="44"/>
      <c r="N62" s="44"/>
      <c r="O62" s="44"/>
      <c r="P62" s="44"/>
      <c r="Q62" s="44"/>
      <c r="R62" s="44"/>
      <c r="S62" s="44"/>
      <c r="T62" s="44"/>
      <c r="U62" s="44"/>
      <c r="V62" s="44"/>
      <c r="W62" s="44"/>
      <c r="X62" s="44"/>
      <c r="Y62" s="44"/>
      <c r="Z62" s="44"/>
      <c r="AA62" s="44"/>
    </row>
    <row r="63">
      <c r="A63" s="44"/>
      <c r="B63" s="44"/>
      <c r="C63" s="44"/>
      <c r="D63" s="44"/>
      <c r="E63" s="44"/>
      <c r="F63" s="44"/>
      <c r="G63" s="44"/>
      <c r="H63" s="44" t="s">
        <v>29</v>
      </c>
      <c r="I63" s="44"/>
      <c r="J63" s="45"/>
      <c r="K63" s="44"/>
      <c r="L63" s="44"/>
      <c r="M63" s="44"/>
      <c r="N63" s="44"/>
      <c r="O63" s="44"/>
      <c r="P63" s="44"/>
      <c r="Q63" s="44"/>
      <c r="R63" s="44"/>
      <c r="S63" s="44"/>
      <c r="T63" s="44"/>
      <c r="U63" s="44"/>
      <c r="V63" s="44"/>
      <c r="W63" s="44"/>
      <c r="X63" s="44"/>
      <c r="Y63" s="44"/>
      <c r="Z63" s="44"/>
      <c r="AA63" s="44"/>
    </row>
    <row r="64">
      <c r="A64" s="44"/>
      <c r="B64" s="44"/>
      <c r="C64" s="44"/>
      <c r="D64" s="44"/>
      <c r="E64" s="44"/>
      <c r="F64" s="44"/>
      <c r="G64" s="44"/>
      <c r="H64" s="44" t="s">
        <v>24</v>
      </c>
      <c r="I64" s="44"/>
      <c r="J64" s="44"/>
      <c r="K64" s="44"/>
      <c r="L64" s="44"/>
      <c r="M64" s="44"/>
      <c r="N64" s="44"/>
      <c r="O64" s="44"/>
      <c r="P64" s="44"/>
      <c r="Q64" s="44"/>
      <c r="R64" s="44"/>
      <c r="S64" s="44"/>
      <c r="T64" s="44"/>
      <c r="U64" s="44"/>
      <c r="V64" s="44"/>
      <c r="W64" s="44"/>
      <c r="X64" s="44"/>
      <c r="Y64" s="44"/>
      <c r="Z64" s="44"/>
      <c r="AA64" s="44"/>
    </row>
    <row r="65">
      <c r="A65" s="44"/>
      <c r="B65" s="44"/>
      <c r="C65" s="44"/>
      <c r="D65" s="44"/>
      <c r="E65" s="44"/>
      <c r="F65" s="44"/>
      <c r="G65" s="44"/>
      <c r="H65" s="44" t="s">
        <v>27</v>
      </c>
      <c r="I65" s="44"/>
      <c r="J65" s="44"/>
      <c r="K65" s="44"/>
      <c r="L65" s="44"/>
      <c r="M65" s="44"/>
      <c r="N65" s="44"/>
      <c r="O65" s="44"/>
      <c r="P65" s="44"/>
      <c r="Q65" s="44"/>
      <c r="R65" s="44"/>
      <c r="S65" s="44"/>
      <c r="T65" s="44"/>
      <c r="U65" s="44"/>
      <c r="V65" s="44"/>
      <c r="W65" s="44"/>
      <c r="X65" s="44"/>
      <c r="Y65" s="44"/>
      <c r="Z65" s="44"/>
      <c r="AA65" s="44"/>
    </row>
    <row r="66">
      <c r="A66" s="44"/>
      <c r="B66" s="44"/>
      <c r="C66" s="44"/>
      <c r="D66" s="44"/>
      <c r="E66" s="44"/>
      <c r="F66" s="44"/>
      <c r="G66" s="44"/>
      <c r="H66" s="44" t="s">
        <v>83</v>
      </c>
      <c r="I66" s="44"/>
      <c r="J66" s="45">
        <v>480.0</v>
      </c>
      <c r="K66" s="44"/>
      <c r="L66" s="44"/>
      <c r="M66" s="44"/>
      <c r="N66" s="44"/>
      <c r="O66" s="44"/>
      <c r="P66" s="44"/>
      <c r="Q66" s="44"/>
      <c r="R66" s="44"/>
      <c r="S66" s="44"/>
      <c r="T66" s="44"/>
      <c r="U66" s="44"/>
      <c r="V66" s="44"/>
      <c r="W66" s="44"/>
      <c r="X66" s="44"/>
      <c r="Y66" s="44"/>
      <c r="Z66" s="44"/>
      <c r="AA66" s="44"/>
    </row>
    <row r="67">
      <c r="A67" s="44"/>
      <c r="B67" s="44"/>
      <c r="C67" s="44"/>
      <c r="D67" s="44"/>
      <c r="E67" s="44"/>
      <c r="F67" s="44"/>
      <c r="G67" s="44"/>
      <c r="H67" s="55" t="s">
        <v>96</v>
      </c>
      <c r="I67" s="55"/>
      <c r="J67" s="56"/>
      <c r="K67" s="44"/>
      <c r="L67" s="44"/>
      <c r="M67" s="44"/>
      <c r="N67" s="44"/>
      <c r="O67" s="44"/>
      <c r="P67" s="44"/>
      <c r="Q67" s="44"/>
      <c r="R67" s="44"/>
      <c r="S67" s="44"/>
      <c r="T67" s="44"/>
      <c r="U67" s="44"/>
      <c r="V67" s="44"/>
      <c r="W67" s="44"/>
      <c r="X67" s="44"/>
      <c r="Y67" s="44"/>
      <c r="Z67" s="44"/>
      <c r="AA67" s="44"/>
    </row>
    <row r="68">
      <c r="A68" s="44"/>
      <c r="B68" s="44"/>
      <c r="C68" s="44"/>
      <c r="D68" s="44"/>
      <c r="E68" s="44"/>
      <c r="F68" s="44"/>
      <c r="G68" s="44"/>
      <c r="H68" s="44" t="s">
        <v>31</v>
      </c>
      <c r="I68" s="44"/>
      <c r="J68" s="45"/>
      <c r="K68" s="44"/>
      <c r="L68" s="44"/>
      <c r="M68" s="44"/>
      <c r="N68" s="44"/>
      <c r="O68" s="44"/>
      <c r="P68" s="44"/>
      <c r="Q68" s="44"/>
      <c r="R68" s="44"/>
      <c r="S68" s="44"/>
      <c r="T68" s="44"/>
      <c r="U68" s="44"/>
      <c r="V68" s="44"/>
      <c r="W68" s="44"/>
      <c r="X68" s="44"/>
      <c r="Y68" s="44"/>
      <c r="Z68" s="44"/>
      <c r="AA68" s="44"/>
    </row>
    <row r="69">
      <c r="A69" s="47" t="s">
        <v>104</v>
      </c>
      <c r="B69" s="48"/>
      <c r="C69" s="59" t="s">
        <v>160</v>
      </c>
      <c r="D69" s="50"/>
      <c r="E69" s="44"/>
      <c r="F69" s="44"/>
      <c r="G69" s="44"/>
      <c r="H69" s="44"/>
      <c r="I69" s="44"/>
      <c r="J69" s="44"/>
      <c r="K69" s="44"/>
      <c r="L69" s="44"/>
      <c r="M69" s="44"/>
      <c r="N69" s="44"/>
      <c r="O69" s="44"/>
      <c r="P69" s="44"/>
      <c r="Q69" s="44"/>
      <c r="R69" s="44"/>
      <c r="S69" s="44"/>
      <c r="T69" s="44"/>
      <c r="U69" s="44"/>
      <c r="V69" s="44"/>
      <c r="W69" s="44"/>
      <c r="X69" s="44"/>
      <c r="Y69" s="44"/>
      <c r="Z69" s="44"/>
      <c r="AA69" s="44"/>
    </row>
    <row r="70">
      <c r="A70" s="44"/>
      <c r="B70" s="44"/>
      <c r="C70" s="56" t="s">
        <v>161</v>
      </c>
      <c r="D70" s="44"/>
      <c r="E70" s="44"/>
      <c r="F70" s="44"/>
      <c r="G70" s="44"/>
      <c r="H70" s="44"/>
      <c r="I70" s="44"/>
      <c r="J70" s="44"/>
      <c r="K70" s="44"/>
      <c r="L70" s="44"/>
      <c r="M70" s="44"/>
      <c r="N70" s="44"/>
      <c r="O70" s="44"/>
      <c r="P70" s="44"/>
      <c r="Q70" s="44"/>
      <c r="R70" s="44"/>
      <c r="S70" s="44"/>
      <c r="T70" s="44"/>
      <c r="U70" s="44"/>
      <c r="V70" s="44"/>
      <c r="W70" s="44"/>
      <c r="X70" s="44"/>
      <c r="Y70" s="44"/>
      <c r="Z70" s="44"/>
      <c r="AA70" s="44"/>
    </row>
    <row r="71">
      <c r="A71" s="44"/>
      <c r="B71" s="44"/>
      <c r="C71" s="56" t="s">
        <v>158</v>
      </c>
      <c r="D71" s="44"/>
      <c r="E71" s="44"/>
      <c r="F71" s="44"/>
      <c r="G71" s="44"/>
      <c r="H71" s="44"/>
      <c r="I71" s="44"/>
      <c r="J71" s="44"/>
      <c r="K71" s="44"/>
      <c r="L71" s="44"/>
      <c r="M71" s="44"/>
      <c r="N71" s="44"/>
      <c r="O71" s="44"/>
      <c r="P71" s="44"/>
      <c r="Q71" s="44"/>
      <c r="R71" s="44"/>
      <c r="S71" s="44"/>
      <c r="T71" s="44"/>
      <c r="U71" s="44"/>
      <c r="V71" s="44"/>
      <c r="W71" s="44"/>
      <c r="X71" s="44"/>
      <c r="Y71" s="44"/>
      <c r="Z71" s="44"/>
      <c r="AA71" s="44"/>
    </row>
    <row r="72">
      <c r="A72" s="62"/>
      <c r="B72" s="44"/>
      <c r="C72" s="44"/>
      <c r="D72" s="45"/>
      <c r="E72" s="52"/>
      <c r="F72" s="44"/>
      <c r="G72" s="53"/>
      <c r="H72" s="44"/>
      <c r="I72" s="44"/>
      <c r="J72" s="45"/>
      <c r="K72" s="44"/>
      <c r="L72" s="44"/>
      <c r="M72" s="44"/>
      <c r="N72" s="44"/>
      <c r="O72" s="44"/>
      <c r="P72" s="44"/>
      <c r="Q72" s="44"/>
      <c r="R72" s="44"/>
      <c r="S72" s="44"/>
      <c r="T72" s="44"/>
      <c r="U72" s="44"/>
      <c r="V72" s="44"/>
      <c r="W72" s="44"/>
      <c r="X72" s="44"/>
      <c r="Y72" s="44"/>
      <c r="Z72" s="44"/>
      <c r="AA72" s="44"/>
    </row>
    <row r="73">
      <c r="A73" s="62"/>
      <c r="B73" s="44"/>
      <c r="C73" s="44"/>
      <c r="D73" s="45"/>
      <c r="E73" s="52"/>
      <c r="F73" s="44"/>
      <c r="G73" s="53"/>
      <c r="H73" s="44"/>
      <c r="I73" s="44"/>
      <c r="J73" s="45"/>
      <c r="K73" s="44"/>
      <c r="L73" s="44"/>
      <c r="M73" s="44"/>
      <c r="N73" s="44"/>
      <c r="O73" s="44"/>
      <c r="P73" s="44"/>
      <c r="Q73" s="44"/>
      <c r="R73" s="44"/>
      <c r="S73" s="44"/>
      <c r="T73" s="44"/>
      <c r="U73" s="44"/>
      <c r="V73" s="44"/>
      <c r="W73" s="44"/>
      <c r="X73" s="44"/>
      <c r="Y73" s="44"/>
      <c r="Z73" s="44"/>
      <c r="AA73" s="44"/>
    </row>
    <row r="74">
      <c r="A74" s="51" t="s">
        <v>162</v>
      </c>
      <c r="B74" s="44"/>
      <c r="C74" s="44" t="s">
        <v>3</v>
      </c>
      <c r="D74" s="45">
        <v>4940.0</v>
      </c>
      <c r="E74" s="52"/>
      <c r="F74" s="44"/>
      <c r="G74" s="53" t="s">
        <v>60</v>
      </c>
      <c r="H74" s="44" t="s">
        <v>4</v>
      </c>
      <c r="I74" s="44"/>
      <c r="J74" s="45">
        <v>100.0</v>
      </c>
      <c r="K74" s="44"/>
      <c r="L74" s="44"/>
      <c r="M74" s="44"/>
      <c r="N74" s="44"/>
      <c r="O74" s="44"/>
      <c r="P74" s="44"/>
      <c r="Q74" s="44"/>
      <c r="R74" s="44"/>
      <c r="S74" s="44"/>
      <c r="T74" s="44"/>
      <c r="U74" s="44"/>
      <c r="V74" s="44"/>
      <c r="W74" s="44"/>
      <c r="X74" s="44"/>
      <c r="Y74" s="44"/>
      <c r="Z74" s="44"/>
      <c r="AA74" s="44"/>
    </row>
    <row r="75">
      <c r="A75" s="44"/>
      <c r="B75" s="44"/>
      <c r="C75" s="44" t="s">
        <v>24</v>
      </c>
      <c r="D75" s="44"/>
      <c r="E75" s="44"/>
      <c r="F75" s="44"/>
      <c r="G75" s="44"/>
      <c r="H75" s="44" t="s">
        <v>6</v>
      </c>
      <c r="I75" s="44"/>
      <c r="J75" s="45">
        <v>170.0</v>
      </c>
      <c r="K75" s="44"/>
      <c r="L75" s="44"/>
      <c r="M75" s="44"/>
      <c r="N75" s="44"/>
      <c r="O75" s="44"/>
      <c r="P75" s="44"/>
      <c r="Q75" s="44"/>
      <c r="R75" s="44"/>
      <c r="S75" s="44"/>
      <c r="T75" s="44"/>
      <c r="U75" s="44"/>
      <c r="V75" s="44"/>
      <c r="W75" s="44"/>
      <c r="X75" s="44"/>
      <c r="Y75" s="44"/>
      <c r="Z75" s="44"/>
      <c r="AA75" s="44"/>
    </row>
    <row r="76">
      <c r="A76" s="54" t="s">
        <v>163</v>
      </c>
      <c r="B76" s="44"/>
      <c r="C76" s="44" t="s">
        <v>26</v>
      </c>
      <c r="D76" s="44"/>
      <c r="E76" s="44"/>
      <c r="F76" s="44"/>
      <c r="G76" s="44"/>
      <c r="H76" s="44" t="s">
        <v>81</v>
      </c>
      <c r="I76" s="44"/>
      <c r="J76" s="45">
        <v>130.0</v>
      </c>
      <c r="K76" s="44"/>
      <c r="L76" s="44"/>
      <c r="M76" s="44"/>
      <c r="N76" s="44"/>
      <c r="O76" s="44"/>
      <c r="P76" s="44"/>
      <c r="Q76" s="44"/>
      <c r="R76" s="44"/>
      <c r="S76" s="44"/>
      <c r="T76" s="44"/>
      <c r="U76" s="44"/>
      <c r="V76" s="44"/>
      <c r="W76" s="44"/>
      <c r="X76" s="44"/>
      <c r="Y76" s="44"/>
      <c r="Z76" s="44"/>
      <c r="AA76" s="44"/>
    </row>
    <row r="77">
      <c r="A77" s="44"/>
      <c r="B77" s="44"/>
      <c r="C77" s="44" t="s">
        <v>27</v>
      </c>
      <c r="D77" s="44"/>
      <c r="E77" s="44"/>
      <c r="F77" s="44"/>
      <c r="G77" s="44"/>
      <c r="H77" s="44" t="s">
        <v>8</v>
      </c>
      <c r="I77" s="44"/>
      <c r="J77" s="45"/>
      <c r="K77" s="44"/>
      <c r="L77" s="44"/>
      <c r="M77" s="44"/>
      <c r="N77" s="44"/>
      <c r="O77" s="44"/>
      <c r="P77" s="44"/>
      <c r="Q77" s="44"/>
      <c r="R77" s="44"/>
      <c r="S77" s="44"/>
      <c r="T77" s="44"/>
      <c r="U77" s="44"/>
      <c r="V77" s="44"/>
      <c r="W77" s="44"/>
      <c r="X77" s="44"/>
      <c r="Y77" s="44"/>
      <c r="Z77" s="44"/>
      <c r="AA77" s="44"/>
    </row>
    <row r="78">
      <c r="A78" s="44"/>
      <c r="B78" s="44"/>
      <c r="C78" s="44" t="s">
        <v>37</v>
      </c>
      <c r="D78" s="44"/>
      <c r="E78" s="44"/>
      <c r="F78" s="44"/>
      <c r="G78" s="44"/>
      <c r="H78" s="7" t="s">
        <v>164</v>
      </c>
      <c r="I78" s="44"/>
      <c r="J78" s="45"/>
      <c r="K78" s="44"/>
      <c r="L78" s="44"/>
      <c r="M78" s="44"/>
      <c r="N78" s="44"/>
      <c r="O78" s="44"/>
      <c r="P78" s="44"/>
      <c r="Q78" s="44"/>
      <c r="R78" s="44"/>
      <c r="S78" s="44"/>
      <c r="T78" s="44"/>
      <c r="U78" s="44"/>
      <c r="V78" s="44"/>
      <c r="W78" s="44"/>
      <c r="X78" s="44"/>
      <c r="Y78" s="44"/>
      <c r="Z78" s="44"/>
      <c r="AA78" s="44"/>
    </row>
    <row r="79">
      <c r="A79" s="44"/>
      <c r="B79" s="44"/>
      <c r="C79" s="44" t="s">
        <v>52</v>
      </c>
      <c r="D79" s="44"/>
      <c r="E79" s="44"/>
      <c r="F79" s="44"/>
      <c r="G79" s="44"/>
      <c r="H79" s="45" t="s">
        <v>26</v>
      </c>
      <c r="I79" s="44"/>
      <c r="J79" s="45">
        <v>120.0</v>
      </c>
      <c r="K79" s="44"/>
      <c r="L79" s="44"/>
      <c r="M79" s="44"/>
      <c r="N79" s="44"/>
      <c r="O79" s="44"/>
      <c r="P79" s="44"/>
      <c r="Q79" s="44"/>
      <c r="R79" s="44"/>
      <c r="S79" s="44"/>
      <c r="T79" s="44"/>
      <c r="U79" s="44"/>
      <c r="V79" s="44"/>
      <c r="W79" s="44"/>
      <c r="X79" s="44"/>
      <c r="Y79" s="44"/>
      <c r="Z79" s="44"/>
      <c r="AA79" s="44"/>
    </row>
    <row r="80">
      <c r="A80" s="44"/>
      <c r="B80" s="44"/>
      <c r="C80" s="44"/>
      <c r="D80" s="44"/>
      <c r="E80" s="44"/>
      <c r="F80" s="44"/>
      <c r="G80" s="44"/>
      <c r="H80" s="45" t="s">
        <v>165</v>
      </c>
      <c r="I80" s="44"/>
      <c r="J80" s="44"/>
      <c r="K80" s="44"/>
      <c r="L80" s="44"/>
      <c r="M80" s="44"/>
      <c r="N80" s="44"/>
      <c r="O80" s="44"/>
      <c r="P80" s="44"/>
      <c r="Q80" s="44"/>
      <c r="R80" s="44"/>
      <c r="S80" s="44"/>
      <c r="T80" s="44"/>
      <c r="U80" s="44"/>
      <c r="V80" s="44"/>
      <c r="W80" s="44"/>
      <c r="X80" s="44"/>
      <c r="Y80" s="44"/>
      <c r="Z80" s="44"/>
      <c r="AA80" s="44"/>
    </row>
    <row r="81">
      <c r="A81" s="44"/>
      <c r="B81" s="52"/>
      <c r="C81" s="52"/>
      <c r="D81" s="52"/>
      <c r="E81" s="52"/>
      <c r="F81" s="44"/>
      <c r="G81" s="44"/>
      <c r="H81" s="44" t="s">
        <v>34</v>
      </c>
      <c r="I81" s="44"/>
      <c r="J81" s="45"/>
      <c r="K81" s="44"/>
      <c r="L81" s="44"/>
      <c r="M81" s="44"/>
      <c r="N81" s="44"/>
      <c r="O81" s="44"/>
      <c r="P81" s="44"/>
      <c r="Q81" s="44"/>
      <c r="R81" s="44"/>
      <c r="S81" s="44"/>
      <c r="T81" s="44"/>
      <c r="U81" s="44"/>
      <c r="V81" s="44"/>
      <c r="W81" s="44"/>
      <c r="X81" s="44"/>
      <c r="Y81" s="44"/>
      <c r="Z81" s="44"/>
      <c r="AA81" s="44"/>
    </row>
    <row r="82">
      <c r="A82" s="44"/>
      <c r="B82" s="44"/>
      <c r="C82" s="44"/>
      <c r="D82" s="44"/>
      <c r="E82" s="44"/>
      <c r="F82" s="44"/>
      <c r="G82" s="44"/>
      <c r="H82" s="45" t="s">
        <v>166</v>
      </c>
      <c r="I82" s="44"/>
      <c r="J82" s="44"/>
      <c r="K82" s="44"/>
      <c r="L82" s="44"/>
      <c r="M82" s="44"/>
      <c r="N82" s="44"/>
      <c r="O82" s="44"/>
      <c r="P82" s="44"/>
      <c r="Q82" s="44"/>
      <c r="R82" s="44"/>
      <c r="S82" s="44"/>
      <c r="T82" s="44"/>
      <c r="U82" s="44"/>
      <c r="V82" s="44"/>
      <c r="W82" s="44"/>
      <c r="X82" s="44"/>
      <c r="Y82" s="44"/>
      <c r="Z82" s="44"/>
      <c r="AA82" s="44"/>
    </row>
    <row r="83">
      <c r="A83" s="44"/>
      <c r="B83" s="44"/>
      <c r="C83" s="44"/>
      <c r="D83" s="44"/>
      <c r="E83" s="44"/>
      <c r="F83" s="44"/>
      <c r="G83" s="44"/>
      <c r="H83" s="44" t="s">
        <v>95</v>
      </c>
      <c r="I83" s="44"/>
      <c r="J83" s="44"/>
      <c r="K83" s="44"/>
      <c r="L83" s="44"/>
      <c r="M83" s="44"/>
      <c r="N83" s="44"/>
      <c r="O83" s="44"/>
      <c r="P83" s="44"/>
      <c r="Q83" s="44"/>
      <c r="R83" s="44"/>
      <c r="S83" s="44"/>
      <c r="T83" s="44"/>
      <c r="U83" s="44"/>
      <c r="V83" s="44"/>
      <c r="W83" s="44"/>
      <c r="X83" s="44"/>
      <c r="Y83" s="44"/>
      <c r="Z83" s="44"/>
      <c r="AA83" s="44"/>
    </row>
    <row r="84">
      <c r="A84" s="44"/>
      <c r="B84" s="44"/>
      <c r="C84" s="44"/>
      <c r="D84" s="44"/>
      <c r="E84" s="44"/>
      <c r="F84" s="44"/>
      <c r="G84" s="44"/>
      <c r="H84" s="44" t="s">
        <v>108</v>
      </c>
      <c r="I84" s="44"/>
      <c r="J84" s="45">
        <v>65.0</v>
      </c>
      <c r="K84" s="44"/>
      <c r="L84" s="44"/>
      <c r="M84" s="44"/>
      <c r="N84" s="44"/>
      <c r="O84" s="44"/>
      <c r="P84" s="44"/>
      <c r="Q84" s="44"/>
      <c r="R84" s="44"/>
      <c r="S84" s="44"/>
      <c r="T84" s="44"/>
      <c r="U84" s="44"/>
      <c r="V84" s="44"/>
      <c r="W84" s="44"/>
      <c r="X84" s="44"/>
      <c r="Y84" s="44"/>
      <c r="Z84" s="44"/>
      <c r="AA84" s="44"/>
    </row>
    <row r="85">
      <c r="A85" s="44"/>
      <c r="B85" s="44"/>
      <c r="C85" s="44"/>
      <c r="D85" s="44"/>
      <c r="E85" s="44"/>
      <c r="F85" s="44"/>
      <c r="G85" s="44"/>
      <c r="H85" s="45" t="s">
        <v>156</v>
      </c>
      <c r="I85" s="44"/>
      <c r="J85" s="45">
        <v>1100.0</v>
      </c>
      <c r="K85" s="44"/>
      <c r="L85" s="44"/>
      <c r="M85" s="44"/>
      <c r="N85" s="44"/>
      <c r="O85" s="44"/>
      <c r="P85" s="44"/>
      <c r="Q85" s="44"/>
      <c r="R85" s="44"/>
      <c r="S85" s="44"/>
      <c r="T85" s="44"/>
      <c r="U85" s="44"/>
      <c r="V85" s="44"/>
      <c r="W85" s="44"/>
      <c r="X85" s="44"/>
      <c r="Y85" s="44"/>
      <c r="Z85" s="44"/>
      <c r="AA85" s="44"/>
    </row>
    <row r="86">
      <c r="A86" s="44"/>
      <c r="B86" s="44"/>
      <c r="C86" s="44"/>
      <c r="D86" s="44"/>
      <c r="E86" s="44"/>
      <c r="F86" s="44"/>
      <c r="G86" s="44"/>
      <c r="H86" s="44" t="s">
        <v>16</v>
      </c>
      <c r="I86" s="44"/>
      <c r="J86" s="45"/>
      <c r="K86" s="44"/>
      <c r="L86" s="44"/>
      <c r="M86" s="44"/>
      <c r="N86" s="44"/>
      <c r="O86" s="44"/>
      <c r="P86" s="44"/>
      <c r="Q86" s="44"/>
      <c r="R86" s="44"/>
      <c r="S86" s="44"/>
      <c r="T86" s="44"/>
      <c r="U86" s="44"/>
      <c r="V86" s="44"/>
      <c r="W86" s="44"/>
      <c r="X86" s="44"/>
      <c r="Y86" s="44"/>
      <c r="Z86" s="44"/>
      <c r="AA86" s="44"/>
    </row>
    <row r="87">
      <c r="A87" s="44"/>
      <c r="B87" s="44"/>
      <c r="C87" s="44"/>
      <c r="D87" s="44"/>
      <c r="E87" s="44"/>
      <c r="F87" s="44"/>
      <c r="G87" s="44"/>
      <c r="H87" s="45" t="s">
        <v>131</v>
      </c>
      <c r="I87" s="44"/>
      <c r="J87" s="45"/>
      <c r="K87" s="44"/>
      <c r="L87" s="44"/>
      <c r="M87" s="44"/>
      <c r="N87" s="44"/>
      <c r="O87" s="44"/>
      <c r="P87" s="44"/>
      <c r="Q87" s="44"/>
      <c r="R87" s="44"/>
      <c r="S87" s="44"/>
      <c r="T87" s="44"/>
      <c r="U87" s="44"/>
      <c r="V87" s="44"/>
      <c r="W87" s="44"/>
      <c r="X87" s="44"/>
      <c r="Y87" s="44"/>
      <c r="Z87" s="44"/>
      <c r="AA87" s="44"/>
    </row>
    <row r="88">
      <c r="A88" s="44"/>
      <c r="B88" s="44"/>
      <c r="C88" s="44"/>
      <c r="D88" s="44"/>
      <c r="E88" s="44"/>
      <c r="F88" s="44"/>
      <c r="G88" s="44"/>
      <c r="H88" s="44" t="s">
        <v>18</v>
      </c>
      <c r="I88" s="44"/>
      <c r="J88" s="45"/>
      <c r="K88" s="44"/>
      <c r="L88" s="44"/>
      <c r="M88" s="44"/>
      <c r="N88" s="44"/>
      <c r="O88" s="44"/>
      <c r="P88" s="44"/>
      <c r="Q88" s="44"/>
      <c r="R88" s="44"/>
      <c r="S88" s="44"/>
      <c r="T88" s="44"/>
      <c r="U88" s="44"/>
      <c r="V88" s="44"/>
      <c r="W88" s="44"/>
      <c r="X88" s="44"/>
      <c r="Y88" s="44"/>
      <c r="Z88" s="44"/>
      <c r="AA88" s="44"/>
    </row>
    <row r="89">
      <c r="A89" s="44"/>
      <c r="B89" s="44"/>
      <c r="C89" s="44"/>
      <c r="D89" s="44"/>
      <c r="E89" s="44"/>
      <c r="F89" s="44"/>
      <c r="G89" s="44"/>
      <c r="H89" s="44" t="s">
        <v>19</v>
      </c>
      <c r="I89" s="44"/>
      <c r="J89" s="45">
        <v>50.0</v>
      </c>
      <c r="K89" s="44"/>
      <c r="L89" s="44"/>
      <c r="M89" s="44"/>
      <c r="N89" s="44"/>
      <c r="O89" s="44"/>
      <c r="P89" s="44"/>
      <c r="Q89" s="44"/>
      <c r="R89" s="44"/>
      <c r="S89" s="44"/>
      <c r="T89" s="44"/>
      <c r="U89" s="44"/>
      <c r="V89" s="44"/>
      <c r="W89" s="44"/>
      <c r="X89" s="44"/>
      <c r="Y89" s="44"/>
      <c r="Z89" s="44"/>
      <c r="AA89" s="44"/>
    </row>
    <row r="90">
      <c r="A90" s="44"/>
      <c r="B90" s="44"/>
      <c r="C90" s="44"/>
      <c r="D90" s="44"/>
      <c r="E90" s="44"/>
      <c r="F90" s="44"/>
      <c r="G90" s="44"/>
      <c r="H90" s="44" t="s">
        <v>20</v>
      </c>
      <c r="I90" s="44"/>
      <c r="J90" s="45"/>
      <c r="K90" s="44"/>
      <c r="L90" s="44"/>
      <c r="M90" s="44"/>
      <c r="N90" s="44"/>
      <c r="O90" s="44"/>
      <c r="P90" s="44"/>
      <c r="Q90" s="44"/>
      <c r="R90" s="44"/>
      <c r="S90" s="44"/>
      <c r="T90" s="44"/>
      <c r="U90" s="44"/>
      <c r="V90" s="44"/>
      <c r="W90" s="44"/>
      <c r="X90" s="44"/>
      <c r="Y90" s="44"/>
      <c r="Z90" s="44"/>
      <c r="AA90" s="44"/>
    </row>
    <row r="91">
      <c r="A91" s="44"/>
      <c r="B91" s="44"/>
      <c r="C91" s="44"/>
      <c r="D91" s="44"/>
      <c r="E91" s="44"/>
      <c r="F91" s="44"/>
      <c r="G91" s="44"/>
      <c r="H91" s="55" t="s">
        <v>48</v>
      </c>
      <c r="I91" s="55"/>
      <c r="J91" s="56">
        <v>600.0</v>
      </c>
      <c r="K91" s="44"/>
      <c r="L91" s="44"/>
      <c r="M91" s="44"/>
      <c r="N91" s="44"/>
      <c r="O91" s="44"/>
      <c r="P91" s="44"/>
      <c r="Q91" s="44"/>
      <c r="R91" s="44"/>
      <c r="S91" s="44"/>
      <c r="T91" s="44"/>
      <c r="U91" s="44"/>
      <c r="V91" s="44"/>
      <c r="W91" s="44"/>
      <c r="X91" s="44"/>
      <c r="Y91" s="44"/>
      <c r="Z91" s="44"/>
      <c r="AA91" s="44"/>
    </row>
    <row r="92">
      <c r="A92" s="44"/>
      <c r="B92" s="44"/>
      <c r="C92" s="44"/>
      <c r="D92" s="44"/>
      <c r="E92" s="44"/>
      <c r="F92" s="44"/>
      <c r="G92" s="44"/>
      <c r="H92" s="45" t="s">
        <v>37</v>
      </c>
      <c r="I92" s="44"/>
      <c r="J92" s="45">
        <v>105.0</v>
      </c>
      <c r="K92" s="44"/>
      <c r="L92" s="44"/>
      <c r="M92" s="44"/>
      <c r="N92" s="44"/>
      <c r="O92" s="44"/>
      <c r="P92" s="44"/>
      <c r="Q92" s="44"/>
      <c r="R92" s="44"/>
      <c r="S92" s="44"/>
      <c r="T92" s="44"/>
      <c r="U92" s="44"/>
      <c r="V92" s="44"/>
      <c r="W92" s="44"/>
      <c r="X92" s="44"/>
      <c r="Y92" s="44"/>
      <c r="Z92" s="44"/>
      <c r="AA92" s="44"/>
    </row>
    <row r="93">
      <c r="A93" s="44"/>
      <c r="B93" s="44"/>
      <c r="C93" s="44"/>
      <c r="D93" s="44"/>
      <c r="E93" s="44"/>
      <c r="F93" s="44"/>
      <c r="G93" s="44"/>
      <c r="H93" s="45" t="s">
        <v>167</v>
      </c>
      <c r="I93" s="44"/>
      <c r="J93" s="45"/>
      <c r="K93" s="44"/>
      <c r="L93" s="44"/>
      <c r="M93" s="44"/>
      <c r="N93" s="44"/>
      <c r="O93" s="44"/>
      <c r="P93" s="44"/>
      <c r="Q93" s="44"/>
      <c r="R93" s="44"/>
      <c r="S93" s="44"/>
      <c r="T93" s="44"/>
      <c r="U93" s="44"/>
      <c r="V93" s="44"/>
      <c r="W93" s="44"/>
      <c r="X93" s="44"/>
      <c r="Y93" s="44"/>
      <c r="Z93" s="44"/>
      <c r="AA93" s="44"/>
    </row>
    <row r="94">
      <c r="A94" s="44"/>
      <c r="B94" s="44"/>
      <c r="C94" s="44"/>
      <c r="D94" s="44"/>
      <c r="E94" s="44"/>
      <c r="F94" s="44"/>
      <c r="G94" s="44"/>
      <c r="H94" s="45" t="s">
        <v>83</v>
      </c>
      <c r="I94" s="44"/>
      <c r="J94" s="45">
        <v>1438.0</v>
      </c>
      <c r="K94" s="44"/>
      <c r="L94" s="44"/>
      <c r="M94" s="44"/>
      <c r="N94" s="44"/>
      <c r="O94" s="44"/>
      <c r="P94" s="44"/>
      <c r="Q94" s="44"/>
      <c r="R94" s="44"/>
      <c r="S94" s="44"/>
      <c r="T94" s="44"/>
      <c r="U94" s="44"/>
      <c r="V94" s="44"/>
      <c r="W94" s="44"/>
      <c r="X94" s="44"/>
      <c r="Y94" s="44"/>
      <c r="Z94" s="44"/>
      <c r="AA94" s="44"/>
    </row>
    <row r="95">
      <c r="A95" s="44"/>
      <c r="B95" s="44"/>
      <c r="C95" s="44"/>
      <c r="D95" s="44"/>
      <c r="E95" s="44"/>
      <c r="F95" s="44"/>
      <c r="G95" s="44"/>
      <c r="H95" s="44" t="s">
        <v>27</v>
      </c>
      <c r="I95" s="44"/>
      <c r="J95" s="44"/>
      <c r="K95" s="44"/>
      <c r="L95" s="44"/>
      <c r="M95" s="44"/>
      <c r="N95" s="44"/>
      <c r="O95" s="44"/>
      <c r="P95" s="44"/>
      <c r="Q95" s="44"/>
      <c r="R95" s="44"/>
      <c r="S95" s="44"/>
      <c r="T95" s="44"/>
      <c r="U95" s="44"/>
      <c r="V95" s="44"/>
      <c r="W95" s="44"/>
      <c r="X95" s="44"/>
      <c r="Y95" s="44"/>
      <c r="Z95" s="44"/>
      <c r="AA95" s="44"/>
    </row>
    <row r="96">
      <c r="A96" s="44"/>
      <c r="B96" s="44"/>
      <c r="C96" s="44"/>
      <c r="D96" s="44"/>
      <c r="E96" s="44"/>
      <c r="F96" s="44"/>
      <c r="G96" s="44"/>
      <c r="H96" s="55" t="s">
        <v>96</v>
      </c>
      <c r="I96" s="55"/>
      <c r="J96" s="56"/>
      <c r="K96" s="44"/>
      <c r="L96" s="44"/>
      <c r="M96" s="44"/>
      <c r="N96" s="44"/>
      <c r="O96" s="44"/>
      <c r="P96" s="44"/>
      <c r="Q96" s="44"/>
      <c r="R96" s="44"/>
      <c r="S96" s="44"/>
      <c r="T96" s="44"/>
      <c r="U96" s="44"/>
      <c r="V96" s="44"/>
      <c r="W96" s="44"/>
      <c r="X96" s="44"/>
      <c r="Y96" s="44"/>
      <c r="Z96" s="44"/>
      <c r="AA96" s="44"/>
    </row>
    <row r="97">
      <c r="A97" s="44"/>
      <c r="B97" s="44"/>
      <c r="C97" s="44"/>
      <c r="D97" s="44"/>
      <c r="E97" s="44"/>
      <c r="F97" s="44"/>
      <c r="G97" s="44"/>
      <c r="H97" s="44" t="s">
        <v>31</v>
      </c>
      <c r="I97" s="44"/>
      <c r="J97" s="45">
        <v>110.0</v>
      </c>
      <c r="K97" s="44"/>
      <c r="L97" s="44"/>
      <c r="M97" s="44"/>
      <c r="N97" s="44"/>
      <c r="O97" s="44"/>
      <c r="P97" s="44"/>
      <c r="Q97" s="44"/>
      <c r="R97" s="44"/>
      <c r="S97" s="44"/>
      <c r="T97" s="44"/>
      <c r="U97" s="44"/>
      <c r="V97" s="44"/>
      <c r="W97" s="44"/>
      <c r="X97" s="44"/>
      <c r="Y97" s="44"/>
      <c r="Z97" s="44"/>
      <c r="AA97" s="44"/>
    </row>
    <row r="98">
      <c r="A98" s="44"/>
      <c r="B98" s="44"/>
      <c r="C98" s="44"/>
      <c r="D98" s="44"/>
      <c r="E98" s="44"/>
      <c r="F98" s="44"/>
      <c r="G98" s="44"/>
      <c r="K98" s="44"/>
      <c r="L98" s="44"/>
      <c r="M98" s="44"/>
      <c r="N98" s="44"/>
      <c r="O98" s="44"/>
      <c r="P98" s="44"/>
      <c r="Q98" s="44"/>
      <c r="R98" s="44"/>
      <c r="S98" s="44"/>
      <c r="T98" s="44"/>
      <c r="U98" s="44"/>
      <c r="V98" s="44"/>
      <c r="W98" s="44"/>
      <c r="X98" s="44"/>
      <c r="Y98" s="44"/>
      <c r="Z98" s="44"/>
      <c r="AA98" s="44"/>
    </row>
    <row r="99">
      <c r="A99" s="44"/>
      <c r="B99" s="44"/>
      <c r="C99" s="44"/>
      <c r="D99" s="44"/>
      <c r="E99" s="44"/>
      <c r="F99" s="44"/>
      <c r="G99" s="44"/>
      <c r="K99" s="44"/>
      <c r="L99" s="44"/>
      <c r="M99" s="44"/>
      <c r="N99" s="44"/>
      <c r="O99" s="44"/>
      <c r="P99" s="44"/>
      <c r="Q99" s="44"/>
      <c r="R99" s="44"/>
      <c r="S99" s="44"/>
      <c r="T99" s="44"/>
      <c r="U99" s="44"/>
      <c r="V99" s="44"/>
      <c r="W99" s="44"/>
      <c r="X99" s="44"/>
      <c r="Y99" s="44"/>
      <c r="Z99" s="44"/>
      <c r="AA99" s="44"/>
    </row>
    <row r="100">
      <c r="A100" s="44"/>
      <c r="B100" s="44"/>
      <c r="C100" s="44"/>
      <c r="D100" s="44"/>
      <c r="E100" s="44"/>
      <c r="F100" s="44"/>
      <c r="G100" s="44"/>
      <c r="K100" s="44"/>
      <c r="L100" s="44"/>
      <c r="M100" s="44"/>
      <c r="N100" s="44"/>
      <c r="O100" s="44"/>
      <c r="P100" s="44"/>
      <c r="Q100" s="44"/>
      <c r="R100" s="44"/>
      <c r="S100" s="44"/>
      <c r="T100" s="44"/>
      <c r="U100" s="44"/>
      <c r="V100" s="44"/>
      <c r="W100" s="44"/>
      <c r="X100" s="44"/>
      <c r="Y100" s="44"/>
      <c r="Z100" s="44"/>
      <c r="AA100" s="44"/>
    </row>
    <row r="101">
      <c r="A101" s="47" t="s">
        <v>109</v>
      </c>
      <c r="B101" s="48"/>
      <c r="C101" s="63" t="s">
        <v>168</v>
      </c>
      <c r="D101" s="50"/>
      <c r="E101" s="44"/>
      <c r="F101" s="44"/>
      <c r="G101" s="44"/>
      <c r="H101" s="44"/>
      <c r="I101" s="44"/>
      <c r="J101" s="44"/>
      <c r="K101" s="44"/>
      <c r="L101" s="44"/>
      <c r="M101" s="44"/>
      <c r="N101" s="44"/>
      <c r="O101" s="44"/>
      <c r="P101" s="44"/>
      <c r="Q101" s="44"/>
      <c r="R101" s="44"/>
      <c r="S101" s="44"/>
      <c r="T101" s="44"/>
      <c r="U101" s="44"/>
      <c r="V101" s="44"/>
      <c r="W101" s="44"/>
      <c r="X101" s="44"/>
      <c r="Y101" s="44"/>
      <c r="Z101" s="44"/>
      <c r="AA101" s="44"/>
    </row>
    <row r="102">
      <c r="A102" s="44"/>
      <c r="B102" s="44"/>
      <c r="C102" s="56" t="s">
        <v>152</v>
      </c>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row>
    <row r="103">
      <c r="A103" s="44"/>
      <c r="B103" s="44"/>
      <c r="C103" s="55" t="s">
        <v>158</v>
      </c>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row>
    <row r="104">
      <c r="A104" s="64"/>
      <c r="B104" s="44"/>
      <c r="C104" s="44"/>
      <c r="D104" s="65"/>
      <c r="E104" s="52"/>
      <c r="F104" s="44"/>
      <c r="G104" s="52"/>
      <c r="H104" s="44"/>
      <c r="I104" s="44"/>
      <c r="J104" s="65"/>
      <c r="K104" s="44"/>
      <c r="L104" s="44"/>
      <c r="M104" s="44"/>
      <c r="N104" s="44"/>
      <c r="O104" s="44"/>
      <c r="P104" s="44"/>
      <c r="Q104" s="44"/>
      <c r="R104" s="44"/>
      <c r="S104" s="44"/>
      <c r="T104" s="44"/>
      <c r="U104" s="44"/>
      <c r="V104" s="44"/>
      <c r="W104" s="44"/>
      <c r="X104" s="44"/>
      <c r="Y104" s="44"/>
      <c r="Z104" s="44"/>
      <c r="AA104" s="44"/>
    </row>
    <row r="105">
      <c r="A105" s="52"/>
      <c r="B105" s="44"/>
      <c r="C105" s="44"/>
      <c r="D105" s="44"/>
      <c r="E105" s="52"/>
      <c r="F105" s="44"/>
      <c r="G105" s="52"/>
      <c r="H105" s="44"/>
      <c r="I105" s="44"/>
      <c r="J105" s="65"/>
      <c r="K105" s="44"/>
      <c r="L105" s="44"/>
      <c r="M105" s="44"/>
      <c r="N105" s="44"/>
      <c r="O105" s="44"/>
      <c r="P105" s="44"/>
      <c r="Q105" s="44"/>
      <c r="R105" s="44"/>
      <c r="S105" s="44"/>
      <c r="T105" s="44"/>
      <c r="U105" s="44"/>
      <c r="V105" s="44"/>
      <c r="W105" s="44"/>
      <c r="X105" s="44"/>
      <c r="Y105" s="44"/>
      <c r="Z105" s="44"/>
      <c r="AA105" s="44"/>
    </row>
    <row r="106">
      <c r="A106" s="51" t="s">
        <v>169</v>
      </c>
      <c r="B106" s="44"/>
      <c r="C106" s="44" t="s">
        <v>3</v>
      </c>
      <c r="D106" s="45">
        <v>2350.0</v>
      </c>
      <c r="E106" s="52"/>
      <c r="F106" s="44"/>
      <c r="G106" s="52" t="s">
        <v>60</v>
      </c>
      <c r="H106" s="44" t="s">
        <v>4</v>
      </c>
      <c r="I106" s="44"/>
      <c r="J106" s="45">
        <v>45.0</v>
      </c>
      <c r="K106" s="44"/>
      <c r="L106" s="44"/>
      <c r="M106" s="44"/>
      <c r="N106" s="44"/>
      <c r="O106" s="44"/>
      <c r="P106" s="44"/>
      <c r="Q106" s="44"/>
      <c r="R106" s="44"/>
      <c r="S106" s="44"/>
      <c r="T106" s="44"/>
      <c r="U106" s="44"/>
      <c r="V106" s="44"/>
      <c r="W106" s="44"/>
      <c r="X106" s="44"/>
      <c r="Y106" s="44"/>
      <c r="Z106" s="44"/>
      <c r="AA106" s="44"/>
    </row>
    <row r="107">
      <c r="A107" s="44"/>
      <c r="B107" s="44"/>
      <c r="C107" s="44" t="s">
        <v>24</v>
      </c>
      <c r="D107" s="44"/>
      <c r="E107" s="44"/>
      <c r="F107" s="44"/>
      <c r="G107" s="44"/>
      <c r="H107" s="66" t="s">
        <v>25</v>
      </c>
      <c r="I107" s="44"/>
      <c r="J107" s="65"/>
      <c r="K107" s="44"/>
      <c r="L107" s="44"/>
      <c r="M107" s="44"/>
      <c r="N107" s="44"/>
      <c r="O107" s="44"/>
      <c r="P107" s="44"/>
      <c r="Q107" s="44"/>
      <c r="R107" s="44"/>
      <c r="S107" s="44"/>
      <c r="T107" s="44"/>
      <c r="U107" s="44"/>
      <c r="V107" s="44"/>
      <c r="W107" s="44"/>
      <c r="X107" s="44"/>
      <c r="Y107" s="44"/>
      <c r="Z107" s="44"/>
      <c r="AA107" s="44"/>
    </row>
    <row r="108">
      <c r="A108" s="54" t="s">
        <v>170</v>
      </c>
      <c r="B108" s="44"/>
      <c r="C108" s="44" t="s">
        <v>26</v>
      </c>
      <c r="D108" s="44"/>
      <c r="E108" s="44"/>
      <c r="F108" s="44"/>
      <c r="G108" s="44"/>
      <c r="H108" s="44" t="s">
        <v>6</v>
      </c>
      <c r="I108" s="44"/>
      <c r="J108" s="45">
        <v>50.0</v>
      </c>
      <c r="K108" s="44"/>
      <c r="L108" s="44"/>
      <c r="M108" s="44"/>
      <c r="N108" s="44"/>
      <c r="O108" s="44"/>
      <c r="P108" s="44"/>
      <c r="Q108" s="44"/>
      <c r="R108" s="44"/>
      <c r="S108" s="44"/>
      <c r="T108" s="44"/>
      <c r="U108" s="44"/>
      <c r="V108" s="44"/>
      <c r="W108" s="44"/>
      <c r="X108" s="44"/>
      <c r="Y108" s="44"/>
      <c r="Z108" s="44"/>
      <c r="AA108" s="44"/>
    </row>
    <row r="109">
      <c r="A109" s="44"/>
      <c r="B109" s="44"/>
      <c r="C109" s="44" t="s">
        <v>27</v>
      </c>
      <c r="D109" s="44"/>
      <c r="E109" s="44"/>
      <c r="F109" s="44"/>
      <c r="G109" s="44"/>
      <c r="H109" s="44" t="s">
        <v>81</v>
      </c>
      <c r="I109" s="44"/>
      <c r="J109" s="45">
        <v>300.0</v>
      </c>
      <c r="K109" s="44"/>
      <c r="L109" s="44"/>
      <c r="M109" s="44"/>
      <c r="N109" s="44"/>
      <c r="O109" s="44"/>
      <c r="P109" s="44"/>
      <c r="Q109" s="44"/>
      <c r="R109" s="44"/>
      <c r="S109" s="44"/>
      <c r="T109" s="44"/>
      <c r="U109" s="44"/>
      <c r="V109" s="44"/>
      <c r="W109" s="44"/>
      <c r="X109" s="44"/>
      <c r="Y109" s="44"/>
      <c r="Z109" s="44"/>
      <c r="AA109" s="44"/>
    </row>
    <row r="110">
      <c r="A110" s="44"/>
      <c r="B110" s="44"/>
      <c r="C110" s="44" t="s">
        <v>37</v>
      </c>
      <c r="D110" s="44"/>
      <c r="E110" s="44"/>
      <c r="F110" s="44"/>
      <c r="G110" s="44"/>
      <c r="H110" s="66" t="s">
        <v>8</v>
      </c>
      <c r="I110" s="44"/>
      <c r="J110" s="44"/>
      <c r="K110" s="44"/>
      <c r="L110" s="44"/>
      <c r="M110" s="44"/>
      <c r="N110" s="44"/>
      <c r="O110" s="44"/>
      <c r="P110" s="44"/>
      <c r="Q110" s="44"/>
      <c r="R110" s="44"/>
      <c r="S110" s="44"/>
      <c r="T110" s="44"/>
      <c r="U110" s="44"/>
      <c r="V110" s="44"/>
      <c r="W110" s="44"/>
      <c r="X110" s="44"/>
      <c r="Y110" s="44"/>
      <c r="Z110" s="44"/>
      <c r="AA110" s="44"/>
    </row>
    <row r="111">
      <c r="A111" s="44"/>
      <c r="B111" s="44"/>
      <c r="C111" s="44" t="s">
        <v>52</v>
      </c>
      <c r="D111" s="44"/>
      <c r="E111" s="44"/>
      <c r="F111" s="44"/>
      <c r="G111" s="44"/>
      <c r="H111" s="66" t="s">
        <v>94</v>
      </c>
      <c r="I111" s="44"/>
      <c r="J111" s="65"/>
      <c r="K111" s="44"/>
      <c r="L111" s="44"/>
      <c r="M111" s="44"/>
      <c r="N111" s="44"/>
      <c r="O111" s="44"/>
      <c r="P111" s="44"/>
      <c r="Q111" s="44"/>
      <c r="R111" s="44"/>
      <c r="S111" s="44"/>
      <c r="T111" s="44"/>
      <c r="U111" s="44"/>
      <c r="V111" s="44"/>
      <c r="W111" s="44"/>
      <c r="X111" s="44"/>
      <c r="Y111" s="44"/>
      <c r="Z111" s="44"/>
      <c r="AA111" s="44"/>
    </row>
    <row r="112">
      <c r="A112" s="44"/>
      <c r="B112" s="44"/>
      <c r="C112" s="44"/>
      <c r="D112" s="44"/>
      <c r="E112" s="44"/>
      <c r="F112" s="44"/>
      <c r="G112" s="44"/>
      <c r="H112" s="44" t="s">
        <v>10</v>
      </c>
      <c r="I112" s="44"/>
      <c r="J112" s="44"/>
      <c r="K112" s="44"/>
      <c r="L112" s="44"/>
      <c r="M112" s="44"/>
      <c r="N112" s="44"/>
      <c r="O112" s="44"/>
      <c r="P112" s="44"/>
      <c r="Q112" s="44"/>
      <c r="R112" s="44"/>
      <c r="S112" s="44"/>
      <c r="T112" s="44"/>
      <c r="U112" s="44"/>
      <c r="V112" s="44"/>
      <c r="W112" s="44"/>
      <c r="X112" s="44"/>
      <c r="Y112" s="44"/>
      <c r="Z112" s="44"/>
      <c r="AA112" s="44"/>
    </row>
    <row r="113">
      <c r="A113" s="44"/>
      <c r="B113" s="52"/>
      <c r="C113" s="52"/>
      <c r="D113" s="52"/>
      <c r="E113" s="52"/>
      <c r="F113" s="44"/>
      <c r="G113" s="44"/>
      <c r="H113" s="44" t="s">
        <v>34</v>
      </c>
      <c r="I113" s="44"/>
      <c r="J113" s="44"/>
      <c r="K113" s="44"/>
      <c r="L113" s="44"/>
      <c r="M113" s="44"/>
      <c r="N113" s="44"/>
      <c r="O113" s="44"/>
      <c r="P113" s="44"/>
      <c r="Q113" s="44"/>
      <c r="R113" s="44"/>
      <c r="S113" s="44"/>
      <c r="T113" s="44"/>
      <c r="U113" s="44"/>
      <c r="V113" s="44"/>
      <c r="W113" s="44"/>
      <c r="X113" s="44"/>
      <c r="Y113" s="44"/>
      <c r="Z113" s="44"/>
      <c r="AA113" s="44"/>
    </row>
    <row r="114">
      <c r="A114" s="44"/>
      <c r="B114" s="44"/>
      <c r="C114" s="44"/>
      <c r="D114" s="44"/>
      <c r="E114" s="44"/>
      <c r="F114" s="44"/>
      <c r="G114" s="44"/>
      <c r="H114" s="66" t="s">
        <v>28</v>
      </c>
      <c r="I114" s="44"/>
      <c r="J114" s="44"/>
      <c r="K114" s="44"/>
      <c r="L114" s="44"/>
      <c r="M114" s="44"/>
      <c r="N114" s="44"/>
      <c r="O114" s="44"/>
      <c r="P114" s="44"/>
      <c r="Q114" s="44"/>
      <c r="R114" s="44"/>
      <c r="S114" s="44"/>
      <c r="T114" s="44"/>
      <c r="U114" s="44"/>
      <c r="V114" s="44"/>
      <c r="W114" s="44"/>
      <c r="X114" s="44"/>
      <c r="Y114" s="44"/>
      <c r="Z114" s="44"/>
      <c r="AA114" s="44"/>
    </row>
    <row r="115">
      <c r="A115" s="44"/>
      <c r="B115" s="44"/>
      <c r="C115" s="44"/>
      <c r="D115" s="44"/>
      <c r="E115" s="44"/>
      <c r="F115" s="44"/>
      <c r="G115" s="44"/>
      <c r="H115" s="44" t="s">
        <v>11</v>
      </c>
      <c r="I115" s="44"/>
      <c r="J115" s="65"/>
      <c r="K115" s="44"/>
      <c r="L115" s="44"/>
      <c r="M115" s="44"/>
      <c r="N115" s="44"/>
      <c r="O115" s="44"/>
      <c r="P115" s="44"/>
      <c r="Q115" s="44"/>
      <c r="R115" s="44"/>
      <c r="S115" s="44"/>
      <c r="T115" s="44"/>
      <c r="U115" s="44"/>
      <c r="V115" s="44"/>
      <c r="W115" s="44"/>
      <c r="X115" s="44"/>
      <c r="Y115" s="44"/>
      <c r="Z115" s="44"/>
      <c r="AA115" s="44"/>
    </row>
    <row r="116">
      <c r="A116" s="44"/>
      <c r="B116" s="44"/>
      <c r="C116" s="44"/>
      <c r="D116" s="44"/>
      <c r="E116" s="44"/>
      <c r="F116" s="44"/>
      <c r="G116" s="44"/>
      <c r="H116" s="44" t="s">
        <v>12</v>
      </c>
      <c r="I116" s="44"/>
      <c r="J116" s="65"/>
      <c r="K116" s="44"/>
      <c r="L116" s="44"/>
      <c r="M116" s="44"/>
      <c r="N116" s="44"/>
      <c r="O116" s="44"/>
      <c r="P116" s="44"/>
      <c r="Q116" s="44"/>
      <c r="R116" s="44"/>
      <c r="S116" s="44"/>
      <c r="T116" s="44"/>
      <c r="U116" s="44"/>
      <c r="V116" s="44"/>
      <c r="W116" s="44"/>
      <c r="X116" s="44"/>
      <c r="Y116" s="44"/>
      <c r="Z116" s="44"/>
      <c r="AA116" s="44"/>
    </row>
    <row r="117">
      <c r="A117" s="44"/>
      <c r="B117" s="44"/>
      <c r="C117" s="44"/>
      <c r="D117" s="44"/>
      <c r="E117" s="44"/>
      <c r="F117" s="44"/>
      <c r="G117" s="44"/>
      <c r="H117" s="44" t="s">
        <v>95</v>
      </c>
      <c r="I117" s="44"/>
      <c r="J117" s="45">
        <v>2250.0</v>
      </c>
      <c r="K117" s="44"/>
      <c r="L117" s="44"/>
      <c r="M117" s="44"/>
      <c r="N117" s="44"/>
      <c r="O117" s="44"/>
      <c r="P117" s="44"/>
      <c r="Q117" s="44"/>
      <c r="R117" s="44"/>
      <c r="S117" s="44"/>
      <c r="T117" s="44"/>
      <c r="U117" s="44"/>
      <c r="V117" s="44"/>
      <c r="W117" s="44"/>
      <c r="X117" s="44"/>
      <c r="Y117" s="44"/>
      <c r="Z117" s="44"/>
      <c r="AA117" s="44"/>
    </row>
    <row r="118">
      <c r="A118" s="44"/>
      <c r="B118" s="44"/>
      <c r="C118" s="44"/>
      <c r="D118" s="44"/>
      <c r="E118" s="44"/>
      <c r="F118" s="44"/>
      <c r="G118" s="44"/>
      <c r="H118" s="44" t="s">
        <v>14</v>
      </c>
      <c r="I118" s="44"/>
      <c r="J118" s="44"/>
      <c r="K118" s="44"/>
      <c r="L118" s="44"/>
      <c r="M118" s="44"/>
      <c r="N118" s="44"/>
      <c r="O118" s="44"/>
      <c r="P118" s="44"/>
      <c r="Q118" s="44"/>
      <c r="R118" s="44"/>
      <c r="S118" s="44"/>
      <c r="T118" s="44"/>
      <c r="U118" s="44"/>
      <c r="V118" s="44"/>
      <c r="W118" s="44"/>
      <c r="X118" s="44"/>
      <c r="Y118" s="44"/>
      <c r="Z118" s="44"/>
      <c r="AA118" s="44"/>
    </row>
    <row r="119">
      <c r="A119" s="44"/>
      <c r="B119" s="44"/>
      <c r="C119" s="44"/>
      <c r="D119" s="44"/>
      <c r="E119" s="44"/>
      <c r="F119" s="44"/>
      <c r="G119" s="44"/>
      <c r="H119" s="44" t="s">
        <v>108</v>
      </c>
      <c r="I119" s="44"/>
      <c r="J119" s="44"/>
      <c r="K119" s="44"/>
      <c r="L119" s="44"/>
      <c r="M119" s="44"/>
      <c r="N119" s="44"/>
      <c r="O119" s="44"/>
      <c r="P119" s="44"/>
      <c r="Q119" s="44"/>
      <c r="R119" s="44"/>
      <c r="S119" s="44"/>
      <c r="T119" s="44"/>
      <c r="U119" s="44"/>
      <c r="V119" s="44"/>
      <c r="W119" s="44"/>
      <c r="X119" s="44"/>
      <c r="Y119" s="44"/>
      <c r="Z119" s="44"/>
      <c r="AA119" s="44"/>
    </row>
    <row r="120">
      <c r="A120" s="44"/>
      <c r="B120" s="44"/>
      <c r="C120" s="44"/>
      <c r="D120" s="44"/>
      <c r="E120" s="44"/>
      <c r="F120" s="44"/>
      <c r="G120" s="44"/>
      <c r="H120" s="65" t="s">
        <v>156</v>
      </c>
      <c r="I120" s="44"/>
      <c r="J120" s="45">
        <v>1100.0</v>
      </c>
      <c r="K120" s="44"/>
      <c r="L120" s="44"/>
      <c r="M120" s="44"/>
      <c r="N120" s="44"/>
      <c r="O120" s="44"/>
      <c r="P120" s="44"/>
      <c r="Q120" s="44"/>
      <c r="R120" s="44"/>
      <c r="S120" s="44"/>
      <c r="T120" s="44"/>
      <c r="U120" s="44"/>
      <c r="V120" s="44"/>
      <c r="W120" s="44"/>
      <c r="X120" s="44"/>
      <c r="Y120" s="44"/>
      <c r="Z120" s="44"/>
      <c r="AA120" s="44"/>
    </row>
    <row r="121">
      <c r="A121" s="44"/>
      <c r="B121" s="44"/>
      <c r="C121" s="44"/>
      <c r="D121" s="44"/>
      <c r="E121" s="44"/>
      <c r="F121" s="44"/>
      <c r="G121" s="44"/>
      <c r="H121" s="66" t="s">
        <v>16</v>
      </c>
      <c r="I121" s="44"/>
      <c r="J121" s="44"/>
      <c r="K121" s="44"/>
      <c r="L121" s="44"/>
      <c r="M121" s="44"/>
      <c r="N121" s="44"/>
      <c r="O121" s="44"/>
      <c r="P121" s="44"/>
      <c r="Q121" s="44"/>
      <c r="R121" s="44"/>
      <c r="S121" s="44"/>
      <c r="T121" s="44"/>
      <c r="U121" s="44"/>
      <c r="V121" s="44"/>
      <c r="W121" s="44"/>
      <c r="X121" s="44"/>
      <c r="Y121" s="44"/>
      <c r="Z121" s="44"/>
      <c r="AA121" s="44"/>
    </row>
    <row r="122">
      <c r="A122" s="44"/>
      <c r="B122" s="44"/>
      <c r="C122" s="44"/>
      <c r="D122" s="44"/>
      <c r="E122" s="44"/>
      <c r="F122" s="44"/>
      <c r="G122" s="44"/>
      <c r="H122" s="44" t="s">
        <v>131</v>
      </c>
      <c r="I122" s="44"/>
      <c r="J122" s="65"/>
      <c r="K122" s="44"/>
      <c r="L122" s="44"/>
      <c r="M122" s="44"/>
      <c r="N122" s="44"/>
      <c r="O122" s="44"/>
      <c r="P122" s="44"/>
      <c r="Q122" s="44"/>
      <c r="R122" s="44"/>
      <c r="S122" s="44"/>
      <c r="T122" s="44"/>
      <c r="U122" s="44"/>
      <c r="V122" s="44"/>
      <c r="W122" s="44"/>
      <c r="X122" s="44"/>
      <c r="Y122" s="44"/>
      <c r="Z122" s="44"/>
      <c r="AA122" s="44"/>
    </row>
    <row r="123">
      <c r="A123" s="44"/>
      <c r="B123" s="44"/>
      <c r="C123" s="44"/>
      <c r="D123" s="44"/>
      <c r="E123" s="44"/>
      <c r="F123" s="44"/>
      <c r="G123" s="44"/>
      <c r="H123" s="44" t="s">
        <v>18</v>
      </c>
      <c r="I123" s="44"/>
      <c r="J123" s="65"/>
      <c r="K123" s="44"/>
      <c r="L123" s="44"/>
      <c r="M123" s="44"/>
      <c r="N123" s="44"/>
      <c r="O123" s="44"/>
      <c r="P123" s="44"/>
      <c r="Q123" s="44"/>
      <c r="R123" s="44"/>
      <c r="S123" s="44"/>
      <c r="T123" s="44"/>
      <c r="U123" s="44"/>
      <c r="V123" s="44"/>
      <c r="W123" s="44"/>
      <c r="X123" s="44"/>
      <c r="Y123" s="44"/>
      <c r="Z123" s="44"/>
      <c r="AA123" s="44"/>
    </row>
    <row r="124">
      <c r="A124" s="44"/>
      <c r="B124" s="44"/>
      <c r="C124" s="44"/>
      <c r="D124" s="44"/>
      <c r="E124" s="44"/>
      <c r="F124" s="44"/>
      <c r="G124" s="44"/>
      <c r="H124" s="66" t="s">
        <v>19</v>
      </c>
      <c r="I124" s="44"/>
      <c r="J124" s="65"/>
      <c r="K124" s="44"/>
      <c r="L124" s="44"/>
      <c r="M124" s="44"/>
      <c r="N124" s="44"/>
      <c r="O124" s="44"/>
      <c r="P124" s="44"/>
      <c r="Q124" s="44"/>
      <c r="R124" s="44"/>
      <c r="S124" s="44"/>
      <c r="T124" s="44"/>
      <c r="U124" s="44"/>
      <c r="V124" s="44"/>
      <c r="W124" s="44"/>
      <c r="X124" s="44"/>
      <c r="Y124" s="44"/>
      <c r="Z124" s="44"/>
      <c r="AA124" s="44"/>
    </row>
    <row r="125">
      <c r="A125" s="44"/>
      <c r="B125" s="44"/>
      <c r="C125" s="44"/>
      <c r="D125" s="44"/>
      <c r="E125" s="44"/>
      <c r="F125" s="44"/>
      <c r="G125" s="44"/>
      <c r="H125" s="44" t="s">
        <v>20</v>
      </c>
      <c r="I125" s="44"/>
      <c r="J125" s="45">
        <v>50.0</v>
      </c>
      <c r="K125" s="44"/>
      <c r="L125" s="44"/>
      <c r="M125" s="44"/>
      <c r="N125" s="44"/>
      <c r="O125" s="44"/>
      <c r="P125" s="44"/>
      <c r="Q125" s="44"/>
      <c r="R125" s="44"/>
      <c r="S125" s="44"/>
      <c r="T125" s="44"/>
      <c r="U125" s="44"/>
      <c r="V125" s="44"/>
      <c r="W125" s="44"/>
      <c r="X125" s="44"/>
      <c r="Y125" s="44"/>
      <c r="Z125" s="44"/>
      <c r="AA125" s="44"/>
    </row>
    <row r="126">
      <c r="A126" s="44"/>
      <c r="B126" s="44"/>
      <c r="C126" s="44"/>
      <c r="D126" s="44"/>
      <c r="E126" s="44"/>
      <c r="F126" s="44"/>
      <c r="G126" s="44"/>
      <c r="H126" s="55" t="s">
        <v>48</v>
      </c>
      <c r="I126" s="55"/>
      <c r="J126" s="56">
        <v>600.0</v>
      </c>
      <c r="K126" s="44"/>
      <c r="L126" s="44"/>
      <c r="M126" s="44"/>
      <c r="N126" s="44"/>
      <c r="O126" s="44"/>
      <c r="P126" s="44"/>
      <c r="Q126" s="44"/>
      <c r="R126" s="44"/>
      <c r="S126" s="44"/>
      <c r="T126" s="44"/>
      <c r="U126" s="44"/>
      <c r="V126" s="44"/>
      <c r="W126" s="44"/>
      <c r="X126" s="44"/>
      <c r="Y126" s="44"/>
      <c r="Z126" s="44"/>
      <c r="AA126" s="44"/>
    </row>
    <row r="127">
      <c r="A127" s="44"/>
      <c r="B127" s="44"/>
      <c r="C127" s="44"/>
      <c r="D127" s="44"/>
      <c r="E127" s="44"/>
      <c r="F127" s="44"/>
      <c r="G127" s="44"/>
      <c r="H127" s="66" t="s">
        <v>29</v>
      </c>
      <c r="I127" s="44"/>
      <c r="J127" s="44"/>
      <c r="K127" s="44"/>
      <c r="L127" s="44"/>
      <c r="M127" s="44"/>
      <c r="N127" s="44"/>
      <c r="O127" s="44"/>
      <c r="P127" s="44"/>
      <c r="Q127" s="44"/>
      <c r="R127" s="44"/>
      <c r="S127" s="44"/>
      <c r="T127" s="44"/>
      <c r="U127" s="44"/>
      <c r="V127" s="44"/>
      <c r="W127" s="44"/>
      <c r="X127" s="44"/>
      <c r="Y127" s="44"/>
      <c r="Z127" s="44"/>
      <c r="AA127" s="44"/>
    </row>
    <row r="128">
      <c r="A128" s="44"/>
      <c r="B128" s="44"/>
      <c r="C128" s="44"/>
      <c r="D128" s="44"/>
      <c r="E128" s="44"/>
      <c r="F128" s="44"/>
      <c r="G128" s="44"/>
      <c r="H128" s="44" t="s">
        <v>24</v>
      </c>
      <c r="I128" s="44"/>
      <c r="J128" s="65"/>
      <c r="K128" s="44"/>
      <c r="L128" s="44"/>
      <c r="M128" s="44"/>
      <c r="N128" s="44"/>
      <c r="O128" s="44"/>
      <c r="P128" s="44"/>
      <c r="Q128" s="44"/>
      <c r="R128" s="44"/>
      <c r="S128" s="44"/>
      <c r="T128" s="44"/>
      <c r="U128" s="44"/>
      <c r="V128" s="44"/>
      <c r="W128" s="44"/>
      <c r="X128" s="44"/>
      <c r="Y128" s="44"/>
      <c r="Z128" s="44"/>
      <c r="AA128" s="44"/>
    </row>
    <row r="129">
      <c r="A129" s="44"/>
      <c r="B129" s="44"/>
      <c r="C129" s="44"/>
      <c r="D129" s="44"/>
      <c r="E129" s="44"/>
      <c r="F129" s="44"/>
      <c r="G129" s="44"/>
      <c r="H129" s="44" t="s">
        <v>27</v>
      </c>
      <c r="I129" s="44"/>
      <c r="J129" s="65"/>
      <c r="K129" s="44"/>
      <c r="L129" s="44"/>
      <c r="M129" s="44"/>
      <c r="N129" s="44"/>
      <c r="O129" s="44"/>
      <c r="P129" s="44"/>
      <c r="Q129" s="44"/>
      <c r="R129" s="44"/>
      <c r="S129" s="44"/>
      <c r="T129" s="44"/>
      <c r="U129" s="44"/>
      <c r="V129" s="44"/>
      <c r="W129" s="44"/>
      <c r="X129" s="44"/>
      <c r="Y129" s="44"/>
      <c r="Z129" s="44"/>
      <c r="AA129" s="44"/>
    </row>
    <row r="130">
      <c r="A130" s="44"/>
      <c r="B130" s="44"/>
      <c r="C130" s="44"/>
      <c r="D130" s="44"/>
      <c r="E130" s="44"/>
      <c r="F130" s="44"/>
      <c r="G130" s="44"/>
      <c r="H130" s="66" t="s">
        <v>83</v>
      </c>
      <c r="I130" s="44"/>
      <c r="J130" s="65"/>
      <c r="K130" s="44"/>
      <c r="L130" s="44"/>
      <c r="M130" s="44"/>
      <c r="N130" s="44"/>
      <c r="O130" s="44"/>
      <c r="P130" s="44"/>
      <c r="Q130" s="44"/>
      <c r="R130" s="44"/>
      <c r="S130" s="44"/>
      <c r="T130" s="44"/>
      <c r="U130" s="44"/>
      <c r="V130" s="44"/>
      <c r="W130" s="44"/>
      <c r="X130" s="44"/>
      <c r="Y130" s="44"/>
      <c r="Z130" s="44"/>
      <c r="AA130" s="44"/>
    </row>
    <row r="131">
      <c r="A131" s="44"/>
      <c r="B131" s="44"/>
      <c r="C131" s="44"/>
      <c r="D131" s="44"/>
      <c r="E131" s="44"/>
      <c r="F131" s="44"/>
      <c r="G131" s="44"/>
      <c r="H131" s="67" t="s">
        <v>96</v>
      </c>
      <c r="I131" s="55"/>
      <c r="J131" s="55"/>
      <c r="K131" s="44"/>
      <c r="L131" s="44"/>
      <c r="M131" s="44"/>
      <c r="N131" s="44"/>
      <c r="O131" s="44"/>
      <c r="P131" s="44"/>
      <c r="Q131" s="44"/>
      <c r="R131" s="44"/>
      <c r="S131" s="44"/>
      <c r="T131" s="44"/>
      <c r="U131" s="44"/>
      <c r="V131" s="44"/>
      <c r="W131" s="44"/>
      <c r="X131" s="44"/>
      <c r="Y131" s="44"/>
      <c r="Z131" s="44"/>
      <c r="AA131" s="44"/>
    </row>
    <row r="132">
      <c r="A132" s="65"/>
      <c r="B132" s="44"/>
      <c r="C132" s="65"/>
      <c r="D132" s="65"/>
      <c r="E132" s="44"/>
      <c r="F132" s="44"/>
      <c r="G132" s="44"/>
      <c r="H132" s="44" t="s">
        <v>31</v>
      </c>
      <c r="I132" s="44"/>
      <c r="J132" s="44"/>
      <c r="K132" s="44"/>
      <c r="L132" s="44"/>
      <c r="M132" s="44"/>
      <c r="N132" s="44"/>
      <c r="O132" s="44"/>
      <c r="P132" s="44"/>
      <c r="Q132" s="44"/>
      <c r="R132" s="44"/>
      <c r="S132" s="44"/>
      <c r="T132" s="44"/>
      <c r="U132" s="44"/>
      <c r="V132" s="44"/>
      <c r="W132" s="44"/>
      <c r="X132" s="44"/>
      <c r="Y132" s="44"/>
      <c r="Z132" s="44"/>
      <c r="AA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row>
    <row r="135">
      <c r="A135" s="47" t="s">
        <v>113</v>
      </c>
      <c r="B135" s="48"/>
      <c r="C135" s="68" t="s">
        <v>171</v>
      </c>
      <c r="D135" s="50"/>
      <c r="E135" s="44"/>
      <c r="F135" s="44"/>
      <c r="G135" s="44"/>
      <c r="H135" s="44"/>
      <c r="I135" s="44"/>
      <c r="J135" s="44"/>
      <c r="K135" s="44"/>
      <c r="L135" s="44"/>
      <c r="M135" s="44"/>
      <c r="N135" s="44"/>
      <c r="O135" s="44"/>
      <c r="P135" s="44"/>
      <c r="Q135" s="44"/>
      <c r="R135" s="44"/>
      <c r="S135" s="44"/>
      <c r="T135" s="44"/>
      <c r="U135" s="44"/>
      <c r="V135" s="44"/>
      <c r="W135" s="44"/>
      <c r="X135" s="44"/>
      <c r="Y135" s="44"/>
      <c r="Z135" s="44"/>
      <c r="AA135" s="44"/>
    </row>
    <row r="136">
      <c r="A136" s="44"/>
      <c r="B136" s="44"/>
      <c r="C136" s="56" t="s">
        <v>152</v>
      </c>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row>
    <row r="137">
      <c r="A137" s="44"/>
      <c r="B137" s="44"/>
      <c r="C137" s="55" t="s">
        <v>158</v>
      </c>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row>
    <row r="138">
      <c r="A138" s="64"/>
      <c r="B138" s="44"/>
      <c r="C138" s="44"/>
      <c r="D138" s="65"/>
      <c r="E138" s="52"/>
      <c r="F138" s="44"/>
      <c r="G138" s="52"/>
      <c r="H138" s="44"/>
      <c r="I138" s="44"/>
      <c r="J138" s="65"/>
      <c r="K138" s="44"/>
      <c r="L138" s="44"/>
      <c r="M138" s="44"/>
      <c r="N138" s="44"/>
      <c r="O138" s="44"/>
      <c r="P138" s="44"/>
      <c r="Q138" s="44"/>
      <c r="R138" s="44"/>
      <c r="S138" s="44"/>
      <c r="T138" s="44"/>
      <c r="U138" s="44"/>
      <c r="V138" s="44"/>
      <c r="W138" s="44"/>
      <c r="X138" s="44"/>
      <c r="Y138" s="44"/>
      <c r="Z138" s="44"/>
      <c r="AA138" s="44"/>
    </row>
    <row r="139">
      <c r="A139" s="52"/>
      <c r="B139" s="44"/>
      <c r="C139" s="44"/>
      <c r="D139" s="44"/>
      <c r="E139" s="52"/>
      <c r="F139" s="44"/>
      <c r="G139" s="52"/>
      <c r="H139" s="44"/>
      <c r="I139" s="44"/>
      <c r="J139" s="65"/>
      <c r="K139" s="44"/>
      <c r="L139" s="44"/>
      <c r="M139" s="44"/>
      <c r="N139" s="44"/>
      <c r="O139" s="44"/>
      <c r="P139" s="44"/>
      <c r="Q139" s="44"/>
      <c r="R139" s="44"/>
      <c r="S139" s="44"/>
      <c r="T139" s="44"/>
      <c r="U139" s="44"/>
      <c r="V139" s="44"/>
      <c r="W139" s="44"/>
      <c r="X139" s="44"/>
      <c r="Y139" s="44"/>
      <c r="Z139" s="44"/>
      <c r="AA139" s="44"/>
    </row>
    <row r="140">
      <c r="A140" s="51" t="s">
        <v>172</v>
      </c>
      <c r="B140" s="44"/>
      <c r="C140" s="44" t="s">
        <v>3</v>
      </c>
      <c r="D140" s="45">
        <v>3325.0</v>
      </c>
      <c r="E140" s="52"/>
      <c r="F140" s="44"/>
      <c r="G140" s="52" t="s">
        <v>60</v>
      </c>
      <c r="H140" s="44" t="s">
        <v>4</v>
      </c>
      <c r="I140" s="44"/>
      <c r="J140" s="45">
        <v>50.0</v>
      </c>
      <c r="K140" s="44"/>
      <c r="L140" s="44"/>
      <c r="M140" s="44"/>
      <c r="N140" s="44"/>
      <c r="O140" s="44"/>
      <c r="P140" s="44"/>
      <c r="Q140" s="44"/>
      <c r="R140" s="44"/>
      <c r="S140" s="44"/>
      <c r="T140" s="44"/>
      <c r="U140" s="44"/>
      <c r="V140" s="44"/>
      <c r="W140" s="44"/>
      <c r="X140" s="44"/>
      <c r="Y140" s="44"/>
      <c r="Z140" s="44"/>
      <c r="AA140" s="44"/>
    </row>
    <row r="141">
      <c r="A141" s="44"/>
      <c r="B141" s="44"/>
      <c r="C141" s="44" t="s">
        <v>24</v>
      </c>
      <c r="D141" s="44"/>
      <c r="E141" s="44"/>
      <c r="F141" s="44"/>
      <c r="G141" s="44"/>
      <c r="H141" s="66" t="s">
        <v>25</v>
      </c>
      <c r="I141" s="44"/>
      <c r="J141" s="65"/>
      <c r="K141" s="44"/>
      <c r="L141" s="44"/>
      <c r="M141" s="44"/>
      <c r="N141" s="44"/>
      <c r="O141" s="44"/>
      <c r="P141" s="44"/>
      <c r="Q141" s="44"/>
      <c r="R141" s="44"/>
      <c r="S141" s="44"/>
      <c r="T141" s="44"/>
      <c r="U141" s="44"/>
      <c r="V141" s="44"/>
      <c r="W141" s="44"/>
      <c r="X141" s="44"/>
      <c r="Y141" s="44"/>
      <c r="Z141" s="44"/>
      <c r="AA141" s="44"/>
    </row>
    <row r="142">
      <c r="A142" s="54" t="s">
        <v>173</v>
      </c>
      <c r="B142" s="44"/>
      <c r="C142" s="44" t="s">
        <v>26</v>
      </c>
      <c r="D142" s="44"/>
      <c r="E142" s="44"/>
      <c r="F142" s="44"/>
      <c r="G142" s="44"/>
      <c r="H142" s="44" t="s">
        <v>6</v>
      </c>
      <c r="I142" s="44"/>
      <c r="J142" s="65"/>
      <c r="K142" s="44"/>
      <c r="L142" s="44"/>
      <c r="M142" s="44"/>
      <c r="N142" s="44"/>
      <c r="O142" s="44"/>
      <c r="P142" s="44"/>
      <c r="Q142" s="44"/>
      <c r="R142" s="44"/>
      <c r="S142" s="44"/>
      <c r="T142" s="44"/>
      <c r="U142" s="44"/>
      <c r="V142" s="44"/>
      <c r="W142" s="44"/>
      <c r="X142" s="44"/>
      <c r="Y142" s="44"/>
      <c r="Z142" s="44"/>
      <c r="AA142" s="44"/>
    </row>
    <row r="143">
      <c r="A143" s="44"/>
      <c r="B143" s="44"/>
      <c r="C143" s="44" t="s">
        <v>27</v>
      </c>
      <c r="D143" s="44"/>
      <c r="E143" s="44"/>
      <c r="F143" s="44"/>
      <c r="G143" s="44"/>
      <c r="H143" s="44" t="s">
        <v>81</v>
      </c>
      <c r="I143" s="44"/>
      <c r="J143" s="45">
        <v>120.0</v>
      </c>
      <c r="K143" s="44"/>
      <c r="L143" s="44"/>
      <c r="M143" s="44"/>
      <c r="N143" s="44"/>
      <c r="O143" s="44"/>
      <c r="P143" s="44"/>
      <c r="Q143" s="44"/>
      <c r="R143" s="44"/>
      <c r="S143" s="44"/>
      <c r="T143" s="44"/>
      <c r="U143" s="44"/>
      <c r="V143" s="44"/>
      <c r="W143" s="44"/>
      <c r="X143" s="44"/>
      <c r="Y143" s="44"/>
      <c r="Z143" s="44"/>
      <c r="AA143" s="44"/>
    </row>
    <row r="144">
      <c r="A144" s="44"/>
      <c r="B144" s="44"/>
      <c r="C144" s="44" t="s">
        <v>37</v>
      </c>
      <c r="D144" s="44"/>
      <c r="E144" s="44"/>
      <c r="F144" s="44"/>
      <c r="G144" s="44"/>
      <c r="H144" s="66" t="s">
        <v>8</v>
      </c>
      <c r="I144" s="44"/>
      <c r="J144" s="45">
        <v>400.0</v>
      </c>
      <c r="K144" s="44"/>
      <c r="L144" s="44"/>
      <c r="M144" s="44"/>
      <c r="N144" s="44"/>
      <c r="O144" s="44"/>
      <c r="P144" s="44"/>
      <c r="Q144" s="44"/>
      <c r="R144" s="44"/>
      <c r="S144" s="44"/>
      <c r="T144" s="44"/>
      <c r="U144" s="44"/>
      <c r="V144" s="44"/>
      <c r="W144" s="44"/>
      <c r="X144" s="44"/>
      <c r="Y144" s="44"/>
      <c r="Z144" s="44"/>
      <c r="AA144" s="44"/>
    </row>
    <row r="145">
      <c r="A145" s="44"/>
      <c r="B145" s="44"/>
      <c r="C145" s="44" t="s">
        <v>52</v>
      </c>
      <c r="D145" s="44"/>
      <c r="E145" s="44"/>
      <c r="F145" s="44"/>
      <c r="G145" s="44"/>
      <c r="H145" s="66" t="s">
        <v>94</v>
      </c>
      <c r="I145" s="44"/>
      <c r="J145" s="45">
        <v>515.0</v>
      </c>
      <c r="K145" s="44"/>
      <c r="L145" s="44"/>
      <c r="M145" s="44"/>
      <c r="N145" s="44"/>
      <c r="O145" s="44"/>
      <c r="P145" s="44"/>
      <c r="Q145" s="44"/>
      <c r="R145" s="44"/>
      <c r="S145" s="44"/>
      <c r="T145" s="44"/>
      <c r="U145" s="44"/>
      <c r="V145" s="44"/>
      <c r="W145" s="44"/>
      <c r="X145" s="44"/>
      <c r="Y145" s="44"/>
      <c r="Z145" s="44"/>
      <c r="AA145" s="44"/>
    </row>
    <row r="146">
      <c r="A146" s="44"/>
      <c r="B146" s="44"/>
      <c r="C146" s="44"/>
      <c r="D146" s="44"/>
      <c r="E146" s="44"/>
      <c r="F146" s="44"/>
      <c r="G146" s="44"/>
      <c r="H146" s="44" t="s">
        <v>10</v>
      </c>
      <c r="I146" s="44"/>
      <c r="J146" s="44"/>
      <c r="K146" s="44"/>
      <c r="L146" s="44"/>
      <c r="M146" s="44"/>
      <c r="N146" s="44"/>
      <c r="O146" s="44"/>
      <c r="P146" s="44"/>
      <c r="Q146" s="44"/>
      <c r="R146" s="44"/>
      <c r="S146" s="44"/>
      <c r="T146" s="44"/>
      <c r="U146" s="44"/>
      <c r="V146" s="44"/>
      <c r="W146" s="44"/>
      <c r="X146" s="44"/>
      <c r="Y146" s="44"/>
      <c r="Z146" s="44"/>
      <c r="AA146" s="44"/>
    </row>
    <row r="147">
      <c r="A147" s="44"/>
      <c r="B147" s="52"/>
      <c r="C147" s="52"/>
      <c r="D147" s="52"/>
      <c r="E147" s="52"/>
      <c r="F147" s="44"/>
      <c r="G147" s="44"/>
      <c r="H147" s="44" t="s">
        <v>34</v>
      </c>
      <c r="I147" s="44"/>
      <c r="J147" s="44"/>
      <c r="K147" s="44"/>
      <c r="L147" s="44"/>
      <c r="M147" s="44"/>
      <c r="N147" s="44"/>
      <c r="O147" s="44"/>
      <c r="P147" s="44"/>
      <c r="Q147" s="44"/>
      <c r="R147" s="44"/>
      <c r="S147" s="44"/>
      <c r="T147" s="44"/>
      <c r="U147" s="44"/>
      <c r="V147" s="44"/>
      <c r="W147" s="44"/>
      <c r="X147" s="44"/>
      <c r="Y147" s="44"/>
      <c r="Z147" s="44"/>
      <c r="AA147" s="44"/>
    </row>
    <row r="148">
      <c r="A148" s="44"/>
      <c r="B148" s="44"/>
      <c r="C148" s="44"/>
      <c r="D148" s="44"/>
      <c r="E148" s="44"/>
      <c r="F148" s="44"/>
      <c r="G148" s="44"/>
      <c r="H148" s="66" t="s">
        <v>28</v>
      </c>
      <c r="I148" s="44"/>
      <c r="J148" s="44"/>
      <c r="K148" s="44"/>
      <c r="L148" s="44"/>
      <c r="M148" s="44"/>
      <c r="N148" s="44"/>
      <c r="O148" s="44"/>
      <c r="P148" s="44"/>
      <c r="Q148" s="44"/>
      <c r="R148" s="44"/>
      <c r="S148" s="44"/>
      <c r="T148" s="44"/>
      <c r="U148" s="44"/>
      <c r="V148" s="44"/>
      <c r="W148" s="44"/>
      <c r="X148" s="44"/>
      <c r="Y148" s="44"/>
      <c r="Z148" s="44"/>
      <c r="AA148" s="44"/>
    </row>
    <row r="149">
      <c r="A149" s="44"/>
      <c r="B149" s="44"/>
      <c r="C149" s="44"/>
      <c r="D149" s="44"/>
      <c r="E149" s="44"/>
      <c r="F149" s="44"/>
      <c r="G149" s="44"/>
      <c r="H149" s="44" t="s">
        <v>11</v>
      </c>
      <c r="I149" s="44"/>
      <c r="J149" s="65"/>
      <c r="K149" s="44"/>
      <c r="L149" s="44"/>
      <c r="M149" s="44"/>
      <c r="N149" s="44"/>
      <c r="O149" s="44"/>
      <c r="P149" s="44"/>
      <c r="Q149" s="44"/>
      <c r="R149" s="44"/>
      <c r="S149" s="44"/>
      <c r="T149" s="44"/>
      <c r="U149" s="44"/>
      <c r="V149" s="44"/>
      <c r="W149" s="44"/>
      <c r="X149" s="44"/>
      <c r="Y149" s="44"/>
      <c r="Z149" s="44"/>
      <c r="AA149" s="44"/>
    </row>
    <row r="150">
      <c r="A150" s="44"/>
      <c r="B150" s="44"/>
      <c r="C150" s="44"/>
      <c r="D150" s="44"/>
      <c r="E150" s="44"/>
      <c r="F150" s="44"/>
      <c r="G150" s="44"/>
      <c r="H150" s="44" t="s">
        <v>12</v>
      </c>
      <c r="I150" s="44"/>
      <c r="J150" s="65"/>
      <c r="K150" s="44"/>
      <c r="L150" s="44"/>
      <c r="M150" s="44"/>
      <c r="N150" s="44"/>
      <c r="O150" s="44"/>
      <c r="P150" s="44"/>
      <c r="Q150" s="44"/>
      <c r="R150" s="44"/>
      <c r="S150" s="44"/>
      <c r="T150" s="44"/>
      <c r="U150" s="44"/>
      <c r="V150" s="44"/>
      <c r="W150" s="44"/>
      <c r="X150" s="44"/>
      <c r="Y150" s="44"/>
      <c r="Z150" s="44"/>
      <c r="AA150" s="44"/>
    </row>
    <row r="151">
      <c r="A151" s="44"/>
      <c r="B151" s="44"/>
      <c r="C151" s="44"/>
      <c r="D151" s="44"/>
      <c r="E151" s="44"/>
      <c r="F151" s="44"/>
      <c r="G151" s="44"/>
      <c r="H151" s="44" t="s">
        <v>95</v>
      </c>
      <c r="I151" s="44"/>
      <c r="J151" s="65"/>
      <c r="K151" s="44"/>
      <c r="L151" s="44"/>
      <c r="M151" s="44"/>
      <c r="N151" s="44"/>
      <c r="O151" s="44"/>
      <c r="P151" s="44"/>
      <c r="Q151" s="44"/>
      <c r="R151" s="44"/>
      <c r="S151" s="44"/>
      <c r="T151" s="44"/>
      <c r="U151" s="44"/>
      <c r="V151" s="44"/>
      <c r="W151" s="44"/>
      <c r="X151" s="44"/>
      <c r="Y151" s="44"/>
      <c r="Z151" s="44"/>
      <c r="AA151" s="44"/>
    </row>
    <row r="152">
      <c r="A152" s="44"/>
      <c r="B152" s="44"/>
      <c r="C152" s="44"/>
      <c r="D152" s="44"/>
      <c r="E152" s="44"/>
      <c r="F152" s="44"/>
      <c r="G152" s="44"/>
      <c r="H152" s="44" t="s">
        <v>14</v>
      </c>
      <c r="I152" s="44"/>
      <c r="J152" s="45" t="s">
        <v>174</v>
      </c>
      <c r="K152" s="44"/>
      <c r="L152" s="44"/>
      <c r="M152" s="44"/>
      <c r="N152" s="44"/>
      <c r="O152" s="44"/>
      <c r="P152" s="44"/>
      <c r="Q152" s="44"/>
      <c r="R152" s="44"/>
      <c r="S152" s="44"/>
      <c r="T152" s="44"/>
      <c r="U152" s="44"/>
      <c r="V152" s="44"/>
      <c r="W152" s="44"/>
      <c r="X152" s="44"/>
      <c r="Y152" s="44"/>
      <c r="Z152" s="44"/>
      <c r="AA152" s="44"/>
    </row>
    <row r="153">
      <c r="A153" s="44"/>
      <c r="B153" s="44"/>
      <c r="C153" s="44"/>
      <c r="D153" s="44"/>
      <c r="E153" s="44"/>
      <c r="F153" s="44"/>
      <c r="G153" s="44"/>
      <c r="H153" s="44" t="s">
        <v>108</v>
      </c>
      <c r="I153" s="44"/>
      <c r="J153" s="44"/>
      <c r="K153" s="44"/>
      <c r="L153" s="44"/>
      <c r="M153" s="44"/>
      <c r="N153" s="44"/>
      <c r="O153" s="44"/>
      <c r="P153" s="44"/>
      <c r="Q153" s="44"/>
      <c r="R153" s="44"/>
      <c r="S153" s="44"/>
      <c r="T153" s="44"/>
      <c r="U153" s="44"/>
      <c r="V153" s="44"/>
      <c r="W153" s="44"/>
      <c r="X153" s="44"/>
      <c r="Y153" s="44"/>
      <c r="Z153" s="44"/>
      <c r="AA153" s="44"/>
    </row>
    <row r="154">
      <c r="A154" s="44"/>
      <c r="B154" s="44"/>
      <c r="C154" s="44"/>
      <c r="D154" s="44"/>
      <c r="E154" s="44"/>
      <c r="F154" s="44"/>
      <c r="G154" s="44"/>
      <c r="H154" s="65" t="s">
        <v>156</v>
      </c>
      <c r="I154" s="45"/>
      <c r="J154" s="45" t="s">
        <v>175</v>
      </c>
      <c r="K154" s="44"/>
      <c r="L154" s="44"/>
      <c r="M154" s="44"/>
      <c r="N154" s="44"/>
      <c r="O154" s="44"/>
      <c r="P154" s="44"/>
      <c r="Q154" s="44"/>
      <c r="R154" s="44"/>
      <c r="S154" s="44"/>
      <c r="T154" s="44"/>
      <c r="U154" s="44"/>
      <c r="V154" s="44"/>
      <c r="W154" s="44"/>
      <c r="X154" s="44"/>
      <c r="Y154" s="44"/>
      <c r="Z154" s="44"/>
      <c r="AA154" s="44"/>
    </row>
    <row r="155">
      <c r="A155" s="44"/>
      <c r="B155" s="44"/>
      <c r="C155" s="44"/>
      <c r="D155" s="44"/>
      <c r="E155" s="44"/>
      <c r="F155" s="44"/>
      <c r="G155" s="44"/>
      <c r="H155" s="66" t="s">
        <v>16</v>
      </c>
      <c r="I155" s="44"/>
      <c r="J155" s="44"/>
      <c r="K155" s="44"/>
      <c r="L155" s="44"/>
      <c r="M155" s="44"/>
      <c r="N155" s="44"/>
      <c r="O155" s="44"/>
      <c r="P155" s="44"/>
      <c r="Q155" s="44"/>
      <c r="R155" s="44"/>
      <c r="S155" s="44"/>
      <c r="T155" s="44"/>
      <c r="U155" s="44"/>
      <c r="V155" s="44"/>
      <c r="W155" s="44"/>
      <c r="X155" s="44"/>
      <c r="Y155" s="44"/>
      <c r="Z155" s="44"/>
      <c r="AA155" s="44"/>
    </row>
    <row r="156">
      <c r="A156" s="44"/>
      <c r="B156" s="44"/>
      <c r="C156" s="44"/>
      <c r="D156" s="44"/>
      <c r="E156" s="44"/>
      <c r="F156" s="44"/>
      <c r="G156" s="44"/>
      <c r="H156" s="44" t="s">
        <v>131</v>
      </c>
      <c r="I156" s="44"/>
      <c r="J156" s="45">
        <v>260.0</v>
      </c>
      <c r="K156" s="44"/>
      <c r="L156" s="44"/>
      <c r="M156" s="44"/>
      <c r="N156" s="44"/>
      <c r="O156" s="44"/>
      <c r="P156" s="44"/>
      <c r="Q156" s="44"/>
      <c r="R156" s="44"/>
      <c r="S156" s="44"/>
      <c r="T156" s="44"/>
      <c r="U156" s="44"/>
      <c r="V156" s="44"/>
      <c r="W156" s="44"/>
      <c r="X156" s="44"/>
      <c r="Y156" s="44"/>
      <c r="Z156" s="44"/>
      <c r="AA156" s="44"/>
    </row>
    <row r="157">
      <c r="A157" s="44"/>
      <c r="B157" s="44"/>
      <c r="C157" s="44"/>
      <c r="D157" s="44"/>
      <c r="E157" s="44"/>
      <c r="F157" s="44"/>
      <c r="G157" s="44"/>
      <c r="H157" s="44" t="s">
        <v>18</v>
      </c>
      <c r="I157" s="44"/>
      <c r="J157" s="65"/>
      <c r="K157" s="44"/>
      <c r="L157" s="44"/>
      <c r="M157" s="44"/>
      <c r="N157" s="44"/>
      <c r="O157" s="44"/>
      <c r="P157" s="44"/>
      <c r="Q157" s="44"/>
      <c r="R157" s="44"/>
      <c r="S157" s="44"/>
      <c r="T157" s="44"/>
      <c r="U157" s="44"/>
      <c r="V157" s="44"/>
      <c r="W157" s="44"/>
      <c r="X157" s="44"/>
      <c r="Y157" s="44"/>
      <c r="Z157" s="44"/>
      <c r="AA157" s="44"/>
    </row>
    <row r="158">
      <c r="A158" s="44"/>
      <c r="B158" s="44"/>
      <c r="C158" s="44"/>
      <c r="D158" s="44"/>
      <c r="E158" s="44"/>
      <c r="F158" s="44"/>
      <c r="G158" s="44"/>
      <c r="H158" s="66" t="s">
        <v>19</v>
      </c>
      <c r="I158" s="44"/>
      <c r="J158" s="65"/>
      <c r="K158" s="44"/>
      <c r="L158" s="44"/>
      <c r="M158" s="44"/>
      <c r="N158" s="44"/>
      <c r="O158" s="44"/>
      <c r="P158" s="44"/>
      <c r="Q158" s="44"/>
      <c r="R158" s="44"/>
      <c r="S158" s="44"/>
      <c r="T158" s="44"/>
      <c r="U158" s="44"/>
      <c r="V158" s="44"/>
      <c r="W158" s="44"/>
      <c r="X158" s="44"/>
      <c r="Y158" s="44"/>
      <c r="Z158" s="44"/>
      <c r="AA158" s="44"/>
    </row>
    <row r="159">
      <c r="A159" s="44"/>
      <c r="B159" s="44"/>
      <c r="C159" s="44"/>
      <c r="D159" s="44"/>
      <c r="E159" s="44"/>
      <c r="F159" s="44"/>
      <c r="G159" s="44"/>
      <c r="H159" s="44" t="s">
        <v>20</v>
      </c>
      <c r="I159" s="44"/>
      <c r="J159" s="65"/>
      <c r="K159" s="44"/>
      <c r="L159" s="44"/>
      <c r="M159" s="44"/>
      <c r="N159" s="44"/>
      <c r="O159" s="44"/>
      <c r="P159" s="44"/>
      <c r="Q159" s="44"/>
      <c r="R159" s="44"/>
      <c r="S159" s="44"/>
      <c r="T159" s="44"/>
      <c r="U159" s="44"/>
      <c r="V159" s="44"/>
      <c r="W159" s="44"/>
      <c r="X159" s="44"/>
      <c r="Y159" s="44"/>
      <c r="Z159" s="44"/>
      <c r="AA159" s="44"/>
    </row>
    <row r="160">
      <c r="A160" s="44"/>
      <c r="B160" s="44"/>
      <c r="C160" s="44"/>
      <c r="D160" s="44"/>
      <c r="E160" s="44"/>
      <c r="F160" s="44"/>
      <c r="G160" s="44"/>
      <c r="H160" s="55" t="s">
        <v>48</v>
      </c>
      <c r="I160" s="56"/>
      <c r="J160" s="56" t="s">
        <v>176</v>
      </c>
      <c r="K160" s="44"/>
      <c r="L160" s="44"/>
      <c r="M160" s="44"/>
      <c r="N160" s="44"/>
      <c r="O160" s="44"/>
      <c r="P160" s="44"/>
      <c r="Q160" s="44"/>
      <c r="R160" s="44"/>
      <c r="S160" s="44"/>
      <c r="T160" s="44"/>
      <c r="U160" s="44"/>
      <c r="V160" s="44"/>
      <c r="W160" s="44"/>
      <c r="X160" s="44"/>
      <c r="Y160" s="44"/>
      <c r="Z160" s="44"/>
      <c r="AA160" s="44"/>
    </row>
    <row r="161">
      <c r="A161" s="44"/>
      <c r="B161" s="44"/>
      <c r="C161" s="44"/>
      <c r="D161" s="44"/>
      <c r="E161" s="44"/>
      <c r="F161" s="44"/>
      <c r="G161" s="44"/>
      <c r="H161" s="69" t="s">
        <v>177</v>
      </c>
      <c r="I161" s="44"/>
      <c r="J161" s="45">
        <v>240.0</v>
      </c>
      <c r="K161" s="44"/>
      <c r="L161" s="44"/>
      <c r="M161" s="44"/>
      <c r="N161" s="44"/>
      <c r="O161" s="44"/>
      <c r="P161" s="44"/>
      <c r="Q161" s="44"/>
      <c r="R161" s="44"/>
      <c r="S161" s="44"/>
      <c r="T161" s="44"/>
      <c r="U161" s="44"/>
      <c r="V161" s="44"/>
      <c r="W161" s="44"/>
      <c r="X161" s="44"/>
      <c r="Y161" s="44"/>
      <c r="Z161" s="44"/>
      <c r="AA161" s="44"/>
    </row>
    <row r="162">
      <c r="A162" s="44"/>
      <c r="B162" s="44"/>
      <c r="C162" s="44"/>
      <c r="D162" s="44"/>
      <c r="E162" s="44"/>
      <c r="F162" s="44"/>
      <c r="G162" s="44"/>
      <c r="H162" s="44" t="s">
        <v>24</v>
      </c>
      <c r="I162" s="44"/>
      <c r="J162" s="65"/>
      <c r="K162" s="44"/>
      <c r="L162" s="44"/>
      <c r="M162" s="44"/>
      <c r="N162" s="44"/>
      <c r="O162" s="44"/>
      <c r="P162" s="44"/>
      <c r="Q162" s="44"/>
      <c r="R162" s="44"/>
      <c r="S162" s="44"/>
      <c r="T162" s="44"/>
      <c r="U162" s="44"/>
      <c r="V162" s="44"/>
      <c r="W162" s="44"/>
      <c r="X162" s="44"/>
      <c r="Y162" s="44"/>
      <c r="Z162" s="44"/>
      <c r="AA162" s="44"/>
    </row>
    <row r="163">
      <c r="A163" s="44"/>
      <c r="B163" s="44"/>
      <c r="C163" s="44"/>
      <c r="D163" s="44"/>
      <c r="E163" s="44"/>
      <c r="F163" s="44"/>
      <c r="G163" s="44"/>
      <c r="H163" s="44" t="s">
        <v>27</v>
      </c>
      <c r="I163" s="44"/>
      <c r="J163" s="65"/>
      <c r="K163" s="44"/>
      <c r="L163" s="44"/>
      <c r="M163" s="44"/>
      <c r="N163" s="44"/>
      <c r="O163" s="44"/>
      <c r="P163" s="44"/>
      <c r="Q163" s="44"/>
      <c r="R163" s="44"/>
      <c r="S163" s="44"/>
      <c r="T163" s="44"/>
      <c r="U163" s="44"/>
      <c r="V163" s="44"/>
      <c r="W163" s="44"/>
      <c r="X163" s="44"/>
      <c r="Y163" s="44"/>
      <c r="Z163" s="44"/>
      <c r="AA163" s="44"/>
    </row>
    <row r="164">
      <c r="A164" s="44"/>
      <c r="B164" s="44"/>
      <c r="C164" s="44"/>
      <c r="D164" s="44"/>
      <c r="E164" s="44"/>
      <c r="F164" s="44"/>
      <c r="G164" s="44"/>
      <c r="H164" s="66" t="s">
        <v>83</v>
      </c>
      <c r="I164" s="44"/>
      <c r="J164" s="65"/>
      <c r="K164" s="44"/>
      <c r="L164" s="44"/>
      <c r="M164" s="44"/>
      <c r="N164" s="44"/>
      <c r="O164" s="44"/>
      <c r="P164" s="44"/>
      <c r="Q164" s="44"/>
      <c r="R164" s="44"/>
      <c r="S164" s="44"/>
      <c r="T164" s="44"/>
      <c r="U164" s="44"/>
      <c r="V164" s="44"/>
      <c r="W164" s="44"/>
      <c r="X164" s="44"/>
      <c r="Y164" s="44"/>
      <c r="Z164" s="44"/>
      <c r="AA164" s="44"/>
    </row>
    <row r="165">
      <c r="A165" s="44"/>
      <c r="B165" s="44"/>
      <c r="C165" s="44"/>
      <c r="D165" s="44"/>
      <c r="E165" s="44"/>
      <c r="F165" s="44"/>
      <c r="G165" s="44"/>
      <c r="H165" s="67" t="s">
        <v>96</v>
      </c>
      <c r="I165" s="55"/>
      <c r="J165" s="55"/>
      <c r="K165" s="44"/>
      <c r="L165" s="44"/>
      <c r="M165" s="44"/>
      <c r="N165" s="44"/>
      <c r="O165" s="44"/>
      <c r="P165" s="44"/>
      <c r="Q165" s="44"/>
      <c r="R165" s="44"/>
      <c r="S165" s="44"/>
      <c r="T165" s="44"/>
      <c r="U165" s="44"/>
      <c r="V165" s="44"/>
      <c r="W165" s="44"/>
      <c r="X165" s="44"/>
      <c r="Y165" s="44"/>
      <c r="Z165" s="44"/>
      <c r="AA165" s="44"/>
    </row>
    <row r="166">
      <c r="A166" s="65"/>
      <c r="B166" s="44"/>
      <c r="C166" s="65"/>
      <c r="D166" s="65"/>
      <c r="E166" s="44"/>
      <c r="F166" s="44"/>
      <c r="G166" s="44"/>
      <c r="H166" s="44" t="s">
        <v>31</v>
      </c>
      <c r="I166" s="44"/>
      <c r="J166" s="44"/>
      <c r="K166" s="44"/>
      <c r="L166" s="44"/>
      <c r="M166" s="44"/>
      <c r="N166" s="44"/>
      <c r="O166" s="44"/>
      <c r="P166" s="44"/>
      <c r="Q166" s="44"/>
      <c r="R166" s="44"/>
      <c r="S166" s="44"/>
      <c r="T166" s="44"/>
      <c r="U166" s="44"/>
      <c r="V166" s="44"/>
      <c r="W166" s="44"/>
      <c r="X166" s="44"/>
      <c r="Y166" s="44"/>
      <c r="Z166" s="44"/>
      <c r="AA166" s="44"/>
    </row>
    <row r="167">
      <c r="A167" s="47" t="s">
        <v>117</v>
      </c>
      <c r="B167" s="48"/>
      <c r="C167" s="63" t="s">
        <v>178</v>
      </c>
      <c r="D167" s="50"/>
      <c r="E167" s="44"/>
      <c r="F167" s="44"/>
      <c r="G167" s="44"/>
      <c r="H167" s="44"/>
      <c r="I167" s="44"/>
      <c r="J167" s="44"/>
      <c r="K167" s="44"/>
      <c r="L167" s="44"/>
      <c r="M167" s="44"/>
      <c r="N167" s="44"/>
      <c r="O167" s="44"/>
      <c r="P167" s="44"/>
      <c r="Q167" s="44"/>
      <c r="R167" s="44"/>
      <c r="S167" s="44"/>
      <c r="T167" s="44"/>
      <c r="U167" s="44"/>
      <c r="V167" s="44"/>
      <c r="W167" s="44"/>
      <c r="X167" s="44"/>
      <c r="Y167" s="44"/>
      <c r="Z167" s="44"/>
      <c r="AA167" s="44"/>
    </row>
    <row r="168">
      <c r="A168" s="44"/>
      <c r="B168" s="44"/>
      <c r="C168" s="56" t="s">
        <v>152</v>
      </c>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row>
    <row r="169">
      <c r="A169" s="44"/>
      <c r="B169" s="44"/>
      <c r="C169" s="55" t="s">
        <v>158</v>
      </c>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row>
    <row r="170">
      <c r="A170" s="64"/>
      <c r="B170" s="44"/>
      <c r="C170" s="44"/>
      <c r="D170" s="65"/>
      <c r="E170" s="52"/>
      <c r="F170" s="44"/>
      <c r="G170" s="52"/>
      <c r="H170" s="44"/>
      <c r="I170" s="44"/>
      <c r="J170" s="65"/>
      <c r="K170" s="44"/>
      <c r="L170" s="44"/>
      <c r="M170" s="44"/>
      <c r="N170" s="44"/>
      <c r="O170" s="44"/>
      <c r="P170" s="44"/>
      <c r="Q170" s="44"/>
      <c r="R170" s="44"/>
      <c r="S170" s="44"/>
      <c r="T170" s="44"/>
      <c r="U170" s="44"/>
      <c r="V170" s="44"/>
      <c r="W170" s="44"/>
      <c r="X170" s="44"/>
      <c r="Y170" s="44"/>
      <c r="Z170" s="44"/>
      <c r="AA170" s="44"/>
    </row>
    <row r="171">
      <c r="A171" s="52"/>
      <c r="B171" s="44"/>
      <c r="C171" s="44"/>
      <c r="D171" s="44"/>
      <c r="E171" s="52"/>
      <c r="F171" s="44"/>
      <c r="G171" s="52"/>
      <c r="H171" s="44"/>
      <c r="I171" s="44"/>
      <c r="J171" s="65"/>
      <c r="K171" s="44"/>
      <c r="L171" s="44"/>
      <c r="M171" s="44"/>
      <c r="N171" s="44"/>
      <c r="O171" s="44"/>
      <c r="P171" s="44"/>
      <c r="Q171" s="44"/>
      <c r="R171" s="44"/>
      <c r="S171" s="44"/>
      <c r="T171" s="44"/>
      <c r="U171" s="44"/>
      <c r="V171" s="44"/>
      <c r="W171" s="44"/>
      <c r="X171" s="44"/>
      <c r="Y171" s="44"/>
      <c r="Z171" s="44"/>
      <c r="AA171" s="44"/>
    </row>
    <row r="172">
      <c r="A172" s="51" t="s">
        <v>179</v>
      </c>
      <c r="B172" s="44"/>
      <c r="C172" s="44" t="s">
        <v>3</v>
      </c>
      <c r="D172" s="45">
        <v>3225.0</v>
      </c>
      <c r="E172" s="52"/>
      <c r="F172" s="44"/>
      <c r="G172" s="52" t="s">
        <v>60</v>
      </c>
      <c r="H172" s="44" t="s">
        <v>4</v>
      </c>
      <c r="I172" s="44"/>
      <c r="J172" s="45">
        <v>100.0</v>
      </c>
      <c r="K172" s="44"/>
      <c r="L172" s="44"/>
      <c r="M172" s="44"/>
      <c r="N172" s="44"/>
      <c r="O172" s="44"/>
      <c r="P172" s="44"/>
      <c r="Q172" s="44"/>
      <c r="R172" s="44"/>
      <c r="S172" s="44"/>
      <c r="T172" s="44"/>
      <c r="U172" s="44"/>
      <c r="V172" s="44"/>
      <c r="W172" s="44"/>
      <c r="X172" s="44"/>
      <c r="Y172" s="44"/>
      <c r="Z172" s="44"/>
      <c r="AA172" s="44"/>
    </row>
    <row r="173">
      <c r="A173" s="44"/>
      <c r="B173" s="44"/>
      <c r="C173" s="44" t="s">
        <v>24</v>
      </c>
      <c r="D173" s="44"/>
      <c r="E173" s="44"/>
      <c r="F173" s="44"/>
      <c r="G173" s="44"/>
      <c r="H173" s="66" t="s">
        <v>25</v>
      </c>
      <c r="I173" s="44"/>
      <c r="J173" s="65"/>
      <c r="K173" s="44"/>
      <c r="L173" s="44"/>
      <c r="M173" s="44"/>
      <c r="N173" s="44"/>
      <c r="O173" s="44"/>
      <c r="P173" s="44"/>
      <c r="Q173" s="44"/>
      <c r="R173" s="44"/>
      <c r="S173" s="44"/>
      <c r="T173" s="44"/>
      <c r="U173" s="44"/>
      <c r="V173" s="44"/>
      <c r="W173" s="44"/>
      <c r="X173" s="44"/>
      <c r="Y173" s="44"/>
      <c r="Z173" s="44"/>
      <c r="AA173" s="44"/>
    </row>
    <row r="174">
      <c r="A174" s="54" t="s">
        <v>180</v>
      </c>
      <c r="B174" s="44"/>
      <c r="C174" s="44" t="s">
        <v>26</v>
      </c>
      <c r="D174" s="44"/>
      <c r="E174" s="44"/>
      <c r="F174" s="44"/>
      <c r="G174" s="44"/>
      <c r="H174" s="44" t="s">
        <v>6</v>
      </c>
      <c r="I174" s="44"/>
      <c r="J174" s="65"/>
      <c r="K174" s="44"/>
      <c r="L174" s="44"/>
      <c r="M174" s="44"/>
      <c r="N174" s="44"/>
      <c r="O174" s="44"/>
      <c r="P174" s="44"/>
      <c r="Q174" s="44"/>
      <c r="R174" s="44"/>
      <c r="S174" s="44"/>
      <c r="T174" s="44"/>
      <c r="U174" s="44"/>
      <c r="V174" s="44"/>
      <c r="W174" s="44"/>
      <c r="X174" s="44"/>
      <c r="Y174" s="44"/>
      <c r="Z174" s="44"/>
      <c r="AA174" s="44"/>
    </row>
    <row r="175">
      <c r="A175" s="44"/>
      <c r="B175" s="44"/>
      <c r="C175" s="44" t="s">
        <v>27</v>
      </c>
      <c r="D175" s="44"/>
      <c r="E175" s="44"/>
      <c r="F175" s="44"/>
      <c r="G175" s="44"/>
      <c r="H175" s="44" t="s">
        <v>81</v>
      </c>
      <c r="I175" s="44"/>
      <c r="J175" s="45" t="s">
        <v>181</v>
      </c>
      <c r="K175" s="44"/>
      <c r="L175" s="44"/>
      <c r="M175" s="44"/>
      <c r="N175" s="44"/>
      <c r="O175" s="44"/>
      <c r="P175" s="44"/>
      <c r="Q175" s="44"/>
      <c r="R175" s="44"/>
      <c r="S175" s="44"/>
      <c r="T175" s="44"/>
      <c r="U175" s="44"/>
      <c r="V175" s="44"/>
      <c r="W175" s="44"/>
      <c r="X175" s="44"/>
      <c r="Y175" s="44"/>
      <c r="Z175" s="44"/>
      <c r="AA175" s="44"/>
    </row>
    <row r="176">
      <c r="A176" s="44"/>
      <c r="B176" s="44"/>
      <c r="C176" s="44" t="s">
        <v>37</v>
      </c>
      <c r="D176" s="44"/>
      <c r="E176" s="44"/>
      <c r="F176" s="44"/>
      <c r="G176" s="44"/>
      <c r="H176" s="66" t="s">
        <v>8</v>
      </c>
      <c r="I176" s="44"/>
      <c r="J176" s="45">
        <v>61.0</v>
      </c>
      <c r="K176" s="44"/>
      <c r="L176" s="44"/>
      <c r="M176" s="44"/>
      <c r="N176" s="44"/>
      <c r="O176" s="44"/>
      <c r="P176" s="44"/>
      <c r="Q176" s="44"/>
      <c r="R176" s="44"/>
      <c r="S176" s="44"/>
      <c r="T176" s="44"/>
      <c r="U176" s="44"/>
      <c r="V176" s="44"/>
      <c r="W176" s="44"/>
      <c r="X176" s="44"/>
      <c r="Y176" s="44"/>
      <c r="Z176" s="44"/>
      <c r="AA176" s="44"/>
    </row>
    <row r="177">
      <c r="A177" s="44"/>
      <c r="B177" s="44"/>
      <c r="C177" s="44" t="s">
        <v>52</v>
      </c>
      <c r="D177" s="44"/>
      <c r="E177" s="44"/>
      <c r="F177" s="44"/>
      <c r="G177" s="44"/>
      <c r="H177" s="66" t="s">
        <v>94</v>
      </c>
      <c r="I177" s="44"/>
      <c r="J177" s="45">
        <v>360.0</v>
      </c>
      <c r="K177" s="44"/>
      <c r="L177" s="44"/>
      <c r="M177" s="44"/>
      <c r="N177" s="44"/>
      <c r="O177" s="44"/>
      <c r="P177" s="44"/>
      <c r="Q177" s="44"/>
      <c r="R177" s="44"/>
      <c r="S177" s="44"/>
      <c r="T177" s="44"/>
      <c r="U177" s="44"/>
      <c r="V177" s="44"/>
      <c r="W177" s="44"/>
      <c r="X177" s="44"/>
      <c r="Y177" s="44"/>
      <c r="Z177" s="44"/>
      <c r="AA177" s="44"/>
    </row>
    <row r="178">
      <c r="A178" s="44"/>
      <c r="B178" s="44"/>
      <c r="C178" s="44"/>
      <c r="D178" s="44"/>
      <c r="E178" s="44"/>
      <c r="F178" s="44"/>
      <c r="G178" s="44"/>
      <c r="H178" s="44" t="s">
        <v>10</v>
      </c>
      <c r="I178" s="44"/>
      <c r="J178" s="45" t="s">
        <v>182</v>
      </c>
      <c r="K178" s="44"/>
      <c r="L178" s="44"/>
      <c r="M178" s="44"/>
      <c r="N178" s="44"/>
      <c r="O178" s="44"/>
      <c r="P178" s="44"/>
      <c r="Q178" s="44"/>
      <c r="R178" s="44"/>
      <c r="S178" s="44"/>
      <c r="T178" s="44"/>
      <c r="U178" s="44"/>
      <c r="V178" s="44"/>
      <c r="W178" s="44"/>
      <c r="X178" s="44"/>
      <c r="Y178" s="44"/>
      <c r="Z178" s="44"/>
      <c r="AA178" s="44"/>
    </row>
    <row r="179">
      <c r="A179" s="44"/>
      <c r="B179" s="52"/>
      <c r="C179" s="52"/>
      <c r="D179" s="52"/>
      <c r="E179" s="52"/>
      <c r="F179" s="44"/>
      <c r="G179" s="44"/>
      <c r="H179" s="44" t="s">
        <v>34</v>
      </c>
      <c r="I179" s="44"/>
      <c r="J179" s="44"/>
      <c r="K179" s="44"/>
      <c r="L179" s="44"/>
      <c r="M179" s="44"/>
      <c r="N179" s="44"/>
      <c r="O179" s="44"/>
      <c r="P179" s="44"/>
      <c r="Q179" s="44"/>
      <c r="R179" s="44"/>
      <c r="S179" s="44"/>
      <c r="T179" s="44"/>
      <c r="U179" s="44"/>
      <c r="V179" s="44"/>
      <c r="W179" s="44"/>
      <c r="X179" s="44"/>
      <c r="Y179" s="44"/>
      <c r="Z179" s="44"/>
      <c r="AA179" s="44"/>
    </row>
    <row r="180">
      <c r="A180" s="44"/>
      <c r="B180" s="44"/>
      <c r="C180" s="44"/>
      <c r="D180" s="44"/>
      <c r="E180" s="44"/>
      <c r="F180" s="44"/>
      <c r="G180" s="44"/>
      <c r="H180" s="66" t="s">
        <v>28</v>
      </c>
      <c r="I180" s="44"/>
      <c r="J180" s="44"/>
      <c r="K180" s="44"/>
      <c r="L180" s="44"/>
      <c r="M180" s="44"/>
      <c r="N180" s="44"/>
      <c r="O180" s="44"/>
      <c r="P180" s="44"/>
      <c r="Q180" s="44"/>
      <c r="R180" s="44"/>
      <c r="S180" s="44"/>
      <c r="T180" s="44"/>
      <c r="U180" s="44"/>
      <c r="V180" s="44"/>
      <c r="W180" s="44"/>
      <c r="X180" s="44"/>
      <c r="Y180" s="44"/>
      <c r="Z180" s="44"/>
      <c r="AA180" s="44"/>
    </row>
    <row r="181">
      <c r="A181" s="44"/>
      <c r="B181" s="44"/>
      <c r="C181" s="44"/>
      <c r="D181" s="44"/>
      <c r="E181" s="44"/>
      <c r="F181" s="44"/>
      <c r="G181" s="44"/>
      <c r="H181" s="44" t="s">
        <v>11</v>
      </c>
      <c r="I181" s="44"/>
      <c r="J181" s="65"/>
      <c r="K181" s="44"/>
      <c r="L181" s="44"/>
      <c r="M181" s="44"/>
      <c r="N181" s="44"/>
      <c r="O181" s="44"/>
      <c r="P181" s="44"/>
      <c r="Q181" s="44"/>
      <c r="R181" s="44"/>
      <c r="S181" s="44"/>
      <c r="T181" s="44"/>
      <c r="U181" s="44"/>
      <c r="V181" s="44"/>
      <c r="W181" s="44"/>
      <c r="X181" s="44"/>
      <c r="Y181" s="44"/>
      <c r="Z181" s="44"/>
      <c r="AA181" s="44"/>
    </row>
    <row r="182">
      <c r="A182" s="44"/>
      <c r="B182" s="44"/>
      <c r="C182" s="44"/>
      <c r="D182" s="44"/>
      <c r="E182" s="44"/>
      <c r="F182" s="44"/>
      <c r="G182" s="44"/>
      <c r="H182" s="44" t="s">
        <v>12</v>
      </c>
      <c r="I182" s="44"/>
      <c r="J182" s="45" t="s">
        <v>183</v>
      </c>
      <c r="K182" s="44"/>
      <c r="L182" s="44"/>
      <c r="M182" s="44"/>
      <c r="N182" s="44"/>
      <c r="O182" s="44"/>
      <c r="P182" s="44"/>
      <c r="Q182" s="44"/>
      <c r="R182" s="44"/>
      <c r="S182" s="44"/>
      <c r="T182" s="44"/>
      <c r="U182" s="44"/>
      <c r="V182" s="44"/>
      <c r="W182" s="44"/>
      <c r="X182" s="44"/>
      <c r="Y182" s="44"/>
      <c r="Z182" s="44"/>
      <c r="AA182" s="44"/>
    </row>
    <row r="183">
      <c r="A183" s="44"/>
      <c r="B183" s="44"/>
      <c r="C183" s="44"/>
      <c r="D183" s="44"/>
      <c r="E183" s="44"/>
      <c r="F183" s="44"/>
      <c r="G183" s="44"/>
      <c r="H183" s="44" t="s">
        <v>95</v>
      </c>
      <c r="I183" s="44"/>
      <c r="J183" s="65"/>
      <c r="K183" s="44"/>
      <c r="L183" s="44"/>
      <c r="M183" s="44"/>
      <c r="N183" s="44"/>
      <c r="O183" s="44"/>
      <c r="P183" s="44"/>
      <c r="Q183" s="44"/>
      <c r="R183" s="44"/>
      <c r="S183" s="44"/>
      <c r="T183" s="44"/>
      <c r="U183" s="44"/>
      <c r="V183" s="44"/>
      <c r="W183" s="44"/>
      <c r="X183" s="44"/>
      <c r="Y183" s="44"/>
      <c r="Z183" s="44"/>
      <c r="AA183" s="44"/>
    </row>
    <row r="184">
      <c r="A184" s="44"/>
      <c r="B184" s="44"/>
      <c r="C184" s="44"/>
      <c r="D184" s="44"/>
      <c r="E184" s="44"/>
      <c r="F184" s="44"/>
      <c r="G184" s="44"/>
      <c r="H184" s="44" t="s">
        <v>14</v>
      </c>
      <c r="I184" s="44"/>
      <c r="J184" s="44"/>
      <c r="K184" s="44"/>
      <c r="L184" s="44"/>
      <c r="M184" s="44"/>
      <c r="N184" s="44"/>
      <c r="O184" s="44"/>
      <c r="P184" s="44"/>
      <c r="Q184" s="44"/>
      <c r="R184" s="44"/>
      <c r="S184" s="44"/>
      <c r="T184" s="44"/>
      <c r="U184" s="44"/>
      <c r="V184" s="44"/>
      <c r="W184" s="44"/>
      <c r="X184" s="44"/>
      <c r="Y184" s="44"/>
      <c r="Z184" s="44"/>
      <c r="AA184" s="44"/>
    </row>
    <row r="185">
      <c r="A185" s="44"/>
      <c r="B185" s="44"/>
      <c r="C185" s="44"/>
      <c r="D185" s="44"/>
      <c r="E185" s="44"/>
      <c r="F185" s="44"/>
      <c r="G185" s="44"/>
      <c r="H185" s="44" t="s">
        <v>108</v>
      </c>
      <c r="I185" s="44"/>
      <c r="J185" s="44"/>
      <c r="K185" s="44"/>
      <c r="L185" s="44"/>
      <c r="M185" s="44"/>
      <c r="N185" s="44"/>
      <c r="O185" s="44"/>
      <c r="P185" s="44"/>
      <c r="Q185" s="44"/>
      <c r="R185" s="44"/>
      <c r="S185" s="44"/>
      <c r="T185" s="44"/>
      <c r="U185" s="44"/>
      <c r="V185" s="44"/>
      <c r="W185" s="44"/>
      <c r="X185" s="44"/>
      <c r="Y185" s="44"/>
      <c r="Z185" s="44"/>
      <c r="AA185" s="44"/>
    </row>
    <row r="186">
      <c r="A186" s="44"/>
      <c r="B186" s="44"/>
      <c r="C186" s="44"/>
      <c r="D186" s="44"/>
      <c r="E186" s="44"/>
      <c r="F186" s="44"/>
      <c r="G186" s="44"/>
      <c r="H186" s="65" t="s">
        <v>156</v>
      </c>
      <c r="I186" s="44"/>
      <c r="J186" s="45">
        <v>1100.0</v>
      </c>
      <c r="K186" s="44"/>
      <c r="L186" s="44"/>
      <c r="M186" s="44"/>
      <c r="N186" s="44"/>
      <c r="O186" s="44"/>
      <c r="P186" s="44"/>
      <c r="Q186" s="44"/>
      <c r="R186" s="44"/>
      <c r="S186" s="44"/>
      <c r="T186" s="44"/>
      <c r="U186" s="44"/>
      <c r="V186" s="44"/>
      <c r="W186" s="44"/>
      <c r="X186" s="44"/>
      <c r="Y186" s="44"/>
      <c r="Z186" s="44"/>
      <c r="AA186" s="44"/>
    </row>
    <row r="187">
      <c r="A187" s="44"/>
      <c r="B187" s="44"/>
      <c r="C187" s="44"/>
      <c r="D187" s="44"/>
      <c r="E187" s="44"/>
      <c r="F187" s="44"/>
      <c r="G187" s="44"/>
      <c r="H187" s="66" t="s">
        <v>16</v>
      </c>
      <c r="I187" s="44"/>
      <c r="J187" s="44"/>
      <c r="K187" s="44"/>
      <c r="L187" s="44"/>
      <c r="M187" s="44"/>
      <c r="N187" s="44"/>
      <c r="O187" s="44"/>
      <c r="P187" s="44"/>
      <c r="Q187" s="44"/>
      <c r="R187" s="44"/>
      <c r="S187" s="44"/>
      <c r="T187" s="44"/>
      <c r="U187" s="44"/>
      <c r="V187" s="44"/>
      <c r="W187" s="44"/>
      <c r="X187" s="44"/>
      <c r="Y187" s="44"/>
      <c r="Z187" s="44"/>
      <c r="AA187" s="44"/>
    </row>
    <row r="188">
      <c r="A188" s="44"/>
      <c r="B188" s="44"/>
      <c r="C188" s="44"/>
      <c r="D188" s="44"/>
      <c r="E188" s="44"/>
      <c r="F188" s="44"/>
      <c r="G188" s="44"/>
      <c r="H188" s="44" t="s">
        <v>131</v>
      </c>
      <c r="I188" s="44"/>
      <c r="J188" s="65"/>
      <c r="K188" s="44"/>
      <c r="L188" s="44"/>
      <c r="M188" s="44"/>
      <c r="N188" s="44"/>
      <c r="O188" s="44"/>
      <c r="P188" s="44"/>
      <c r="Q188" s="44"/>
      <c r="R188" s="44"/>
      <c r="S188" s="44"/>
      <c r="T188" s="44"/>
      <c r="U188" s="44"/>
      <c r="V188" s="44"/>
      <c r="W188" s="44"/>
      <c r="X188" s="44"/>
      <c r="Y188" s="44"/>
      <c r="Z188" s="44"/>
      <c r="AA188" s="44"/>
    </row>
    <row r="189">
      <c r="A189" s="44"/>
      <c r="B189" s="44"/>
      <c r="C189" s="44"/>
      <c r="D189" s="44"/>
      <c r="E189" s="44"/>
      <c r="F189" s="44"/>
      <c r="G189" s="44"/>
      <c r="H189" s="44" t="s">
        <v>18</v>
      </c>
      <c r="I189" s="44"/>
      <c r="J189" s="65"/>
      <c r="K189" s="44"/>
      <c r="L189" s="44"/>
      <c r="M189" s="44"/>
      <c r="N189" s="44"/>
      <c r="O189" s="44"/>
      <c r="P189" s="44"/>
      <c r="Q189" s="44"/>
      <c r="R189" s="44"/>
      <c r="S189" s="44"/>
      <c r="T189" s="44"/>
      <c r="U189" s="44"/>
      <c r="V189" s="44"/>
      <c r="W189" s="44"/>
      <c r="X189" s="44"/>
      <c r="Y189" s="44"/>
      <c r="Z189" s="44"/>
      <c r="AA189" s="44"/>
    </row>
    <row r="190">
      <c r="A190" s="44"/>
      <c r="B190" s="44"/>
      <c r="C190" s="44"/>
      <c r="D190" s="44"/>
      <c r="E190" s="44"/>
      <c r="F190" s="44"/>
      <c r="G190" s="44"/>
      <c r="H190" s="66" t="s">
        <v>19</v>
      </c>
      <c r="I190" s="44"/>
      <c r="J190" s="65"/>
      <c r="K190" s="44"/>
      <c r="L190" s="44"/>
      <c r="M190" s="44"/>
      <c r="N190" s="44"/>
      <c r="O190" s="44"/>
      <c r="P190" s="44"/>
      <c r="Q190" s="44"/>
      <c r="R190" s="44"/>
      <c r="S190" s="44"/>
      <c r="T190" s="44"/>
      <c r="U190" s="44"/>
      <c r="V190" s="44"/>
      <c r="W190" s="44"/>
      <c r="X190" s="44"/>
      <c r="Y190" s="44"/>
      <c r="Z190" s="44"/>
      <c r="AA190" s="44"/>
    </row>
    <row r="191">
      <c r="A191" s="44"/>
      <c r="B191" s="44"/>
      <c r="C191" s="44"/>
      <c r="D191" s="44"/>
      <c r="E191" s="44"/>
      <c r="F191" s="44"/>
      <c r="G191" s="44"/>
      <c r="H191" s="44" t="s">
        <v>20</v>
      </c>
      <c r="I191" s="44"/>
      <c r="J191" s="45">
        <v>50.0</v>
      </c>
      <c r="K191" s="44"/>
      <c r="L191" s="44"/>
      <c r="M191" s="44"/>
      <c r="N191" s="44"/>
      <c r="O191" s="44"/>
      <c r="P191" s="44"/>
      <c r="Q191" s="44"/>
      <c r="R191" s="44"/>
      <c r="S191" s="44"/>
      <c r="T191" s="44"/>
      <c r="U191" s="44"/>
      <c r="V191" s="44"/>
      <c r="W191" s="44"/>
      <c r="X191" s="44"/>
      <c r="Y191" s="44"/>
      <c r="Z191" s="44"/>
      <c r="AA191" s="44"/>
    </row>
    <row r="192">
      <c r="A192" s="44"/>
      <c r="B192" s="44"/>
      <c r="C192" s="44"/>
      <c r="D192" s="44"/>
      <c r="E192" s="44"/>
      <c r="F192" s="44"/>
      <c r="G192" s="44"/>
      <c r="H192" s="55" t="s">
        <v>48</v>
      </c>
      <c r="I192" s="55"/>
      <c r="J192" s="56">
        <v>600.0</v>
      </c>
      <c r="K192" s="44"/>
      <c r="L192" s="44"/>
      <c r="M192" s="44"/>
      <c r="N192" s="44"/>
      <c r="O192" s="44"/>
      <c r="P192" s="44"/>
      <c r="Q192" s="44"/>
      <c r="R192" s="44"/>
      <c r="S192" s="44"/>
      <c r="T192" s="44"/>
      <c r="U192" s="44"/>
      <c r="V192" s="44"/>
      <c r="W192" s="44"/>
      <c r="X192" s="44"/>
      <c r="Y192" s="44"/>
      <c r="Z192" s="44"/>
      <c r="AA192" s="44"/>
    </row>
    <row r="193">
      <c r="A193" s="44"/>
      <c r="B193" s="44"/>
      <c r="C193" s="44"/>
      <c r="D193" s="44"/>
      <c r="E193" s="44"/>
      <c r="F193" s="44"/>
      <c r="G193" s="44"/>
      <c r="H193" s="69" t="s">
        <v>177</v>
      </c>
      <c r="I193" s="44"/>
      <c r="J193" s="45">
        <v>220.0</v>
      </c>
      <c r="K193" s="44"/>
      <c r="L193" s="44"/>
      <c r="M193" s="44"/>
      <c r="N193" s="44"/>
      <c r="O193" s="44"/>
      <c r="P193" s="44"/>
      <c r="Q193" s="44"/>
      <c r="R193" s="44"/>
      <c r="S193" s="44"/>
      <c r="T193" s="44"/>
      <c r="U193" s="44"/>
      <c r="V193" s="44"/>
      <c r="W193" s="44"/>
      <c r="X193" s="44"/>
      <c r="Y193" s="44"/>
      <c r="Z193" s="44"/>
      <c r="AA193" s="44"/>
    </row>
    <row r="194">
      <c r="A194" s="44"/>
      <c r="B194" s="44"/>
      <c r="C194" s="44"/>
      <c r="D194" s="44"/>
      <c r="E194" s="44"/>
      <c r="F194" s="44"/>
      <c r="G194" s="44"/>
      <c r="H194" s="44" t="s">
        <v>24</v>
      </c>
      <c r="I194" s="44"/>
      <c r="J194" s="65"/>
      <c r="K194" s="44"/>
      <c r="L194" s="44"/>
      <c r="M194" s="44"/>
      <c r="N194" s="44"/>
      <c r="O194" s="44"/>
      <c r="P194" s="44"/>
      <c r="Q194" s="44"/>
      <c r="R194" s="44"/>
      <c r="S194" s="44"/>
      <c r="T194" s="44"/>
      <c r="U194" s="44"/>
      <c r="V194" s="44"/>
      <c r="W194" s="44"/>
      <c r="X194" s="44"/>
      <c r="Y194" s="44"/>
      <c r="Z194" s="44"/>
      <c r="AA194" s="44"/>
    </row>
    <row r="195">
      <c r="A195" s="44"/>
      <c r="B195" s="44"/>
      <c r="C195" s="44"/>
      <c r="D195" s="44"/>
      <c r="E195" s="44"/>
      <c r="F195" s="44"/>
      <c r="G195" s="44"/>
      <c r="H195" s="44" t="s">
        <v>27</v>
      </c>
      <c r="I195" s="44"/>
      <c r="J195" s="65"/>
      <c r="K195" s="44"/>
      <c r="L195" s="44"/>
      <c r="M195" s="44"/>
      <c r="N195" s="44"/>
      <c r="O195" s="44"/>
      <c r="P195" s="44"/>
      <c r="Q195" s="44"/>
      <c r="R195" s="44"/>
      <c r="S195" s="44"/>
      <c r="T195" s="44"/>
      <c r="U195" s="44"/>
      <c r="V195" s="44"/>
      <c r="W195" s="44"/>
      <c r="X195" s="44"/>
      <c r="Y195" s="44"/>
      <c r="Z195" s="44"/>
      <c r="AA195" s="44"/>
    </row>
    <row r="196">
      <c r="A196" s="44"/>
      <c r="B196" s="44"/>
      <c r="C196" s="44"/>
      <c r="D196" s="44"/>
      <c r="E196" s="44"/>
      <c r="F196" s="44"/>
      <c r="G196" s="44"/>
      <c r="H196" s="66" t="s">
        <v>83</v>
      </c>
      <c r="I196" s="44"/>
      <c r="J196" s="45">
        <v>450.0</v>
      </c>
      <c r="K196" s="44"/>
      <c r="L196" s="44"/>
      <c r="M196" s="44"/>
      <c r="N196" s="44"/>
      <c r="O196" s="44"/>
      <c r="P196" s="44"/>
      <c r="Q196" s="44"/>
      <c r="R196" s="44"/>
      <c r="S196" s="44"/>
      <c r="T196" s="44"/>
      <c r="U196" s="44"/>
      <c r="V196" s="44"/>
      <c r="W196" s="44"/>
      <c r="X196" s="44"/>
      <c r="Y196" s="44"/>
      <c r="Z196" s="44"/>
      <c r="AA196" s="44"/>
    </row>
    <row r="197">
      <c r="A197" s="44"/>
      <c r="B197" s="44"/>
      <c r="C197" s="44"/>
      <c r="D197" s="44"/>
      <c r="E197" s="44"/>
      <c r="F197" s="44"/>
      <c r="G197" s="44"/>
      <c r="H197" s="67" t="s">
        <v>96</v>
      </c>
      <c r="I197" s="55"/>
      <c r="J197" s="55"/>
      <c r="K197" s="44"/>
      <c r="L197" s="44"/>
      <c r="M197" s="44"/>
      <c r="N197" s="44"/>
      <c r="O197" s="44"/>
      <c r="P197" s="44"/>
      <c r="Q197" s="44"/>
      <c r="R197" s="44"/>
      <c r="S197" s="44"/>
      <c r="T197" s="44"/>
      <c r="U197" s="44"/>
      <c r="V197" s="44"/>
      <c r="W197" s="44"/>
      <c r="X197" s="44"/>
      <c r="Y197" s="44"/>
      <c r="Z197" s="44"/>
      <c r="AA197" s="44"/>
    </row>
    <row r="198">
      <c r="A198" s="65"/>
      <c r="B198" s="44"/>
      <c r="C198" s="65"/>
      <c r="D198" s="65"/>
      <c r="E198" s="44"/>
      <c r="F198" s="44"/>
      <c r="G198" s="44"/>
      <c r="H198" s="44" t="s">
        <v>31</v>
      </c>
      <c r="I198" s="44"/>
      <c r="J198" s="44"/>
      <c r="K198" s="44"/>
      <c r="L198" s="44"/>
      <c r="M198" s="44"/>
      <c r="N198" s="44"/>
      <c r="O198" s="44"/>
      <c r="P198" s="44"/>
      <c r="Q198" s="44"/>
      <c r="R198" s="44"/>
      <c r="S198" s="44"/>
      <c r="T198" s="44"/>
      <c r="U198" s="44"/>
      <c r="V198" s="44"/>
      <c r="W198" s="44"/>
      <c r="X198" s="44"/>
      <c r="Y198" s="44"/>
      <c r="Z198" s="44"/>
      <c r="AA198" s="44"/>
    </row>
    <row r="199">
      <c r="A199" s="47" t="s">
        <v>127</v>
      </c>
      <c r="B199" s="48"/>
      <c r="C199" s="68" t="s">
        <v>184</v>
      </c>
      <c r="D199" s="50"/>
      <c r="E199" s="44"/>
      <c r="F199" s="44"/>
      <c r="G199" s="44"/>
      <c r="H199" s="44"/>
      <c r="I199" s="44"/>
      <c r="J199" s="44"/>
      <c r="K199" s="44"/>
      <c r="L199" s="44"/>
      <c r="M199" s="44"/>
      <c r="N199" s="44"/>
      <c r="O199" s="44"/>
      <c r="P199" s="44"/>
      <c r="Q199" s="44"/>
      <c r="R199" s="44"/>
      <c r="S199" s="44"/>
      <c r="T199" s="44"/>
      <c r="U199" s="44"/>
      <c r="V199" s="44"/>
      <c r="W199" s="44"/>
      <c r="X199" s="44"/>
      <c r="Y199" s="44"/>
      <c r="Z199" s="44"/>
      <c r="AA199" s="44"/>
    </row>
    <row r="200">
      <c r="A200" s="44"/>
      <c r="B200" s="44"/>
      <c r="C200" s="56" t="s">
        <v>152</v>
      </c>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row>
    <row r="201">
      <c r="A201" s="44"/>
      <c r="B201" s="44"/>
      <c r="C201" s="55" t="s">
        <v>158</v>
      </c>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row>
    <row r="202">
      <c r="A202" s="64"/>
      <c r="B202" s="44"/>
      <c r="C202" s="44"/>
      <c r="D202" s="65"/>
      <c r="E202" s="52"/>
      <c r="F202" s="44"/>
      <c r="G202" s="52"/>
      <c r="H202" s="44"/>
      <c r="I202" s="44"/>
      <c r="J202" s="65"/>
      <c r="K202" s="44"/>
      <c r="L202" s="44"/>
      <c r="M202" s="44"/>
      <c r="N202" s="44"/>
      <c r="O202" s="44"/>
      <c r="P202" s="44"/>
      <c r="Q202" s="44"/>
      <c r="R202" s="44"/>
      <c r="S202" s="44"/>
      <c r="T202" s="44"/>
      <c r="U202" s="44"/>
      <c r="V202" s="44"/>
      <c r="W202" s="44"/>
      <c r="X202" s="44"/>
      <c r="Y202" s="44"/>
      <c r="Z202" s="44"/>
      <c r="AA202" s="44"/>
    </row>
    <row r="203">
      <c r="A203" s="52"/>
      <c r="B203" s="44"/>
      <c r="C203" s="44"/>
      <c r="D203" s="44"/>
      <c r="E203" s="52"/>
      <c r="F203" s="44"/>
      <c r="G203" s="52"/>
      <c r="H203" s="44"/>
      <c r="I203" s="44"/>
      <c r="J203" s="65"/>
      <c r="K203" s="44"/>
      <c r="L203" s="44"/>
      <c r="M203" s="44"/>
      <c r="N203" s="44"/>
      <c r="O203" s="44"/>
      <c r="P203" s="44"/>
      <c r="Q203" s="44"/>
      <c r="R203" s="44"/>
      <c r="S203" s="44"/>
      <c r="T203" s="44"/>
      <c r="U203" s="44"/>
      <c r="V203" s="44"/>
      <c r="W203" s="44"/>
      <c r="X203" s="44"/>
      <c r="Y203" s="44"/>
      <c r="Z203" s="44"/>
      <c r="AA203" s="44"/>
    </row>
    <row r="204">
      <c r="A204" s="51" t="s">
        <v>185</v>
      </c>
      <c r="B204" s="44"/>
      <c r="C204" s="44" t="s">
        <v>3</v>
      </c>
      <c r="D204" s="44"/>
      <c r="E204" s="52"/>
      <c r="F204" s="44"/>
      <c r="G204" s="52" t="s">
        <v>60</v>
      </c>
      <c r="H204" s="44" t="s">
        <v>4</v>
      </c>
      <c r="I204" s="44"/>
      <c r="J204" s="45">
        <v>60.0</v>
      </c>
      <c r="K204" s="44"/>
      <c r="L204" s="44"/>
      <c r="M204" s="44"/>
      <c r="N204" s="44"/>
      <c r="O204" s="44"/>
      <c r="P204" s="44"/>
      <c r="Q204" s="44"/>
      <c r="R204" s="44"/>
      <c r="S204" s="44"/>
      <c r="T204" s="44"/>
      <c r="U204" s="44"/>
      <c r="V204" s="44"/>
      <c r="W204" s="44"/>
      <c r="X204" s="44"/>
      <c r="Y204" s="44"/>
      <c r="Z204" s="44"/>
      <c r="AA204" s="44"/>
    </row>
    <row r="205">
      <c r="A205" s="44"/>
      <c r="B205" s="44"/>
      <c r="C205" s="44" t="s">
        <v>24</v>
      </c>
      <c r="D205" s="44"/>
      <c r="E205" s="44"/>
      <c r="F205" s="44"/>
      <c r="G205" s="44"/>
      <c r="H205" s="66" t="s">
        <v>25</v>
      </c>
      <c r="I205" s="44"/>
      <c r="J205" s="65"/>
      <c r="K205" s="44"/>
      <c r="L205" s="44"/>
      <c r="M205" s="44"/>
      <c r="N205" s="44"/>
      <c r="O205" s="44"/>
      <c r="P205" s="44"/>
      <c r="Q205" s="44"/>
      <c r="R205" s="44"/>
      <c r="S205" s="44"/>
      <c r="T205" s="44"/>
      <c r="U205" s="44"/>
      <c r="V205" s="44"/>
      <c r="W205" s="44"/>
      <c r="X205" s="44"/>
      <c r="Y205" s="44"/>
      <c r="Z205" s="44"/>
      <c r="AA205" s="44"/>
    </row>
    <row r="206">
      <c r="A206" s="54" t="s">
        <v>186</v>
      </c>
      <c r="B206" s="44"/>
      <c r="C206" s="44" t="s">
        <v>26</v>
      </c>
      <c r="D206" s="44"/>
      <c r="E206" s="44"/>
      <c r="F206" s="44"/>
      <c r="G206" s="44"/>
      <c r="H206" s="44" t="s">
        <v>6</v>
      </c>
      <c r="I206" s="44"/>
      <c r="J206" s="45">
        <v>120.0</v>
      </c>
      <c r="K206" s="44"/>
      <c r="L206" s="44"/>
      <c r="M206" s="44"/>
      <c r="N206" s="44"/>
      <c r="O206" s="44"/>
      <c r="P206" s="44"/>
      <c r="Q206" s="44"/>
      <c r="R206" s="44"/>
      <c r="S206" s="44"/>
      <c r="T206" s="44"/>
      <c r="U206" s="44"/>
      <c r="V206" s="44"/>
      <c r="W206" s="44"/>
      <c r="X206" s="44"/>
      <c r="Y206" s="44"/>
      <c r="Z206" s="44"/>
      <c r="AA206" s="44"/>
    </row>
    <row r="207">
      <c r="A207" s="44"/>
      <c r="B207" s="44"/>
      <c r="C207" s="44" t="s">
        <v>27</v>
      </c>
      <c r="D207" s="44"/>
      <c r="E207" s="44"/>
      <c r="F207" s="44"/>
      <c r="G207" s="44"/>
      <c r="H207" s="44" t="s">
        <v>81</v>
      </c>
      <c r="I207" s="44"/>
      <c r="J207" s="45">
        <v>130.0</v>
      </c>
      <c r="K207" s="44"/>
      <c r="L207" s="44"/>
      <c r="M207" s="44"/>
      <c r="N207" s="44"/>
      <c r="O207" s="44"/>
      <c r="P207" s="44"/>
      <c r="Q207" s="44"/>
      <c r="R207" s="44"/>
      <c r="S207" s="44"/>
      <c r="T207" s="44"/>
      <c r="U207" s="44"/>
      <c r="V207" s="44"/>
      <c r="W207" s="44"/>
      <c r="X207" s="44"/>
      <c r="Y207" s="44"/>
      <c r="Z207" s="44"/>
      <c r="AA207" s="44"/>
    </row>
    <row r="208">
      <c r="A208" s="44"/>
      <c r="B208" s="44"/>
      <c r="C208" s="44" t="s">
        <v>37</v>
      </c>
      <c r="D208" s="44"/>
      <c r="E208" s="44"/>
      <c r="F208" s="44"/>
      <c r="G208" s="44"/>
      <c r="H208" s="66" t="s">
        <v>8</v>
      </c>
      <c r="I208" s="44"/>
      <c r="J208" s="44"/>
      <c r="K208" s="44"/>
      <c r="L208" s="44"/>
      <c r="M208" s="44"/>
      <c r="N208" s="44"/>
      <c r="O208" s="44"/>
      <c r="P208" s="44"/>
      <c r="Q208" s="44"/>
      <c r="R208" s="44"/>
      <c r="S208" s="44"/>
      <c r="T208" s="44"/>
      <c r="U208" s="44"/>
      <c r="V208" s="44"/>
      <c r="W208" s="44"/>
      <c r="X208" s="44"/>
      <c r="Y208" s="44"/>
      <c r="Z208" s="44"/>
      <c r="AA208" s="44"/>
    </row>
    <row r="209">
      <c r="A209" s="44"/>
      <c r="B209" s="44"/>
      <c r="C209" s="44" t="s">
        <v>52</v>
      </c>
      <c r="D209" s="44"/>
      <c r="E209" s="44"/>
      <c r="F209" s="44"/>
      <c r="G209" s="44"/>
      <c r="H209" s="66" t="s">
        <v>94</v>
      </c>
      <c r="I209" s="44"/>
      <c r="J209" s="45">
        <v>80.0</v>
      </c>
      <c r="K209" s="44"/>
      <c r="L209" s="44"/>
      <c r="M209" s="44"/>
      <c r="N209" s="44"/>
      <c r="O209" s="44"/>
      <c r="P209" s="44"/>
      <c r="Q209" s="44"/>
      <c r="R209" s="44"/>
      <c r="S209" s="44"/>
      <c r="T209" s="44"/>
      <c r="U209" s="44"/>
      <c r="V209" s="44"/>
      <c r="W209" s="44"/>
      <c r="X209" s="44"/>
      <c r="Y209" s="44"/>
      <c r="Z209" s="44"/>
      <c r="AA209" s="44"/>
    </row>
    <row r="210">
      <c r="A210" s="44"/>
      <c r="B210" s="44"/>
      <c r="C210" s="44"/>
      <c r="D210" s="44"/>
      <c r="E210" s="44"/>
      <c r="F210" s="44"/>
      <c r="G210" s="44"/>
      <c r="H210" s="44" t="s">
        <v>10</v>
      </c>
      <c r="I210" s="44"/>
      <c r="J210" s="44"/>
      <c r="K210" s="44"/>
      <c r="L210" s="44"/>
      <c r="M210" s="44"/>
      <c r="N210" s="44"/>
      <c r="O210" s="44"/>
      <c r="P210" s="44"/>
      <c r="Q210" s="44"/>
      <c r="R210" s="44"/>
      <c r="S210" s="44"/>
      <c r="T210" s="44"/>
      <c r="U210" s="44"/>
      <c r="V210" s="44"/>
      <c r="W210" s="44"/>
      <c r="X210" s="44"/>
      <c r="Y210" s="44"/>
      <c r="Z210" s="44"/>
      <c r="AA210" s="44"/>
    </row>
    <row r="211">
      <c r="A211" s="44"/>
      <c r="B211" s="52"/>
      <c r="C211" s="52"/>
      <c r="D211" s="52"/>
      <c r="E211" s="52"/>
      <c r="F211" s="44"/>
      <c r="G211" s="44"/>
      <c r="H211" s="44" t="s">
        <v>34</v>
      </c>
      <c r="I211" s="44"/>
      <c r="J211" s="45">
        <v>20.0</v>
      </c>
      <c r="K211" s="44"/>
      <c r="L211" s="44"/>
      <c r="M211" s="44"/>
      <c r="N211" s="44"/>
      <c r="O211" s="44"/>
      <c r="P211" s="44"/>
      <c r="Q211" s="44"/>
      <c r="R211" s="44"/>
      <c r="S211" s="44"/>
      <c r="T211" s="44"/>
      <c r="U211" s="44"/>
      <c r="V211" s="44"/>
      <c r="W211" s="44"/>
      <c r="X211" s="44"/>
      <c r="Y211" s="44"/>
      <c r="Z211" s="44"/>
      <c r="AA211" s="44"/>
    </row>
    <row r="212">
      <c r="A212" s="44"/>
      <c r="B212" s="44"/>
      <c r="C212" s="44"/>
      <c r="D212" s="44"/>
      <c r="E212" s="44"/>
      <c r="F212" s="44"/>
      <c r="G212" s="44"/>
      <c r="H212" s="66" t="s">
        <v>28</v>
      </c>
      <c r="I212" s="44"/>
      <c r="J212" s="44"/>
      <c r="K212" s="44"/>
      <c r="L212" s="44"/>
      <c r="M212" s="44"/>
      <c r="N212" s="44"/>
      <c r="O212" s="44"/>
      <c r="P212" s="44"/>
      <c r="Q212" s="44"/>
      <c r="R212" s="44"/>
      <c r="S212" s="44"/>
      <c r="T212" s="44"/>
      <c r="U212" s="44"/>
      <c r="V212" s="44"/>
      <c r="W212" s="44"/>
      <c r="X212" s="44"/>
      <c r="Y212" s="44"/>
      <c r="Z212" s="44"/>
      <c r="AA212" s="44"/>
    </row>
    <row r="213">
      <c r="A213" s="44"/>
      <c r="B213" s="44"/>
      <c r="C213" s="44"/>
      <c r="D213" s="44"/>
      <c r="E213" s="44"/>
      <c r="F213" s="44"/>
      <c r="G213" s="44"/>
      <c r="H213" s="44" t="s">
        <v>11</v>
      </c>
      <c r="I213" s="44"/>
      <c r="J213" s="65"/>
      <c r="K213" s="44"/>
      <c r="L213" s="44"/>
      <c r="M213" s="44"/>
      <c r="N213" s="44"/>
      <c r="O213" s="44"/>
      <c r="P213" s="44"/>
      <c r="Q213" s="44"/>
      <c r="R213" s="44"/>
      <c r="S213" s="44"/>
      <c r="T213" s="44"/>
      <c r="U213" s="44"/>
      <c r="V213" s="44"/>
      <c r="W213" s="44"/>
      <c r="X213" s="44"/>
      <c r="Y213" s="44"/>
      <c r="Z213" s="44"/>
      <c r="AA213" s="44"/>
    </row>
    <row r="214">
      <c r="A214" s="44"/>
      <c r="B214" s="44"/>
      <c r="C214" s="44"/>
      <c r="D214" s="44"/>
      <c r="E214" s="44"/>
      <c r="F214" s="44"/>
      <c r="G214" s="44"/>
      <c r="H214" s="44" t="s">
        <v>12</v>
      </c>
      <c r="I214" s="44"/>
      <c r="J214" s="65"/>
      <c r="K214" s="44"/>
      <c r="L214" s="44"/>
      <c r="M214" s="44"/>
      <c r="N214" s="44"/>
      <c r="O214" s="44"/>
      <c r="P214" s="44"/>
      <c r="Q214" s="44"/>
      <c r="R214" s="44"/>
      <c r="S214" s="44"/>
      <c r="T214" s="44"/>
      <c r="U214" s="44"/>
      <c r="V214" s="44"/>
      <c r="W214" s="44"/>
      <c r="X214" s="44"/>
      <c r="Y214" s="44"/>
      <c r="Z214" s="44"/>
      <c r="AA214" s="44"/>
    </row>
    <row r="215">
      <c r="A215" s="44"/>
      <c r="B215" s="44"/>
      <c r="C215" s="44"/>
      <c r="D215" s="44"/>
      <c r="E215" s="44"/>
      <c r="F215" s="44"/>
      <c r="G215" s="44"/>
      <c r="H215" s="44" t="s">
        <v>95</v>
      </c>
      <c r="I215" s="44"/>
      <c r="J215" s="45">
        <v>800.0</v>
      </c>
      <c r="K215" s="44"/>
      <c r="L215" s="44"/>
      <c r="M215" s="44"/>
      <c r="N215" s="44"/>
      <c r="O215" s="44"/>
      <c r="P215" s="44"/>
      <c r="Q215" s="44"/>
      <c r="R215" s="44"/>
      <c r="S215" s="44"/>
      <c r="T215" s="44"/>
      <c r="U215" s="44"/>
      <c r="V215" s="44"/>
      <c r="W215" s="44"/>
      <c r="X215" s="44"/>
      <c r="Y215" s="44"/>
      <c r="Z215" s="44"/>
      <c r="AA215" s="44"/>
    </row>
    <row r="216">
      <c r="A216" s="44"/>
      <c r="B216" s="44"/>
      <c r="C216" s="44"/>
      <c r="D216" s="44"/>
      <c r="E216" s="44"/>
      <c r="F216" s="44"/>
      <c r="G216" s="44"/>
      <c r="H216" s="44" t="s">
        <v>14</v>
      </c>
      <c r="I216" s="44"/>
      <c r="J216" s="44"/>
      <c r="K216" s="44"/>
      <c r="L216" s="44"/>
      <c r="M216" s="44"/>
      <c r="N216" s="44"/>
      <c r="O216" s="44"/>
      <c r="P216" s="44"/>
      <c r="Q216" s="44"/>
      <c r="R216" s="44"/>
      <c r="S216" s="44"/>
      <c r="T216" s="44"/>
      <c r="U216" s="44"/>
      <c r="V216" s="44"/>
      <c r="W216" s="44"/>
      <c r="X216" s="44"/>
      <c r="Y216" s="44"/>
      <c r="Z216" s="44"/>
      <c r="AA216" s="44"/>
    </row>
    <row r="217">
      <c r="A217" s="44"/>
      <c r="B217" s="44"/>
      <c r="C217" s="44"/>
      <c r="D217" s="44"/>
      <c r="E217" s="44"/>
      <c r="F217" s="44"/>
      <c r="G217" s="44"/>
      <c r="H217" s="44" t="s">
        <v>108</v>
      </c>
      <c r="I217" s="44"/>
      <c r="J217" s="44"/>
      <c r="K217" s="44"/>
      <c r="L217" s="44"/>
      <c r="M217" s="44"/>
      <c r="N217" s="44"/>
      <c r="O217" s="44"/>
      <c r="P217" s="44"/>
      <c r="Q217" s="44"/>
      <c r="R217" s="44"/>
      <c r="S217" s="44"/>
      <c r="T217" s="44"/>
      <c r="U217" s="44"/>
      <c r="V217" s="44"/>
      <c r="W217" s="44"/>
      <c r="X217" s="44"/>
      <c r="Y217" s="44"/>
      <c r="Z217" s="44"/>
      <c r="AA217" s="44"/>
    </row>
    <row r="218">
      <c r="A218" s="44"/>
      <c r="B218" s="44"/>
      <c r="C218" s="44"/>
      <c r="D218" s="44"/>
      <c r="E218" s="44"/>
      <c r="F218" s="44"/>
      <c r="G218" s="44"/>
      <c r="H218" s="65" t="s">
        <v>156</v>
      </c>
      <c r="I218" s="44"/>
      <c r="J218" s="45">
        <v>1100.0</v>
      </c>
      <c r="K218" s="44"/>
      <c r="L218" s="44"/>
      <c r="M218" s="44"/>
      <c r="N218" s="44"/>
      <c r="O218" s="44"/>
      <c r="P218" s="44"/>
      <c r="Q218" s="44"/>
      <c r="R218" s="44"/>
      <c r="S218" s="44"/>
      <c r="T218" s="44"/>
      <c r="U218" s="44"/>
      <c r="V218" s="44"/>
      <c r="W218" s="44"/>
      <c r="X218" s="44"/>
      <c r="Y218" s="44"/>
      <c r="Z218" s="44"/>
      <c r="AA218" s="44"/>
    </row>
    <row r="219">
      <c r="A219" s="44"/>
      <c r="B219" s="44"/>
      <c r="C219" s="44"/>
      <c r="D219" s="44"/>
      <c r="E219" s="44"/>
      <c r="F219" s="44"/>
      <c r="G219" s="44"/>
      <c r="H219" s="66" t="s">
        <v>16</v>
      </c>
      <c r="I219" s="44"/>
      <c r="J219" s="44"/>
      <c r="K219" s="44"/>
      <c r="L219" s="44"/>
      <c r="M219" s="44"/>
      <c r="N219" s="44"/>
      <c r="O219" s="44"/>
      <c r="P219" s="44"/>
      <c r="Q219" s="44"/>
      <c r="R219" s="44"/>
      <c r="S219" s="44"/>
      <c r="T219" s="44"/>
      <c r="U219" s="44"/>
      <c r="V219" s="44"/>
      <c r="W219" s="44"/>
      <c r="X219" s="44"/>
      <c r="Y219" s="44"/>
      <c r="Z219" s="44"/>
      <c r="AA219" s="44"/>
    </row>
    <row r="220">
      <c r="A220" s="44"/>
      <c r="B220" s="44"/>
      <c r="C220" s="44"/>
      <c r="D220" s="44"/>
      <c r="E220" s="44"/>
      <c r="F220" s="44"/>
      <c r="G220" s="44"/>
      <c r="H220" s="44" t="s">
        <v>131</v>
      </c>
      <c r="I220" s="44"/>
      <c r="J220" s="45">
        <v>260.0</v>
      </c>
      <c r="K220" s="44"/>
      <c r="L220" s="44"/>
      <c r="M220" s="44"/>
      <c r="N220" s="44"/>
      <c r="O220" s="44"/>
      <c r="P220" s="44"/>
      <c r="Q220" s="44"/>
      <c r="R220" s="44"/>
      <c r="S220" s="44"/>
      <c r="T220" s="44"/>
      <c r="U220" s="44"/>
      <c r="V220" s="44"/>
      <c r="W220" s="44"/>
      <c r="X220" s="44"/>
      <c r="Y220" s="44"/>
      <c r="Z220" s="44"/>
      <c r="AA220" s="44"/>
    </row>
    <row r="221">
      <c r="A221" s="44"/>
      <c r="B221" s="44"/>
      <c r="C221" s="44"/>
      <c r="D221" s="44"/>
      <c r="E221" s="44"/>
      <c r="F221" s="44"/>
      <c r="G221" s="44"/>
      <c r="H221" s="44" t="s">
        <v>18</v>
      </c>
      <c r="I221" s="44"/>
      <c r="J221" s="65"/>
      <c r="K221" s="44"/>
      <c r="L221" s="44"/>
      <c r="M221" s="44"/>
      <c r="N221" s="44"/>
      <c r="O221" s="44"/>
      <c r="P221" s="44"/>
      <c r="Q221" s="44"/>
      <c r="R221" s="44"/>
      <c r="S221" s="44"/>
      <c r="T221" s="44"/>
      <c r="U221" s="44"/>
      <c r="V221" s="44"/>
      <c r="W221" s="44"/>
      <c r="X221" s="44"/>
      <c r="Y221" s="44"/>
      <c r="Z221" s="44"/>
      <c r="AA221" s="44"/>
    </row>
    <row r="222">
      <c r="A222" s="44"/>
      <c r="B222" s="44"/>
      <c r="C222" s="44"/>
      <c r="D222" s="44"/>
      <c r="E222" s="44"/>
      <c r="F222" s="44"/>
      <c r="G222" s="44"/>
      <c r="H222" s="66" t="s">
        <v>19</v>
      </c>
      <c r="I222" s="44"/>
      <c r="K222" s="44"/>
      <c r="L222" s="44"/>
      <c r="M222" s="44"/>
      <c r="N222" s="44"/>
      <c r="O222" s="44"/>
      <c r="P222" s="44"/>
      <c r="Q222" s="44"/>
      <c r="R222" s="44"/>
      <c r="S222" s="44"/>
      <c r="T222" s="44"/>
      <c r="U222" s="44"/>
      <c r="V222" s="44"/>
      <c r="W222" s="44"/>
      <c r="X222" s="44"/>
      <c r="Y222" s="44"/>
      <c r="Z222" s="44"/>
      <c r="AA222" s="44"/>
    </row>
    <row r="223">
      <c r="A223" s="44"/>
      <c r="B223" s="44"/>
      <c r="C223" s="44"/>
      <c r="D223" s="44"/>
      <c r="E223" s="44"/>
      <c r="F223" s="44"/>
      <c r="G223" s="44"/>
      <c r="H223" s="44" t="s">
        <v>20</v>
      </c>
      <c r="I223" s="44"/>
      <c r="J223" s="45">
        <v>50.0</v>
      </c>
      <c r="K223" s="44"/>
      <c r="L223" s="44"/>
      <c r="M223" s="44"/>
      <c r="N223" s="44"/>
      <c r="O223" s="44"/>
      <c r="P223" s="44"/>
      <c r="Q223" s="44"/>
      <c r="R223" s="44"/>
      <c r="S223" s="44"/>
      <c r="T223" s="44"/>
      <c r="U223" s="44"/>
      <c r="V223" s="44"/>
      <c r="W223" s="44"/>
      <c r="X223" s="44"/>
      <c r="Y223" s="44"/>
      <c r="Z223" s="44"/>
      <c r="AA223" s="44"/>
    </row>
    <row r="224">
      <c r="A224" s="44"/>
      <c r="B224" s="44"/>
      <c r="C224" s="44"/>
      <c r="D224" s="44"/>
      <c r="E224" s="44"/>
      <c r="F224" s="44"/>
      <c r="G224" s="44"/>
      <c r="H224" s="55" t="s">
        <v>48</v>
      </c>
      <c r="I224" s="55"/>
      <c r="J224" s="56">
        <v>600.0</v>
      </c>
      <c r="K224" s="44"/>
      <c r="L224" s="44"/>
      <c r="M224" s="44"/>
      <c r="N224" s="44"/>
      <c r="O224" s="44"/>
      <c r="P224" s="44"/>
      <c r="Q224" s="44"/>
      <c r="R224" s="44"/>
      <c r="S224" s="44"/>
      <c r="T224" s="44"/>
      <c r="U224" s="44"/>
      <c r="V224" s="44"/>
      <c r="W224" s="44"/>
      <c r="X224" s="44"/>
      <c r="Y224" s="44"/>
      <c r="Z224" s="44"/>
      <c r="AA224" s="44"/>
    </row>
    <row r="225">
      <c r="A225" s="44"/>
      <c r="B225" s="44"/>
      <c r="C225" s="44"/>
      <c r="D225" s="44"/>
      <c r="E225" s="44"/>
      <c r="F225" s="44"/>
      <c r="G225" s="44"/>
      <c r="H225" s="66" t="s">
        <v>29</v>
      </c>
      <c r="I225" s="44"/>
      <c r="J225" s="44"/>
      <c r="K225" s="44"/>
      <c r="L225" s="44"/>
      <c r="M225" s="44"/>
      <c r="N225" s="44"/>
      <c r="O225" s="44"/>
      <c r="P225" s="44"/>
      <c r="Q225" s="44"/>
      <c r="R225" s="44"/>
      <c r="S225" s="44"/>
      <c r="T225" s="44"/>
      <c r="U225" s="44"/>
      <c r="V225" s="44"/>
      <c r="W225" s="44"/>
      <c r="X225" s="44"/>
      <c r="Y225" s="44"/>
      <c r="Z225" s="44"/>
      <c r="AA225" s="44"/>
    </row>
    <row r="226">
      <c r="A226" s="44"/>
      <c r="B226" s="44"/>
      <c r="C226" s="44"/>
      <c r="D226" s="44"/>
      <c r="E226" s="44"/>
      <c r="F226" s="44"/>
      <c r="G226" s="44"/>
      <c r="H226" s="44" t="s">
        <v>24</v>
      </c>
      <c r="I226" s="44"/>
      <c r="J226" s="65"/>
      <c r="K226" s="44"/>
      <c r="L226" s="44"/>
      <c r="M226" s="44"/>
      <c r="N226" s="44"/>
      <c r="O226" s="44"/>
      <c r="P226" s="44"/>
      <c r="Q226" s="44"/>
      <c r="R226" s="44"/>
      <c r="S226" s="44"/>
      <c r="T226" s="44"/>
      <c r="U226" s="44"/>
      <c r="V226" s="44"/>
      <c r="W226" s="44"/>
      <c r="X226" s="44"/>
      <c r="Y226" s="44"/>
      <c r="Z226" s="44"/>
      <c r="AA226" s="44"/>
    </row>
    <row r="227">
      <c r="A227" s="44"/>
      <c r="B227" s="44"/>
      <c r="C227" s="44"/>
      <c r="D227" s="44"/>
      <c r="E227" s="44"/>
      <c r="F227" s="44"/>
      <c r="G227" s="44"/>
      <c r="H227" s="44" t="s">
        <v>27</v>
      </c>
      <c r="I227" s="44"/>
      <c r="J227" s="65"/>
      <c r="K227" s="44"/>
      <c r="L227" s="44"/>
      <c r="M227" s="44"/>
      <c r="N227" s="44"/>
      <c r="O227" s="44"/>
      <c r="P227" s="44"/>
      <c r="Q227" s="44"/>
      <c r="R227" s="44"/>
      <c r="S227" s="44"/>
      <c r="T227" s="44"/>
      <c r="U227" s="44"/>
      <c r="V227" s="44"/>
      <c r="W227" s="44"/>
      <c r="X227" s="44"/>
      <c r="Y227" s="44"/>
      <c r="Z227" s="44"/>
      <c r="AA227" s="44"/>
    </row>
    <row r="228">
      <c r="A228" s="44"/>
      <c r="B228" s="44"/>
      <c r="C228" s="44"/>
      <c r="D228" s="44"/>
      <c r="E228" s="44"/>
      <c r="F228" s="44"/>
      <c r="G228" s="44"/>
      <c r="H228" s="66" t="s">
        <v>83</v>
      </c>
      <c r="I228" s="44"/>
      <c r="J228" s="65"/>
      <c r="K228" s="44"/>
      <c r="L228" s="44"/>
      <c r="M228" s="44"/>
      <c r="N228" s="44"/>
      <c r="O228" s="44"/>
      <c r="P228" s="44"/>
      <c r="Q228" s="44"/>
      <c r="R228" s="44"/>
      <c r="S228" s="44"/>
      <c r="T228" s="44"/>
      <c r="U228" s="44"/>
      <c r="V228" s="44"/>
      <c r="W228" s="44"/>
      <c r="X228" s="44"/>
      <c r="Y228" s="44"/>
      <c r="Z228" s="44"/>
      <c r="AA228" s="44"/>
    </row>
    <row r="229">
      <c r="A229" s="44"/>
      <c r="B229" s="44"/>
      <c r="C229" s="44"/>
      <c r="D229" s="44"/>
      <c r="E229" s="44"/>
      <c r="F229" s="44"/>
      <c r="G229" s="44"/>
      <c r="H229" s="67" t="s">
        <v>96</v>
      </c>
      <c r="I229" s="55"/>
      <c r="J229" s="55"/>
      <c r="K229" s="44"/>
      <c r="L229" s="44"/>
      <c r="M229" s="44"/>
      <c r="N229" s="44"/>
      <c r="O229" s="44"/>
      <c r="P229" s="44"/>
      <c r="Q229" s="44"/>
      <c r="R229" s="44"/>
      <c r="S229" s="44"/>
      <c r="T229" s="44"/>
      <c r="U229" s="44"/>
      <c r="V229" s="44"/>
      <c r="W229" s="44"/>
      <c r="X229" s="44"/>
      <c r="Y229" s="44"/>
      <c r="Z229" s="44"/>
      <c r="AA229" s="44"/>
    </row>
    <row r="230">
      <c r="A230" s="65"/>
      <c r="B230" s="44"/>
      <c r="C230" s="65"/>
      <c r="D230" s="65"/>
      <c r="E230" s="44"/>
      <c r="F230" s="44"/>
      <c r="G230" s="44"/>
      <c r="H230" s="44" t="s">
        <v>31</v>
      </c>
      <c r="I230" s="44"/>
      <c r="J230" s="44"/>
      <c r="K230" s="44"/>
      <c r="L230" s="44"/>
      <c r="M230" s="44"/>
      <c r="N230" s="44"/>
      <c r="O230" s="44"/>
      <c r="P230" s="44"/>
      <c r="Q230" s="44"/>
      <c r="R230" s="44"/>
      <c r="S230" s="44"/>
      <c r="T230" s="44"/>
      <c r="U230" s="44"/>
      <c r="V230" s="44"/>
      <c r="W230" s="44"/>
      <c r="X230" s="44"/>
      <c r="Y230" s="44"/>
      <c r="Z230" s="44"/>
      <c r="AA230" s="44"/>
    </row>
    <row r="231">
      <c r="A231" s="47" t="s">
        <v>71</v>
      </c>
      <c r="B231" s="48"/>
      <c r="C231" s="68" t="s">
        <v>187</v>
      </c>
      <c r="D231" s="50"/>
      <c r="E231" s="44"/>
      <c r="F231" s="44"/>
      <c r="G231" s="44"/>
      <c r="H231" s="44"/>
      <c r="I231" s="44"/>
      <c r="J231" s="44"/>
      <c r="K231" s="44"/>
      <c r="L231" s="44"/>
      <c r="M231" s="44"/>
      <c r="N231" s="44"/>
      <c r="O231" s="44"/>
      <c r="P231" s="44"/>
      <c r="Q231" s="44"/>
      <c r="R231" s="44"/>
      <c r="S231" s="44"/>
      <c r="T231" s="44"/>
      <c r="U231" s="44"/>
      <c r="V231" s="44"/>
      <c r="W231" s="44"/>
      <c r="X231" s="44"/>
      <c r="Y231" s="44"/>
      <c r="Z231" s="44"/>
      <c r="AA231" s="44"/>
    </row>
    <row r="232">
      <c r="A232" s="44"/>
      <c r="B232" s="44"/>
      <c r="C232" s="56" t="s">
        <v>152</v>
      </c>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row>
    <row r="233">
      <c r="A233" s="44"/>
      <c r="B233" s="44"/>
      <c r="C233" s="61" t="s">
        <v>188</v>
      </c>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row>
    <row r="234">
      <c r="A234" s="64"/>
      <c r="B234" s="44"/>
      <c r="C234" s="44"/>
      <c r="D234" s="65"/>
      <c r="E234" s="52"/>
      <c r="F234" s="44"/>
      <c r="G234" s="52"/>
      <c r="H234" s="44"/>
      <c r="I234" s="44"/>
      <c r="J234" s="65"/>
      <c r="K234" s="44"/>
      <c r="L234" s="44"/>
      <c r="M234" s="44"/>
      <c r="N234" s="44"/>
      <c r="O234" s="44"/>
      <c r="P234" s="44"/>
      <c r="Q234" s="44"/>
      <c r="R234" s="44"/>
      <c r="S234" s="44"/>
      <c r="T234" s="44"/>
      <c r="U234" s="44"/>
      <c r="V234" s="44"/>
      <c r="W234" s="44"/>
      <c r="X234" s="44"/>
      <c r="Y234" s="44"/>
      <c r="Z234" s="44"/>
      <c r="AA234" s="44"/>
    </row>
    <row r="235">
      <c r="A235" s="52"/>
      <c r="B235" s="44"/>
      <c r="C235" s="44"/>
      <c r="D235" s="44"/>
      <c r="E235" s="52"/>
      <c r="F235" s="44"/>
      <c r="G235" s="52"/>
      <c r="H235" s="44"/>
      <c r="I235" s="44"/>
      <c r="J235" s="65"/>
      <c r="K235" s="44"/>
      <c r="L235" s="44"/>
      <c r="M235" s="44"/>
      <c r="N235" s="44"/>
      <c r="O235" s="44"/>
      <c r="P235" s="44"/>
      <c r="Q235" s="44"/>
      <c r="R235" s="44"/>
      <c r="S235" s="44"/>
      <c r="T235" s="44"/>
      <c r="U235" s="44"/>
      <c r="V235" s="44"/>
      <c r="W235" s="44"/>
      <c r="X235" s="44"/>
      <c r="Y235" s="44"/>
      <c r="Z235" s="44"/>
      <c r="AA235" s="44"/>
    </row>
    <row r="236">
      <c r="A236" s="51" t="s">
        <v>189</v>
      </c>
      <c r="B236" s="44"/>
      <c r="C236" s="44" t="s">
        <v>3</v>
      </c>
      <c r="D236" s="45"/>
      <c r="E236" s="52"/>
      <c r="F236" s="44"/>
      <c r="G236" s="52" t="s">
        <v>60</v>
      </c>
      <c r="H236" s="44" t="s">
        <v>4</v>
      </c>
      <c r="I236" s="44"/>
      <c r="J236" s="45">
        <v>80.0</v>
      </c>
      <c r="K236" s="44"/>
      <c r="L236" s="44"/>
      <c r="M236" s="44"/>
      <c r="N236" s="44"/>
      <c r="O236" s="44"/>
      <c r="P236" s="44"/>
      <c r="Q236" s="44"/>
      <c r="R236" s="44"/>
      <c r="S236" s="44"/>
      <c r="T236" s="44"/>
      <c r="U236" s="44"/>
      <c r="V236" s="44"/>
      <c r="W236" s="44"/>
      <c r="X236" s="44"/>
      <c r="Y236" s="44"/>
      <c r="Z236" s="44"/>
      <c r="AA236" s="44"/>
    </row>
    <row r="237">
      <c r="A237" s="44"/>
      <c r="B237" s="44"/>
      <c r="C237" s="44" t="s">
        <v>24</v>
      </c>
      <c r="D237" s="44"/>
      <c r="E237" s="44"/>
      <c r="F237" s="44"/>
      <c r="G237" s="44"/>
      <c r="H237" s="66" t="s">
        <v>25</v>
      </c>
      <c r="I237" s="44"/>
      <c r="J237" s="65"/>
      <c r="K237" s="44"/>
      <c r="L237" s="44"/>
      <c r="M237" s="44"/>
      <c r="N237" s="44"/>
      <c r="O237" s="44"/>
      <c r="P237" s="44"/>
      <c r="Q237" s="44"/>
      <c r="R237" s="44"/>
      <c r="S237" s="44"/>
      <c r="T237" s="44"/>
      <c r="U237" s="44"/>
      <c r="V237" s="44"/>
      <c r="W237" s="44"/>
      <c r="X237" s="44"/>
      <c r="Y237" s="44"/>
      <c r="Z237" s="44"/>
      <c r="AA237" s="44"/>
    </row>
    <row r="238">
      <c r="A238" s="54" t="s">
        <v>190</v>
      </c>
      <c r="B238" s="44"/>
      <c r="C238" s="44" t="s">
        <v>26</v>
      </c>
      <c r="D238" s="44"/>
      <c r="E238" s="44"/>
      <c r="F238" s="44"/>
      <c r="G238" s="44"/>
      <c r="H238" s="44" t="s">
        <v>6</v>
      </c>
      <c r="I238" s="44"/>
      <c r="J238" s="61">
        <v>120.0</v>
      </c>
      <c r="K238" s="44"/>
      <c r="L238" s="44"/>
      <c r="M238" s="44"/>
      <c r="N238" s="44"/>
      <c r="O238" s="44"/>
      <c r="P238" s="44"/>
      <c r="Q238" s="44"/>
      <c r="R238" s="44"/>
      <c r="S238" s="44"/>
      <c r="T238" s="44"/>
      <c r="U238" s="44"/>
      <c r="V238" s="44"/>
      <c r="W238" s="44"/>
      <c r="X238" s="44"/>
      <c r="Y238" s="44"/>
      <c r="Z238" s="44"/>
      <c r="AA238" s="44"/>
    </row>
    <row r="239">
      <c r="A239" s="44"/>
      <c r="B239" s="44"/>
      <c r="C239" s="44" t="s">
        <v>27</v>
      </c>
      <c r="D239" s="44"/>
      <c r="E239" s="44"/>
      <c r="F239" s="44"/>
      <c r="G239" s="44"/>
      <c r="H239" s="44" t="s">
        <v>81</v>
      </c>
      <c r="I239" s="44"/>
      <c r="J239" s="45">
        <v>130.0</v>
      </c>
      <c r="K239" s="44"/>
      <c r="L239" s="44"/>
      <c r="M239" s="44"/>
      <c r="N239" s="44"/>
      <c r="O239" s="44"/>
      <c r="P239" s="44"/>
      <c r="Q239" s="44"/>
      <c r="R239" s="44"/>
      <c r="S239" s="44"/>
      <c r="T239" s="44"/>
      <c r="U239" s="44"/>
      <c r="V239" s="44"/>
      <c r="W239" s="44"/>
      <c r="X239" s="44"/>
      <c r="Y239" s="44"/>
      <c r="Z239" s="44"/>
      <c r="AA239" s="44"/>
    </row>
    <row r="240">
      <c r="A240" s="44"/>
      <c r="B240" s="44"/>
      <c r="C240" s="44" t="s">
        <v>37</v>
      </c>
      <c r="D240" s="44"/>
      <c r="E240" s="44"/>
      <c r="F240" s="44"/>
      <c r="G240" s="44"/>
      <c r="H240" s="66" t="s">
        <v>8</v>
      </c>
      <c r="I240" s="44"/>
      <c r="K240" s="44"/>
      <c r="L240" s="44"/>
      <c r="M240" s="44"/>
      <c r="N240" s="44"/>
      <c r="O240" s="44"/>
      <c r="P240" s="44"/>
      <c r="Q240" s="44"/>
      <c r="R240" s="44"/>
      <c r="S240" s="44"/>
      <c r="T240" s="44"/>
      <c r="U240" s="44"/>
      <c r="V240" s="44"/>
      <c r="W240" s="44"/>
      <c r="X240" s="44"/>
      <c r="Y240" s="44"/>
      <c r="Z240" s="44"/>
      <c r="AA240" s="44"/>
    </row>
    <row r="241">
      <c r="A241" s="44"/>
      <c r="B241" s="44"/>
      <c r="C241" s="44" t="s">
        <v>52</v>
      </c>
      <c r="D241" s="44"/>
      <c r="E241" s="44"/>
      <c r="F241" s="44"/>
      <c r="G241" s="44"/>
      <c r="H241" s="66" t="s">
        <v>94</v>
      </c>
      <c r="I241" s="44"/>
      <c r="J241" s="45">
        <v>730.0</v>
      </c>
      <c r="K241" s="44"/>
      <c r="L241" s="44"/>
      <c r="M241" s="44"/>
      <c r="N241" s="44"/>
      <c r="O241" s="44"/>
      <c r="P241" s="44"/>
      <c r="Q241" s="44"/>
      <c r="R241" s="44"/>
      <c r="S241" s="44"/>
      <c r="T241" s="44"/>
      <c r="U241" s="44"/>
      <c r="V241" s="44"/>
      <c r="W241" s="44"/>
      <c r="X241" s="44"/>
      <c r="Y241" s="44"/>
      <c r="Z241" s="44"/>
      <c r="AA241" s="44"/>
    </row>
    <row r="242">
      <c r="A242" s="44"/>
      <c r="B242" s="44"/>
      <c r="C242" s="44"/>
      <c r="D242" s="44"/>
      <c r="E242" s="44"/>
      <c r="F242" s="44"/>
      <c r="G242" s="44"/>
      <c r="H242" s="44" t="s">
        <v>10</v>
      </c>
      <c r="I242" s="44"/>
      <c r="J242" s="61">
        <v>60.0</v>
      </c>
      <c r="K242" s="44"/>
      <c r="L242" s="44"/>
      <c r="M242" s="44"/>
      <c r="N242" s="44"/>
      <c r="O242" s="44"/>
      <c r="P242" s="44"/>
      <c r="Q242" s="44"/>
      <c r="R242" s="44"/>
      <c r="S242" s="44"/>
      <c r="T242" s="44"/>
      <c r="U242" s="44"/>
      <c r="V242" s="44"/>
      <c r="W242" s="44"/>
      <c r="X242" s="44"/>
      <c r="Y242" s="44"/>
      <c r="Z242" s="44"/>
      <c r="AA242" s="44"/>
    </row>
    <row r="243">
      <c r="A243" s="44"/>
      <c r="B243" s="52"/>
      <c r="C243" s="52"/>
      <c r="D243" s="52"/>
      <c r="E243" s="52"/>
      <c r="F243" s="44"/>
      <c r="G243" s="44"/>
      <c r="H243" s="44" t="s">
        <v>34</v>
      </c>
      <c r="I243" s="44"/>
      <c r="J243" s="45">
        <v>20.0</v>
      </c>
      <c r="K243" s="44"/>
      <c r="L243" s="44"/>
      <c r="M243" s="44"/>
      <c r="N243" s="44"/>
      <c r="O243" s="44"/>
      <c r="P243" s="44"/>
      <c r="Q243" s="44"/>
      <c r="R243" s="44"/>
      <c r="S243" s="44"/>
      <c r="T243" s="44"/>
      <c r="U243" s="44"/>
      <c r="V243" s="44"/>
      <c r="W243" s="44"/>
      <c r="X243" s="44"/>
      <c r="Y243" s="44"/>
      <c r="Z243" s="44"/>
      <c r="AA243" s="44"/>
    </row>
    <row r="244">
      <c r="A244" s="44"/>
      <c r="B244" s="44"/>
      <c r="C244" s="44"/>
      <c r="D244" s="44"/>
      <c r="E244" s="44"/>
      <c r="F244" s="44"/>
      <c r="G244" s="44"/>
      <c r="H244" s="66" t="s">
        <v>28</v>
      </c>
      <c r="I244" s="44"/>
      <c r="J244" s="44"/>
      <c r="K244" s="44"/>
      <c r="L244" s="44"/>
      <c r="M244" s="44"/>
      <c r="N244" s="44"/>
      <c r="O244" s="44"/>
      <c r="P244" s="44"/>
      <c r="Q244" s="44"/>
      <c r="R244" s="44"/>
      <c r="S244" s="44"/>
      <c r="T244" s="44"/>
      <c r="U244" s="44"/>
      <c r="V244" s="44"/>
      <c r="W244" s="44"/>
      <c r="X244" s="44"/>
      <c r="Y244" s="44"/>
      <c r="Z244" s="44"/>
      <c r="AA244" s="44"/>
    </row>
    <row r="245">
      <c r="A245" s="44"/>
      <c r="B245" s="44"/>
      <c r="C245" s="44"/>
      <c r="D245" s="44"/>
      <c r="E245" s="44"/>
      <c r="F245" s="44"/>
      <c r="G245" s="44"/>
      <c r="H245" s="44" t="s">
        <v>11</v>
      </c>
      <c r="I245" s="44"/>
      <c r="J245" s="65"/>
      <c r="K245" s="44"/>
      <c r="L245" s="44"/>
      <c r="M245" s="44"/>
      <c r="N245" s="44"/>
      <c r="O245" s="44"/>
      <c r="P245" s="44"/>
      <c r="Q245" s="44"/>
      <c r="R245" s="44"/>
      <c r="S245" s="44"/>
      <c r="T245" s="44"/>
      <c r="U245" s="44"/>
      <c r="V245" s="44"/>
      <c r="W245" s="44"/>
      <c r="X245" s="44"/>
      <c r="Y245" s="44"/>
      <c r="Z245" s="44"/>
      <c r="AA245" s="44"/>
    </row>
    <row r="246">
      <c r="A246" s="44"/>
      <c r="B246" s="44"/>
      <c r="C246" s="44"/>
      <c r="D246" s="44"/>
      <c r="E246" s="44"/>
      <c r="F246" s="44"/>
      <c r="G246" s="44"/>
      <c r="H246" s="44" t="s">
        <v>12</v>
      </c>
      <c r="I246" s="44"/>
      <c r="J246" s="65"/>
      <c r="K246" s="44"/>
      <c r="L246" s="44"/>
      <c r="M246" s="44"/>
      <c r="N246" s="44"/>
      <c r="O246" s="44"/>
      <c r="P246" s="44"/>
      <c r="Q246" s="44"/>
      <c r="R246" s="44"/>
      <c r="S246" s="44"/>
      <c r="T246" s="44"/>
      <c r="U246" s="44"/>
      <c r="V246" s="44"/>
      <c r="W246" s="44"/>
      <c r="X246" s="44"/>
      <c r="Y246" s="44"/>
      <c r="Z246" s="44"/>
      <c r="AA246" s="44"/>
    </row>
    <row r="247">
      <c r="A247" s="44"/>
      <c r="B247" s="44"/>
      <c r="C247" s="44"/>
      <c r="D247" s="44"/>
      <c r="E247" s="44"/>
      <c r="F247" s="44"/>
      <c r="G247" s="44"/>
      <c r="H247" s="44" t="s">
        <v>95</v>
      </c>
      <c r="I247" s="44"/>
      <c r="K247" s="44"/>
      <c r="L247" s="44"/>
      <c r="M247" s="44"/>
      <c r="N247" s="44"/>
      <c r="O247" s="44"/>
      <c r="P247" s="44"/>
      <c r="Q247" s="44"/>
      <c r="R247" s="44"/>
      <c r="S247" s="44"/>
      <c r="T247" s="44"/>
      <c r="U247" s="44"/>
      <c r="V247" s="44"/>
      <c r="W247" s="44"/>
      <c r="X247" s="44"/>
      <c r="Y247" s="44"/>
      <c r="Z247" s="44"/>
      <c r="AA247" s="44"/>
    </row>
    <row r="248">
      <c r="A248" s="44"/>
      <c r="B248" s="44"/>
      <c r="C248" s="44"/>
      <c r="D248" s="44"/>
      <c r="E248" s="44"/>
      <c r="F248" s="44"/>
      <c r="G248" s="44"/>
      <c r="H248" s="44" t="s">
        <v>14</v>
      </c>
      <c r="I248" s="44"/>
      <c r="J248" s="44"/>
      <c r="K248" s="44"/>
      <c r="L248" s="44"/>
      <c r="M248" s="44"/>
      <c r="N248" s="44"/>
      <c r="O248" s="44"/>
      <c r="P248" s="44"/>
      <c r="Q248" s="44"/>
      <c r="R248" s="44"/>
      <c r="S248" s="44"/>
      <c r="T248" s="44"/>
      <c r="U248" s="44"/>
      <c r="V248" s="44"/>
      <c r="W248" s="44"/>
      <c r="X248" s="44"/>
      <c r="Y248" s="44"/>
      <c r="Z248" s="44"/>
      <c r="AA248" s="44"/>
    </row>
    <row r="249">
      <c r="A249" s="44"/>
      <c r="B249" s="44"/>
      <c r="C249" s="44"/>
      <c r="D249" s="44"/>
      <c r="E249" s="44"/>
      <c r="F249" s="44"/>
      <c r="G249" s="44"/>
      <c r="H249" s="44" t="s">
        <v>108</v>
      </c>
      <c r="I249" s="44"/>
      <c r="J249" s="44"/>
      <c r="K249" s="44"/>
      <c r="L249" s="44"/>
      <c r="M249" s="44"/>
      <c r="N249" s="44"/>
      <c r="O249" s="44"/>
      <c r="P249" s="44"/>
      <c r="Q249" s="44"/>
      <c r="R249" s="44"/>
      <c r="S249" s="44"/>
      <c r="T249" s="44"/>
      <c r="U249" s="44"/>
      <c r="V249" s="44"/>
      <c r="W249" s="44"/>
      <c r="X249" s="44"/>
      <c r="Y249" s="44"/>
      <c r="Z249" s="44"/>
      <c r="AA249" s="44"/>
    </row>
    <row r="250">
      <c r="A250" s="44"/>
      <c r="B250" s="44"/>
      <c r="C250" s="44"/>
      <c r="D250" s="44"/>
      <c r="E250" s="44"/>
      <c r="F250" s="44"/>
      <c r="G250" s="44"/>
      <c r="H250" s="65" t="s">
        <v>156</v>
      </c>
      <c r="I250" s="44"/>
      <c r="J250" s="45">
        <v>1100.0</v>
      </c>
      <c r="K250" s="44"/>
      <c r="L250" s="44"/>
      <c r="M250" s="44"/>
      <c r="N250" s="44"/>
      <c r="O250" s="44"/>
      <c r="P250" s="44"/>
      <c r="Q250" s="44"/>
      <c r="R250" s="44"/>
      <c r="S250" s="44"/>
      <c r="T250" s="44"/>
      <c r="U250" s="44"/>
      <c r="V250" s="44"/>
      <c r="W250" s="44"/>
      <c r="X250" s="44"/>
      <c r="Y250" s="44"/>
      <c r="Z250" s="44"/>
      <c r="AA250" s="44"/>
    </row>
    <row r="251">
      <c r="A251" s="44"/>
      <c r="B251" s="44"/>
      <c r="C251" s="44"/>
      <c r="D251" s="44"/>
      <c r="E251" s="44"/>
      <c r="F251" s="44"/>
      <c r="G251" s="44"/>
      <c r="H251" s="69" t="s">
        <v>191</v>
      </c>
      <c r="I251" s="44"/>
      <c r="J251" s="45">
        <v>90.0</v>
      </c>
      <c r="K251" s="44"/>
      <c r="L251" s="44"/>
      <c r="M251" s="44"/>
      <c r="N251" s="44"/>
      <c r="O251" s="44"/>
      <c r="P251" s="44"/>
      <c r="Q251" s="44"/>
      <c r="R251" s="44"/>
      <c r="S251" s="44"/>
      <c r="T251" s="44"/>
      <c r="U251" s="44"/>
      <c r="V251" s="44"/>
      <c r="W251" s="44"/>
      <c r="X251" s="44"/>
      <c r="Y251" s="44"/>
      <c r="Z251" s="44"/>
      <c r="AA251" s="44"/>
    </row>
    <row r="252">
      <c r="A252" s="44"/>
      <c r="B252" s="44"/>
      <c r="C252" s="44"/>
      <c r="D252" s="44"/>
      <c r="E252" s="44"/>
      <c r="F252" s="44"/>
      <c r="G252" s="44"/>
      <c r="H252" s="44" t="s">
        <v>131</v>
      </c>
      <c r="I252" s="44"/>
      <c r="J252" s="61">
        <v>50.0</v>
      </c>
      <c r="K252" s="44"/>
      <c r="L252" s="44"/>
      <c r="M252" s="44"/>
      <c r="N252" s="44"/>
      <c r="O252" s="44"/>
      <c r="P252" s="44"/>
      <c r="Q252" s="44"/>
      <c r="R252" s="44"/>
      <c r="S252" s="44"/>
      <c r="T252" s="44"/>
      <c r="U252" s="44"/>
      <c r="V252" s="44"/>
      <c r="W252" s="44"/>
      <c r="X252" s="44"/>
      <c r="Y252" s="44"/>
      <c r="Z252" s="44"/>
      <c r="AA252" s="44"/>
    </row>
    <row r="253">
      <c r="A253" s="44"/>
      <c r="B253" s="44"/>
      <c r="C253" s="44"/>
      <c r="D253" s="44"/>
      <c r="E253" s="44"/>
      <c r="F253" s="44"/>
      <c r="G253" s="44"/>
      <c r="H253" s="44" t="s">
        <v>18</v>
      </c>
      <c r="I253" s="44"/>
      <c r="J253" s="61">
        <v>20.0</v>
      </c>
      <c r="K253" s="44"/>
      <c r="L253" s="44"/>
      <c r="M253" s="44"/>
      <c r="N253" s="44"/>
      <c r="O253" s="44"/>
      <c r="P253" s="44"/>
      <c r="Q253" s="44"/>
      <c r="R253" s="44"/>
      <c r="S253" s="44"/>
      <c r="T253" s="44"/>
      <c r="U253" s="44"/>
      <c r="V253" s="44"/>
      <c r="W253" s="44"/>
      <c r="X253" s="44"/>
      <c r="Y253" s="44"/>
      <c r="Z253" s="44"/>
      <c r="AA253" s="44"/>
    </row>
    <row r="254">
      <c r="A254" s="44"/>
      <c r="B254" s="44"/>
      <c r="C254" s="44"/>
      <c r="D254" s="44"/>
      <c r="E254" s="44"/>
      <c r="F254" s="44"/>
      <c r="G254" s="44"/>
      <c r="H254" s="66" t="s">
        <v>19</v>
      </c>
      <c r="I254" s="44"/>
      <c r="J254" s="45">
        <v>120.0</v>
      </c>
      <c r="K254" s="44"/>
      <c r="L254" s="44"/>
      <c r="M254" s="44"/>
      <c r="N254" s="44"/>
      <c r="O254" s="44"/>
      <c r="P254" s="44"/>
      <c r="Q254" s="44"/>
      <c r="R254" s="44"/>
      <c r="S254" s="44"/>
      <c r="T254" s="44"/>
      <c r="U254" s="44"/>
      <c r="V254" s="44"/>
      <c r="W254" s="44"/>
      <c r="X254" s="44"/>
      <c r="Y254" s="44"/>
      <c r="Z254" s="44"/>
      <c r="AA254" s="44"/>
    </row>
    <row r="255">
      <c r="A255" s="44"/>
      <c r="B255" s="44"/>
      <c r="C255" s="44"/>
      <c r="D255" s="44"/>
      <c r="E255" s="44"/>
      <c r="F255" s="44"/>
      <c r="G255" s="44"/>
      <c r="H255" s="44" t="s">
        <v>20</v>
      </c>
      <c r="I255" s="44"/>
      <c r="J255" s="65"/>
      <c r="K255" s="44"/>
      <c r="L255" s="44"/>
      <c r="M255" s="44"/>
      <c r="N255" s="44"/>
      <c r="O255" s="44"/>
      <c r="P255" s="44"/>
      <c r="Q255" s="44"/>
      <c r="R255" s="44"/>
      <c r="S255" s="44"/>
      <c r="T255" s="44"/>
      <c r="U255" s="44"/>
      <c r="V255" s="44"/>
      <c r="W255" s="44"/>
      <c r="X255" s="44"/>
      <c r="Y255" s="44"/>
      <c r="Z255" s="44"/>
      <c r="AA255" s="44"/>
    </row>
    <row r="256">
      <c r="A256" s="44"/>
      <c r="B256" s="44"/>
      <c r="C256" s="44"/>
      <c r="D256" s="44"/>
      <c r="E256" s="44"/>
      <c r="F256" s="44"/>
      <c r="G256" s="44"/>
      <c r="H256" s="55" t="s">
        <v>48</v>
      </c>
      <c r="I256" s="55"/>
      <c r="J256" s="56">
        <v>600.0</v>
      </c>
      <c r="K256" s="44"/>
      <c r="L256" s="44"/>
      <c r="M256" s="44"/>
      <c r="N256" s="44"/>
      <c r="O256" s="44"/>
      <c r="P256" s="44"/>
      <c r="Q256" s="44"/>
      <c r="R256" s="44"/>
      <c r="S256" s="44"/>
      <c r="T256" s="44"/>
      <c r="U256" s="44"/>
      <c r="V256" s="44"/>
      <c r="W256" s="44"/>
      <c r="X256" s="44"/>
      <c r="Y256" s="44"/>
      <c r="Z256" s="44"/>
      <c r="AA256" s="44"/>
    </row>
    <row r="257">
      <c r="A257" s="44"/>
      <c r="B257" s="44"/>
      <c r="C257" s="44"/>
      <c r="D257" s="44"/>
      <c r="E257" s="44"/>
      <c r="F257" s="44"/>
      <c r="G257" s="44"/>
      <c r="H257" s="66" t="s">
        <v>29</v>
      </c>
      <c r="I257" s="44"/>
      <c r="J257" s="44"/>
      <c r="K257" s="44"/>
      <c r="L257" s="44"/>
      <c r="M257" s="44"/>
      <c r="N257" s="44"/>
      <c r="O257" s="44"/>
      <c r="P257" s="44"/>
      <c r="Q257" s="44"/>
      <c r="R257" s="44"/>
      <c r="S257" s="44"/>
      <c r="T257" s="44"/>
      <c r="U257" s="44"/>
      <c r="V257" s="44"/>
      <c r="W257" s="44"/>
      <c r="X257" s="44"/>
      <c r="Y257" s="44"/>
      <c r="Z257" s="44"/>
      <c r="AA257" s="44"/>
    </row>
    <row r="258">
      <c r="A258" s="44"/>
      <c r="B258" s="44"/>
      <c r="C258" s="44"/>
      <c r="D258" s="44"/>
      <c r="E258" s="44"/>
      <c r="F258" s="44"/>
      <c r="G258" s="44"/>
      <c r="H258" s="44" t="s">
        <v>24</v>
      </c>
      <c r="I258" s="44"/>
      <c r="J258" s="65"/>
      <c r="K258" s="44"/>
      <c r="L258" s="44"/>
      <c r="M258" s="44"/>
      <c r="N258" s="44"/>
      <c r="O258" s="44"/>
      <c r="P258" s="44"/>
      <c r="Q258" s="44"/>
      <c r="R258" s="44"/>
      <c r="S258" s="44"/>
      <c r="T258" s="44"/>
      <c r="U258" s="44"/>
      <c r="V258" s="44"/>
      <c r="W258" s="44"/>
      <c r="X258" s="44"/>
      <c r="Y258" s="44"/>
      <c r="Z258" s="44"/>
      <c r="AA258" s="44"/>
    </row>
    <row r="259">
      <c r="A259" s="44"/>
      <c r="B259" s="44"/>
      <c r="C259" s="44"/>
      <c r="D259" s="44"/>
      <c r="E259" s="44"/>
      <c r="F259" s="44"/>
      <c r="G259" s="44"/>
      <c r="H259" s="45" t="s">
        <v>192</v>
      </c>
      <c r="I259" s="44"/>
      <c r="J259" s="45">
        <v>250.0</v>
      </c>
      <c r="K259" s="44"/>
      <c r="L259" s="44"/>
      <c r="M259" s="44"/>
      <c r="N259" s="44"/>
      <c r="O259" s="44"/>
      <c r="P259" s="44"/>
      <c r="Q259" s="44"/>
      <c r="R259" s="44"/>
      <c r="S259" s="44"/>
      <c r="T259" s="44"/>
      <c r="U259" s="44"/>
      <c r="V259" s="44"/>
      <c r="W259" s="44"/>
      <c r="X259" s="44"/>
      <c r="Y259" s="44"/>
      <c r="Z259" s="44"/>
      <c r="AA259" s="44"/>
    </row>
    <row r="260">
      <c r="A260" s="44"/>
      <c r="B260" s="44"/>
      <c r="C260" s="44"/>
      <c r="D260" s="44"/>
      <c r="E260" s="44"/>
      <c r="F260" s="44"/>
      <c r="G260" s="44"/>
      <c r="H260" s="66" t="s">
        <v>83</v>
      </c>
      <c r="I260" s="44"/>
      <c r="J260" s="65"/>
      <c r="K260" s="44"/>
      <c r="L260" s="44"/>
      <c r="M260" s="44"/>
      <c r="N260" s="44"/>
      <c r="O260" s="44"/>
      <c r="P260" s="44"/>
      <c r="Q260" s="44"/>
      <c r="R260" s="44"/>
      <c r="S260" s="44"/>
      <c r="T260" s="44"/>
      <c r="U260" s="44"/>
      <c r="V260" s="44"/>
      <c r="W260" s="44"/>
      <c r="X260" s="44"/>
      <c r="Y260" s="44"/>
      <c r="Z260" s="44"/>
      <c r="AA260" s="44"/>
    </row>
    <row r="261">
      <c r="A261" s="44"/>
      <c r="B261" s="44"/>
      <c r="C261" s="44"/>
      <c r="D261" s="44"/>
      <c r="E261" s="44"/>
      <c r="F261" s="44"/>
      <c r="G261" s="44"/>
      <c r="H261" s="67" t="s">
        <v>96</v>
      </c>
      <c r="I261" s="55"/>
      <c r="J261" s="55"/>
      <c r="K261" s="44"/>
      <c r="L261" s="44"/>
      <c r="M261" s="44"/>
      <c r="N261" s="44"/>
      <c r="O261" s="44"/>
      <c r="P261" s="44"/>
      <c r="Q261" s="44"/>
      <c r="R261" s="44"/>
      <c r="S261" s="44"/>
      <c r="T261" s="44"/>
      <c r="U261" s="44"/>
      <c r="V261" s="44"/>
      <c r="W261" s="44"/>
      <c r="X261" s="44"/>
      <c r="Y261" s="44"/>
      <c r="Z261" s="44"/>
      <c r="AA261" s="44"/>
    </row>
    <row r="262">
      <c r="A262" s="65"/>
      <c r="B262" s="44"/>
      <c r="C262" s="65"/>
      <c r="D262" s="65"/>
      <c r="E262" s="44"/>
      <c r="F262" s="44"/>
      <c r="G262" s="44"/>
      <c r="H262" s="44" t="s">
        <v>31</v>
      </c>
      <c r="I262" s="44"/>
      <c r="J262" s="44"/>
      <c r="K262" s="44"/>
      <c r="L262" s="44"/>
      <c r="M262" s="44"/>
      <c r="N262" s="44"/>
      <c r="O262" s="44"/>
      <c r="P262" s="44"/>
      <c r="Q262" s="44"/>
      <c r="R262" s="44"/>
      <c r="S262" s="44"/>
      <c r="T262" s="44"/>
      <c r="U262" s="44"/>
      <c r="V262" s="44"/>
      <c r="W262" s="44"/>
      <c r="X262" s="44"/>
      <c r="Y262" s="44"/>
      <c r="Z262" s="44"/>
      <c r="AA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row>
    <row r="264">
      <c r="A264" s="47" t="s">
        <v>75</v>
      </c>
      <c r="B264" s="48"/>
      <c r="C264" s="63" t="s">
        <v>193</v>
      </c>
      <c r="D264" s="50"/>
      <c r="E264" s="44"/>
      <c r="F264" s="44"/>
      <c r="G264" s="44"/>
      <c r="H264" s="44"/>
      <c r="I264" s="44"/>
      <c r="J264" s="44"/>
      <c r="K264" s="44"/>
      <c r="L264" s="44"/>
      <c r="M264" s="44"/>
      <c r="N264" s="44"/>
      <c r="O264" s="44"/>
      <c r="P264" s="44"/>
      <c r="Q264" s="44"/>
      <c r="R264" s="44"/>
      <c r="S264" s="44"/>
      <c r="T264" s="44"/>
      <c r="U264" s="44"/>
      <c r="V264" s="44"/>
      <c r="W264" s="44"/>
      <c r="X264" s="44"/>
      <c r="Y264" s="44"/>
      <c r="Z264" s="44"/>
      <c r="AA264" s="44"/>
    </row>
    <row r="265">
      <c r="A265" s="44"/>
      <c r="B265" s="44"/>
      <c r="C265" s="70" t="s">
        <v>152</v>
      </c>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row>
    <row r="266">
      <c r="A266" s="44"/>
      <c r="B266" s="44"/>
      <c r="C266" s="71" t="s">
        <v>158</v>
      </c>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row>
    <row r="267">
      <c r="A267" s="64"/>
      <c r="B267" s="44"/>
      <c r="C267" s="44"/>
      <c r="D267" s="65"/>
      <c r="E267" s="52"/>
      <c r="F267" s="44"/>
      <c r="G267" s="52"/>
      <c r="H267" s="44"/>
      <c r="I267" s="44"/>
      <c r="J267" s="65"/>
      <c r="K267" s="44"/>
      <c r="L267" s="44"/>
      <c r="M267" s="44"/>
      <c r="N267" s="44"/>
      <c r="O267" s="44"/>
      <c r="P267" s="44"/>
      <c r="Q267" s="44"/>
      <c r="R267" s="44"/>
      <c r="S267" s="44"/>
      <c r="T267" s="44"/>
      <c r="U267" s="44"/>
      <c r="V267" s="44"/>
      <c r="W267" s="44"/>
      <c r="X267" s="44"/>
      <c r="Y267" s="44"/>
      <c r="Z267" s="44"/>
      <c r="AA267" s="44"/>
    </row>
    <row r="268">
      <c r="A268" s="52"/>
      <c r="B268" s="44"/>
      <c r="C268" s="44"/>
      <c r="D268" s="44"/>
      <c r="E268" s="52"/>
      <c r="F268" s="44"/>
      <c r="G268" s="52"/>
      <c r="H268" s="44"/>
      <c r="I268" s="44"/>
      <c r="J268" s="65"/>
      <c r="K268" s="44"/>
      <c r="L268" s="44"/>
      <c r="M268" s="44"/>
      <c r="N268" s="44"/>
      <c r="O268" s="44"/>
      <c r="P268" s="44"/>
      <c r="Q268" s="44"/>
      <c r="R268" s="44"/>
      <c r="S268" s="44"/>
      <c r="T268" s="44"/>
      <c r="U268" s="44"/>
      <c r="V268" s="44"/>
      <c r="W268" s="44"/>
      <c r="X268" s="44"/>
      <c r="Y268" s="44"/>
      <c r="Z268" s="44"/>
      <c r="AA268" s="44"/>
    </row>
    <row r="269">
      <c r="A269" s="51" t="s">
        <v>194</v>
      </c>
      <c r="B269" s="44"/>
      <c r="C269" s="44" t="s">
        <v>3</v>
      </c>
      <c r="D269" s="45">
        <v>2085.0</v>
      </c>
      <c r="E269" s="52"/>
      <c r="F269" s="44"/>
      <c r="G269" s="52" t="s">
        <v>60</v>
      </c>
      <c r="H269" s="44" t="s">
        <v>4</v>
      </c>
      <c r="I269" s="44"/>
      <c r="J269" s="45">
        <v>80.0</v>
      </c>
      <c r="K269" s="44"/>
      <c r="L269" s="44"/>
      <c r="M269" s="44"/>
      <c r="N269" s="44"/>
      <c r="O269" s="44"/>
      <c r="P269" s="44"/>
      <c r="Q269" s="44"/>
      <c r="R269" s="44"/>
      <c r="S269" s="44"/>
      <c r="T269" s="44"/>
      <c r="U269" s="44"/>
      <c r="V269" s="44"/>
      <c r="W269" s="44"/>
      <c r="X269" s="44"/>
      <c r="Y269" s="44"/>
      <c r="Z269" s="44"/>
      <c r="AA269" s="44"/>
    </row>
    <row r="270">
      <c r="A270" s="44"/>
      <c r="B270" s="44"/>
      <c r="C270" s="44" t="s">
        <v>24</v>
      </c>
      <c r="D270" s="44"/>
      <c r="E270" s="44"/>
      <c r="F270" s="44"/>
      <c r="G270" s="44"/>
      <c r="H270" s="66" t="s">
        <v>25</v>
      </c>
      <c r="I270" s="44"/>
      <c r="J270" s="45">
        <v>20.0</v>
      </c>
      <c r="K270" s="44"/>
      <c r="L270" s="44"/>
      <c r="M270" s="44"/>
      <c r="N270" s="44"/>
      <c r="O270" s="44"/>
      <c r="P270" s="44"/>
      <c r="Q270" s="44"/>
      <c r="R270" s="44"/>
      <c r="S270" s="44"/>
      <c r="T270" s="44"/>
      <c r="U270" s="44"/>
      <c r="V270" s="44"/>
      <c r="W270" s="44"/>
      <c r="X270" s="44"/>
      <c r="Y270" s="44"/>
      <c r="Z270" s="44"/>
      <c r="AA270" s="44"/>
    </row>
    <row r="271">
      <c r="A271" s="54" t="s">
        <v>195</v>
      </c>
      <c r="B271" s="44"/>
      <c r="C271" s="44" t="s">
        <v>26</v>
      </c>
      <c r="D271" s="44"/>
      <c r="E271" s="44"/>
      <c r="F271" s="44"/>
      <c r="G271" s="44"/>
      <c r="H271" s="44" t="s">
        <v>6</v>
      </c>
      <c r="I271" s="44"/>
      <c r="J271" s="45">
        <v>120.0</v>
      </c>
      <c r="K271" s="44"/>
      <c r="L271" s="44"/>
      <c r="M271" s="44"/>
      <c r="N271" s="44"/>
      <c r="O271" s="44"/>
      <c r="P271" s="44"/>
      <c r="Q271" s="44"/>
      <c r="R271" s="44"/>
      <c r="S271" s="44"/>
      <c r="T271" s="44"/>
      <c r="U271" s="44"/>
      <c r="V271" s="44"/>
      <c r="W271" s="44"/>
      <c r="X271" s="44"/>
      <c r="Y271" s="44"/>
      <c r="Z271" s="44"/>
      <c r="AA271" s="44"/>
    </row>
    <row r="272">
      <c r="A272" s="44"/>
      <c r="B272" s="44"/>
      <c r="C272" s="44" t="s">
        <v>27</v>
      </c>
      <c r="D272" s="44"/>
      <c r="E272" s="44"/>
      <c r="F272" s="44"/>
      <c r="G272" s="44"/>
      <c r="H272" s="44" t="s">
        <v>81</v>
      </c>
      <c r="I272" s="44"/>
      <c r="J272" s="45">
        <v>160.0</v>
      </c>
      <c r="K272" s="44"/>
      <c r="L272" s="44"/>
      <c r="M272" s="44"/>
      <c r="N272" s="44"/>
      <c r="O272" s="44"/>
      <c r="P272" s="44"/>
      <c r="Q272" s="44"/>
      <c r="R272" s="44"/>
      <c r="S272" s="44"/>
      <c r="T272" s="44"/>
      <c r="U272" s="44"/>
      <c r="V272" s="44"/>
      <c r="W272" s="44"/>
      <c r="X272" s="44"/>
      <c r="Y272" s="44"/>
      <c r="Z272" s="44"/>
      <c r="AA272" s="44"/>
    </row>
    <row r="273">
      <c r="A273" s="44"/>
      <c r="B273" s="44"/>
      <c r="C273" s="44" t="s">
        <v>37</v>
      </c>
      <c r="D273" s="44"/>
      <c r="E273" s="44"/>
      <c r="F273" s="44"/>
      <c r="G273" s="44"/>
      <c r="H273" s="66" t="s">
        <v>8</v>
      </c>
      <c r="I273" s="44"/>
      <c r="J273" s="45">
        <v>435.0</v>
      </c>
      <c r="K273" s="44"/>
      <c r="L273" s="44"/>
      <c r="M273" s="44"/>
      <c r="N273" s="44"/>
      <c r="O273" s="44"/>
      <c r="P273" s="44"/>
      <c r="Q273" s="44"/>
      <c r="R273" s="44"/>
      <c r="S273" s="44"/>
      <c r="T273" s="44"/>
      <c r="U273" s="44"/>
      <c r="V273" s="44"/>
      <c r="W273" s="44"/>
      <c r="X273" s="44"/>
      <c r="Y273" s="44"/>
      <c r="Z273" s="44"/>
      <c r="AA273" s="44"/>
    </row>
    <row r="274">
      <c r="A274" s="44"/>
      <c r="B274" s="44"/>
      <c r="C274" s="44" t="s">
        <v>52</v>
      </c>
      <c r="D274" s="44"/>
      <c r="E274" s="44"/>
      <c r="F274" s="44"/>
      <c r="G274" s="44"/>
      <c r="H274" s="66" t="s">
        <v>94</v>
      </c>
      <c r="I274" s="44"/>
      <c r="J274" s="45">
        <v>15.0</v>
      </c>
      <c r="K274" s="44"/>
      <c r="L274" s="44"/>
      <c r="M274" s="44"/>
      <c r="N274" s="44"/>
      <c r="O274" s="44"/>
      <c r="P274" s="44"/>
      <c r="Q274" s="44"/>
      <c r="R274" s="44"/>
      <c r="S274" s="44"/>
      <c r="T274" s="44"/>
      <c r="U274" s="44"/>
      <c r="V274" s="44"/>
      <c r="W274" s="44"/>
      <c r="X274" s="44"/>
      <c r="Y274" s="44"/>
      <c r="Z274" s="44"/>
      <c r="AA274" s="44"/>
    </row>
    <row r="275">
      <c r="A275" s="44"/>
      <c r="B275" s="44"/>
      <c r="C275" s="44"/>
      <c r="D275" s="44"/>
      <c r="E275" s="44"/>
      <c r="F275" s="44"/>
      <c r="G275" s="44"/>
      <c r="H275" s="44" t="s">
        <v>10</v>
      </c>
      <c r="I275" s="44"/>
      <c r="J275" s="45">
        <v>100.0</v>
      </c>
      <c r="K275" s="44"/>
      <c r="L275" s="44"/>
      <c r="M275" s="44"/>
      <c r="N275" s="44"/>
      <c r="O275" s="44"/>
      <c r="P275" s="44"/>
      <c r="Q275" s="44"/>
      <c r="R275" s="44"/>
      <c r="S275" s="44"/>
      <c r="T275" s="44"/>
      <c r="U275" s="44"/>
      <c r="V275" s="44"/>
      <c r="W275" s="44"/>
      <c r="X275" s="44"/>
      <c r="Y275" s="44"/>
      <c r="Z275" s="44"/>
      <c r="AA275" s="44"/>
    </row>
    <row r="276">
      <c r="A276" s="44"/>
      <c r="B276" s="52"/>
      <c r="C276" s="52"/>
      <c r="D276" s="52"/>
      <c r="E276" s="52"/>
      <c r="F276" s="44"/>
      <c r="G276" s="44"/>
      <c r="H276" s="44" t="s">
        <v>34</v>
      </c>
      <c r="I276" s="44"/>
      <c r="J276" s="45">
        <v>20.0</v>
      </c>
      <c r="K276" s="44"/>
      <c r="L276" s="44"/>
      <c r="M276" s="44"/>
      <c r="N276" s="44"/>
      <c r="O276" s="44"/>
      <c r="P276" s="44"/>
      <c r="Q276" s="44"/>
      <c r="R276" s="44"/>
      <c r="S276" s="44"/>
      <c r="T276" s="44"/>
      <c r="U276" s="44"/>
      <c r="V276" s="44"/>
      <c r="W276" s="44"/>
      <c r="X276" s="44"/>
      <c r="Y276" s="44"/>
      <c r="Z276" s="44"/>
      <c r="AA276" s="44"/>
    </row>
    <row r="277">
      <c r="A277" s="44"/>
      <c r="B277" s="44"/>
      <c r="C277" s="44"/>
      <c r="D277" s="44"/>
      <c r="E277" s="44"/>
      <c r="F277" s="44"/>
      <c r="G277" s="44"/>
      <c r="H277" s="66" t="s">
        <v>28</v>
      </c>
      <c r="I277" s="44"/>
      <c r="J277" s="44"/>
      <c r="K277" s="44"/>
      <c r="L277" s="44"/>
      <c r="M277" s="44"/>
      <c r="N277" s="44"/>
      <c r="O277" s="44"/>
      <c r="P277" s="44"/>
      <c r="Q277" s="44"/>
      <c r="R277" s="44"/>
      <c r="S277" s="44"/>
      <c r="T277" s="44"/>
      <c r="U277" s="44"/>
      <c r="V277" s="44"/>
      <c r="W277" s="44"/>
      <c r="X277" s="44"/>
      <c r="Y277" s="44"/>
      <c r="Z277" s="44"/>
      <c r="AA277" s="44"/>
    </row>
    <row r="278">
      <c r="A278" s="44"/>
      <c r="B278" s="44"/>
      <c r="C278" s="44"/>
      <c r="D278" s="44"/>
      <c r="E278" s="44"/>
      <c r="F278" s="44"/>
      <c r="G278" s="44"/>
      <c r="H278" s="44" t="s">
        <v>11</v>
      </c>
      <c r="I278" s="44"/>
      <c r="J278" s="65"/>
      <c r="K278" s="44"/>
      <c r="L278" s="44"/>
      <c r="M278" s="44"/>
      <c r="N278" s="44"/>
      <c r="O278" s="44"/>
      <c r="P278" s="44"/>
      <c r="Q278" s="44"/>
      <c r="R278" s="44"/>
      <c r="S278" s="44"/>
      <c r="T278" s="44"/>
      <c r="U278" s="44"/>
      <c r="V278" s="44"/>
      <c r="W278" s="44"/>
      <c r="X278" s="44"/>
      <c r="Y278" s="44"/>
      <c r="Z278" s="44"/>
      <c r="AA278" s="44"/>
    </row>
    <row r="279">
      <c r="A279" s="44"/>
      <c r="B279" s="44"/>
      <c r="C279" s="44"/>
      <c r="D279" s="44"/>
      <c r="E279" s="44"/>
      <c r="F279" s="44"/>
      <c r="G279" s="44"/>
      <c r="H279" s="44" t="s">
        <v>12</v>
      </c>
      <c r="I279" s="44"/>
      <c r="J279" s="65"/>
      <c r="K279" s="44"/>
      <c r="L279" s="44"/>
      <c r="M279" s="44"/>
      <c r="N279" s="44"/>
      <c r="O279" s="44"/>
      <c r="P279" s="44"/>
      <c r="Q279" s="44"/>
      <c r="R279" s="44"/>
      <c r="S279" s="44"/>
      <c r="T279" s="44"/>
      <c r="U279" s="44"/>
      <c r="V279" s="44"/>
      <c r="W279" s="44"/>
      <c r="X279" s="44"/>
      <c r="Y279" s="44"/>
      <c r="Z279" s="44"/>
      <c r="AA279" s="44"/>
    </row>
    <row r="280">
      <c r="A280" s="44"/>
      <c r="B280" s="44"/>
      <c r="C280" s="44"/>
      <c r="D280" s="44"/>
      <c r="E280" s="44"/>
      <c r="F280" s="44"/>
      <c r="G280" s="44"/>
      <c r="H280" s="44" t="s">
        <v>95</v>
      </c>
      <c r="I280" s="44"/>
      <c r="J280" s="65"/>
      <c r="K280" s="44"/>
      <c r="L280" s="44"/>
      <c r="M280" s="44"/>
      <c r="N280" s="44"/>
      <c r="O280" s="44"/>
      <c r="P280" s="44"/>
      <c r="Q280" s="44"/>
      <c r="R280" s="44"/>
      <c r="S280" s="44"/>
      <c r="T280" s="44"/>
      <c r="U280" s="44"/>
      <c r="V280" s="44"/>
      <c r="W280" s="44"/>
      <c r="X280" s="44"/>
      <c r="Y280" s="44"/>
      <c r="Z280" s="44"/>
      <c r="AA280" s="44"/>
    </row>
    <row r="281">
      <c r="A281" s="44"/>
      <c r="B281" s="44"/>
      <c r="C281" s="44"/>
      <c r="D281" s="44"/>
      <c r="E281" s="44"/>
      <c r="F281" s="44"/>
      <c r="G281" s="44"/>
      <c r="H281" s="44" t="s">
        <v>14</v>
      </c>
      <c r="I281" s="44"/>
      <c r="J281" s="44"/>
      <c r="K281" s="44"/>
      <c r="L281" s="44"/>
      <c r="M281" s="44"/>
      <c r="N281" s="44"/>
      <c r="O281" s="44"/>
      <c r="P281" s="44"/>
      <c r="Q281" s="44"/>
      <c r="R281" s="44"/>
      <c r="S281" s="44"/>
      <c r="T281" s="44"/>
      <c r="U281" s="44"/>
      <c r="V281" s="44"/>
      <c r="W281" s="44"/>
      <c r="X281" s="44"/>
      <c r="Y281" s="44"/>
      <c r="Z281" s="44"/>
      <c r="AA281" s="44"/>
    </row>
    <row r="282">
      <c r="A282" s="44"/>
      <c r="B282" s="44"/>
      <c r="C282" s="44"/>
      <c r="D282" s="44"/>
      <c r="E282" s="44"/>
      <c r="F282" s="44"/>
      <c r="G282" s="44"/>
      <c r="H282" s="44" t="s">
        <v>108</v>
      </c>
      <c r="I282" s="44"/>
      <c r="J282" s="44"/>
      <c r="K282" s="44"/>
      <c r="L282" s="44"/>
      <c r="M282" s="44"/>
      <c r="N282" s="44"/>
      <c r="O282" s="44"/>
      <c r="P282" s="44"/>
      <c r="Q282" s="44"/>
      <c r="R282" s="44"/>
      <c r="S282" s="44"/>
      <c r="T282" s="44"/>
      <c r="U282" s="44"/>
      <c r="V282" s="44"/>
      <c r="W282" s="44"/>
      <c r="X282" s="44"/>
      <c r="Y282" s="44"/>
      <c r="Z282" s="44"/>
      <c r="AA282" s="44"/>
    </row>
    <row r="283">
      <c r="A283" s="44"/>
      <c r="B283" s="44"/>
      <c r="C283" s="44"/>
      <c r="D283" s="44"/>
      <c r="E283" s="44"/>
      <c r="F283" s="44"/>
      <c r="G283" s="44"/>
      <c r="H283" s="65" t="s">
        <v>156</v>
      </c>
      <c r="I283" s="44"/>
      <c r="J283" s="45">
        <v>1100.0</v>
      </c>
      <c r="K283" s="44"/>
      <c r="L283" s="44"/>
      <c r="M283" s="44"/>
      <c r="N283" s="44"/>
      <c r="O283" s="44"/>
      <c r="P283" s="44"/>
      <c r="Q283" s="44"/>
      <c r="R283" s="44"/>
      <c r="S283" s="44"/>
      <c r="T283" s="44"/>
      <c r="U283" s="44"/>
      <c r="V283" s="44"/>
      <c r="W283" s="44"/>
      <c r="X283" s="44"/>
      <c r="Y283" s="44"/>
      <c r="Z283" s="44"/>
      <c r="AA283" s="44"/>
    </row>
    <row r="284">
      <c r="A284" s="44"/>
      <c r="B284" s="44"/>
      <c r="C284" s="44"/>
      <c r="D284" s="44"/>
      <c r="E284" s="44"/>
      <c r="F284" s="44"/>
      <c r="G284" s="44"/>
      <c r="H284" s="66" t="s">
        <v>16</v>
      </c>
      <c r="I284" s="44"/>
      <c r="J284" s="44"/>
      <c r="K284" s="44"/>
      <c r="L284" s="44"/>
      <c r="M284" s="44"/>
      <c r="N284" s="44"/>
      <c r="O284" s="44"/>
      <c r="P284" s="44"/>
      <c r="Q284" s="44"/>
      <c r="R284" s="44"/>
      <c r="S284" s="44"/>
      <c r="T284" s="44"/>
      <c r="U284" s="44"/>
      <c r="V284" s="44"/>
      <c r="W284" s="44"/>
      <c r="X284" s="44"/>
      <c r="Y284" s="44"/>
      <c r="Z284" s="44"/>
      <c r="AA284" s="44"/>
    </row>
    <row r="285">
      <c r="A285" s="44"/>
      <c r="B285" s="44"/>
      <c r="C285" s="44"/>
      <c r="D285" s="44"/>
      <c r="E285" s="44"/>
      <c r="F285" s="44"/>
      <c r="G285" s="44"/>
      <c r="H285" s="44" t="s">
        <v>131</v>
      </c>
      <c r="I285" s="44"/>
      <c r="J285" s="65"/>
      <c r="K285" s="44"/>
      <c r="L285" s="44"/>
      <c r="M285" s="44"/>
      <c r="N285" s="44"/>
      <c r="O285" s="44"/>
      <c r="P285" s="44"/>
      <c r="Q285" s="44"/>
      <c r="R285" s="44"/>
      <c r="S285" s="44"/>
      <c r="T285" s="44"/>
      <c r="U285" s="44"/>
      <c r="V285" s="44"/>
      <c r="W285" s="44"/>
      <c r="X285" s="44"/>
      <c r="Y285" s="44"/>
      <c r="Z285" s="44"/>
      <c r="AA285" s="44"/>
    </row>
    <row r="286">
      <c r="A286" s="44"/>
      <c r="B286" s="44"/>
      <c r="C286" s="44"/>
      <c r="D286" s="44"/>
      <c r="E286" s="44"/>
      <c r="F286" s="44"/>
      <c r="G286" s="44"/>
      <c r="H286" s="44" t="s">
        <v>18</v>
      </c>
      <c r="I286" s="44"/>
      <c r="J286" s="65"/>
      <c r="K286" s="44"/>
      <c r="L286" s="44"/>
      <c r="M286" s="44"/>
      <c r="N286" s="44"/>
      <c r="O286" s="44"/>
      <c r="P286" s="44"/>
      <c r="Q286" s="44"/>
      <c r="R286" s="44"/>
      <c r="S286" s="44"/>
      <c r="T286" s="44"/>
      <c r="U286" s="44"/>
      <c r="V286" s="44"/>
      <c r="W286" s="44"/>
      <c r="X286" s="44"/>
      <c r="Y286" s="44"/>
      <c r="Z286" s="44"/>
      <c r="AA286" s="44"/>
    </row>
    <row r="287">
      <c r="A287" s="44"/>
      <c r="B287" s="44"/>
      <c r="C287" s="44"/>
      <c r="D287" s="44"/>
      <c r="E287" s="44"/>
      <c r="F287" s="44"/>
      <c r="G287" s="44"/>
      <c r="H287" s="66" t="s">
        <v>19</v>
      </c>
      <c r="I287" s="44"/>
      <c r="J287" s="45">
        <v>60.0</v>
      </c>
      <c r="K287" s="44"/>
      <c r="L287" s="44"/>
      <c r="M287" s="44"/>
      <c r="N287" s="44"/>
      <c r="O287" s="44"/>
      <c r="P287" s="44"/>
      <c r="Q287" s="44"/>
      <c r="R287" s="44"/>
      <c r="S287" s="44"/>
      <c r="T287" s="44"/>
      <c r="U287" s="44"/>
      <c r="V287" s="44"/>
      <c r="W287" s="44"/>
      <c r="X287" s="44"/>
      <c r="Y287" s="44"/>
      <c r="Z287" s="44"/>
      <c r="AA287" s="44"/>
    </row>
    <row r="288">
      <c r="A288" s="44"/>
      <c r="B288" s="44"/>
      <c r="C288" s="44"/>
      <c r="D288" s="44"/>
      <c r="E288" s="44"/>
      <c r="F288" s="44"/>
      <c r="G288" s="44"/>
      <c r="H288" s="44" t="s">
        <v>20</v>
      </c>
      <c r="I288" s="44"/>
      <c r="J288" s="45">
        <v>50.0</v>
      </c>
      <c r="K288" s="44"/>
      <c r="L288" s="44"/>
      <c r="M288" s="44"/>
      <c r="N288" s="44"/>
      <c r="O288" s="44"/>
      <c r="P288" s="44"/>
      <c r="Q288" s="44"/>
      <c r="R288" s="44"/>
      <c r="S288" s="44"/>
      <c r="T288" s="44"/>
      <c r="U288" s="44"/>
      <c r="V288" s="44"/>
      <c r="W288" s="44"/>
      <c r="X288" s="44"/>
      <c r="Y288" s="44"/>
      <c r="Z288" s="44"/>
      <c r="AA288" s="44"/>
    </row>
    <row r="289">
      <c r="A289" s="44"/>
      <c r="B289" s="44"/>
      <c r="C289" s="44"/>
      <c r="D289" s="44"/>
      <c r="E289" s="44"/>
      <c r="F289" s="44"/>
      <c r="G289" s="44"/>
      <c r="H289" s="55" t="s">
        <v>48</v>
      </c>
      <c r="I289" s="55"/>
      <c r="J289" s="56">
        <v>600.0</v>
      </c>
      <c r="K289" s="44"/>
      <c r="L289" s="44"/>
      <c r="M289" s="44"/>
      <c r="N289" s="44"/>
      <c r="O289" s="44"/>
      <c r="P289" s="44"/>
      <c r="Q289" s="44"/>
      <c r="R289" s="44"/>
      <c r="S289" s="44"/>
      <c r="T289" s="44"/>
      <c r="U289" s="44"/>
      <c r="V289" s="44"/>
      <c r="W289" s="44"/>
      <c r="X289" s="44"/>
      <c r="Y289" s="44"/>
      <c r="Z289" s="44"/>
      <c r="AA289" s="44"/>
    </row>
    <row r="290">
      <c r="A290" s="44"/>
      <c r="B290" s="44"/>
      <c r="C290" s="44"/>
      <c r="D290" s="44"/>
      <c r="E290" s="44"/>
      <c r="F290" s="44"/>
      <c r="G290" s="44"/>
      <c r="H290" s="69" t="s">
        <v>196</v>
      </c>
      <c r="I290" s="44"/>
      <c r="J290" s="45">
        <v>100.0</v>
      </c>
      <c r="K290" s="44"/>
      <c r="L290" s="44"/>
      <c r="M290" s="44"/>
      <c r="N290" s="44"/>
      <c r="O290" s="44"/>
      <c r="P290" s="44"/>
      <c r="Q290" s="44"/>
      <c r="R290" s="44"/>
      <c r="S290" s="44"/>
      <c r="T290" s="44"/>
      <c r="U290" s="44"/>
      <c r="V290" s="44"/>
      <c r="W290" s="44"/>
      <c r="X290" s="44"/>
      <c r="Y290" s="44"/>
      <c r="Z290" s="44"/>
      <c r="AA290" s="44"/>
    </row>
    <row r="291">
      <c r="A291" s="44"/>
      <c r="B291" s="44"/>
      <c r="C291" s="44"/>
      <c r="D291" s="44"/>
      <c r="E291" s="44"/>
      <c r="F291" s="44"/>
      <c r="G291" s="44"/>
      <c r="H291" s="44" t="s">
        <v>24</v>
      </c>
      <c r="I291" s="44"/>
      <c r="J291" s="65"/>
      <c r="K291" s="44"/>
      <c r="L291" s="44"/>
      <c r="M291" s="44"/>
      <c r="N291" s="44"/>
      <c r="O291" s="44"/>
      <c r="P291" s="44"/>
      <c r="Q291" s="44"/>
      <c r="R291" s="44"/>
      <c r="S291" s="44"/>
      <c r="T291" s="44"/>
      <c r="U291" s="44"/>
      <c r="V291" s="44"/>
      <c r="W291" s="44"/>
      <c r="X291" s="44"/>
      <c r="Y291" s="44"/>
      <c r="Z291" s="44"/>
      <c r="AA291" s="44"/>
    </row>
    <row r="292">
      <c r="A292" s="44"/>
      <c r="B292" s="44"/>
      <c r="C292" s="44"/>
      <c r="D292" s="44"/>
      <c r="E292" s="44"/>
      <c r="F292" s="44"/>
      <c r="G292" s="44"/>
      <c r="H292" s="45" t="s">
        <v>197</v>
      </c>
      <c r="I292" s="44"/>
      <c r="J292" s="45">
        <v>220.0</v>
      </c>
      <c r="K292" s="44"/>
      <c r="L292" s="44"/>
      <c r="M292" s="44"/>
      <c r="N292" s="44"/>
      <c r="O292" s="44"/>
      <c r="P292" s="44"/>
      <c r="Q292" s="44"/>
      <c r="R292" s="44"/>
      <c r="S292" s="44"/>
      <c r="T292" s="44"/>
      <c r="U292" s="44"/>
      <c r="V292" s="44"/>
      <c r="W292" s="44"/>
      <c r="X292" s="44"/>
      <c r="Y292" s="44"/>
      <c r="Z292" s="44"/>
      <c r="AA292" s="44"/>
    </row>
    <row r="293">
      <c r="A293" s="44"/>
      <c r="B293" s="44"/>
      <c r="C293" s="44"/>
      <c r="D293" s="44"/>
      <c r="E293" s="44"/>
      <c r="F293" s="44"/>
      <c r="G293" s="44"/>
      <c r="H293" s="66" t="s">
        <v>83</v>
      </c>
      <c r="I293" s="44"/>
      <c r="J293" s="65"/>
      <c r="K293" s="44"/>
      <c r="L293" s="44"/>
      <c r="M293" s="44"/>
      <c r="N293" s="44"/>
      <c r="O293" s="44"/>
      <c r="P293" s="44"/>
      <c r="Q293" s="44"/>
      <c r="R293" s="44"/>
      <c r="S293" s="44"/>
      <c r="T293" s="44"/>
      <c r="U293" s="44"/>
      <c r="V293" s="44"/>
      <c r="W293" s="44"/>
      <c r="X293" s="44"/>
      <c r="Y293" s="44"/>
      <c r="Z293" s="44"/>
      <c r="AA293" s="44"/>
    </row>
    <row r="294">
      <c r="A294" s="44"/>
      <c r="B294" s="44"/>
      <c r="C294" s="44"/>
      <c r="D294" s="44"/>
      <c r="E294" s="44"/>
      <c r="F294" s="44"/>
      <c r="G294" s="44"/>
      <c r="H294" s="67" t="s">
        <v>96</v>
      </c>
      <c r="I294" s="55"/>
      <c r="J294" s="55"/>
      <c r="K294" s="44"/>
      <c r="L294" s="44"/>
      <c r="M294" s="44"/>
      <c r="N294" s="44"/>
      <c r="O294" s="44"/>
      <c r="P294" s="44"/>
      <c r="Q294" s="44"/>
      <c r="R294" s="44"/>
      <c r="S294" s="44"/>
      <c r="T294" s="44"/>
      <c r="U294" s="44"/>
      <c r="V294" s="44"/>
      <c r="W294" s="44"/>
      <c r="X294" s="44"/>
      <c r="Y294" s="44"/>
      <c r="Z294" s="44"/>
      <c r="AA294" s="44"/>
    </row>
    <row r="295">
      <c r="A295" s="65"/>
      <c r="B295" s="44"/>
      <c r="C295" s="65"/>
      <c r="D295" s="65"/>
      <c r="E295" s="44"/>
      <c r="F295" s="44"/>
      <c r="G295" s="44"/>
      <c r="H295" s="44" t="s">
        <v>31</v>
      </c>
      <c r="I295" s="44"/>
      <c r="J295" s="44"/>
      <c r="K295" s="44"/>
      <c r="L295" s="44"/>
      <c r="M295" s="44"/>
      <c r="N295" s="44"/>
      <c r="O295" s="44"/>
      <c r="P295" s="44"/>
      <c r="Q295" s="44"/>
      <c r="R295" s="44"/>
      <c r="S295" s="44"/>
      <c r="T295" s="44"/>
      <c r="U295" s="44"/>
      <c r="V295" s="44"/>
      <c r="W295" s="44"/>
      <c r="X295" s="44"/>
      <c r="Y295" s="44"/>
      <c r="Z295" s="44"/>
      <c r="AA295" s="44"/>
    </row>
    <row r="296">
      <c r="A296" s="47" t="s">
        <v>198</v>
      </c>
      <c r="B296" s="48"/>
      <c r="C296" s="72" t="s">
        <v>199</v>
      </c>
      <c r="D296" s="50"/>
      <c r="E296" s="44"/>
      <c r="F296" s="44"/>
      <c r="G296" s="44"/>
      <c r="H296" s="44"/>
      <c r="I296" s="44"/>
      <c r="J296" s="44"/>
      <c r="K296" s="44"/>
      <c r="L296" s="44"/>
      <c r="M296" s="44"/>
      <c r="N296" s="44"/>
      <c r="O296" s="44"/>
      <c r="P296" s="44"/>
      <c r="Q296" s="44"/>
      <c r="R296" s="44"/>
      <c r="S296" s="44"/>
      <c r="T296" s="44"/>
      <c r="U296" s="44"/>
      <c r="V296" s="44"/>
      <c r="W296" s="44"/>
      <c r="X296" s="44"/>
      <c r="Y296" s="44"/>
      <c r="Z296" s="44"/>
      <c r="AA296" s="44"/>
    </row>
    <row r="297">
      <c r="A297" s="44"/>
      <c r="B297" s="44"/>
      <c r="C297" s="71" t="s">
        <v>200</v>
      </c>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row>
    <row r="298">
      <c r="A298" s="44"/>
      <c r="B298" s="44"/>
      <c r="C298" s="71" t="s">
        <v>158</v>
      </c>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row>
    <row r="299">
      <c r="A299" s="64"/>
      <c r="B299" s="44"/>
      <c r="C299" s="44"/>
      <c r="D299" s="65"/>
      <c r="E299" s="52"/>
      <c r="F299" s="44"/>
      <c r="G299" s="52"/>
      <c r="H299" s="44"/>
      <c r="I299" s="44"/>
      <c r="J299" s="65"/>
      <c r="K299" s="44"/>
      <c r="L299" s="44"/>
      <c r="M299" s="44"/>
      <c r="N299" s="44"/>
      <c r="O299" s="44"/>
      <c r="P299" s="44"/>
      <c r="Q299" s="44"/>
      <c r="R299" s="44"/>
      <c r="S299" s="44"/>
      <c r="T299" s="44"/>
      <c r="U299" s="44"/>
      <c r="V299" s="44"/>
      <c r="W299" s="44"/>
      <c r="X299" s="44"/>
      <c r="Y299" s="44"/>
      <c r="Z299" s="44"/>
      <c r="AA299" s="44"/>
    </row>
    <row r="300">
      <c r="A300" s="52"/>
      <c r="B300" s="44"/>
      <c r="C300" s="44"/>
      <c r="D300" s="44"/>
      <c r="E300" s="52"/>
      <c r="F300" s="44"/>
      <c r="G300" s="52"/>
      <c r="H300" s="44"/>
      <c r="I300" s="44"/>
      <c r="J300" s="65"/>
      <c r="K300" s="44"/>
      <c r="L300" s="44"/>
      <c r="M300" s="44"/>
      <c r="N300" s="44"/>
      <c r="O300" s="44"/>
      <c r="P300" s="44"/>
      <c r="Q300" s="44"/>
      <c r="R300" s="44"/>
      <c r="S300" s="44"/>
      <c r="T300" s="44"/>
      <c r="U300" s="44"/>
      <c r="V300" s="44"/>
      <c r="W300" s="44"/>
      <c r="X300" s="44"/>
      <c r="Y300" s="44"/>
      <c r="Z300" s="44"/>
      <c r="AA300" s="44"/>
    </row>
    <row r="301">
      <c r="A301" s="51" t="s">
        <v>179</v>
      </c>
      <c r="B301" s="44"/>
      <c r="C301" s="44" t="s">
        <v>3</v>
      </c>
      <c r="D301" s="44"/>
      <c r="E301" s="52"/>
      <c r="F301" s="44"/>
      <c r="G301" s="52" t="s">
        <v>60</v>
      </c>
      <c r="H301" s="44" t="s">
        <v>4</v>
      </c>
      <c r="I301" s="44"/>
      <c r="J301" s="65"/>
      <c r="K301" s="44"/>
      <c r="L301" s="44"/>
      <c r="M301" s="44"/>
      <c r="N301" s="44"/>
      <c r="O301" s="44"/>
      <c r="P301" s="44"/>
      <c r="Q301" s="44"/>
      <c r="R301" s="44"/>
      <c r="S301" s="44"/>
      <c r="T301" s="44"/>
      <c r="U301" s="44"/>
      <c r="V301" s="44"/>
      <c r="W301" s="44"/>
      <c r="X301" s="44"/>
      <c r="Y301" s="44"/>
      <c r="Z301" s="44"/>
      <c r="AA301" s="44"/>
    </row>
    <row r="302">
      <c r="A302" s="44"/>
      <c r="B302" s="44"/>
      <c r="C302" s="44" t="s">
        <v>24</v>
      </c>
      <c r="D302" s="44"/>
      <c r="E302" s="44"/>
      <c r="F302" s="44"/>
      <c r="G302" s="44"/>
      <c r="H302" s="66" t="s">
        <v>25</v>
      </c>
      <c r="I302" s="44"/>
      <c r="J302" s="65"/>
      <c r="K302" s="44"/>
      <c r="L302" s="44"/>
      <c r="M302" s="44"/>
      <c r="N302" s="44"/>
      <c r="O302" s="44"/>
      <c r="P302" s="44"/>
      <c r="Q302" s="44"/>
      <c r="R302" s="44"/>
      <c r="S302" s="44"/>
      <c r="T302" s="44"/>
      <c r="U302" s="44"/>
      <c r="V302" s="44"/>
      <c r="W302" s="44"/>
      <c r="X302" s="44"/>
      <c r="Y302" s="44"/>
      <c r="Z302" s="44"/>
      <c r="AA302" s="44"/>
    </row>
    <row r="303">
      <c r="A303" s="54" t="s">
        <v>201</v>
      </c>
      <c r="B303" s="44"/>
      <c r="C303" s="44" t="s">
        <v>26</v>
      </c>
      <c r="D303" s="44"/>
      <c r="E303" s="44"/>
      <c r="F303" s="44"/>
      <c r="G303" s="44"/>
      <c r="H303" s="44" t="s">
        <v>6</v>
      </c>
      <c r="I303" s="44"/>
      <c r="J303" s="65"/>
      <c r="K303" s="44"/>
      <c r="L303" s="44"/>
      <c r="M303" s="44"/>
      <c r="N303" s="44"/>
      <c r="O303" s="44"/>
      <c r="P303" s="44"/>
      <c r="Q303" s="44"/>
      <c r="R303" s="44"/>
      <c r="S303" s="44"/>
      <c r="T303" s="44"/>
      <c r="U303" s="44"/>
      <c r="V303" s="44"/>
      <c r="W303" s="44"/>
      <c r="X303" s="44"/>
      <c r="Y303" s="44"/>
      <c r="Z303" s="44"/>
      <c r="AA303" s="44"/>
    </row>
    <row r="304">
      <c r="A304" s="44"/>
      <c r="B304" s="44"/>
      <c r="C304" s="44" t="s">
        <v>27</v>
      </c>
      <c r="D304" s="44"/>
      <c r="E304" s="44"/>
      <c r="F304" s="44"/>
      <c r="G304" s="44"/>
      <c r="H304" s="44" t="s">
        <v>81</v>
      </c>
      <c r="I304" s="44"/>
      <c r="J304" s="45">
        <v>160.0</v>
      </c>
      <c r="K304" s="44"/>
      <c r="L304" s="44"/>
      <c r="M304" s="44"/>
      <c r="N304" s="44"/>
      <c r="O304" s="44"/>
      <c r="P304" s="44"/>
      <c r="Q304" s="44"/>
      <c r="R304" s="44"/>
      <c r="S304" s="44"/>
      <c r="T304" s="44"/>
      <c r="U304" s="44"/>
      <c r="V304" s="44"/>
      <c r="W304" s="44"/>
      <c r="X304" s="44"/>
      <c r="Y304" s="44"/>
      <c r="Z304" s="44"/>
      <c r="AA304" s="44"/>
    </row>
    <row r="305">
      <c r="A305" s="44"/>
      <c r="B305" s="44"/>
      <c r="C305" s="44" t="s">
        <v>37</v>
      </c>
      <c r="D305" s="44"/>
      <c r="E305" s="44"/>
      <c r="F305" s="44"/>
      <c r="G305" s="44"/>
      <c r="H305" s="66" t="s">
        <v>8</v>
      </c>
      <c r="I305" s="44"/>
      <c r="J305" s="45">
        <v>25.0</v>
      </c>
      <c r="K305" s="44"/>
      <c r="L305" s="44"/>
      <c r="M305" s="44"/>
      <c r="N305" s="44"/>
      <c r="O305" s="44"/>
      <c r="P305" s="44"/>
      <c r="Q305" s="44"/>
      <c r="R305" s="44"/>
      <c r="S305" s="44"/>
      <c r="T305" s="44"/>
      <c r="U305" s="44"/>
      <c r="V305" s="44"/>
      <c r="W305" s="44"/>
      <c r="X305" s="44"/>
      <c r="Y305" s="44"/>
      <c r="Z305" s="44"/>
      <c r="AA305" s="44"/>
    </row>
    <row r="306">
      <c r="A306" s="44"/>
      <c r="B306" s="44"/>
      <c r="C306" s="44" t="s">
        <v>52</v>
      </c>
      <c r="D306" s="44"/>
      <c r="E306" s="44"/>
      <c r="F306" s="44"/>
      <c r="G306" s="44"/>
      <c r="H306" s="66" t="s">
        <v>94</v>
      </c>
      <c r="I306" s="44"/>
      <c r="J306" s="45"/>
      <c r="K306" s="44"/>
      <c r="L306" s="44"/>
      <c r="M306" s="44"/>
      <c r="N306" s="44"/>
      <c r="O306" s="44"/>
      <c r="P306" s="44"/>
      <c r="Q306" s="44"/>
      <c r="R306" s="44"/>
      <c r="S306" s="44"/>
      <c r="T306" s="44"/>
      <c r="U306" s="44"/>
      <c r="V306" s="44"/>
      <c r="W306" s="44"/>
      <c r="X306" s="44"/>
      <c r="Y306" s="44"/>
      <c r="Z306" s="44"/>
      <c r="AA306" s="44"/>
    </row>
    <row r="307">
      <c r="A307" s="44"/>
      <c r="B307" s="44"/>
      <c r="C307" s="44"/>
      <c r="D307" s="44"/>
      <c r="E307" s="44"/>
      <c r="F307" s="44"/>
      <c r="G307" s="44"/>
      <c r="H307" s="44" t="s">
        <v>10</v>
      </c>
      <c r="I307" s="44"/>
      <c r="J307" s="44"/>
      <c r="K307" s="44"/>
      <c r="L307" s="44"/>
      <c r="M307" s="44"/>
      <c r="N307" s="44"/>
      <c r="O307" s="44"/>
      <c r="P307" s="44"/>
      <c r="Q307" s="44"/>
      <c r="R307" s="44"/>
      <c r="S307" s="44"/>
      <c r="T307" s="44"/>
      <c r="U307" s="44"/>
      <c r="V307" s="44"/>
      <c r="W307" s="44"/>
      <c r="X307" s="44"/>
      <c r="Y307" s="44"/>
      <c r="Z307" s="44"/>
      <c r="AA307" s="44"/>
    </row>
    <row r="308">
      <c r="A308" s="44"/>
      <c r="B308" s="52"/>
      <c r="C308" s="52"/>
      <c r="D308" s="52"/>
      <c r="E308" s="52"/>
      <c r="F308" s="44"/>
      <c r="G308" s="44"/>
      <c r="H308" s="44" t="s">
        <v>34</v>
      </c>
      <c r="I308" s="44"/>
      <c r="J308" s="44"/>
      <c r="K308" s="44"/>
      <c r="L308" s="44"/>
      <c r="M308" s="44"/>
      <c r="N308" s="44"/>
      <c r="O308" s="44"/>
      <c r="P308" s="44"/>
      <c r="Q308" s="44"/>
      <c r="R308" s="44"/>
      <c r="S308" s="44"/>
      <c r="T308" s="44"/>
      <c r="U308" s="44"/>
      <c r="V308" s="44"/>
      <c r="W308" s="44"/>
      <c r="X308" s="44"/>
      <c r="Y308" s="44"/>
      <c r="Z308" s="44"/>
      <c r="AA308" s="44"/>
    </row>
    <row r="309">
      <c r="A309" s="44"/>
      <c r="B309" s="44"/>
      <c r="C309" s="44"/>
      <c r="D309" s="44"/>
      <c r="E309" s="44"/>
      <c r="F309" s="44"/>
      <c r="G309" s="44"/>
      <c r="H309" s="66" t="s">
        <v>28</v>
      </c>
      <c r="I309" s="44"/>
      <c r="J309" s="44"/>
      <c r="K309" s="44"/>
      <c r="L309" s="44"/>
      <c r="M309" s="44"/>
      <c r="N309" s="44"/>
      <c r="O309" s="44"/>
      <c r="P309" s="44"/>
      <c r="Q309" s="44"/>
      <c r="R309" s="44"/>
      <c r="S309" s="44"/>
      <c r="T309" s="44"/>
      <c r="U309" s="44"/>
      <c r="V309" s="44"/>
      <c r="W309" s="44"/>
      <c r="X309" s="44"/>
      <c r="Y309" s="44"/>
      <c r="Z309" s="44"/>
      <c r="AA309" s="44"/>
    </row>
    <row r="310">
      <c r="A310" s="44"/>
      <c r="B310" s="44"/>
      <c r="C310" s="44"/>
      <c r="D310" s="44"/>
      <c r="E310" s="44"/>
      <c r="F310" s="44"/>
      <c r="G310" s="44"/>
      <c r="H310" s="44" t="s">
        <v>11</v>
      </c>
      <c r="I310" s="44"/>
      <c r="J310" s="65"/>
      <c r="K310" s="44"/>
      <c r="L310" s="44"/>
      <c r="M310" s="44"/>
      <c r="N310" s="44"/>
      <c r="O310" s="44"/>
      <c r="P310" s="44"/>
      <c r="Q310" s="44"/>
      <c r="R310" s="44"/>
      <c r="S310" s="44"/>
      <c r="T310" s="44"/>
      <c r="U310" s="44"/>
      <c r="V310" s="44"/>
      <c r="W310" s="44"/>
      <c r="X310" s="44"/>
      <c r="Y310" s="44"/>
      <c r="Z310" s="44"/>
      <c r="AA310" s="44"/>
    </row>
    <row r="311">
      <c r="A311" s="44"/>
      <c r="B311" s="44"/>
      <c r="C311" s="44"/>
      <c r="D311" s="44"/>
      <c r="E311" s="44"/>
      <c r="F311" s="44"/>
      <c r="G311" s="44"/>
      <c r="H311" s="44" t="s">
        <v>12</v>
      </c>
      <c r="I311" s="44"/>
      <c r="J311" s="65"/>
      <c r="K311" s="44"/>
      <c r="L311" s="44"/>
      <c r="M311" s="44"/>
      <c r="N311" s="44"/>
      <c r="O311" s="44"/>
      <c r="P311" s="44"/>
      <c r="Q311" s="44"/>
      <c r="R311" s="44"/>
      <c r="S311" s="44"/>
      <c r="T311" s="44"/>
      <c r="U311" s="44"/>
      <c r="V311" s="44"/>
      <c r="W311" s="44"/>
      <c r="X311" s="44"/>
      <c r="Y311" s="44"/>
      <c r="Z311" s="44"/>
      <c r="AA311" s="44"/>
    </row>
    <row r="312">
      <c r="A312" s="44"/>
      <c r="B312" s="44"/>
      <c r="C312" s="44"/>
      <c r="D312" s="44"/>
      <c r="E312" s="44"/>
      <c r="F312" s="44"/>
      <c r="G312" s="44"/>
      <c r="H312" s="44" t="s">
        <v>95</v>
      </c>
      <c r="I312" s="44"/>
      <c r="J312" s="65"/>
      <c r="K312" s="44"/>
      <c r="L312" s="44"/>
      <c r="M312" s="44"/>
      <c r="N312" s="44"/>
      <c r="O312" s="44"/>
      <c r="P312" s="44"/>
      <c r="Q312" s="44"/>
      <c r="R312" s="44"/>
      <c r="S312" s="44"/>
      <c r="T312" s="44"/>
      <c r="U312" s="44"/>
      <c r="V312" s="44"/>
      <c r="W312" s="44"/>
      <c r="X312" s="44"/>
      <c r="Y312" s="44"/>
      <c r="Z312" s="44"/>
      <c r="AA312" s="44"/>
    </row>
    <row r="313">
      <c r="A313" s="44"/>
      <c r="B313" s="44"/>
      <c r="C313" s="44"/>
      <c r="D313" s="44"/>
      <c r="E313" s="44"/>
      <c r="F313" s="44"/>
      <c r="G313" s="44"/>
      <c r="H313" s="44" t="s">
        <v>14</v>
      </c>
      <c r="I313" s="44"/>
      <c r="J313" s="44"/>
      <c r="K313" s="44"/>
      <c r="L313" s="44"/>
      <c r="M313" s="44"/>
      <c r="N313" s="44"/>
      <c r="O313" s="44"/>
      <c r="P313" s="44"/>
      <c r="Q313" s="44"/>
      <c r="R313" s="44"/>
      <c r="S313" s="44"/>
      <c r="T313" s="44"/>
      <c r="U313" s="44"/>
      <c r="V313" s="44"/>
      <c r="W313" s="44"/>
      <c r="X313" s="44"/>
      <c r="Y313" s="44"/>
      <c r="Z313" s="44"/>
      <c r="AA313" s="44"/>
    </row>
    <row r="314">
      <c r="A314" s="44"/>
      <c r="B314" s="44"/>
      <c r="C314" s="44"/>
      <c r="D314" s="44"/>
      <c r="E314" s="44"/>
      <c r="F314" s="44"/>
      <c r="G314" s="44"/>
      <c r="H314" s="44" t="s">
        <v>108</v>
      </c>
      <c r="I314" s="44"/>
      <c r="J314" s="44"/>
      <c r="K314" s="44"/>
      <c r="L314" s="44"/>
      <c r="M314" s="44"/>
      <c r="N314" s="44"/>
      <c r="O314" s="44"/>
      <c r="P314" s="44"/>
      <c r="Q314" s="44"/>
      <c r="R314" s="44"/>
      <c r="S314" s="44"/>
      <c r="T314" s="44"/>
      <c r="U314" s="44"/>
      <c r="V314" s="44"/>
      <c r="W314" s="44"/>
      <c r="X314" s="44"/>
      <c r="Y314" s="44"/>
      <c r="Z314" s="44"/>
      <c r="AA314" s="44"/>
    </row>
    <row r="315">
      <c r="A315" s="44"/>
      <c r="B315" s="44"/>
      <c r="C315" s="44"/>
      <c r="D315" s="44"/>
      <c r="E315" s="44"/>
      <c r="F315" s="44"/>
      <c r="G315" s="44"/>
      <c r="H315" s="65" t="s">
        <v>156</v>
      </c>
      <c r="I315" s="44"/>
      <c r="J315" s="45">
        <v>190.0</v>
      </c>
      <c r="K315" s="44"/>
      <c r="L315" s="44"/>
      <c r="M315" s="44"/>
      <c r="N315" s="44"/>
      <c r="O315" s="44"/>
      <c r="P315" s="44"/>
      <c r="Q315" s="44"/>
      <c r="R315" s="44"/>
      <c r="S315" s="44"/>
      <c r="T315" s="44"/>
      <c r="U315" s="44"/>
      <c r="V315" s="44"/>
      <c r="W315" s="44"/>
      <c r="X315" s="44"/>
      <c r="Y315" s="44"/>
      <c r="Z315" s="44"/>
      <c r="AA315" s="44"/>
    </row>
    <row r="316">
      <c r="A316" s="44"/>
      <c r="B316" s="44"/>
      <c r="C316" s="44"/>
      <c r="D316" s="44"/>
      <c r="E316" s="44"/>
      <c r="F316" s="44"/>
      <c r="G316" s="44"/>
      <c r="H316" s="66" t="s">
        <v>16</v>
      </c>
      <c r="I316" s="44"/>
      <c r="J316" s="44"/>
      <c r="K316" s="44"/>
      <c r="L316" s="44"/>
      <c r="M316" s="44"/>
      <c r="N316" s="44"/>
      <c r="O316" s="44"/>
      <c r="P316" s="44"/>
      <c r="Q316" s="44"/>
      <c r="R316" s="44"/>
      <c r="S316" s="44"/>
      <c r="T316" s="44"/>
      <c r="U316" s="44"/>
      <c r="V316" s="44"/>
      <c r="W316" s="44"/>
      <c r="X316" s="44"/>
      <c r="Y316" s="44"/>
      <c r="Z316" s="44"/>
      <c r="AA316" s="44"/>
    </row>
    <row r="317">
      <c r="A317" s="44"/>
      <c r="B317" s="44"/>
      <c r="C317" s="44"/>
      <c r="D317" s="44"/>
      <c r="E317" s="44"/>
      <c r="F317" s="44"/>
      <c r="G317" s="44"/>
      <c r="H317" s="44" t="s">
        <v>131</v>
      </c>
      <c r="I317" s="44"/>
      <c r="J317" s="65"/>
      <c r="K317" s="44"/>
      <c r="L317" s="44"/>
      <c r="M317" s="44"/>
      <c r="N317" s="44"/>
      <c r="O317" s="44"/>
      <c r="P317" s="44"/>
      <c r="Q317" s="44"/>
      <c r="R317" s="44"/>
      <c r="S317" s="44"/>
      <c r="T317" s="44"/>
      <c r="U317" s="44"/>
      <c r="V317" s="44"/>
      <c r="W317" s="44"/>
      <c r="X317" s="44"/>
      <c r="Y317" s="44"/>
      <c r="Z317" s="44"/>
      <c r="AA317" s="44"/>
    </row>
    <row r="318">
      <c r="A318" s="44"/>
      <c r="B318" s="44"/>
      <c r="C318" s="44"/>
      <c r="D318" s="44"/>
      <c r="E318" s="44"/>
      <c r="F318" s="44"/>
      <c r="G318" s="44"/>
      <c r="H318" s="44" t="s">
        <v>18</v>
      </c>
      <c r="I318" s="44"/>
      <c r="J318" s="65"/>
      <c r="K318" s="44"/>
      <c r="L318" s="44"/>
      <c r="M318" s="44"/>
      <c r="N318" s="44"/>
      <c r="O318" s="44"/>
      <c r="P318" s="44"/>
      <c r="Q318" s="44"/>
      <c r="R318" s="44"/>
      <c r="S318" s="44"/>
      <c r="T318" s="44"/>
      <c r="U318" s="44"/>
      <c r="V318" s="44"/>
      <c r="W318" s="44"/>
      <c r="X318" s="44"/>
      <c r="Y318" s="44"/>
      <c r="Z318" s="44"/>
      <c r="AA318" s="44"/>
    </row>
    <row r="319">
      <c r="A319" s="44"/>
      <c r="B319" s="44"/>
      <c r="C319" s="44"/>
      <c r="D319" s="44"/>
      <c r="E319" s="44"/>
      <c r="F319" s="44"/>
      <c r="G319" s="44"/>
      <c r="H319" s="66" t="s">
        <v>19</v>
      </c>
      <c r="I319" s="44"/>
      <c r="J319" s="65"/>
      <c r="K319" s="44"/>
      <c r="L319" s="44"/>
      <c r="M319" s="44"/>
      <c r="N319" s="44"/>
      <c r="O319" s="44"/>
      <c r="P319" s="44"/>
      <c r="Q319" s="44"/>
      <c r="R319" s="44"/>
      <c r="S319" s="44"/>
      <c r="T319" s="44"/>
      <c r="U319" s="44"/>
      <c r="V319" s="44"/>
      <c r="W319" s="44"/>
      <c r="X319" s="44"/>
      <c r="Y319" s="44"/>
      <c r="Z319" s="44"/>
      <c r="AA319" s="44"/>
    </row>
    <row r="320">
      <c r="A320" s="44"/>
      <c r="B320" s="44"/>
      <c r="C320" s="44"/>
      <c r="D320" s="44"/>
      <c r="E320" s="44"/>
      <c r="F320" s="44"/>
      <c r="G320" s="44"/>
      <c r="H320" s="44" t="s">
        <v>20</v>
      </c>
      <c r="I320" s="44"/>
      <c r="J320" s="65"/>
      <c r="K320" s="44"/>
      <c r="L320" s="44"/>
      <c r="M320" s="44"/>
      <c r="N320" s="44"/>
      <c r="O320" s="44"/>
      <c r="P320" s="44"/>
      <c r="Q320" s="44"/>
      <c r="R320" s="44"/>
      <c r="S320" s="44"/>
      <c r="T320" s="44"/>
      <c r="U320" s="44"/>
      <c r="V320" s="44"/>
      <c r="W320" s="44"/>
      <c r="X320" s="44"/>
      <c r="Y320" s="44"/>
      <c r="Z320" s="44"/>
      <c r="AA320" s="44"/>
    </row>
    <row r="321">
      <c r="A321" s="44"/>
      <c r="B321" s="44"/>
      <c r="C321" s="44"/>
      <c r="D321" s="44"/>
      <c r="E321" s="44"/>
      <c r="F321" s="44"/>
      <c r="G321" s="44"/>
      <c r="H321" s="66" t="s">
        <v>29</v>
      </c>
      <c r="I321" s="44"/>
      <c r="J321" s="44"/>
      <c r="K321" s="44"/>
      <c r="L321" s="44"/>
      <c r="M321" s="44"/>
      <c r="N321" s="44"/>
      <c r="O321" s="44"/>
      <c r="P321" s="44"/>
      <c r="Q321" s="44"/>
      <c r="R321" s="44"/>
      <c r="S321" s="44"/>
      <c r="T321" s="44"/>
      <c r="U321" s="44"/>
      <c r="V321" s="44"/>
      <c r="W321" s="44"/>
      <c r="X321" s="44"/>
      <c r="Y321" s="44"/>
      <c r="Z321" s="44"/>
      <c r="AA321" s="44"/>
    </row>
    <row r="322">
      <c r="A322" s="44"/>
      <c r="B322" s="44"/>
      <c r="C322" s="44"/>
      <c r="D322" s="44"/>
      <c r="E322" s="44"/>
      <c r="F322" s="44"/>
      <c r="G322" s="44"/>
      <c r="H322" s="44" t="s">
        <v>24</v>
      </c>
      <c r="I322" s="44"/>
      <c r="J322" s="65"/>
      <c r="K322" s="44"/>
      <c r="L322" s="44"/>
      <c r="M322" s="44"/>
      <c r="N322" s="44"/>
      <c r="O322" s="44"/>
      <c r="P322" s="44"/>
      <c r="Q322" s="44"/>
      <c r="R322" s="44"/>
      <c r="S322" s="44"/>
      <c r="T322" s="44"/>
      <c r="U322" s="44"/>
      <c r="V322" s="44"/>
      <c r="W322" s="44"/>
      <c r="X322" s="44"/>
      <c r="Y322" s="44"/>
      <c r="Z322" s="44"/>
      <c r="AA322" s="44"/>
    </row>
    <row r="323">
      <c r="A323" s="44"/>
      <c r="B323" s="44"/>
      <c r="C323" s="44"/>
      <c r="D323" s="44"/>
      <c r="E323" s="44"/>
      <c r="F323" s="44"/>
      <c r="G323" s="44"/>
      <c r="H323" s="45" t="s">
        <v>192</v>
      </c>
      <c r="I323" s="44"/>
      <c r="J323" s="65"/>
      <c r="K323" s="44"/>
      <c r="L323" s="44"/>
      <c r="M323" s="44"/>
      <c r="N323" s="44"/>
      <c r="O323" s="44"/>
      <c r="P323" s="44"/>
      <c r="Q323" s="44"/>
      <c r="R323" s="44"/>
      <c r="S323" s="44"/>
      <c r="T323" s="44"/>
      <c r="U323" s="44"/>
      <c r="V323" s="44"/>
      <c r="W323" s="44"/>
      <c r="X323" s="44"/>
      <c r="Y323" s="44"/>
      <c r="Z323" s="44"/>
      <c r="AA323" s="44"/>
    </row>
    <row r="324">
      <c r="A324" s="44"/>
      <c r="B324" s="44"/>
      <c r="C324" s="44"/>
      <c r="D324" s="44"/>
      <c r="E324" s="44"/>
      <c r="F324" s="44"/>
      <c r="G324" s="44"/>
      <c r="H324" s="66" t="s">
        <v>83</v>
      </c>
      <c r="I324" s="44"/>
      <c r="J324" s="45">
        <v>70.0</v>
      </c>
      <c r="K324" s="44"/>
      <c r="L324" s="44"/>
      <c r="M324" s="44"/>
      <c r="N324" s="44"/>
      <c r="O324" s="44"/>
      <c r="P324" s="44"/>
      <c r="Q324" s="44"/>
      <c r="R324" s="44"/>
      <c r="S324" s="44"/>
      <c r="T324" s="44"/>
      <c r="U324" s="44"/>
      <c r="V324" s="44"/>
      <c r="W324" s="44"/>
      <c r="X324" s="44"/>
      <c r="Y324" s="44"/>
      <c r="Z324" s="44"/>
      <c r="AA324" s="44"/>
    </row>
    <row r="325">
      <c r="A325" s="65"/>
      <c r="B325" s="44"/>
      <c r="C325" s="65"/>
      <c r="D325" s="65"/>
      <c r="E325" s="44"/>
      <c r="F325" s="44"/>
      <c r="G325" s="44"/>
      <c r="H325" s="45" t="s">
        <v>202</v>
      </c>
      <c r="I325" s="45"/>
      <c r="J325" s="45">
        <v>90.0</v>
      </c>
      <c r="K325" s="44"/>
      <c r="L325" s="44"/>
      <c r="M325" s="44"/>
      <c r="N325" s="44"/>
      <c r="O325" s="44"/>
      <c r="P325" s="44"/>
      <c r="Q325" s="44"/>
      <c r="R325" s="44"/>
      <c r="S325" s="44"/>
      <c r="T325" s="44"/>
      <c r="U325" s="44"/>
      <c r="V325" s="44"/>
      <c r="W325" s="44"/>
      <c r="X325" s="44"/>
      <c r="Y325" s="44"/>
      <c r="Z325" s="44"/>
      <c r="AA325" s="44"/>
    </row>
    <row r="326">
      <c r="A326" s="47" t="s">
        <v>203</v>
      </c>
      <c r="B326" s="48"/>
      <c r="C326" s="72" t="s">
        <v>199</v>
      </c>
      <c r="D326" s="50"/>
      <c r="E326" s="44"/>
      <c r="F326" s="44"/>
      <c r="G326" s="44"/>
      <c r="H326" s="44"/>
      <c r="I326" s="44"/>
      <c r="J326" s="44"/>
      <c r="K326" s="44"/>
      <c r="L326" s="44"/>
      <c r="M326" s="44"/>
      <c r="N326" s="44"/>
      <c r="O326" s="44"/>
      <c r="P326" s="44"/>
      <c r="Q326" s="44"/>
      <c r="R326" s="44"/>
      <c r="S326" s="44"/>
      <c r="T326" s="44"/>
      <c r="U326" s="44"/>
      <c r="V326" s="44"/>
      <c r="W326" s="44"/>
      <c r="X326" s="44"/>
      <c r="Y326" s="44"/>
      <c r="Z326" s="44"/>
      <c r="AA326" s="44"/>
    </row>
    <row r="327">
      <c r="A327" s="44"/>
      <c r="B327" s="44"/>
      <c r="C327" s="71" t="s">
        <v>200</v>
      </c>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row>
    <row r="328">
      <c r="A328" s="44"/>
      <c r="B328" s="44"/>
      <c r="C328" s="71" t="s">
        <v>158</v>
      </c>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row>
    <row r="329">
      <c r="A329" s="64"/>
      <c r="B329" s="44"/>
      <c r="C329" s="44"/>
      <c r="D329" s="65"/>
      <c r="E329" s="52"/>
      <c r="F329" s="44"/>
      <c r="G329" s="52"/>
      <c r="H329" s="44"/>
      <c r="I329" s="44"/>
      <c r="J329" s="65"/>
      <c r="K329" s="44"/>
      <c r="L329" s="44"/>
      <c r="M329" s="44"/>
      <c r="N329" s="44"/>
      <c r="O329" s="44"/>
      <c r="P329" s="44"/>
      <c r="Q329" s="44"/>
      <c r="R329" s="44"/>
      <c r="S329" s="44"/>
      <c r="T329" s="44"/>
      <c r="U329" s="44"/>
      <c r="V329" s="44"/>
      <c r="W329" s="44"/>
      <c r="X329" s="44"/>
      <c r="Y329" s="44"/>
      <c r="Z329" s="44"/>
      <c r="AA329" s="44"/>
    </row>
    <row r="330">
      <c r="A330" s="52"/>
      <c r="B330" s="44"/>
      <c r="C330" s="44"/>
      <c r="D330" s="44"/>
      <c r="E330" s="52"/>
      <c r="F330" s="44"/>
      <c r="G330" s="52"/>
      <c r="H330" s="44"/>
      <c r="I330" s="44"/>
      <c r="J330" s="65"/>
      <c r="K330" s="44"/>
      <c r="L330" s="44"/>
      <c r="M330" s="44"/>
      <c r="N330" s="44"/>
      <c r="O330" s="44"/>
      <c r="P330" s="44"/>
      <c r="Q330" s="44"/>
      <c r="R330" s="44"/>
      <c r="S330" s="44"/>
      <c r="T330" s="44"/>
      <c r="U330" s="44"/>
      <c r="V330" s="44"/>
      <c r="W330" s="44"/>
      <c r="X330" s="44"/>
      <c r="Y330" s="44"/>
      <c r="Z330" s="44"/>
      <c r="AA330" s="44"/>
    </row>
    <row r="331">
      <c r="A331" s="51" t="s">
        <v>179</v>
      </c>
      <c r="B331" s="44"/>
      <c r="C331" s="44" t="s">
        <v>3</v>
      </c>
      <c r="D331" s="45" t="s">
        <v>204</v>
      </c>
      <c r="E331" s="52"/>
      <c r="F331" s="44"/>
      <c r="G331" s="52" t="s">
        <v>60</v>
      </c>
      <c r="H331" s="44" t="s">
        <v>4</v>
      </c>
      <c r="I331" s="44"/>
      <c r="J331" s="65"/>
      <c r="K331" s="44"/>
      <c r="L331" s="44"/>
      <c r="M331" s="44"/>
      <c r="N331" s="44"/>
      <c r="O331" s="44"/>
      <c r="P331" s="44"/>
      <c r="Q331" s="44"/>
      <c r="R331" s="44"/>
      <c r="S331" s="44"/>
      <c r="T331" s="44"/>
      <c r="U331" s="44"/>
      <c r="V331" s="44"/>
      <c r="W331" s="44"/>
      <c r="X331" s="44"/>
      <c r="Y331" s="44"/>
      <c r="Z331" s="44"/>
      <c r="AA331" s="44"/>
    </row>
    <row r="332">
      <c r="A332" s="44"/>
      <c r="B332" s="44"/>
      <c r="C332" s="44" t="s">
        <v>24</v>
      </c>
      <c r="D332" s="44"/>
      <c r="E332" s="44"/>
      <c r="F332" s="44"/>
      <c r="G332" s="44"/>
      <c r="H332" s="66" t="s">
        <v>25</v>
      </c>
      <c r="I332" s="44"/>
      <c r="J332" s="65"/>
      <c r="K332" s="44"/>
      <c r="L332" s="44"/>
      <c r="M332" s="44"/>
      <c r="N332" s="44"/>
      <c r="O332" s="44"/>
      <c r="P332" s="44"/>
      <c r="Q332" s="44"/>
      <c r="R332" s="44"/>
      <c r="S332" s="44"/>
      <c r="T332" s="44"/>
      <c r="U332" s="44"/>
      <c r="V332" s="44"/>
      <c r="W332" s="44"/>
      <c r="X332" s="44"/>
      <c r="Y332" s="44"/>
      <c r="Z332" s="44"/>
      <c r="AA332" s="44"/>
    </row>
    <row r="333">
      <c r="A333" s="54" t="s">
        <v>201</v>
      </c>
      <c r="B333" s="44"/>
      <c r="C333" s="44" t="s">
        <v>26</v>
      </c>
      <c r="D333" s="44"/>
      <c r="E333" s="44"/>
      <c r="F333" s="44"/>
      <c r="G333" s="44"/>
      <c r="H333" s="44" t="s">
        <v>6</v>
      </c>
      <c r="I333" s="44"/>
      <c r="J333" s="45">
        <v>260.0</v>
      </c>
      <c r="K333" s="44"/>
      <c r="L333" s="44"/>
      <c r="M333" s="44"/>
      <c r="N333" s="44"/>
      <c r="O333" s="44"/>
      <c r="P333" s="44"/>
      <c r="Q333" s="44"/>
      <c r="R333" s="44"/>
      <c r="S333" s="44"/>
      <c r="T333" s="44"/>
      <c r="U333" s="44"/>
      <c r="V333" s="44"/>
      <c r="W333" s="44"/>
      <c r="X333" s="44"/>
      <c r="Y333" s="44"/>
      <c r="Z333" s="44"/>
      <c r="AA333" s="44"/>
    </row>
    <row r="334">
      <c r="A334" s="44"/>
      <c r="B334" s="44"/>
      <c r="C334" s="44" t="s">
        <v>27</v>
      </c>
      <c r="D334" s="44"/>
      <c r="E334" s="44"/>
      <c r="F334" s="44"/>
      <c r="G334" s="44"/>
      <c r="H334" s="44" t="s">
        <v>81</v>
      </c>
      <c r="I334" s="44"/>
      <c r="J334" s="45">
        <v>172.0</v>
      </c>
      <c r="K334" s="44"/>
      <c r="L334" s="44"/>
      <c r="M334" s="44"/>
      <c r="N334" s="44"/>
      <c r="O334" s="44"/>
      <c r="P334" s="44"/>
      <c r="Q334" s="44"/>
      <c r="R334" s="44"/>
      <c r="S334" s="44"/>
      <c r="T334" s="44"/>
      <c r="U334" s="44"/>
      <c r="V334" s="44"/>
      <c r="W334" s="44"/>
      <c r="X334" s="44"/>
      <c r="Y334" s="44"/>
      <c r="Z334" s="44"/>
      <c r="AA334" s="44"/>
    </row>
    <row r="335">
      <c r="A335" s="44"/>
      <c r="B335" s="44"/>
      <c r="C335" s="44" t="s">
        <v>37</v>
      </c>
      <c r="D335" s="44"/>
      <c r="E335" s="44"/>
      <c r="F335" s="44"/>
      <c r="G335" s="44"/>
      <c r="H335" s="66" t="s">
        <v>8</v>
      </c>
      <c r="I335" s="44"/>
      <c r="J335" s="44"/>
      <c r="K335" s="44"/>
      <c r="L335" s="44"/>
      <c r="M335" s="44"/>
      <c r="N335" s="44"/>
      <c r="O335" s="44"/>
      <c r="P335" s="44"/>
      <c r="Q335" s="44"/>
      <c r="R335" s="44"/>
      <c r="S335" s="44"/>
      <c r="T335" s="44"/>
      <c r="U335" s="44"/>
      <c r="V335" s="44"/>
      <c r="W335" s="44"/>
      <c r="X335" s="44"/>
      <c r="Y335" s="44"/>
      <c r="Z335" s="44"/>
      <c r="AA335" s="44"/>
    </row>
    <row r="336">
      <c r="A336" s="44"/>
      <c r="B336" s="44"/>
      <c r="C336" s="44" t="s">
        <v>52</v>
      </c>
      <c r="D336" s="44"/>
      <c r="E336" s="44"/>
      <c r="F336" s="44"/>
      <c r="G336" s="44"/>
      <c r="H336" s="66" t="s">
        <v>94</v>
      </c>
      <c r="I336" s="44"/>
      <c r="J336" s="65"/>
      <c r="K336" s="44"/>
      <c r="L336" s="44"/>
      <c r="M336" s="44"/>
      <c r="N336" s="44"/>
      <c r="O336" s="44"/>
      <c r="P336" s="44"/>
      <c r="Q336" s="44"/>
      <c r="R336" s="44"/>
      <c r="S336" s="44"/>
      <c r="T336" s="44"/>
      <c r="U336" s="44"/>
      <c r="V336" s="44"/>
      <c r="W336" s="44"/>
      <c r="X336" s="44"/>
      <c r="Y336" s="44"/>
      <c r="Z336" s="44"/>
      <c r="AA336" s="44"/>
    </row>
    <row r="337">
      <c r="A337" s="44"/>
      <c r="B337" s="44"/>
      <c r="C337" s="44"/>
      <c r="D337" s="44"/>
      <c r="E337" s="44"/>
      <c r="F337" s="44"/>
      <c r="G337" s="44"/>
      <c r="H337" s="44" t="s">
        <v>10</v>
      </c>
      <c r="I337" s="44"/>
      <c r="J337" s="44"/>
      <c r="K337" s="44"/>
      <c r="L337" s="44"/>
      <c r="M337" s="44"/>
      <c r="N337" s="44"/>
      <c r="O337" s="44"/>
      <c r="P337" s="44"/>
      <c r="Q337" s="44"/>
      <c r="R337" s="44"/>
      <c r="S337" s="44"/>
      <c r="T337" s="44"/>
      <c r="U337" s="44"/>
      <c r="V337" s="44"/>
      <c r="W337" s="44"/>
      <c r="X337" s="44"/>
      <c r="Y337" s="44"/>
      <c r="Z337" s="44"/>
      <c r="AA337" s="44"/>
    </row>
    <row r="338">
      <c r="A338" s="44"/>
      <c r="B338" s="52"/>
      <c r="C338" s="52"/>
      <c r="D338" s="52"/>
      <c r="E338" s="52"/>
      <c r="F338" s="44"/>
      <c r="G338" s="44"/>
      <c r="H338" s="44" t="s">
        <v>34</v>
      </c>
      <c r="I338" s="44"/>
      <c r="J338" s="44"/>
      <c r="K338" s="44"/>
      <c r="L338" s="44"/>
      <c r="M338" s="44"/>
      <c r="N338" s="44"/>
      <c r="O338" s="44"/>
      <c r="P338" s="44"/>
      <c r="Q338" s="44"/>
      <c r="R338" s="44"/>
      <c r="S338" s="44"/>
      <c r="T338" s="44"/>
      <c r="U338" s="44"/>
      <c r="V338" s="44"/>
      <c r="W338" s="44"/>
      <c r="X338" s="44"/>
      <c r="Y338" s="44"/>
      <c r="Z338" s="44"/>
      <c r="AA338" s="44"/>
    </row>
    <row r="339">
      <c r="A339" s="44"/>
      <c r="B339" s="44"/>
      <c r="C339" s="44"/>
      <c r="D339" s="44"/>
      <c r="E339" s="44"/>
      <c r="F339" s="44"/>
      <c r="G339" s="44"/>
      <c r="H339" s="66" t="s">
        <v>28</v>
      </c>
      <c r="I339" s="44"/>
      <c r="J339" s="44"/>
      <c r="K339" s="44"/>
      <c r="L339" s="44"/>
      <c r="M339" s="44"/>
      <c r="N339" s="44"/>
      <c r="O339" s="44"/>
      <c r="P339" s="44"/>
      <c r="Q339" s="44"/>
      <c r="R339" s="44"/>
      <c r="S339" s="44"/>
      <c r="T339" s="44"/>
      <c r="U339" s="44"/>
      <c r="V339" s="44"/>
      <c r="W339" s="44"/>
      <c r="X339" s="44"/>
      <c r="Y339" s="44"/>
      <c r="Z339" s="44"/>
      <c r="AA339" s="44"/>
    </row>
    <row r="340">
      <c r="A340" s="44"/>
      <c r="B340" s="44"/>
      <c r="C340" s="44"/>
      <c r="D340" s="44"/>
      <c r="E340" s="44"/>
      <c r="F340" s="44"/>
      <c r="G340" s="44"/>
      <c r="H340" s="44" t="s">
        <v>11</v>
      </c>
      <c r="I340" s="44"/>
      <c r="J340" s="65"/>
      <c r="K340" s="44"/>
      <c r="L340" s="44"/>
      <c r="M340" s="44"/>
      <c r="N340" s="44"/>
      <c r="O340" s="44"/>
      <c r="P340" s="44"/>
      <c r="Q340" s="44"/>
      <c r="R340" s="44"/>
      <c r="S340" s="44"/>
      <c r="T340" s="44"/>
      <c r="U340" s="44"/>
      <c r="V340" s="44"/>
      <c r="W340" s="44"/>
      <c r="X340" s="44"/>
      <c r="Y340" s="44"/>
      <c r="Z340" s="44"/>
      <c r="AA340" s="44"/>
    </row>
    <row r="341">
      <c r="A341" s="44"/>
      <c r="B341" s="44"/>
      <c r="C341" s="44"/>
      <c r="D341" s="44"/>
      <c r="E341" s="44"/>
      <c r="F341" s="44"/>
      <c r="G341" s="44"/>
      <c r="H341" s="44" t="s">
        <v>12</v>
      </c>
      <c r="I341" s="44"/>
      <c r="J341" s="65"/>
      <c r="K341" s="44"/>
      <c r="L341" s="44"/>
      <c r="M341" s="44"/>
      <c r="N341" s="44"/>
      <c r="O341" s="44"/>
      <c r="P341" s="44"/>
      <c r="Q341" s="44"/>
      <c r="R341" s="44"/>
      <c r="S341" s="44"/>
      <c r="T341" s="44"/>
      <c r="U341" s="44"/>
      <c r="V341" s="44"/>
      <c r="W341" s="44"/>
      <c r="X341" s="44"/>
      <c r="Y341" s="44"/>
      <c r="Z341" s="44"/>
      <c r="AA341" s="44"/>
    </row>
    <row r="342">
      <c r="A342" s="44"/>
      <c r="B342" s="44"/>
      <c r="C342" s="44"/>
      <c r="D342" s="44"/>
      <c r="E342" s="44"/>
      <c r="F342" s="44"/>
      <c r="G342" s="44"/>
      <c r="H342" s="44" t="s">
        <v>95</v>
      </c>
      <c r="I342" s="44"/>
      <c r="J342" s="65"/>
      <c r="K342" s="44"/>
      <c r="L342" s="44"/>
      <c r="M342" s="44"/>
      <c r="N342" s="44"/>
      <c r="O342" s="44"/>
      <c r="P342" s="44"/>
      <c r="Q342" s="44"/>
      <c r="R342" s="44"/>
      <c r="S342" s="44"/>
      <c r="T342" s="44"/>
      <c r="U342" s="44"/>
      <c r="V342" s="44"/>
      <c r="W342" s="44"/>
      <c r="X342" s="44"/>
      <c r="Y342" s="44"/>
      <c r="Z342" s="44"/>
      <c r="AA342" s="44"/>
    </row>
    <row r="343">
      <c r="A343" s="44"/>
      <c r="B343" s="44"/>
      <c r="C343" s="44"/>
      <c r="D343" s="44"/>
      <c r="E343" s="44"/>
      <c r="F343" s="44"/>
      <c r="G343" s="44"/>
      <c r="H343" s="44" t="s">
        <v>14</v>
      </c>
      <c r="I343" s="44"/>
      <c r="J343" s="44"/>
      <c r="K343" s="44"/>
      <c r="L343" s="44"/>
      <c r="M343" s="44"/>
      <c r="N343" s="44"/>
      <c r="O343" s="44"/>
      <c r="P343" s="44"/>
      <c r="Q343" s="44"/>
      <c r="R343" s="44"/>
      <c r="S343" s="44"/>
      <c r="T343" s="44"/>
      <c r="U343" s="44"/>
      <c r="V343" s="44"/>
      <c r="W343" s="44"/>
      <c r="X343" s="44"/>
      <c r="Y343" s="44"/>
      <c r="Z343" s="44"/>
      <c r="AA343" s="44"/>
    </row>
    <row r="344">
      <c r="A344" s="44"/>
      <c r="B344" s="44"/>
      <c r="C344" s="44"/>
      <c r="D344" s="44"/>
      <c r="E344" s="44"/>
      <c r="F344" s="44"/>
      <c r="G344" s="44"/>
      <c r="H344" s="44" t="s">
        <v>108</v>
      </c>
      <c r="I344" s="44"/>
      <c r="J344" s="44"/>
      <c r="K344" s="44"/>
      <c r="L344" s="44"/>
      <c r="M344" s="44"/>
      <c r="N344" s="44"/>
      <c r="O344" s="44"/>
      <c r="P344" s="44"/>
      <c r="Q344" s="44"/>
      <c r="R344" s="44"/>
      <c r="S344" s="44"/>
      <c r="T344" s="44"/>
      <c r="U344" s="44"/>
      <c r="V344" s="44"/>
      <c r="W344" s="44"/>
      <c r="X344" s="44"/>
      <c r="Y344" s="44"/>
      <c r="Z344" s="44"/>
      <c r="AA344" s="44"/>
    </row>
    <row r="345">
      <c r="A345" s="44"/>
      <c r="B345" s="44"/>
      <c r="C345" s="44"/>
      <c r="D345" s="44"/>
      <c r="E345" s="44"/>
      <c r="F345" s="44"/>
      <c r="G345" s="44"/>
      <c r="H345" s="65" t="s">
        <v>156</v>
      </c>
      <c r="I345" s="45"/>
      <c r="J345" s="45">
        <v>140.0</v>
      </c>
      <c r="K345" s="44"/>
      <c r="L345" s="44"/>
      <c r="M345" s="44"/>
      <c r="N345" s="44"/>
      <c r="O345" s="44"/>
      <c r="P345" s="44"/>
      <c r="Q345" s="44"/>
      <c r="R345" s="44"/>
      <c r="S345" s="44"/>
      <c r="T345" s="44"/>
      <c r="U345" s="44"/>
      <c r="V345" s="44"/>
      <c r="W345" s="44"/>
      <c r="X345" s="44"/>
      <c r="Y345" s="44"/>
      <c r="Z345" s="44"/>
      <c r="AA345" s="44"/>
    </row>
    <row r="346">
      <c r="A346" s="44"/>
      <c r="B346" s="44"/>
      <c r="C346" s="44"/>
      <c r="D346" s="44"/>
      <c r="E346" s="44"/>
      <c r="F346" s="44"/>
      <c r="G346" s="44"/>
      <c r="H346" s="66" t="s">
        <v>16</v>
      </c>
      <c r="I346" s="44"/>
      <c r="J346" s="44"/>
      <c r="K346" s="44"/>
      <c r="L346" s="44"/>
      <c r="M346" s="44"/>
      <c r="N346" s="44"/>
      <c r="O346" s="44"/>
      <c r="P346" s="44"/>
      <c r="Q346" s="44"/>
      <c r="R346" s="44"/>
      <c r="S346" s="44"/>
      <c r="T346" s="44"/>
      <c r="U346" s="44"/>
      <c r="V346" s="44"/>
      <c r="W346" s="44"/>
      <c r="X346" s="44"/>
      <c r="Y346" s="44"/>
      <c r="Z346" s="44"/>
      <c r="AA346" s="44"/>
    </row>
    <row r="347">
      <c r="A347" s="44"/>
      <c r="B347" s="44"/>
      <c r="C347" s="44"/>
      <c r="D347" s="44"/>
      <c r="E347" s="44"/>
      <c r="F347" s="44"/>
      <c r="G347" s="44"/>
      <c r="H347" s="44" t="s">
        <v>131</v>
      </c>
      <c r="I347" s="44"/>
      <c r="J347" s="65"/>
      <c r="K347" s="44"/>
      <c r="L347" s="44"/>
      <c r="M347" s="44"/>
      <c r="N347" s="44"/>
      <c r="O347" s="44"/>
      <c r="P347" s="44"/>
      <c r="Q347" s="44"/>
      <c r="R347" s="44"/>
      <c r="S347" s="44"/>
      <c r="T347" s="44"/>
      <c r="U347" s="44"/>
      <c r="V347" s="44"/>
      <c r="W347" s="44"/>
      <c r="X347" s="44"/>
      <c r="Y347" s="44"/>
      <c r="Z347" s="44"/>
      <c r="AA347" s="44"/>
    </row>
    <row r="348">
      <c r="A348" s="44"/>
      <c r="B348" s="44"/>
      <c r="C348" s="44"/>
      <c r="D348" s="44"/>
      <c r="E348" s="44"/>
      <c r="F348" s="44"/>
      <c r="G348" s="44"/>
      <c r="H348" s="44" t="s">
        <v>18</v>
      </c>
      <c r="I348" s="44"/>
      <c r="J348" s="65"/>
      <c r="K348" s="44"/>
      <c r="L348" s="44"/>
      <c r="M348" s="44"/>
      <c r="N348" s="44"/>
      <c r="O348" s="44"/>
      <c r="P348" s="44"/>
      <c r="Q348" s="44"/>
      <c r="R348" s="44"/>
      <c r="S348" s="44"/>
      <c r="T348" s="44"/>
      <c r="U348" s="44"/>
      <c r="V348" s="44"/>
      <c r="W348" s="44"/>
      <c r="X348" s="44"/>
      <c r="Y348" s="44"/>
      <c r="Z348" s="44"/>
      <c r="AA348" s="44"/>
    </row>
    <row r="349">
      <c r="A349" s="44"/>
      <c r="B349" s="44"/>
      <c r="C349" s="44"/>
      <c r="D349" s="44"/>
      <c r="E349" s="44"/>
      <c r="F349" s="44"/>
      <c r="G349" s="44"/>
      <c r="H349" s="66" t="s">
        <v>19</v>
      </c>
      <c r="I349" s="44"/>
      <c r="J349" s="65"/>
      <c r="K349" s="44"/>
      <c r="L349" s="44"/>
      <c r="M349" s="44"/>
      <c r="N349" s="44"/>
      <c r="O349" s="44"/>
      <c r="P349" s="44"/>
      <c r="Q349" s="44"/>
      <c r="R349" s="44"/>
      <c r="S349" s="44"/>
      <c r="T349" s="44"/>
      <c r="U349" s="44"/>
      <c r="V349" s="44"/>
      <c r="W349" s="44"/>
      <c r="X349" s="44"/>
      <c r="Y349" s="44"/>
      <c r="Z349" s="44"/>
      <c r="AA349" s="44"/>
    </row>
    <row r="350">
      <c r="A350" s="44"/>
      <c r="B350" s="44"/>
      <c r="C350" s="44"/>
      <c r="D350" s="44"/>
      <c r="E350" s="44"/>
      <c r="F350" s="44"/>
      <c r="G350" s="44"/>
      <c r="H350" s="44" t="s">
        <v>20</v>
      </c>
      <c r="I350" s="44"/>
      <c r="J350" s="65"/>
      <c r="K350" s="44"/>
      <c r="L350" s="44"/>
      <c r="M350" s="44"/>
      <c r="N350" s="44"/>
      <c r="O350" s="44"/>
      <c r="P350" s="44"/>
      <c r="Q350" s="44"/>
      <c r="R350" s="44"/>
      <c r="S350" s="44"/>
      <c r="T350" s="44"/>
      <c r="U350" s="44"/>
      <c r="V350" s="44"/>
      <c r="W350" s="44"/>
      <c r="X350" s="44"/>
      <c r="Y350" s="44"/>
      <c r="Z350" s="44"/>
      <c r="AA350" s="44"/>
    </row>
    <row r="351">
      <c r="A351" s="44"/>
      <c r="B351" s="44"/>
      <c r="C351" s="44"/>
      <c r="D351" s="44"/>
      <c r="E351" s="44"/>
      <c r="F351" s="44"/>
      <c r="G351" s="44"/>
      <c r="H351" s="69" t="s">
        <v>205</v>
      </c>
      <c r="I351" s="45"/>
      <c r="J351" s="45">
        <v>294.0</v>
      </c>
      <c r="K351" s="44"/>
      <c r="L351" s="44"/>
      <c r="M351" s="44"/>
      <c r="N351" s="44"/>
      <c r="O351" s="44"/>
      <c r="P351" s="44"/>
      <c r="Q351" s="44"/>
      <c r="R351" s="44"/>
      <c r="S351" s="44"/>
      <c r="T351" s="44"/>
      <c r="U351" s="44"/>
      <c r="V351" s="44"/>
      <c r="W351" s="44"/>
      <c r="X351" s="44"/>
      <c r="Y351" s="44"/>
      <c r="Z351" s="44"/>
      <c r="AA351" s="44"/>
    </row>
    <row r="352">
      <c r="A352" s="44"/>
      <c r="B352" s="44"/>
      <c r="C352" s="44"/>
      <c r="D352" s="44"/>
      <c r="E352" s="44"/>
      <c r="F352" s="44"/>
      <c r="G352" s="44"/>
      <c r="H352" s="44" t="s">
        <v>24</v>
      </c>
      <c r="I352" s="44"/>
      <c r="J352" s="65"/>
      <c r="K352" s="44"/>
      <c r="L352" s="44"/>
      <c r="M352" s="44"/>
      <c r="N352" s="44"/>
      <c r="O352" s="44"/>
      <c r="P352" s="44"/>
      <c r="Q352" s="44"/>
      <c r="R352" s="44"/>
      <c r="S352" s="44"/>
      <c r="T352" s="44"/>
      <c r="U352" s="44"/>
      <c r="V352" s="44"/>
      <c r="W352" s="44"/>
      <c r="X352" s="44"/>
      <c r="Y352" s="44"/>
      <c r="Z352" s="44"/>
      <c r="AA352" s="44"/>
    </row>
    <row r="353">
      <c r="A353" s="44"/>
      <c r="B353" s="44"/>
      <c r="C353" s="44"/>
      <c r="D353" s="44"/>
      <c r="E353" s="44"/>
      <c r="F353" s="44"/>
      <c r="G353" s="44"/>
      <c r="H353" s="45" t="s">
        <v>192</v>
      </c>
      <c r="I353" s="44"/>
      <c r="J353" s="65"/>
      <c r="K353" s="44"/>
      <c r="L353" s="44"/>
      <c r="M353" s="44"/>
      <c r="N353" s="44"/>
      <c r="O353" s="44"/>
      <c r="P353" s="44"/>
      <c r="Q353" s="44"/>
      <c r="R353" s="44"/>
      <c r="S353" s="44"/>
      <c r="T353" s="44"/>
      <c r="U353" s="44"/>
      <c r="V353" s="44"/>
      <c r="W353" s="44"/>
      <c r="X353" s="44"/>
      <c r="Y353" s="44"/>
      <c r="Z353" s="44"/>
      <c r="AA353" s="44"/>
    </row>
    <row r="354">
      <c r="A354" s="65"/>
      <c r="B354" s="44"/>
      <c r="C354" s="65"/>
      <c r="D354" s="65"/>
      <c r="E354" s="44"/>
      <c r="F354" s="44"/>
      <c r="G354" s="44"/>
      <c r="H354" s="45" t="s">
        <v>202</v>
      </c>
      <c r="I354" s="45">
        <v>90.0</v>
      </c>
      <c r="J354" s="45">
        <v>90.0</v>
      </c>
      <c r="K354" s="44"/>
      <c r="L354" s="44"/>
      <c r="M354" s="44"/>
      <c r="N354" s="44"/>
      <c r="O354" s="44"/>
      <c r="P354" s="44"/>
      <c r="Q354" s="44"/>
      <c r="R354" s="44"/>
      <c r="S354" s="44"/>
      <c r="T354" s="44"/>
      <c r="U354" s="44"/>
      <c r="V354" s="44"/>
      <c r="W354" s="44"/>
      <c r="X354" s="44"/>
      <c r="Y354" s="44"/>
      <c r="Z354" s="44"/>
      <c r="AA354" s="44"/>
    </row>
    <row r="355">
      <c r="A355" s="65"/>
      <c r="B355" s="44"/>
      <c r="C355" s="65"/>
      <c r="D355" s="65"/>
      <c r="E355" s="44"/>
      <c r="F355" s="44"/>
      <c r="G355" s="44"/>
      <c r="H355" s="45" t="s">
        <v>206</v>
      </c>
      <c r="I355" s="45">
        <v>56.0</v>
      </c>
      <c r="J355" s="44"/>
      <c r="K355" s="44"/>
      <c r="L355" s="44"/>
      <c r="M355" s="44"/>
      <c r="N355" s="44"/>
      <c r="O355" s="44"/>
      <c r="P355" s="44"/>
      <c r="Q355" s="44"/>
      <c r="R355" s="44"/>
      <c r="S355" s="44"/>
      <c r="T355" s="44"/>
      <c r="U355" s="44"/>
      <c r="V355" s="44"/>
      <c r="W355" s="44"/>
      <c r="X355" s="44"/>
      <c r="Y355" s="44"/>
      <c r="Z355" s="44"/>
      <c r="AA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row>
  </sheetData>
  <mergeCells count="11">
    <mergeCell ref="C231:D231"/>
    <mergeCell ref="C264:D264"/>
    <mergeCell ref="C296:D296"/>
    <mergeCell ref="C326:D326"/>
    <mergeCell ref="C2:D2"/>
    <mergeCell ref="C37:D37"/>
    <mergeCell ref="C69:D69"/>
    <mergeCell ref="C101:D101"/>
    <mergeCell ref="C135:D135"/>
    <mergeCell ref="C167:D167"/>
    <mergeCell ref="C199:D199"/>
  </mergeCells>
  <conditionalFormatting sqref="E35:E36">
    <cfRule type="notContainsBlanks" dxfId="0" priority="1">
      <formula>LEN(TRIM(E35))&gt;0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8.75"/>
    <col customWidth="1" min="4" max="4" width="1.13"/>
    <col customWidth="1" min="5" max="5" width="1.38"/>
    <col customWidth="1" min="6" max="6" width="16.63"/>
    <col customWidth="1" min="7" max="7" width="0.5"/>
    <col customWidth="1" min="8" max="8" width="5.88"/>
  </cols>
  <sheetData>
    <row r="1">
      <c r="A1" s="73" t="s">
        <v>150</v>
      </c>
      <c r="B1" s="74"/>
      <c r="C1" s="75"/>
      <c r="D1" s="52"/>
      <c r="E1" s="52"/>
      <c r="F1" s="76"/>
      <c r="G1" s="44"/>
      <c r="H1" s="77"/>
      <c r="I1" s="78"/>
      <c r="J1" s="78"/>
      <c r="K1" s="78"/>
      <c r="L1" s="78"/>
      <c r="M1" s="78"/>
      <c r="N1" s="44"/>
      <c r="O1" s="44"/>
      <c r="P1" s="44"/>
      <c r="Q1" s="44"/>
      <c r="R1" s="44"/>
      <c r="S1" s="44"/>
      <c r="T1" s="44"/>
      <c r="U1" s="44"/>
      <c r="V1" s="44"/>
      <c r="W1" s="44"/>
      <c r="X1" s="44"/>
      <c r="Y1" s="44"/>
    </row>
    <row r="2">
      <c r="A2" s="52"/>
      <c r="B2" s="74"/>
      <c r="C2" s="74"/>
      <c r="D2" s="52"/>
      <c r="E2" s="52"/>
      <c r="F2" s="79" t="s">
        <v>0</v>
      </c>
      <c r="G2" s="44"/>
      <c r="H2" s="77"/>
      <c r="I2" s="78"/>
      <c r="J2" s="78"/>
      <c r="K2" s="78"/>
      <c r="L2" s="78"/>
      <c r="M2" s="78"/>
      <c r="N2" s="44"/>
      <c r="O2" s="44"/>
      <c r="P2" s="44"/>
      <c r="Q2" s="44"/>
      <c r="R2" s="44"/>
      <c r="S2" s="44"/>
      <c r="T2" s="44"/>
      <c r="U2" s="44"/>
      <c r="V2" s="44"/>
      <c r="W2" s="44"/>
      <c r="X2" s="44"/>
      <c r="Y2" s="44"/>
    </row>
    <row r="3">
      <c r="A3" s="80" t="s">
        <v>179</v>
      </c>
      <c r="B3" s="81">
        <v>4900.0</v>
      </c>
      <c r="D3" s="52"/>
      <c r="E3" s="82"/>
      <c r="F3" s="76" t="s">
        <v>4</v>
      </c>
      <c r="G3" s="83"/>
      <c r="H3" s="79">
        <v>80.0</v>
      </c>
      <c r="I3" s="78"/>
      <c r="J3" s="78"/>
      <c r="K3" s="78"/>
      <c r="L3" s="78"/>
      <c r="M3" s="78"/>
      <c r="N3" s="44"/>
      <c r="O3" s="44"/>
      <c r="P3" s="44"/>
      <c r="Q3" s="44"/>
      <c r="R3" s="44"/>
      <c r="S3" s="44"/>
      <c r="T3" s="44"/>
      <c r="U3" s="44"/>
      <c r="V3" s="44"/>
      <c r="W3" s="44"/>
      <c r="X3" s="44"/>
      <c r="Y3" s="44"/>
    </row>
    <row r="4">
      <c r="A4" s="76"/>
      <c r="B4" s="74"/>
      <c r="D4" s="44"/>
      <c r="E4" s="44"/>
      <c r="F4" s="84" t="s">
        <v>207</v>
      </c>
      <c r="G4" s="83"/>
      <c r="H4" s="85"/>
      <c r="I4" s="78"/>
      <c r="J4" s="78"/>
      <c r="K4" s="78"/>
      <c r="L4" s="78"/>
      <c r="M4" s="78"/>
      <c r="N4" s="44"/>
      <c r="O4" s="44"/>
      <c r="P4" s="44"/>
      <c r="Q4" s="44"/>
      <c r="R4" s="44"/>
      <c r="S4" s="44"/>
      <c r="T4" s="44"/>
      <c r="U4" s="44"/>
      <c r="V4" s="44"/>
      <c r="W4" s="44"/>
      <c r="X4" s="44"/>
      <c r="Y4" s="44"/>
    </row>
    <row r="5">
      <c r="A5" s="86" t="s">
        <v>201</v>
      </c>
      <c r="B5" s="81">
        <v>2442.0</v>
      </c>
      <c r="D5" s="44"/>
      <c r="E5" s="44"/>
      <c r="F5" s="76" t="s">
        <v>6</v>
      </c>
      <c r="G5" s="83"/>
      <c r="H5" s="85"/>
      <c r="I5" s="78"/>
      <c r="J5" s="78"/>
      <c r="K5" s="78"/>
      <c r="L5" s="78"/>
      <c r="M5" s="78"/>
      <c r="N5" s="44"/>
      <c r="O5" s="44"/>
      <c r="P5" s="44"/>
      <c r="Q5" s="44"/>
      <c r="R5" s="44"/>
      <c r="S5" s="44"/>
      <c r="T5" s="44"/>
      <c r="U5" s="44"/>
      <c r="V5" s="44"/>
      <c r="W5" s="44"/>
      <c r="X5" s="44"/>
      <c r="Y5" s="44"/>
    </row>
    <row r="6">
      <c r="A6" s="76"/>
      <c r="B6" s="74"/>
      <c r="C6" s="74"/>
      <c r="D6" s="44"/>
      <c r="E6" s="44"/>
      <c r="F6" s="87" t="s">
        <v>7</v>
      </c>
      <c r="G6" s="83"/>
      <c r="H6" s="79">
        <v>342.0</v>
      </c>
      <c r="I6" s="88" t="s">
        <v>208</v>
      </c>
      <c r="J6" s="78"/>
      <c r="K6" s="78"/>
      <c r="L6" s="78"/>
      <c r="M6" s="78"/>
      <c r="N6" s="44"/>
      <c r="O6" s="44"/>
      <c r="P6" s="44"/>
      <c r="Q6" s="44"/>
      <c r="R6" s="44"/>
      <c r="S6" s="44"/>
      <c r="T6" s="44"/>
      <c r="U6" s="44"/>
      <c r="V6" s="44"/>
      <c r="W6" s="44"/>
      <c r="X6" s="44"/>
      <c r="Y6" s="44"/>
    </row>
    <row r="7">
      <c r="A7" s="89" t="s">
        <v>209</v>
      </c>
      <c r="B7" s="90">
        <v>2458.0</v>
      </c>
      <c r="C7" s="91"/>
      <c r="D7" s="44"/>
      <c r="E7" s="44"/>
      <c r="F7" s="84" t="s">
        <v>210</v>
      </c>
      <c r="G7" s="83"/>
      <c r="H7" s="79">
        <v>342.0</v>
      </c>
      <c r="I7" s="78"/>
      <c r="J7" s="78"/>
      <c r="K7" s="78"/>
      <c r="L7" s="78"/>
      <c r="M7" s="78"/>
      <c r="N7" s="44"/>
      <c r="O7" s="44"/>
      <c r="P7" s="44"/>
      <c r="Q7" s="44"/>
      <c r="R7" s="44"/>
      <c r="S7" s="44"/>
      <c r="T7" s="44"/>
      <c r="U7" s="44"/>
      <c r="V7" s="44"/>
      <c r="W7" s="44"/>
      <c r="X7" s="44"/>
      <c r="Y7" s="44"/>
    </row>
    <row r="8">
      <c r="B8" s="92"/>
      <c r="C8" s="93"/>
      <c r="D8" s="44"/>
      <c r="E8" s="44"/>
      <c r="F8" s="84" t="s">
        <v>211</v>
      </c>
      <c r="G8" s="83"/>
      <c r="H8" s="79">
        <v>425.0</v>
      </c>
      <c r="I8" s="88" t="s">
        <v>212</v>
      </c>
      <c r="J8" s="78"/>
      <c r="K8" s="78"/>
      <c r="L8" s="78"/>
      <c r="M8" s="78"/>
      <c r="N8" s="44"/>
      <c r="O8" s="44"/>
      <c r="P8" s="44"/>
      <c r="Q8" s="44"/>
      <c r="R8" s="44"/>
      <c r="S8" s="44"/>
      <c r="T8" s="44"/>
      <c r="U8" s="44"/>
      <c r="V8" s="44"/>
      <c r="W8" s="44"/>
      <c r="X8" s="44"/>
      <c r="Y8" s="44"/>
    </row>
    <row r="9">
      <c r="A9" s="94"/>
      <c r="B9" s="74"/>
      <c r="C9" s="74"/>
      <c r="D9" s="44"/>
      <c r="E9" s="44"/>
      <c r="F9" s="87" t="s">
        <v>213</v>
      </c>
      <c r="G9" s="83"/>
      <c r="H9" s="95"/>
      <c r="I9" s="78"/>
      <c r="J9" s="78"/>
      <c r="K9" s="78"/>
      <c r="L9" s="78"/>
      <c r="M9" s="78"/>
      <c r="N9" s="44"/>
      <c r="O9" s="44"/>
      <c r="P9" s="44"/>
      <c r="Q9" s="44"/>
      <c r="R9" s="44"/>
      <c r="S9" s="44"/>
      <c r="T9" s="44"/>
      <c r="U9" s="44"/>
      <c r="V9" s="44"/>
      <c r="W9" s="44"/>
      <c r="X9" s="44"/>
      <c r="Y9" s="44"/>
    </row>
    <row r="10">
      <c r="A10" s="96" t="s">
        <v>214</v>
      </c>
      <c r="B10" s="81">
        <v>600.0</v>
      </c>
      <c r="D10" s="52"/>
      <c r="E10" s="44"/>
      <c r="F10" s="76" t="s">
        <v>34</v>
      </c>
      <c r="G10" s="83"/>
      <c r="H10" s="79">
        <v>60.0</v>
      </c>
      <c r="I10" s="78"/>
      <c r="J10" s="78"/>
      <c r="K10" s="78"/>
      <c r="L10" s="78"/>
      <c r="M10" s="78"/>
      <c r="N10" s="44"/>
      <c r="O10" s="44"/>
      <c r="P10" s="44"/>
      <c r="Q10" s="44"/>
      <c r="R10" s="44"/>
      <c r="S10" s="44"/>
      <c r="T10" s="44"/>
      <c r="U10" s="44"/>
      <c r="V10" s="44"/>
      <c r="W10" s="44"/>
      <c r="X10" s="44"/>
      <c r="Y10" s="44"/>
    </row>
    <row r="11">
      <c r="A11" s="96" t="s">
        <v>215</v>
      </c>
      <c r="B11" s="74"/>
      <c r="C11" s="74"/>
      <c r="D11" s="44"/>
      <c r="E11" s="44"/>
      <c r="F11" s="87" t="s">
        <v>216</v>
      </c>
      <c r="G11" s="83"/>
      <c r="H11" s="85"/>
      <c r="I11" s="78"/>
      <c r="J11" s="78"/>
      <c r="K11" s="78"/>
      <c r="L11" s="78"/>
      <c r="M11" s="78"/>
      <c r="N11" s="44"/>
      <c r="O11" s="44"/>
      <c r="P11" s="44"/>
      <c r="Q11" s="44"/>
      <c r="R11" s="44"/>
      <c r="S11" s="44"/>
      <c r="T11" s="44"/>
      <c r="U11" s="44"/>
      <c r="V11" s="44"/>
      <c r="W11" s="44"/>
      <c r="X11" s="44"/>
      <c r="Y11" s="44"/>
    </row>
    <row r="12">
      <c r="A12" s="44"/>
      <c r="B12" s="74"/>
      <c r="C12" s="74"/>
      <c r="D12" s="44"/>
      <c r="E12" s="44"/>
      <c r="F12" s="76" t="s">
        <v>108</v>
      </c>
      <c r="G12" s="83"/>
      <c r="H12" s="95"/>
      <c r="I12" s="78"/>
      <c r="J12" s="78"/>
      <c r="K12" s="78"/>
      <c r="L12" s="78"/>
      <c r="M12" s="78"/>
      <c r="N12" s="44"/>
      <c r="O12" s="44"/>
      <c r="P12" s="44"/>
      <c r="Q12" s="44"/>
      <c r="R12" s="44"/>
      <c r="S12" s="44"/>
      <c r="T12" s="44"/>
      <c r="U12" s="44"/>
      <c r="V12" s="44"/>
      <c r="W12" s="44"/>
      <c r="X12" s="44"/>
      <c r="Y12" s="44"/>
    </row>
    <row r="13">
      <c r="A13" s="44"/>
      <c r="B13" s="74"/>
      <c r="C13" s="74"/>
      <c r="D13" s="44"/>
      <c r="E13" s="44"/>
      <c r="F13" s="97" t="s">
        <v>156</v>
      </c>
      <c r="G13" s="83"/>
      <c r="H13" s="79">
        <v>1250.0</v>
      </c>
      <c r="I13" s="78"/>
      <c r="J13" s="78"/>
      <c r="K13" s="78"/>
      <c r="L13" s="78"/>
      <c r="M13" s="78"/>
      <c r="N13" s="44"/>
      <c r="O13" s="44"/>
      <c r="P13" s="44"/>
      <c r="Q13" s="44"/>
      <c r="R13" s="44"/>
      <c r="S13" s="44"/>
      <c r="T13" s="44"/>
      <c r="U13" s="44"/>
      <c r="V13" s="44"/>
      <c r="W13" s="44"/>
      <c r="X13" s="44"/>
      <c r="Y13" s="44"/>
    </row>
    <row r="14">
      <c r="A14" s="44"/>
      <c r="B14" s="74"/>
      <c r="C14" s="74"/>
      <c r="D14" s="44"/>
      <c r="E14" s="44"/>
      <c r="F14" s="84" t="s">
        <v>217</v>
      </c>
      <c r="G14" s="83"/>
      <c r="H14" s="79"/>
      <c r="I14" s="78"/>
      <c r="J14" s="78"/>
      <c r="K14" s="78"/>
      <c r="L14" s="78"/>
      <c r="M14" s="78"/>
      <c r="N14" s="44"/>
      <c r="O14" s="44"/>
      <c r="P14" s="44"/>
      <c r="Q14" s="44"/>
      <c r="R14" s="44"/>
      <c r="S14" s="44"/>
      <c r="T14" s="44"/>
      <c r="U14" s="44"/>
      <c r="V14" s="44"/>
      <c r="W14" s="44"/>
      <c r="X14" s="44"/>
      <c r="Y14" s="44"/>
    </row>
    <row r="15">
      <c r="A15" s="44"/>
      <c r="B15" s="74"/>
      <c r="C15" s="74"/>
      <c r="D15" s="44"/>
      <c r="E15" s="44"/>
      <c r="F15" s="87" t="s">
        <v>218</v>
      </c>
      <c r="G15" s="83"/>
      <c r="H15" s="85"/>
      <c r="I15" s="78"/>
      <c r="J15" s="78"/>
      <c r="K15" s="78"/>
      <c r="L15" s="78"/>
      <c r="M15" s="78"/>
      <c r="N15" s="44"/>
      <c r="O15" s="44"/>
      <c r="P15" s="44"/>
      <c r="Q15" s="44"/>
      <c r="R15" s="44"/>
      <c r="S15" s="44"/>
      <c r="T15" s="44"/>
      <c r="U15" s="44"/>
      <c r="V15" s="44"/>
      <c r="W15" s="44"/>
      <c r="X15" s="44"/>
      <c r="Y15" s="44"/>
    </row>
    <row r="16">
      <c r="A16" s="44"/>
      <c r="B16" s="74"/>
      <c r="C16" s="74"/>
      <c r="D16" s="44"/>
      <c r="E16" s="44"/>
      <c r="F16" s="76" t="s">
        <v>131</v>
      </c>
      <c r="G16" s="83"/>
      <c r="H16" s="85"/>
      <c r="I16" s="78"/>
      <c r="J16" s="78"/>
      <c r="K16" s="78"/>
      <c r="L16" s="78"/>
      <c r="M16" s="78"/>
      <c r="N16" s="44"/>
      <c r="O16" s="44"/>
      <c r="P16" s="44"/>
      <c r="Q16" s="44"/>
      <c r="R16" s="44"/>
      <c r="S16" s="44"/>
      <c r="T16" s="44"/>
      <c r="U16" s="44"/>
      <c r="V16" s="44"/>
      <c r="W16" s="44"/>
      <c r="X16" s="44"/>
      <c r="Y16" s="44"/>
    </row>
    <row r="17">
      <c r="A17" s="44"/>
      <c r="B17" s="74"/>
      <c r="C17" s="74"/>
      <c r="D17" s="44"/>
      <c r="E17" s="44"/>
      <c r="F17" s="76" t="s">
        <v>18</v>
      </c>
      <c r="G17" s="83"/>
      <c r="H17" s="85"/>
      <c r="I17" s="78"/>
      <c r="J17" s="78"/>
      <c r="K17" s="78"/>
      <c r="L17" s="78"/>
      <c r="M17" s="78"/>
      <c r="N17" s="44"/>
      <c r="O17" s="44"/>
      <c r="P17" s="44"/>
      <c r="Q17" s="44"/>
      <c r="R17" s="44"/>
      <c r="S17" s="44"/>
      <c r="T17" s="44"/>
      <c r="U17" s="44"/>
      <c r="V17" s="44"/>
      <c r="W17" s="44"/>
      <c r="X17" s="44"/>
      <c r="Y17" s="44"/>
    </row>
    <row r="18">
      <c r="A18" s="44"/>
      <c r="B18" s="74"/>
      <c r="C18" s="74"/>
      <c r="D18" s="44"/>
      <c r="E18" s="44"/>
      <c r="F18" s="98" t="s">
        <v>19</v>
      </c>
      <c r="G18" s="83"/>
      <c r="H18" s="79"/>
      <c r="I18" s="78"/>
      <c r="J18" s="78"/>
      <c r="K18" s="78"/>
      <c r="L18" s="78"/>
      <c r="M18" s="78"/>
      <c r="N18" s="44"/>
      <c r="O18" s="44"/>
      <c r="P18" s="44"/>
      <c r="Q18" s="44"/>
      <c r="R18" s="44"/>
      <c r="S18" s="44"/>
      <c r="T18" s="44"/>
      <c r="U18" s="44"/>
      <c r="V18" s="44"/>
      <c r="W18" s="44"/>
      <c r="X18" s="44"/>
      <c r="Y18" s="44"/>
    </row>
    <row r="19">
      <c r="A19" s="44"/>
      <c r="B19" s="74"/>
      <c r="C19" s="74"/>
      <c r="D19" s="44"/>
      <c r="E19" s="44"/>
      <c r="F19" s="76" t="s">
        <v>20</v>
      </c>
      <c r="G19" s="83"/>
      <c r="H19" s="85"/>
      <c r="I19" s="78"/>
      <c r="J19" s="78"/>
      <c r="K19" s="78"/>
      <c r="L19" s="78"/>
      <c r="M19" s="78"/>
      <c r="N19" s="44"/>
      <c r="O19" s="44"/>
      <c r="P19" s="44"/>
      <c r="Q19" s="44"/>
      <c r="R19" s="44"/>
      <c r="S19" s="44"/>
      <c r="T19" s="44"/>
      <c r="U19" s="44"/>
      <c r="V19" s="44"/>
      <c r="W19" s="44"/>
      <c r="X19" s="44"/>
      <c r="Y19" s="44"/>
    </row>
    <row r="20">
      <c r="A20" s="44"/>
      <c r="B20" s="74"/>
      <c r="C20" s="74"/>
      <c r="D20" s="44"/>
      <c r="E20" s="44"/>
      <c r="F20" s="87" t="s">
        <v>192</v>
      </c>
      <c r="G20" s="83"/>
      <c r="H20" s="85"/>
      <c r="I20" s="78"/>
      <c r="J20" s="78"/>
      <c r="K20" s="78"/>
      <c r="L20" s="78"/>
      <c r="M20" s="78"/>
      <c r="N20" s="44"/>
      <c r="O20" s="44"/>
      <c r="P20" s="44"/>
      <c r="Q20" s="44"/>
      <c r="R20" s="44"/>
      <c r="S20" s="44"/>
      <c r="T20" s="44"/>
      <c r="U20" s="44"/>
      <c r="V20" s="44"/>
      <c r="W20" s="44"/>
      <c r="X20" s="44"/>
      <c r="Y20" s="44"/>
    </row>
    <row r="21">
      <c r="A21" s="44"/>
      <c r="B21" s="74"/>
      <c r="C21" s="74"/>
      <c r="D21" s="44"/>
      <c r="E21" s="44"/>
      <c r="F21" s="87" t="s">
        <v>202</v>
      </c>
      <c r="G21" s="99"/>
      <c r="H21" s="79">
        <v>90.0</v>
      </c>
      <c r="I21" s="78"/>
      <c r="J21" s="78"/>
      <c r="K21" s="78"/>
      <c r="L21" s="78"/>
      <c r="M21" s="78"/>
      <c r="N21" s="44"/>
      <c r="O21" s="44"/>
      <c r="P21" s="44"/>
      <c r="Q21" s="44"/>
      <c r="R21" s="44"/>
      <c r="S21" s="44"/>
      <c r="T21" s="44"/>
      <c r="U21" s="44"/>
      <c r="V21" s="44"/>
      <c r="W21" s="44"/>
      <c r="X21" s="44"/>
      <c r="Y21" s="44"/>
    </row>
    <row r="22">
      <c r="A22" s="65"/>
      <c r="B22" s="74"/>
      <c r="C22" s="77"/>
      <c r="D22" s="44"/>
      <c r="E22" s="44"/>
      <c r="F22" s="87" t="s">
        <v>219</v>
      </c>
      <c r="G22" s="83"/>
      <c r="H22" s="79"/>
      <c r="I22" s="78"/>
      <c r="J22" s="78"/>
      <c r="K22" s="78"/>
      <c r="L22" s="78"/>
      <c r="M22" s="78"/>
      <c r="N22" s="44"/>
      <c r="O22" s="44"/>
      <c r="P22" s="44"/>
      <c r="Q22" s="44"/>
      <c r="R22" s="44"/>
      <c r="S22" s="44"/>
      <c r="T22" s="44"/>
      <c r="U22" s="44"/>
      <c r="V22" s="44"/>
      <c r="W22" s="44"/>
      <c r="X22" s="44"/>
      <c r="Y22" s="44"/>
    </row>
    <row r="23">
      <c r="A23" s="65"/>
      <c r="B23" s="74"/>
      <c r="C23" s="77"/>
      <c r="D23" s="44"/>
      <c r="E23" s="44"/>
      <c r="F23" s="87" t="s">
        <v>220</v>
      </c>
      <c r="G23" s="83"/>
      <c r="H23" s="79">
        <v>137.0</v>
      </c>
      <c r="I23" s="88" t="s">
        <v>221</v>
      </c>
      <c r="J23" s="78"/>
      <c r="K23" s="78"/>
      <c r="L23" s="78"/>
      <c r="M23" s="78"/>
      <c r="N23" s="44"/>
      <c r="O23" s="44"/>
      <c r="P23" s="44"/>
      <c r="Q23" s="44"/>
      <c r="R23" s="44"/>
      <c r="S23" s="44"/>
      <c r="T23" s="44"/>
      <c r="U23" s="44"/>
      <c r="V23" s="44"/>
      <c r="W23" s="44"/>
      <c r="X23" s="44"/>
      <c r="Y23" s="44"/>
    </row>
    <row r="24">
      <c r="B24" s="75"/>
      <c r="C24" s="75"/>
      <c r="F24" s="94"/>
      <c r="H24" s="75"/>
      <c r="I24" s="100"/>
      <c r="J24" s="100"/>
      <c r="K24" s="100"/>
      <c r="L24" s="100"/>
      <c r="M24" s="100"/>
    </row>
    <row r="25">
      <c r="B25" s="75"/>
      <c r="C25" s="75"/>
      <c r="F25" s="94"/>
      <c r="H25" s="75"/>
      <c r="I25" s="100"/>
      <c r="J25" s="100"/>
      <c r="K25" s="100"/>
      <c r="L25" s="100"/>
      <c r="M25" s="100"/>
    </row>
    <row r="26">
      <c r="A26" s="73" t="s">
        <v>98</v>
      </c>
      <c r="B26" s="74"/>
      <c r="C26" s="75"/>
      <c r="D26" s="52"/>
      <c r="E26" s="52"/>
      <c r="F26" s="76"/>
      <c r="G26" s="44"/>
      <c r="H26" s="77"/>
      <c r="I26" s="78"/>
      <c r="J26" s="78"/>
      <c r="K26" s="78"/>
      <c r="L26" s="78"/>
      <c r="M26" s="78"/>
      <c r="N26" s="44"/>
      <c r="O26" s="44"/>
      <c r="P26" s="44"/>
      <c r="Q26" s="44"/>
      <c r="R26" s="44"/>
      <c r="S26" s="44"/>
      <c r="T26" s="44"/>
      <c r="U26" s="44"/>
      <c r="V26" s="44"/>
      <c r="W26" s="44"/>
      <c r="X26" s="44"/>
      <c r="Y26" s="44"/>
    </row>
    <row r="27">
      <c r="A27" s="52"/>
      <c r="B27" s="74"/>
      <c r="C27" s="81"/>
      <c r="D27" s="52"/>
      <c r="E27" s="52"/>
      <c r="F27" s="79" t="s">
        <v>0</v>
      </c>
      <c r="G27" s="44"/>
      <c r="H27" s="77"/>
      <c r="I27" s="78"/>
      <c r="J27" s="78"/>
      <c r="K27" s="78"/>
      <c r="L27" s="78"/>
      <c r="M27" s="78"/>
      <c r="N27" s="44"/>
      <c r="O27" s="44"/>
      <c r="P27" s="44"/>
      <c r="Q27" s="44"/>
      <c r="R27" s="44"/>
      <c r="S27" s="44"/>
      <c r="T27" s="44"/>
      <c r="U27" s="44"/>
      <c r="V27" s="44"/>
      <c r="W27" s="44"/>
      <c r="X27" s="44"/>
      <c r="Y27" s="44"/>
    </row>
    <row r="28">
      <c r="A28" s="80" t="s">
        <v>179</v>
      </c>
      <c r="B28" s="81">
        <v>3740.0</v>
      </c>
      <c r="D28" s="52"/>
      <c r="E28" s="82"/>
      <c r="F28" s="76" t="s">
        <v>4</v>
      </c>
      <c r="G28" s="83"/>
      <c r="H28" s="85"/>
      <c r="I28" s="78"/>
      <c r="J28" s="78"/>
      <c r="K28" s="78"/>
      <c r="L28" s="78"/>
      <c r="M28" s="78"/>
      <c r="N28" s="44"/>
      <c r="O28" s="44"/>
      <c r="P28" s="44"/>
      <c r="Q28" s="44"/>
      <c r="R28" s="44"/>
      <c r="S28" s="44"/>
      <c r="T28" s="44"/>
      <c r="U28" s="44"/>
      <c r="V28" s="44"/>
      <c r="W28" s="44"/>
      <c r="X28" s="44"/>
      <c r="Y28" s="44"/>
    </row>
    <row r="29">
      <c r="A29" s="76"/>
      <c r="B29" s="74"/>
      <c r="C29" s="74"/>
      <c r="D29" s="44"/>
      <c r="E29" s="44"/>
      <c r="F29" s="84" t="s">
        <v>207</v>
      </c>
      <c r="G29" s="83"/>
      <c r="H29" s="85"/>
      <c r="I29" s="78"/>
      <c r="J29" s="78"/>
      <c r="K29" s="78"/>
      <c r="L29" s="78"/>
      <c r="M29" s="78"/>
      <c r="N29" s="44"/>
      <c r="O29" s="44"/>
      <c r="P29" s="44"/>
      <c r="Q29" s="44"/>
      <c r="R29" s="44"/>
      <c r="S29" s="44"/>
      <c r="T29" s="44"/>
      <c r="U29" s="44"/>
      <c r="V29" s="44"/>
      <c r="W29" s="44"/>
      <c r="X29" s="44"/>
      <c r="Y29" s="44"/>
    </row>
    <row r="30">
      <c r="A30" s="86" t="s">
        <v>201</v>
      </c>
      <c r="B30" s="81">
        <v>2152.0</v>
      </c>
      <c r="D30" s="44"/>
      <c r="E30" s="44"/>
      <c r="F30" s="76" t="s">
        <v>6</v>
      </c>
      <c r="G30" s="83"/>
      <c r="H30" s="85"/>
      <c r="I30" s="78"/>
      <c r="J30" s="78"/>
      <c r="K30" s="78"/>
      <c r="L30" s="78"/>
      <c r="M30" s="78"/>
      <c r="N30" s="44"/>
      <c r="O30" s="44"/>
      <c r="P30" s="44"/>
      <c r="Q30" s="44"/>
      <c r="R30" s="44"/>
      <c r="S30" s="44"/>
      <c r="T30" s="44"/>
      <c r="U30" s="44"/>
      <c r="V30" s="44"/>
      <c r="W30" s="44"/>
      <c r="X30" s="44"/>
      <c r="Y30" s="44"/>
    </row>
    <row r="31">
      <c r="A31" s="76"/>
      <c r="B31" s="74"/>
      <c r="C31" s="74"/>
      <c r="D31" s="44"/>
      <c r="E31" s="44"/>
      <c r="F31" s="87" t="s">
        <v>7</v>
      </c>
      <c r="G31" s="83"/>
      <c r="H31" s="79">
        <v>425.0</v>
      </c>
      <c r="I31" s="78"/>
      <c r="J31" s="78"/>
      <c r="K31" s="78"/>
      <c r="L31" s="78"/>
      <c r="M31" s="78"/>
      <c r="N31" s="44"/>
      <c r="O31" s="44"/>
      <c r="P31" s="44"/>
      <c r="Q31" s="44"/>
      <c r="R31" s="44"/>
      <c r="S31" s="44"/>
      <c r="T31" s="44"/>
      <c r="U31" s="44"/>
      <c r="V31" s="44"/>
      <c r="W31" s="44"/>
      <c r="X31" s="44"/>
      <c r="Y31" s="44"/>
    </row>
    <row r="32">
      <c r="A32" s="89" t="s">
        <v>222</v>
      </c>
      <c r="B32" s="101">
        <v>1588.0</v>
      </c>
      <c r="C32" s="102"/>
      <c r="D32" s="44"/>
      <c r="E32" s="44"/>
      <c r="F32" s="84" t="s">
        <v>210</v>
      </c>
      <c r="G32" s="83"/>
      <c r="H32" s="95"/>
      <c r="I32" s="78"/>
      <c r="J32" s="78"/>
      <c r="K32" s="78"/>
      <c r="L32" s="78"/>
      <c r="M32" s="78"/>
      <c r="N32" s="44"/>
      <c r="O32" s="44"/>
      <c r="P32" s="44"/>
      <c r="Q32" s="44"/>
      <c r="R32" s="44"/>
      <c r="S32" s="44"/>
      <c r="T32" s="44"/>
      <c r="U32" s="44"/>
      <c r="V32" s="44"/>
      <c r="W32" s="44"/>
      <c r="X32" s="44"/>
      <c r="Y32" s="44"/>
    </row>
    <row r="33">
      <c r="B33" s="103"/>
      <c r="C33" s="50"/>
      <c r="D33" s="44"/>
      <c r="E33" s="44"/>
      <c r="F33" s="84" t="s">
        <v>211</v>
      </c>
      <c r="G33" s="83"/>
      <c r="H33" s="79"/>
      <c r="I33" s="78"/>
      <c r="J33" s="78"/>
      <c r="K33" s="78"/>
      <c r="L33" s="78"/>
      <c r="M33" s="78"/>
      <c r="N33" s="44"/>
      <c r="O33" s="44"/>
      <c r="P33" s="44"/>
      <c r="Q33" s="44"/>
      <c r="R33" s="44"/>
      <c r="S33" s="44"/>
      <c r="T33" s="44"/>
      <c r="U33" s="44"/>
      <c r="V33" s="44"/>
      <c r="W33" s="44"/>
      <c r="X33" s="44"/>
      <c r="Y33" s="44"/>
    </row>
    <row r="34">
      <c r="A34" s="94"/>
      <c r="B34" s="74"/>
      <c r="C34" s="74"/>
      <c r="D34" s="44"/>
      <c r="E34" s="44"/>
      <c r="F34" s="87" t="s">
        <v>213</v>
      </c>
      <c r="G34" s="83"/>
      <c r="H34" s="95"/>
      <c r="I34" s="78"/>
      <c r="J34" s="78"/>
      <c r="K34" s="78"/>
      <c r="L34" s="78"/>
      <c r="M34" s="78"/>
      <c r="N34" s="44"/>
      <c r="O34" s="44"/>
      <c r="P34" s="44"/>
      <c r="Q34" s="44"/>
      <c r="R34" s="44"/>
      <c r="S34" s="44"/>
      <c r="T34" s="44"/>
      <c r="U34" s="44"/>
      <c r="V34" s="44"/>
      <c r="W34" s="44"/>
      <c r="X34" s="44"/>
      <c r="Y34" s="44"/>
    </row>
    <row r="35">
      <c r="A35" s="96" t="s">
        <v>214</v>
      </c>
      <c r="B35" s="81">
        <v>600.0</v>
      </c>
      <c r="D35" s="52"/>
      <c r="E35" s="44"/>
      <c r="F35" s="76" t="s">
        <v>34</v>
      </c>
      <c r="G35" s="83"/>
      <c r="H35" s="79">
        <v>50.0</v>
      </c>
      <c r="I35" s="78"/>
      <c r="J35" s="78"/>
      <c r="K35" s="78"/>
      <c r="L35" s="78"/>
      <c r="M35" s="78"/>
      <c r="N35" s="44"/>
      <c r="O35" s="44"/>
      <c r="P35" s="44"/>
      <c r="Q35" s="44"/>
      <c r="R35" s="44"/>
      <c r="S35" s="44"/>
      <c r="T35" s="44"/>
      <c r="U35" s="44"/>
      <c r="V35" s="44"/>
      <c r="W35" s="44"/>
      <c r="X35" s="44"/>
      <c r="Y35" s="44"/>
    </row>
    <row r="36">
      <c r="A36" s="96" t="s">
        <v>215</v>
      </c>
      <c r="B36" s="74"/>
      <c r="D36" s="44"/>
      <c r="E36" s="44"/>
      <c r="F36" s="87" t="s">
        <v>216</v>
      </c>
      <c r="G36" s="83"/>
      <c r="H36" s="79">
        <v>90.0</v>
      </c>
      <c r="I36" s="78"/>
      <c r="J36" s="78"/>
      <c r="K36" s="78"/>
      <c r="L36" s="78"/>
      <c r="M36" s="78"/>
      <c r="N36" s="44"/>
      <c r="O36" s="44"/>
      <c r="P36" s="44"/>
      <c r="Q36" s="44"/>
      <c r="R36" s="44"/>
      <c r="S36" s="44"/>
      <c r="T36" s="44"/>
      <c r="U36" s="44"/>
      <c r="V36" s="44"/>
      <c r="W36" s="44"/>
      <c r="X36" s="44"/>
      <c r="Y36" s="44"/>
    </row>
    <row r="37">
      <c r="A37" s="44"/>
      <c r="B37" s="74"/>
      <c r="C37" s="74"/>
      <c r="D37" s="44"/>
      <c r="E37" s="44"/>
      <c r="F37" s="76" t="s">
        <v>108</v>
      </c>
      <c r="G37" s="83"/>
      <c r="H37" s="95"/>
      <c r="I37" s="78"/>
      <c r="J37" s="78"/>
      <c r="K37" s="78"/>
      <c r="L37" s="78"/>
      <c r="M37" s="78"/>
      <c r="N37" s="44"/>
      <c r="O37" s="44"/>
      <c r="P37" s="44"/>
      <c r="Q37" s="44"/>
      <c r="R37" s="44"/>
      <c r="S37" s="44"/>
      <c r="T37" s="44"/>
      <c r="U37" s="44"/>
      <c r="V37" s="44"/>
      <c r="W37" s="44"/>
      <c r="X37" s="44"/>
      <c r="Y37" s="44"/>
    </row>
    <row r="38">
      <c r="A38" s="44"/>
      <c r="B38" s="74"/>
      <c r="C38" s="74"/>
      <c r="D38" s="44"/>
      <c r="E38" s="44"/>
      <c r="F38" s="97" t="s">
        <v>156</v>
      </c>
      <c r="G38" s="83"/>
      <c r="H38" s="79">
        <v>1250.0</v>
      </c>
      <c r="I38" s="78"/>
      <c r="J38" s="78"/>
      <c r="K38" s="78"/>
      <c r="L38" s="78"/>
      <c r="M38" s="78"/>
      <c r="N38" s="44"/>
      <c r="O38" s="44"/>
      <c r="P38" s="44"/>
      <c r="Q38" s="44"/>
      <c r="R38" s="44"/>
      <c r="S38" s="44"/>
      <c r="T38" s="44"/>
      <c r="U38" s="44"/>
      <c r="V38" s="44"/>
      <c r="W38" s="44"/>
      <c r="X38" s="44"/>
      <c r="Y38" s="44"/>
    </row>
    <row r="39">
      <c r="A39" s="44"/>
      <c r="B39" s="74"/>
      <c r="C39" s="74"/>
      <c r="D39" s="44"/>
      <c r="E39" s="44"/>
      <c r="F39" s="84" t="s">
        <v>217</v>
      </c>
      <c r="G39" s="83"/>
      <c r="H39" s="79">
        <v>87.0</v>
      </c>
      <c r="I39" s="78"/>
      <c r="J39" s="78"/>
      <c r="K39" s="78"/>
      <c r="L39" s="78"/>
      <c r="M39" s="78"/>
      <c r="N39" s="44"/>
      <c r="O39" s="44"/>
      <c r="P39" s="44"/>
      <c r="Q39" s="44"/>
      <c r="R39" s="44"/>
      <c r="S39" s="44"/>
      <c r="T39" s="44"/>
      <c r="U39" s="44"/>
      <c r="V39" s="44"/>
      <c r="W39" s="44"/>
      <c r="X39" s="44"/>
      <c r="Y39" s="44"/>
    </row>
    <row r="40">
      <c r="A40" s="44"/>
      <c r="B40" s="74"/>
      <c r="C40" s="74"/>
      <c r="D40" s="44"/>
      <c r="E40" s="44"/>
      <c r="F40" s="87" t="s">
        <v>218</v>
      </c>
      <c r="G40" s="83"/>
      <c r="H40" s="85"/>
      <c r="I40" s="78"/>
      <c r="J40" s="78"/>
      <c r="K40" s="78"/>
      <c r="L40" s="78"/>
      <c r="M40" s="78"/>
      <c r="N40" s="44"/>
      <c r="O40" s="44"/>
      <c r="P40" s="44"/>
      <c r="Q40" s="44"/>
      <c r="R40" s="44"/>
      <c r="S40" s="44"/>
      <c r="T40" s="44"/>
      <c r="U40" s="44"/>
      <c r="V40" s="44"/>
      <c r="W40" s="44"/>
      <c r="X40" s="44"/>
      <c r="Y40" s="44"/>
    </row>
    <row r="41">
      <c r="A41" s="44"/>
      <c r="B41" s="74"/>
      <c r="C41" s="74"/>
      <c r="D41" s="44"/>
      <c r="E41" s="44"/>
      <c r="F41" s="76" t="s">
        <v>131</v>
      </c>
      <c r="G41" s="83"/>
      <c r="H41" s="85"/>
      <c r="I41" s="78"/>
      <c r="J41" s="78"/>
      <c r="K41" s="78"/>
      <c r="L41" s="78"/>
      <c r="M41" s="78"/>
      <c r="N41" s="44"/>
      <c r="O41" s="44"/>
      <c r="P41" s="44"/>
      <c r="Q41" s="44"/>
      <c r="R41" s="44"/>
      <c r="S41" s="44"/>
      <c r="T41" s="44"/>
      <c r="U41" s="44"/>
      <c r="V41" s="44"/>
      <c r="W41" s="44"/>
      <c r="X41" s="44"/>
      <c r="Y41" s="44"/>
    </row>
    <row r="42">
      <c r="A42" s="44"/>
      <c r="B42" s="74"/>
      <c r="C42" s="74"/>
      <c r="D42" s="44"/>
      <c r="E42" s="44"/>
      <c r="F42" s="76" t="s">
        <v>18</v>
      </c>
      <c r="G42" s="83"/>
      <c r="H42" s="85"/>
      <c r="I42" s="78"/>
      <c r="J42" s="78"/>
      <c r="K42" s="78"/>
      <c r="L42" s="78"/>
      <c r="M42" s="78"/>
      <c r="N42" s="44"/>
      <c r="O42" s="44"/>
      <c r="P42" s="44"/>
      <c r="Q42" s="44"/>
      <c r="R42" s="44"/>
      <c r="S42" s="44"/>
      <c r="T42" s="44"/>
      <c r="U42" s="44"/>
      <c r="V42" s="44"/>
      <c r="W42" s="44"/>
      <c r="X42" s="44"/>
      <c r="Y42" s="44"/>
    </row>
    <row r="43">
      <c r="A43" s="44"/>
      <c r="B43" s="74"/>
      <c r="C43" s="74"/>
      <c r="D43" s="44"/>
      <c r="E43" s="44"/>
      <c r="F43" s="98" t="s">
        <v>19</v>
      </c>
      <c r="G43" s="83"/>
      <c r="H43" s="85"/>
      <c r="I43" s="78"/>
      <c r="J43" s="78"/>
      <c r="K43" s="78"/>
      <c r="L43" s="78"/>
      <c r="M43" s="78"/>
      <c r="N43" s="44"/>
      <c r="O43" s="44"/>
      <c r="P43" s="44"/>
      <c r="Q43" s="44"/>
      <c r="R43" s="44"/>
      <c r="S43" s="44"/>
      <c r="T43" s="44"/>
      <c r="U43" s="44"/>
      <c r="V43" s="44"/>
      <c r="W43" s="44"/>
      <c r="X43" s="44"/>
      <c r="Y43" s="44"/>
    </row>
    <row r="44">
      <c r="A44" s="44"/>
      <c r="B44" s="74"/>
      <c r="C44" s="74"/>
      <c r="D44" s="44"/>
      <c r="E44" s="44"/>
      <c r="F44" s="76" t="s">
        <v>20</v>
      </c>
      <c r="G44" s="83"/>
      <c r="H44" s="85"/>
      <c r="I44" s="78"/>
      <c r="J44" s="78"/>
      <c r="K44" s="78"/>
      <c r="L44" s="78"/>
      <c r="M44" s="78"/>
      <c r="N44" s="44"/>
      <c r="O44" s="44"/>
      <c r="P44" s="44"/>
      <c r="Q44" s="44"/>
      <c r="R44" s="44"/>
      <c r="S44" s="44"/>
      <c r="T44" s="44"/>
      <c r="U44" s="44"/>
      <c r="V44" s="44"/>
      <c r="W44" s="44"/>
      <c r="X44" s="44"/>
      <c r="Y44" s="44"/>
    </row>
    <row r="45">
      <c r="A45" s="44"/>
      <c r="B45" s="74"/>
      <c r="C45" s="74"/>
      <c r="D45" s="44"/>
      <c r="E45" s="44"/>
      <c r="F45" s="87" t="s">
        <v>192</v>
      </c>
      <c r="G45" s="83"/>
      <c r="H45" s="79">
        <v>50.0</v>
      </c>
      <c r="I45" s="78"/>
      <c r="J45" s="78"/>
      <c r="K45" s="78"/>
      <c r="L45" s="78"/>
      <c r="M45" s="78"/>
      <c r="N45" s="44"/>
      <c r="O45" s="44"/>
      <c r="P45" s="44"/>
      <c r="Q45" s="44"/>
      <c r="R45" s="44"/>
      <c r="S45" s="44"/>
      <c r="T45" s="44"/>
      <c r="U45" s="44"/>
      <c r="V45" s="44"/>
      <c r="W45" s="44"/>
      <c r="X45" s="44"/>
      <c r="Y45" s="44"/>
    </row>
    <row r="46">
      <c r="A46" s="44"/>
      <c r="B46" s="74"/>
      <c r="C46" s="74"/>
      <c r="D46" s="44"/>
      <c r="E46" s="44"/>
      <c r="F46" s="87" t="s">
        <v>202</v>
      </c>
      <c r="G46" s="99"/>
      <c r="H46" s="79"/>
      <c r="I46" s="78"/>
      <c r="J46" s="78"/>
      <c r="K46" s="78"/>
      <c r="L46" s="78"/>
      <c r="M46" s="78"/>
      <c r="N46" s="44"/>
      <c r="O46" s="44"/>
      <c r="P46" s="44"/>
      <c r="Q46" s="44"/>
      <c r="R46" s="44"/>
      <c r="S46" s="44"/>
      <c r="T46" s="44"/>
      <c r="U46" s="44"/>
      <c r="V46" s="44"/>
      <c r="W46" s="44"/>
      <c r="X46" s="44"/>
      <c r="Y46" s="44"/>
    </row>
    <row r="47">
      <c r="A47" s="65"/>
      <c r="B47" s="74"/>
      <c r="C47" s="77"/>
      <c r="D47" s="44"/>
      <c r="E47" s="44"/>
      <c r="F47" s="87" t="s">
        <v>219</v>
      </c>
      <c r="G47" s="83"/>
      <c r="H47" s="79">
        <v>130.0</v>
      </c>
      <c r="I47" s="78"/>
      <c r="J47" s="78"/>
      <c r="K47" s="78"/>
      <c r="L47" s="78"/>
      <c r="M47" s="78"/>
      <c r="N47" s="44"/>
      <c r="O47" s="44"/>
      <c r="P47" s="44"/>
      <c r="Q47" s="44"/>
      <c r="R47" s="44"/>
      <c r="S47" s="44"/>
      <c r="T47" s="44"/>
      <c r="U47" s="44"/>
      <c r="V47" s="44"/>
      <c r="W47" s="44"/>
      <c r="X47" s="44"/>
      <c r="Y47" s="44"/>
    </row>
    <row r="48">
      <c r="A48" s="65"/>
      <c r="B48" s="74"/>
      <c r="C48" s="77"/>
      <c r="D48" s="44"/>
      <c r="E48" s="44"/>
      <c r="F48" s="87" t="s">
        <v>220</v>
      </c>
      <c r="G48" s="83"/>
      <c r="H48" s="79">
        <v>30.0</v>
      </c>
      <c r="I48" s="78"/>
      <c r="J48" s="78"/>
      <c r="K48" s="78"/>
      <c r="L48" s="78"/>
      <c r="M48" s="78"/>
      <c r="N48" s="44"/>
      <c r="O48" s="44"/>
      <c r="P48" s="44"/>
      <c r="Q48" s="44"/>
      <c r="R48" s="44"/>
      <c r="S48" s="44"/>
      <c r="T48" s="44"/>
      <c r="U48" s="44"/>
      <c r="V48" s="44"/>
      <c r="W48" s="44"/>
      <c r="X48" s="44"/>
      <c r="Y48" s="44"/>
    </row>
    <row r="49">
      <c r="B49" s="75"/>
      <c r="C49" s="75"/>
      <c r="F49" s="94"/>
      <c r="H49" s="75"/>
      <c r="I49" s="100"/>
      <c r="J49" s="100"/>
      <c r="K49" s="100"/>
      <c r="L49" s="100"/>
      <c r="M49" s="100"/>
    </row>
    <row r="50">
      <c r="B50" s="75"/>
      <c r="C50" s="75"/>
      <c r="F50" s="94"/>
      <c r="H50" s="75"/>
      <c r="I50" s="100"/>
      <c r="J50" s="100"/>
      <c r="K50" s="100"/>
      <c r="L50" s="100"/>
      <c r="M50" s="100"/>
    </row>
    <row r="51">
      <c r="A51" s="73" t="s">
        <v>104</v>
      </c>
      <c r="B51" s="74"/>
      <c r="C51" s="75"/>
      <c r="D51" s="52"/>
      <c r="E51" s="52"/>
      <c r="F51" s="76"/>
      <c r="G51" s="44"/>
      <c r="H51" s="77"/>
      <c r="I51" s="78"/>
      <c r="J51" s="78"/>
      <c r="K51" s="78"/>
      <c r="L51" s="78"/>
      <c r="M51" s="78"/>
      <c r="N51" s="44"/>
      <c r="O51" s="44"/>
      <c r="P51" s="44"/>
      <c r="Q51" s="44"/>
      <c r="R51" s="44"/>
      <c r="S51" s="44"/>
      <c r="T51" s="44"/>
      <c r="U51" s="44"/>
      <c r="V51" s="44"/>
      <c r="W51" s="44"/>
      <c r="X51" s="44"/>
      <c r="Y51" s="44"/>
    </row>
    <row r="52">
      <c r="A52" s="52"/>
      <c r="B52" s="74"/>
      <c r="C52" s="74"/>
      <c r="D52" s="52"/>
      <c r="E52" s="52"/>
      <c r="F52" s="79" t="s">
        <v>0</v>
      </c>
      <c r="G52" s="44"/>
      <c r="H52" s="77"/>
      <c r="I52" s="78"/>
      <c r="J52" s="78"/>
      <c r="K52" s="78"/>
      <c r="L52" s="78"/>
      <c r="M52" s="78"/>
      <c r="N52" s="44"/>
      <c r="O52" s="44"/>
      <c r="P52" s="44"/>
      <c r="Q52" s="44"/>
      <c r="R52" s="44"/>
      <c r="S52" s="44"/>
      <c r="T52" s="44"/>
      <c r="U52" s="44"/>
      <c r="V52" s="44"/>
      <c r="W52" s="44"/>
      <c r="X52" s="44"/>
      <c r="Y52" s="44"/>
    </row>
    <row r="53">
      <c r="A53" s="80" t="s">
        <v>179</v>
      </c>
      <c r="B53" s="81">
        <v>5620.0</v>
      </c>
      <c r="D53" s="52"/>
      <c r="E53" s="82"/>
      <c r="F53" s="76" t="s">
        <v>4</v>
      </c>
      <c r="G53" s="83"/>
      <c r="H53" s="85"/>
      <c r="I53" s="78"/>
      <c r="J53" s="78"/>
      <c r="K53" s="78"/>
      <c r="L53" s="78"/>
      <c r="M53" s="78"/>
      <c r="N53" s="44"/>
      <c r="O53" s="44"/>
      <c r="P53" s="44"/>
      <c r="Q53" s="44"/>
      <c r="R53" s="44"/>
      <c r="S53" s="44"/>
      <c r="T53" s="44"/>
      <c r="U53" s="44"/>
      <c r="V53" s="44"/>
      <c r="W53" s="44"/>
      <c r="X53" s="44"/>
      <c r="Y53" s="44"/>
    </row>
    <row r="54">
      <c r="A54" s="76"/>
      <c r="B54" s="74"/>
      <c r="C54" s="74"/>
      <c r="D54" s="44"/>
      <c r="E54" s="44"/>
      <c r="F54" s="84" t="s">
        <v>207</v>
      </c>
      <c r="G54" s="83"/>
      <c r="H54" s="85"/>
      <c r="I54" s="78"/>
      <c r="J54" s="78"/>
      <c r="K54" s="78"/>
      <c r="L54" s="78"/>
      <c r="M54" s="78"/>
      <c r="N54" s="44"/>
      <c r="O54" s="44"/>
      <c r="P54" s="44"/>
      <c r="Q54" s="44"/>
      <c r="R54" s="44"/>
      <c r="S54" s="44"/>
      <c r="T54" s="44"/>
      <c r="U54" s="44"/>
      <c r="V54" s="44"/>
      <c r="W54" s="44"/>
      <c r="X54" s="44"/>
      <c r="Y54" s="44"/>
    </row>
    <row r="55">
      <c r="A55" s="86" t="s">
        <v>201</v>
      </c>
      <c r="B55" s="81">
        <v>2404.0</v>
      </c>
      <c r="D55" s="44"/>
      <c r="E55" s="44"/>
      <c r="F55" s="76" t="s">
        <v>6</v>
      </c>
      <c r="G55" s="83"/>
      <c r="H55" s="85"/>
      <c r="I55" s="78"/>
      <c r="J55" s="78"/>
      <c r="K55" s="78"/>
      <c r="L55" s="78"/>
      <c r="M55" s="78"/>
      <c r="N55" s="44"/>
      <c r="O55" s="44"/>
      <c r="P55" s="44"/>
      <c r="Q55" s="44"/>
      <c r="R55" s="44"/>
      <c r="S55" s="44"/>
      <c r="T55" s="44"/>
      <c r="U55" s="44"/>
      <c r="V55" s="44"/>
      <c r="W55" s="44"/>
      <c r="X55" s="44"/>
      <c r="Y55" s="44"/>
    </row>
    <row r="56">
      <c r="A56" s="76"/>
      <c r="B56" s="74"/>
      <c r="C56" s="74"/>
      <c r="D56" s="44"/>
      <c r="E56" s="44"/>
      <c r="F56" s="87" t="s">
        <v>7</v>
      </c>
      <c r="G56" s="83"/>
      <c r="H56" s="79">
        <v>120.0</v>
      </c>
      <c r="I56" s="78"/>
      <c r="J56" s="78"/>
      <c r="K56" s="78"/>
      <c r="L56" s="78"/>
      <c r="M56" s="78"/>
      <c r="N56" s="44"/>
      <c r="O56" s="44"/>
      <c r="P56" s="44"/>
      <c r="Q56" s="44"/>
      <c r="R56" s="44"/>
      <c r="S56" s="44"/>
      <c r="T56" s="44"/>
      <c r="U56" s="44"/>
      <c r="V56" s="44"/>
      <c r="W56" s="44"/>
      <c r="X56" s="44"/>
      <c r="Y56" s="44"/>
    </row>
    <row r="57">
      <c r="A57" s="89" t="s">
        <v>223</v>
      </c>
      <c r="B57" s="101">
        <v>3216.0</v>
      </c>
      <c r="C57" s="102"/>
      <c r="D57" s="44"/>
      <c r="E57" s="44"/>
      <c r="F57" s="84" t="s">
        <v>210</v>
      </c>
      <c r="G57" s="83"/>
      <c r="H57" s="79">
        <v>42.0</v>
      </c>
      <c r="I57" s="78"/>
      <c r="J57" s="78"/>
      <c r="K57" s="78"/>
      <c r="L57" s="78"/>
      <c r="M57" s="78"/>
      <c r="N57" s="44"/>
      <c r="O57" s="44"/>
      <c r="P57" s="44"/>
      <c r="Q57" s="44"/>
      <c r="R57" s="44"/>
      <c r="S57" s="44"/>
      <c r="T57" s="44"/>
      <c r="U57" s="44"/>
      <c r="V57" s="44"/>
      <c r="W57" s="44"/>
      <c r="X57" s="44"/>
      <c r="Y57" s="44"/>
    </row>
    <row r="58">
      <c r="B58" s="103"/>
      <c r="C58" s="50"/>
      <c r="D58" s="44"/>
      <c r="E58" s="44"/>
      <c r="F58" s="84" t="s">
        <v>211</v>
      </c>
      <c r="G58" s="83"/>
      <c r="H58" s="85"/>
      <c r="I58" s="78"/>
      <c r="J58" s="78"/>
      <c r="K58" s="78"/>
      <c r="L58" s="78"/>
      <c r="M58" s="78"/>
      <c r="N58" s="44"/>
      <c r="O58" s="44"/>
      <c r="P58" s="44"/>
      <c r="Q58" s="44"/>
      <c r="R58" s="44"/>
      <c r="S58" s="44"/>
      <c r="T58" s="44"/>
      <c r="U58" s="44"/>
      <c r="V58" s="44"/>
      <c r="W58" s="44"/>
      <c r="X58" s="44"/>
      <c r="Y58" s="44"/>
    </row>
    <row r="59">
      <c r="A59" s="94"/>
      <c r="B59" s="74"/>
      <c r="C59" s="74"/>
      <c r="D59" s="44"/>
      <c r="E59" s="44"/>
      <c r="F59" s="87" t="s">
        <v>213</v>
      </c>
      <c r="G59" s="83"/>
      <c r="H59" s="95"/>
      <c r="I59" s="78"/>
      <c r="J59" s="78"/>
      <c r="K59" s="78"/>
      <c r="L59" s="78"/>
      <c r="M59" s="78"/>
      <c r="N59" s="44"/>
      <c r="O59" s="44"/>
      <c r="P59" s="44"/>
      <c r="Q59" s="44"/>
      <c r="R59" s="44"/>
      <c r="S59" s="44"/>
      <c r="T59" s="44"/>
      <c r="U59" s="44"/>
      <c r="V59" s="44"/>
      <c r="W59" s="44"/>
      <c r="X59" s="44"/>
      <c r="Y59" s="44"/>
    </row>
    <row r="60">
      <c r="A60" s="96" t="s">
        <v>214</v>
      </c>
      <c r="B60" s="81">
        <v>600.0</v>
      </c>
      <c r="D60" s="52"/>
      <c r="E60" s="44"/>
      <c r="F60" s="76" t="s">
        <v>34</v>
      </c>
      <c r="G60" s="83"/>
      <c r="H60" s="79">
        <v>20.0</v>
      </c>
      <c r="I60" s="78"/>
      <c r="J60" s="78"/>
      <c r="K60" s="78"/>
      <c r="L60" s="78"/>
      <c r="M60" s="78"/>
      <c r="N60" s="44"/>
      <c r="O60" s="44"/>
      <c r="P60" s="44"/>
      <c r="Q60" s="44"/>
      <c r="R60" s="44"/>
      <c r="S60" s="44"/>
      <c r="T60" s="44"/>
      <c r="U60" s="44"/>
      <c r="V60" s="44"/>
      <c r="W60" s="44"/>
      <c r="X60" s="44"/>
      <c r="Y60" s="44"/>
    </row>
    <row r="61">
      <c r="A61" s="96" t="s">
        <v>215</v>
      </c>
      <c r="B61" s="74"/>
      <c r="D61" s="44"/>
      <c r="E61" s="44"/>
      <c r="F61" s="87" t="s">
        <v>216</v>
      </c>
      <c r="G61" s="83"/>
      <c r="H61" s="85"/>
      <c r="I61" s="78"/>
      <c r="J61" s="78"/>
      <c r="K61" s="78"/>
      <c r="L61" s="78"/>
      <c r="M61" s="78"/>
      <c r="N61" s="44"/>
      <c r="O61" s="44"/>
      <c r="P61" s="44"/>
      <c r="Q61" s="44"/>
      <c r="R61" s="44"/>
      <c r="S61" s="44"/>
      <c r="T61" s="44"/>
      <c r="U61" s="44"/>
      <c r="V61" s="44"/>
      <c r="W61" s="44"/>
      <c r="X61" s="44"/>
      <c r="Y61" s="44"/>
    </row>
    <row r="62">
      <c r="A62" s="44"/>
      <c r="B62" s="74"/>
      <c r="C62" s="74"/>
      <c r="D62" s="44"/>
      <c r="E62" s="44"/>
      <c r="F62" s="76" t="s">
        <v>108</v>
      </c>
      <c r="G62" s="83"/>
      <c r="H62" s="95"/>
      <c r="I62" s="78"/>
      <c r="J62" s="78"/>
      <c r="K62" s="78"/>
      <c r="L62" s="78"/>
      <c r="M62" s="78"/>
      <c r="N62" s="44"/>
      <c r="O62" s="44"/>
      <c r="P62" s="44"/>
      <c r="Q62" s="44"/>
      <c r="R62" s="44"/>
      <c r="S62" s="44"/>
      <c r="T62" s="44"/>
      <c r="U62" s="44"/>
      <c r="V62" s="44"/>
      <c r="W62" s="44"/>
      <c r="X62" s="44"/>
      <c r="Y62" s="44"/>
    </row>
    <row r="63">
      <c r="A63" s="44"/>
      <c r="B63" s="74"/>
      <c r="C63" s="74"/>
      <c r="D63" s="44"/>
      <c r="E63" s="44"/>
      <c r="F63" s="97" t="s">
        <v>156</v>
      </c>
      <c r="G63" s="83"/>
      <c r="H63" s="79">
        <v>1250.0</v>
      </c>
      <c r="I63" s="78"/>
      <c r="J63" s="78"/>
      <c r="K63" s="78"/>
      <c r="L63" s="78"/>
      <c r="M63" s="78"/>
      <c r="N63" s="44"/>
      <c r="O63" s="44"/>
      <c r="P63" s="44"/>
      <c r="Q63" s="44"/>
      <c r="R63" s="44"/>
      <c r="S63" s="44"/>
      <c r="T63" s="44"/>
      <c r="U63" s="44"/>
      <c r="V63" s="44"/>
      <c r="W63" s="44"/>
      <c r="X63" s="44"/>
      <c r="Y63" s="44"/>
    </row>
    <row r="64">
      <c r="A64" s="44"/>
      <c r="B64" s="74"/>
      <c r="C64" s="74"/>
      <c r="D64" s="44"/>
      <c r="E64" s="44"/>
      <c r="F64" s="84" t="s">
        <v>217</v>
      </c>
      <c r="G64" s="83"/>
      <c r="H64" s="79"/>
      <c r="I64" s="78"/>
      <c r="J64" s="78"/>
      <c r="K64" s="78"/>
      <c r="L64" s="78"/>
      <c r="M64" s="78"/>
      <c r="N64" s="44"/>
      <c r="O64" s="44"/>
      <c r="P64" s="44"/>
      <c r="Q64" s="44"/>
      <c r="R64" s="44"/>
      <c r="S64" s="44"/>
      <c r="T64" s="44"/>
      <c r="U64" s="44"/>
      <c r="V64" s="44"/>
      <c r="W64" s="44"/>
      <c r="X64" s="44"/>
      <c r="Y64" s="44"/>
    </row>
    <row r="65">
      <c r="A65" s="44"/>
      <c r="B65" s="74"/>
      <c r="C65" s="74"/>
      <c r="D65" s="44"/>
      <c r="E65" s="44"/>
      <c r="F65" s="87" t="s">
        <v>218</v>
      </c>
      <c r="G65" s="83"/>
      <c r="H65" s="85"/>
      <c r="I65" s="78"/>
      <c r="J65" s="78"/>
      <c r="K65" s="78"/>
      <c r="L65" s="78"/>
      <c r="M65" s="78"/>
      <c r="N65" s="44"/>
      <c r="O65" s="44"/>
      <c r="P65" s="44"/>
      <c r="Q65" s="44"/>
      <c r="R65" s="44"/>
      <c r="S65" s="44"/>
      <c r="T65" s="44"/>
      <c r="U65" s="44"/>
      <c r="V65" s="44"/>
      <c r="W65" s="44"/>
      <c r="X65" s="44"/>
      <c r="Y65" s="44"/>
    </row>
    <row r="66">
      <c r="A66" s="44"/>
      <c r="B66" s="74"/>
      <c r="C66" s="74"/>
      <c r="D66" s="44"/>
      <c r="E66" s="44"/>
      <c r="F66" s="87" t="s">
        <v>224</v>
      </c>
      <c r="G66" s="83"/>
      <c r="H66" s="79">
        <v>213.0</v>
      </c>
      <c r="I66" s="78"/>
      <c r="J66" s="78"/>
      <c r="K66" s="78"/>
      <c r="L66" s="78"/>
      <c r="M66" s="78"/>
      <c r="N66" s="44"/>
      <c r="O66" s="44"/>
      <c r="P66" s="44"/>
      <c r="Q66" s="44"/>
      <c r="R66" s="44"/>
      <c r="S66" s="44"/>
      <c r="T66" s="44"/>
      <c r="U66" s="44"/>
      <c r="V66" s="44"/>
      <c r="W66" s="44"/>
      <c r="X66" s="44"/>
      <c r="Y66" s="44"/>
    </row>
    <row r="67">
      <c r="A67" s="44"/>
      <c r="B67" s="74"/>
      <c r="C67" s="74"/>
      <c r="D67" s="44"/>
      <c r="E67" s="44"/>
      <c r="F67" s="76" t="s">
        <v>131</v>
      </c>
      <c r="G67" s="83"/>
      <c r="H67" s="85"/>
      <c r="I67" s="78"/>
      <c r="J67" s="78"/>
      <c r="K67" s="78"/>
      <c r="L67" s="78"/>
      <c r="M67" s="78"/>
      <c r="N67" s="44"/>
      <c r="O67" s="44"/>
      <c r="P67" s="44"/>
      <c r="Q67" s="44"/>
      <c r="R67" s="44"/>
      <c r="S67" s="44"/>
      <c r="T67" s="44"/>
      <c r="U67" s="44"/>
      <c r="V67" s="44"/>
      <c r="W67" s="44"/>
      <c r="X67" s="44"/>
      <c r="Y67" s="44"/>
    </row>
    <row r="68">
      <c r="A68" s="44"/>
      <c r="B68" s="74"/>
      <c r="C68" s="74"/>
      <c r="D68" s="44"/>
      <c r="E68" s="44"/>
      <c r="F68" s="76" t="s">
        <v>18</v>
      </c>
      <c r="G68" s="83"/>
      <c r="H68" s="85"/>
      <c r="I68" s="78"/>
      <c r="J68" s="78"/>
      <c r="K68" s="78"/>
      <c r="L68" s="78"/>
      <c r="M68" s="78"/>
      <c r="N68" s="44"/>
      <c r="O68" s="44"/>
      <c r="P68" s="44"/>
      <c r="Q68" s="44"/>
      <c r="R68" s="44"/>
      <c r="S68" s="44"/>
      <c r="T68" s="44"/>
      <c r="U68" s="44"/>
      <c r="V68" s="44"/>
      <c r="W68" s="44"/>
      <c r="X68" s="44"/>
      <c r="Y68" s="44"/>
    </row>
    <row r="69">
      <c r="A69" s="44"/>
      <c r="B69" s="74"/>
      <c r="C69" s="74"/>
      <c r="D69" s="44"/>
      <c r="E69" s="44"/>
      <c r="F69" s="98" t="s">
        <v>19</v>
      </c>
      <c r="G69" s="83"/>
      <c r="H69" s="79">
        <v>100.0</v>
      </c>
      <c r="I69" s="78"/>
      <c r="J69" s="78"/>
      <c r="K69" s="78"/>
      <c r="L69" s="78"/>
      <c r="M69" s="78"/>
      <c r="N69" s="44"/>
      <c r="O69" s="44"/>
      <c r="P69" s="44"/>
      <c r="Q69" s="44"/>
      <c r="R69" s="44"/>
      <c r="S69" s="44"/>
      <c r="T69" s="44"/>
      <c r="U69" s="44"/>
      <c r="V69" s="44"/>
      <c r="W69" s="44"/>
      <c r="X69" s="44"/>
      <c r="Y69" s="44"/>
    </row>
    <row r="70">
      <c r="A70" s="44"/>
      <c r="B70" s="74"/>
      <c r="C70" s="74"/>
      <c r="D70" s="44"/>
      <c r="E70" s="44"/>
      <c r="F70" s="76" t="s">
        <v>20</v>
      </c>
      <c r="G70" s="83"/>
      <c r="H70" s="85"/>
      <c r="I70" s="78"/>
      <c r="J70" s="78"/>
      <c r="K70" s="78"/>
      <c r="L70" s="78"/>
      <c r="M70" s="78"/>
      <c r="N70" s="44"/>
      <c r="O70" s="44"/>
      <c r="P70" s="44"/>
      <c r="Q70" s="44"/>
      <c r="R70" s="44"/>
      <c r="S70" s="44"/>
      <c r="T70" s="44"/>
      <c r="U70" s="44"/>
      <c r="V70" s="44"/>
      <c r="W70" s="44"/>
      <c r="X70" s="44"/>
      <c r="Y70" s="44"/>
    </row>
    <row r="71">
      <c r="A71" s="44"/>
      <c r="B71" s="74"/>
      <c r="C71" s="74"/>
      <c r="D71" s="44"/>
      <c r="E71" s="44"/>
      <c r="F71" s="87" t="s">
        <v>192</v>
      </c>
      <c r="G71" s="83"/>
      <c r="H71" s="79">
        <v>280.0</v>
      </c>
      <c r="I71" s="78"/>
      <c r="J71" s="78"/>
      <c r="K71" s="78"/>
      <c r="L71" s="78"/>
      <c r="M71" s="78"/>
      <c r="N71" s="44"/>
      <c r="O71" s="44"/>
      <c r="P71" s="44"/>
      <c r="Q71" s="44"/>
      <c r="R71" s="44"/>
      <c r="S71" s="44"/>
      <c r="T71" s="44"/>
      <c r="U71" s="44"/>
      <c r="V71" s="44"/>
      <c r="W71" s="44"/>
      <c r="X71" s="44"/>
      <c r="Y71" s="44"/>
    </row>
    <row r="72">
      <c r="A72" s="44"/>
      <c r="B72" s="74"/>
      <c r="C72" s="74"/>
      <c r="D72" s="44"/>
      <c r="E72" s="44"/>
      <c r="F72" s="87" t="s">
        <v>202</v>
      </c>
      <c r="G72" s="99"/>
      <c r="H72" s="79"/>
      <c r="I72" s="78"/>
      <c r="J72" s="78"/>
      <c r="K72" s="78"/>
      <c r="L72" s="78"/>
      <c r="M72" s="78"/>
      <c r="N72" s="44"/>
      <c r="O72" s="44"/>
      <c r="P72" s="44"/>
      <c r="Q72" s="44"/>
      <c r="R72" s="44"/>
      <c r="S72" s="44"/>
      <c r="T72" s="44"/>
      <c r="U72" s="44"/>
      <c r="V72" s="44"/>
      <c r="W72" s="44"/>
      <c r="X72" s="44"/>
      <c r="Y72" s="44"/>
    </row>
    <row r="73">
      <c r="A73" s="65"/>
      <c r="B73" s="74"/>
      <c r="C73" s="77"/>
      <c r="D73" s="44"/>
      <c r="E73" s="44"/>
      <c r="F73" s="87" t="s">
        <v>219</v>
      </c>
      <c r="G73" s="83"/>
      <c r="H73" s="79">
        <v>130.0</v>
      </c>
      <c r="I73" s="78"/>
      <c r="J73" s="78"/>
      <c r="K73" s="78"/>
      <c r="L73" s="78"/>
      <c r="M73" s="78"/>
      <c r="N73" s="44"/>
      <c r="O73" s="44"/>
      <c r="P73" s="44"/>
      <c r="Q73" s="44"/>
      <c r="R73" s="44"/>
      <c r="S73" s="44"/>
      <c r="T73" s="44"/>
      <c r="U73" s="44"/>
      <c r="V73" s="44"/>
      <c r="W73" s="44"/>
      <c r="X73" s="44"/>
      <c r="Y73" s="44"/>
    </row>
    <row r="74">
      <c r="A74" s="65"/>
      <c r="B74" s="74"/>
      <c r="C74" s="77"/>
      <c r="D74" s="44"/>
      <c r="E74" s="44"/>
      <c r="F74" s="87" t="s">
        <v>220</v>
      </c>
      <c r="G74" s="83"/>
      <c r="H74" s="95"/>
      <c r="I74" s="78"/>
      <c r="J74" s="78"/>
      <c r="K74" s="78"/>
      <c r="L74" s="78"/>
      <c r="M74" s="78"/>
      <c r="N74" s="44"/>
      <c r="O74" s="44"/>
      <c r="P74" s="44"/>
      <c r="Q74" s="44"/>
      <c r="R74" s="44"/>
      <c r="S74" s="44"/>
      <c r="T74" s="44"/>
      <c r="U74" s="44"/>
      <c r="V74" s="44"/>
      <c r="W74" s="44"/>
      <c r="X74" s="44"/>
      <c r="Y74" s="44"/>
    </row>
    <row r="75">
      <c r="B75" s="75"/>
      <c r="C75" s="75"/>
      <c r="F75" s="87" t="s">
        <v>225</v>
      </c>
      <c r="G75" s="83"/>
      <c r="H75" s="79">
        <v>159.0</v>
      </c>
      <c r="I75" s="100"/>
      <c r="J75" s="100"/>
      <c r="K75" s="100"/>
      <c r="L75" s="100"/>
      <c r="M75" s="100"/>
    </row>
    <row r="76">
      <c r="B76" s="75"/>
      <c r="C76" s="75"/>
      <c r="F76" s="94"/>
      <c r="H76" s="75"/>
      <c r="I76" s="100"/>
      <c r="J76" s="100"/>
      <c r="K76" s="100"/>
      <c r="L76" s="100"/>
      <c r="M76" s="100"/>
    </row>
    <row r="77">
      <c r="B77" s="75"/>
      <c r="C77" s="75"/>
      <c r="F77" s="94"/>
      <c r="H77" s="75"/>
      <c r="I77" s="100"/>
      <c r="J77" s="100"/>
      <c r="K77" s="100"/>
      <c r="L77" s="100"/>
      <c r="M77" s="100"/>
    </row>
    <row r="78">
      <c r="A78" s="73" t="s">
        <v>109</v>
      </c>
      <c r="B78" s="74"/>
      <c r="C78" s="75"/>
      <c r="D78" s="52"/>
      <c r="E78" s="52"/>
      <c r="F78" s="76"/>
      <c r="G78" s="44"/>
      <c r="H78" s="77"/>
      <c r="I78" s="78"/>
      <c r="J78" s="78"/>
      <c r="K78" s="78"/>
      <c r="L78" s="78"/>
      <c r="M78" s="78"/>
      <c r="N78" s="44"/>
      <c r="O78" s="44"/>
      <c r="P78" s="44"/>
      <c r="Q78" s="44"/>
      <c r="R78" s="44"/>
      <c r="S78" s="44"/>
      <c r="T78" s="44"/>
      <c r="U78" s="44"/>
      <c r="V78" s="44"/>
      <c r="W78" s="44"/>
      <c r="X78" s="44"/>
      <c r="Y78" s="44"/>
    </row>
    <row r="79">
      <c r="A79" s="52"/>
      <c r="B79" s="74"/>
      <c r="C79" s="74"/>
      <c r="D79" s="52"/>
      <c r="E79" s="52"/>
      <c r="F79" s="79" t="s">
        <v>0</v>
      </c>
      <c r="G79" s="44"/>
      <c r="H79" s="77"/>
      <c r="I79" s="78"/>
      <c r="J79" s="78"/>
      <c r="K79" s="78"/>
      <c r="L79" s="78"/>
      <c r="M79" s="78"/>
      <c r="N79" s="44"/>
      <c r="O79" s="44"/>
      <c r="P79" s="44"/>
      <c r="Q79" s="44"/>
      <c r="R79" s="44"/>
      <c r="S79" s="44"/>
      <c r="T79" s="44"/>
      <c r="U79" s="44"/>
      <c r="V79" s="44"/>
      <c r="W79" s="44"/>
      <c r="X79" s="44"/>
      <c r="Y79" s="44"/>
    </row>
    <row r="80">
      <c r="A80" s="80" t="s">
        <v>179</v>
      </c>
      <c r="B80" s="104">
        <v>5940.0</v>
      </c>
      <c r="D80" s="52"/>
      <c r="E80" s="82"/>
      <c r="F80" s="76" t="s">
        <v>4</v>
      </c>
      <c r="G80" s="83"/>
      <c r="H80" s="85"/>
      <c r="I80" s="78"/>
      <c r="J80" s="78"/>
      <c r="K80" s="78"/>
      <c r="L80" s="78"/>
      <c r="M80" s="78"/>
      <c r="N80" s="44"/>
      <c r="O80" s="44"/>
      <c r="P80" s="44"/>
      <c r="Q80" s="44"/>
      <c r="R80" s="44"/>
      <c r="S80" s="44"/>
      <c r="T80" s="44"/>
      <c r="U80" s="44"/>
      <c r="V80" s="44"/>
      <c r="W80" s="44"/>
      <c r="X80" s="44"/>
      <c r="Y80" s="44"/>
    </row>
    <row r="81">
      <c r="A81" s="76"/>
      <c r="B81" s="105"/>
      <c r="C81" s="105"/>
      <c r="D81" s="44"/>
      <c r="E81" s="44"/>
      <c r="F81" s="84" t="s">
        <v>207</v>
      </c>
      <c r="G81" s="83"/>
      <c r="H81" s="85"/>
      <c r="I81" s="78"/>
      <c r="J81" s="78"/>
      <c r="K81" s="78"/>
      <c r="L81" s="78"/>
      <c r="M81" s="78"/>
      <c r="N81" s="44"/>
      <c r="O81" s="44"/>
      <c r="P81" s="44"/>
      <c r="Q81" s="44"/>
      <c r="R81" s="44"/>
      <c r="S81" s="44"/>
      <c r="T81" s="44"/>
      <c r="U81" s="44"/>
      <c r="V81" s="44"/>
      <c r="W81" s="44"/>
      <c r="X81" s="44"/>
      <c r="Y81" s="44"/>
    </row>
    <row r="82">
      <c r="A82" s="86" t="s">
        <v>201</v>
      </c>
      <c r="B82" s="104">
        <v>2395.0</v>
      </c>
      <c r="D82" s="44"/>
      <c r="E82" s="44"/>
      <c r="F82" s="76" t="s">
        <v>6</v>
      </c>
      <c r="G82" s="83"/>
      <c r="H82" s="85"/>
      <c r="I82" s="78"/>
      <c r="J82" s="78"/>
      <c r="K82" s="78"/>
      <c r="L82" s="78"/>
      <c r="M82" s="78"/>
      <c r="N82" s="44"/>
      <c r="O82" s="44"/>
      <c r="P82" s="44"/>
      <c r="Q82" s="44"/>
      <c r="R82" s="44"/>
      <c r="S82" s="44"/>
      <c r="T82" s="44"/>
      <c r="U82" s="44"/>
      <c r="V82" s="44"/>
      <c r="W82" s="44"/>
      <c r="X82" s="44"/>
      <c r="Y82" s="44"/>
    </row>
    <row r="83">
      <c r="A83" s="76"/>
      <c r="B83" s="105"/>
      <c r="C83" s="105"/>
      <c r="D83" s="44"/>
      <c r="E83" s="44"/>
      <c r="F83" s="87" t="s">
        <v>7</v>
      </c>
      <c r="G83" s="83"/>
      <c r="H83" s="79">
        <v>207.0</v>
      </c>
      <c r="I83" s="78"/>
      <c r="J83" s="78"/>
      <c r="K83" s="78"/>
      <c r="L83" s="78"/>
      <c r="M83" s="78"/>
      <c r="N83" s="44"/>
      <c r="O83" s="44"/>
      <c r="P83" s="44"/>
      <c r="Q83" s="44"/>
      <c r="R83" s="44"/>
      <c r="S83" s="44"/>
      <c r="T83" s="44"/>
      <c r="U83" s="44"/>
      <c r="V83" s="44"/>
      <c r="W83" s="44"/>
      <c r="X83" s="44"/>
      <c r="Y83" s="44"/>
    </row>
    <row r="84">
      <c r="A84" s="89" t="s">
        <v>226</v>
      </c>
      <c r="B84" s="101">
        <v>3245.0</v>
      </c>
      <c r="C84" s="102"/>
      <c r="D84" s="44"/>
      <c r="E84" s="44"/>
      <c r="F84" s="84" t="s">
        <v>210</v>
      </c>
      <c r="G84" s="83"/>
      <c r="H84" s="79"/>
      <c r="I84" s="78"/>
      <c r="J84" s="78"/>
      <c r="K84" s="78"/>
      <c r="L84" s="78"/>
      <c r="M84" s="78"/>
      <c r="N84" s="44"/>
      <c r="O84" s="44"/>
      <c r="P84" s="44"/>
      <c r="Q84" s="44"/>
      <c r="R84" s="44"/>
      <c r="S84" s="44"/>
      <c r="T84" s="44"/>
      <c r="U84" s="44"/>
      <c r="V84" s="44"/>
      <c r="W84" s="44"/>
      <c r="X84" s="44"/>
      <c r="Y84" s="44"/>
    </row>
    <row r="85">
      <c r="B85" s="103"/>
      <c r="C85" s="50"/>
      <c r="D85" s="44"/>
      <c r="E85" s="44"/>
      <c r="F85" s="84" t="s">
        <v>211</v>
      </c>
      <c r="G85" s="83"/>
      <c r="H85" s="79">
        <v>117.0</v>
      </c>
      <c r="I85" s="78"/>
      <c r="J85" s="78"/>
      <c r="K85" s="78"/>
      <c r="L85" s="78"/>
      <c r="M85" s="78"/>
      <c r="N85" s="44"/>
      <c r="O85" s="44"/>
      <c r="P85" s="44"/>
      <c r="Q85" s="44"/>
      <c r="R85" s="44"/>
      <c r="S85" s="44"/>
      <c r="T85" s="44"/>
      <c r="U85" s="44"/>
      <c r="V85" s="44"/>
      <c r="W85" s="44"/>
      <c r="X85" s="44"/>
      <c r="Y85" s="44"/>
    </row>
    <row r="86">
      <c r="A86" s="94"/>
      <c r="B86" s="74"/>
      <c r="C86" s="74"/>
      <c r="D86" s="44"/>
      <c r="E86" s="44"/>
      <c r="F86" s="87" t="s">
        <v>213</v>
      </c>
      <c r="G86" s="83"/>
      <c r="H86" s="95"/>
      <c r="I86" s="78"/>
      <c r="J86" s="78"/>
      <c r="K86" s="78"/>
      <c r="L86" s="78"/>
      <c r="M86" s="78"/>
      <c r="N86" s="44"/>
      <c r="O86" s="44"/>
      <c r="P86" s="44"/>
      <c r="Q86" s="44"/>
      <c r="R86" s="44"/>
      <c r="S86" s="44"/>
      <c r="T86" s="44"/>
      <c r="U86" s="44"/>
      <c r="V86" s="44"/>
      <c r="W86" s="44"/>
      <c r="X86" s="44"/>
      <c r="Y86" s="44"/>
    </row>
    <row r="87">
      <c r="A87" s="96" t="s">
        <v>214</v>
      </c>
      <c r="B87" s="106" t="s">
        <v>227</v>
      </c>
      <c r="D87" s="52"/>
      <c r="E87" s="44"/>
      <c r="F87" s="76" t="s">
        <v>34</v>
      </c>
      <c r="G87" s="83"/>
      <c r="H87" s="79">
        <v>20.0</v>
      </c>
      <c r="I87" s="78"/>
      <c r="J87" s="78"/>
      <c r="K87" s="78"/>
      <c r="L87" s="78"/>
      <c r="M87" s="78"/>
      <c r="N87" s="44"/>
      <c r="O87" s="44"/>
      <c r="P87" s="44"/>
      <c r="Q87" s="44"/>
      <c r="R87" s="44"/>
      <c r="S87" s="44"/>
      <c r="T87" s="44"/>
      <c r="U87" s="44"/>
      <c r="V87" s="44"/>
      <c r="W87" s="44"/>
      <c r="X87" s="44"/>
      <c r="Y87" s="44"/>
    </row>
    <row r="88">
      <c r="A88" s="96" t="s">
        <v>215</v>
      </c>
      <c r="B88" s="81"/>
      <c r="D88" s="44"/>
      <c r="E88" s="44"/>
      <c r="F88" s="87" t="s">
        <v>216</v>
      </c>
      <c r="G88" s="83"/>
      <c r="H88" s="79">
        <v>45.0</v>
      </c>
      <c r="I88" s="78"/>
      <c r="J88" s="78"/>
      <c r="K88" s="78"/>
      <c r="L88" s="78"/>
      <c r="M88" s="78"/>
      <c r="N88" s="44"/>
      <c r="O88" s="44"/>
      <c r="P88" s="44"/>
      <c r="Q88" s="44"/>
      <c r="R88" s="44"/>
      <c r="S88" s="44"/>
      <c r="T88" s="44"/>
      <c r="U88" s="44"/>
      <c r="V88" s="44"/>
      <c r="W88" s="44"/>
      <c r="X88" s="44"/>
      <c r="Y88" s="44"/>
    </row>
    <row r="89">
      <c r="A89" s="44"/>
      <c r="B89" s="74"/>
      <c r="C89" s="74"/>
      <c r="D89" s="44"/>
      <c r="E89" s="44"/>
      <c r="F89" s="76" t="s">
        <v>108</v>
      </c>
      <c r="G89" s="83"/>
      <c r="H89" s="95"/>
      <c r="I89" s="78"/>
      <c r="J89" s="78"/>
      <c r="K89" s="78"/>
      <c r="L89" s="78"/>
      <c r="M89" s="78"/>
      <c r="N89" s="44"/>
      <c r="O89" s="44"/>
      <c r="P89" s="44"/>
      <c r="Q89" s="44"/>
      <c r="R89" s="44"/>
      <c r="S89" s="44"/>
      <c r="T89" s="44"/>
      <c r="U89" s="44"/>
      <c r="V89" s="44"/>
      <c r="W89" s="44"/>
      <c r="X89" s="44"/>
      <c r="Y89" s="44"/>
    </row>
    <row r="90">
      <c r="A90" s="44"/>
      <c r="B90" s="74"/>
      <c r="C90" s="74"/>
      <c r="D90" s="44"/>
      <c r="E90" s="44"/>
      <c r="F90" s="97" t="s">
        <v>156</v>
      </c>
      <c r="G90" s="83"/>
      <c r="H90" s="79">
        <v>1250.0</v>
      </c>
      <c r="I90" s="78"/>
      <c r="J90" s="78"/>
      <c r="K90" s="78"/>
      <c r="L90" s="78"/>
      <c r="M90" s="78"/>
      <c r="N90" s="44"/>
      <c r="O90" s="44"/>
      <c r="P90" s="44"/>
      <c r="Q90" s="44"/>
      <c r="R90" s="44"/>
      <c r="S90" s="44"/>
      <c r="T90" s="44"/>
      <c r="U90" s="44"/>
      <c r="V90" s="44"/>
      <c r="W90" s="44"/>
      <c r="X90" s="44"/>
      <c r="Y90" s="44"/>
    </row>
    <row r="91">
      <c r="A91" s="44"/>
      <c r="B91" s="74"/>
      <c r="C91" s="74"/>
      <c r="D91" s="44"/>
      <c r="E91" s="44"/>
      <c r="F91" s="84" t="s">
        <v>217</v>
      </c>
      <c r="G91" s="83"/>
      <c r="H91" s="79"/>
      <c r="I91" s="78"/>
      <c r="J91" s="78"/>
      <c r="K91" s="78"/>
      <c r="L91" s="78"/>
      <c r="M91" s="78"/>
      <c r="N91" s="44"/>
      <c r="O91" s="44"/>
      <c r="P91" s="44"/>
      <c r="Q91" s="44"/>
      <c r="R91" s="44"/>
      <c r="S91" s="44"/>
      <c r="T91" s="44"/>
      <c r="U91" s="44"/>
      <c r="V91" s="44"/>
      <c r="W91" s="44"/>
      <c r="X91" s="44"/>
      <c r="Y91" s="44"/>
    </row>
    <row r="92">
      <c r="A92" s="44"/>
      <c r="B92" s="74"/>
      <c r="C92" s="74"/>
      <c r="D92" s="44"/>
      <c r="E92" s="44"/>
      <c r="F92" s="87" t="s">
        <v>218</v>
      </c>
      <c r="G92" s="83"/>
      <c r="H92" s="85"/>
      <c r="I92" s="78"/>
      <c r="J92" s="78"/>
      <c r="K92" s="78"/>
      <c r="L92" s="78"/>
      <c r="M92" s="78"/>
      <c r="N92" s="44"/>
      <c r="O92" s="44"/>
      <c r="P92" s="44"/>
      <c r="Q92" s="44"/>
      <c r="R92" s="44"/>
      <c r="S92" s="44"/>
      <c r="T92" s="44"/>
      <c r="U92" s="44"/>
      <c r="V92" s="44"/>
      <c r="W92" s="44"/>
      <c r="X92" s="44"/>
      <c r="Y92" s="44"/>
    </row>
    <row r="93">
      <c r="A93" s="44"/>
      <c r="B93" s="74"/>
      <c r="C93" s="74"/>
      <c r="D93" s="44"/>
      <c r="E93" s="44"/>
      <c r="F93" s="87" t="s">
        <v>224</v>
      </c>
      <c r="G93" s="83"/>
      <c r="H93" s="79">
        <v>213.0</v>
      </c>
      <c r="I93" s="78"/>
      <c r="J93" s="78"/>
      <c r="K93" s="78"/>
      <c r="L93" s="78"/>
      <c r="M93" s="78"/>
      <c r="N93" s="44"/>
      <c r="O93" s="44"/>
      <c r="P93" s="44"/>
      <c r="Q93" s="44"/>
      <c r="R93" s="44"/>
      <c r="S93" s="44"/>
      <c r="T93" s="44"/>
      <c r="U93" s="44"/>
      <c r="V93" s="44"/>
      <c r="W93" s="44"/>
      <c r="X93" s="44"/>
      <c r="Y93" s="44"/>
    </row>
    <row r="94">
      <c r="A94" s="44"/>
      <c r="B94" s="74"/>
      <c r="C94" s="74"/>
      <c r="D94" s="44"/>
      <c r="E94" s="44"/>
      <c r="F94" s="76" t="s">
        <v>131</v>
      </c>
      <c r="G94" s="83"/>
      <c r="H94" s="85"/>
      <c r="I94" s="78"/>
      <c r="J94" s="78"/>
      <c r="K94" s="78"/>
      <c r="L94" s="78"/>
      <c r="M94" s="78"/>
      <c r="N94" s="44"/>
      <c r="O94" s="44"/>
      <c r="P94" s="44"/>
      <c r="Q94" s="44"/>
      <c r="R94" s="44"/>
      <c r="S94" s="44"/>
      <c r="T94" s="44"/>
      <c r="U94" s="44"/>
      <c r="V94" s="44"/>
      <c r="W94" s="44"/>
      <c r="X94" s="44"/>
      <c r="Y94" s="44"/>
    </row>
    <row r="95">
      <c r="A95" s="44"/>
      <c r="B95" s="74"/>
      <c r="C95" s="74"/>
      <c r="D95" s="44"/>
      <c r="E95" s="44"/>
      <c r="F95" s="76" t="s">
        <v>18</v>
      </c>
      <c r="G95" s="83"/>
      <c r="H95" s="79">
        <v>150.0</v>
      </c>
      <c r="I95" s="78"/>
      <c r="J95" s="78"/>
      <c r="K95" s="78"/>
      <c r="L95" s="78"/>
      <c r="M95" s="78"/>
      <c r="N95" s="44"/>
      <c r="O95" s="44"/>
      <c r="P95" s="44"/>
      <c r="Q95" s="44"/>
      <c r="R95" s="44"/>
      <c r="S95" s="44"/>
      <c r="T95" s="44"/>
      <c r="U95" s="44"/>
      <c r="V95" s="44"/>
      <c r="W95" s="44"/>
      <c r="X95" s="44"/>
      <c r="Y95" s="44"/>
    </row>
    <row r="96">
      <c r="A96" s="44"/>
      <c r="B96" s="74"/>
      <c r="C96" s="74"/>
      <c r="D96" s="44"/>
      <c r="E96" s="44"/>
      <c r="F96" s="98" t="s">
        <v>19</v>
      </c>
      <c r="G96" s="83"/>
      <c r="H96" s="79">
        <v>100.0</v>
      </c>
      <c r="I96" s="78"/>
      <c r="J96" s="78"/>
      <c r="K96" s="78"/>
      <c r="L96" s="78"/>
      <c r="M96" s="78"/>
      <c r="N96" s="44"/>
      <c r="O96" s="44"/>
      <c r="P96" s="44"/>
      <c r="Q96" s="44"/>
      <c r="R96" s="44"/>
      <c r="S96" s="44"/>
      <c r="T96" s="44"/>
      <c r="U96" s="44"/>
      <c r="V96" s="44"/>
      <c r="W96" s="44"/>
      <c r="X96" s="44"/>
      <c r="Y96" s="44"/>
    </row>
    <row r="97">
      <c r="A97" s="44"/>
      <c r="B97" s="74"/>
      <c r="C97" s="74"/>
      <c r="D97" s="44"/>
      <c r="E97" s="44"/>
      <c r="F97" s="76" t="s">
        <v>20</v>
      </c>
      <c r="G97" s="83"/>
      <c r="H97" s="85"/>
      <c r="I97" s="78"/>
      <c r="J97" s="78"/>
      <c r="K97" s="78"/>
      <c r="L97" s="78"/>
      <c r="M97" s="78"/>
      <c r="N97" s="44"/>
      <c r="O97" s="44"/>
      <c r="P97" s="44"/>
      <c r="Q97" s="44"/>
      <c r="R97" s="44"/>
      <c r="S97" s="44"/>
      <c r="T97" s="44"/>
      <c r="U97" s="44"/>
      <c r="V97" s="44"/>
      <c r="W97" s="44"/>
      <c r="X97" s="44"/>
      <c r="Y97" s="44"/>
    </row>
    <row r="98">
      <c r="A98" s="44"/>
      <c r="B98" s="74"/>
      <c r="C98" s="74"/>
      <c r="D98" s="44"/>
      <c r="E98" s="44"/>
      <c r="F98" s="87" t="s">
        <v>192</v>
      </c>
      <c r="G98" s="83"/>
      <c r="H98" s="79">
        <v>180.0</v>
      </c>
      <c r="I98" s="78"/>
      <c r="J98" s="78"/>
      <c r="K98" s="78"/>
      <c r="L98" s="78"/>
      <c r="M98" s="78"/>
      <c r="N98" s="44"/>
      <c r="O98" s="44"/>
      <c r="P98" s="44"/>
      <c r="Q98" s="44"/>
      <c r="R98" s="44"/>
      <c r="S98" s="44"/>
      <c r="T98" s="44"/>
      <c r="U98" s="44"/>
      <c r="V98" s="44"/>
      <c r="W98" s="44"/>
      <c r="X98" s="44"/>
      <c r="Y98" s="44"/>
    </row>
    <row r="99">
      <c r="A99" s="65"/>
      <c r="B99" s="74"/>
      <c r="C99" s="77"/>
      <c r="D99" s="44"/>
      <c r="E99" s="44"/>
      <c r="F99" s="87" t="s">
        <v>202</v>
      </c>
      <c r="G99" s="99"/>
      <c r="H99" s="79"/>
      <c r="I99" s="78"/>
      <c r="J99" s="78"/>
      <c r="K99" s="78"/>
      <c r="L99" s="78"/>
      <c r="M99" s="78"/>
      <c r="N99" s="44"/>
      <c r="O99" s="44"/>
      <c r="P99" s="44"/>
      <c r="Q99" s="44"/>
      <c r="R99" s="44"/>
      <c r="S99" s="44"/>
      <c r="T99" s="44"/>
      <c r="U99" s="44"/>
      <c r="V99" s="44"/>
      <c r="W99" s="44"/>
      <c r="X99" s="44"/>
      <c r="Y99" s="44"/>
    </row>
    <row r="100">
      <c r="A100" s="65"/>
      <c r="B100" s="74"/>
      <c r="C100" s="77"/>
      <c r="D100" s="44"/>
      <c r="E100" s="44"/>
      <c r="F100" s="87" t="s">
        <v>219</v>
      </c>
      <c r="G100" s="83"/>
      <c r="H100" s="79">
        <v>193.0</v>
      </c>
      <c r="I100" s="78"/>
      <c r="J100" s="78"/>
      <c r="K100" s="78"/>
      <c r="L100" s="78"/>
      <c r="M100" s="78"/>
      <c r="N100" s="44"/>
      <c r="O100" s="44"/>
      <c r="P100" s="44"/>
      <c r="Q100" s="44"/>
      <c r="R100" s="44"/>
      <c r="S100" s="44"/>
      <c r="T100" s="44"/>
      <c r="U100" s="44"/>
      <c r="V100" s="44"/>
      <c r="W100" s="44"/>
      <c r="X100" s="44"/>
      <c r="Y100" s="44"/>
    </row>
    <row r="101">
      <c r="B101" s="75"/>
      <c r="C101" s="75"/>
      <c r="F101" s="87" t="s">
        <v>220</v>
      </c>
      <c r="G101" s="83"/>
      <c r="H101" s="95"/>
      <c r="I101" s="100"/>
      <c r="J101" s="100"/>
      <c r="K101" s="100"/>
      <c r="L101" s="100"/>
      <c r="M101" s="100"/>
    </row>
    <row r="102">
      <c r="B102" s="75"/>
      <c r="C102" s="75"/>
      <c r="F102" s="87" t="s">
        <v>225</v>
      </c>
      <c r="G102" s="83"/>
      <c r="H102" s="79"/>
      <c r="I102" s="100"/>
      <c r="J102" s="100"/>
      <c r="K102" s="100"/>
      <c r="L102" s="100"/>
      <c r="M102" s="100"/>
    </row>
    <row r="103">
      <c r="A103" s="73" t="s">
        <v>113</v>
      </c>
      <c r="B103" s="74"/>
      <c r="C103" s="75"/>
      <c r="D103" s="52"/>
      <c r="E103" s="52"/>
      <c r="F103" s="76"/>
      <c r="G103" s="44"/>
      <c r="H103" s="77"/>
      <c r="I103" s="78"/>
      <c r="J103" s="78"/>
      <c r="K103" s="78"/>
      <c r="L103" s="78"/>
      <c r="M103" s="78"/>
      <c r="N103" s="44"/>
      <c r="O103" s="44"/>
      <c r="P103" s="44"/>
      <c r="Q103" s="44"/>
      <c r="R103" s="44"/>
      <c r="S103" s="44"/>
      <c r="T103" s="44"/>
      <c r="U103" s="44"/>
      <c r="V103" s="44"/>
      <c r="W103" s="44"/>
      <c r="X103" s="44"/>
      <c r="Y103" s="44"/>
    </row>
    <row r="104">
      <c r="A104" s="52"/>
      <c r="B104" s="74"/>
      <c r="C104" s="74"/>
      <c r="D104" s="52"/>
      <c r="E104" s="52"/>
      <c r="F104" s="79" t="s">
        <v>0</v>
      </c>
      <c r="G104" s="44"/>
      <c r="H104" s="77"/>
      <c r="I104" s="78"/>
      <c r="J104" s="78"/>
      <c r="K104" s="78"/>
      <c r="L104" s="78"/>
      <c r="M104" s="78"/>
      <c r="N104" s="44"/>
      <c r="O104" s="44"/>
      <c r="P104" s="44"/>
      <c r="Q104" s="44"/>
      <c r="R104" s="44"/>
      <c r="S104" s="44"/>
      <c r="T104" s="44"/>
      <c r="U104" s="44"/>
      <c r="V104" s="44"/>
      <c r="W104" s="44"/>
      <c r="X104" s="44"/>
      <c r="Y104" s="44"/>
    </row>
    <row r="105">
      <c r="A105" s="80" t="s">
        <v>179</v>
      </c>
      <c r="B105" s="107">
        <v>1690.0</v>
      </c>
      <c r="D105" s="52"/>
      <c r="E105" s="82"/>
      <c r="F105" s="76" t="s">
        <v>4</v>
      </c>
      <c r="G105" s="83"/>
      <c r="H105" s="79">
        <v>80.0</v>
      </c>
      <c r="I105" s="78"/>
      <c r="J105" s="78"/>
      <c r="K105" s="78"/>
      <c r="L105" s="78"/>
      <c r="M105" s="78"/>
      <c r="N105" s="44"/>
      <c r="O105" s="44"/>
      <c r="P105" s="44"/>
      <c r="Q105" s="44"/>
      <c r="R105" s="44"/>
      <c r="S105" s="44"/>
      <c r="T105" s="44"/>
      <c r="U105" s="44"/>
      <c r="V105" s="44"/>
      <c r="W105" s="44"/>
      <c r="X105" s="44"/>
      <c r="Y105" s="44"/>
    </row>
    <row r="106">
      <c r="A106" s="76"/>
      <c r="B106" s="74"/>
      <c r="C106" s="74"/>
      <c r="D106" s="44"/>
      <c r="E106" s="44"/>
      <c r="F106" s="84" t="s">
        <v>207</v>
      </c>
      <c r="G106" s="83"/>
      <c r="H106" s="85"/>
      <c r="I106" s="78"/>
      <c r="J106" s="78"/>
      <c r="K106" s="78"/>
      <c r="L106" s="78"/>
      <c r="M106" s="78"/>
      <c r="N106" s="44"/>
      <c r="O106" s="44"/>
      <c r="P106" s="44"/>
      <c r="Q106" s="44"/>
      <c r="R106" s="44"/>
      <c r="S106" s="44"/>
      <c r="T106" s="44"/>
      <c r="U106" s="44"/>
      <c r="V106" s="44"/>
      <c r="W106" s="44"/>
      <c r="X106" s="44"/>
      <c r="Y106" s="44"/>
    </row>
    <row r="107">
      <c r="A107" s="86" t="s">
        <v>201</v>
      </c>
      <c r="B107" s="79">
        <v>1745.0</v>
      </c>
      <c r="D107" s="44"/>
      <c r="E107" s="44"/>
      <c r="F107" s="76" t="s">
        <v>6</v>
      </c>
      <c r="G107" s="83"/>
      <c r="H107" s="85"/>
      <c r="I107" s="78"/>
      <c r="J107" s="78"/>
      <c r="K107" s="78"/>
      <c r="L107" s="78"/>
      <c r="M107" s="78"/>
      <c r="N107" s="44"/>
      <c r="O107" s="44"/>
      <c r="P107" s="44"/>
      <c r="Q107" s="44"/>
      <c r="R107" s="44"/>
      <c r="S107" s="44"/>
      <c r="T107" s="44"/>
      <c r="U107" s="44"/>
      <c r="V107" s="44"/>
      <c r="W107" s="44"/>
      <c r="X107" s="44"/>
      <c r="Y107" s="44"/>
    </row>
    <row r="108">
      <c r="A108" s="76"/>
      <c r="B108" s="74"/>
      <c r="C108" s="74"/>
      <c r="D108" s="44"/>
      <c r="E108" s="44"/>
      <c r="F108" s="87" t="s">
        <v>7</v>
      </c>
      <c r="G108" s="83"/>
      <c r="H108" s="79">
        <v>120.0</v>
      </c>
      <c r="I108" s="78"/>
      <c r="J108" s="78"/>
      <c r="K108" s="78"/>
      <c r="L108" s="78"/>
      <c r="M108" s="78"/>
      <c r="N108" s="44"/>
      <c r="O108" s="44"/>
      <c r="P108" s="44"/>
      <c r="Q108" s="44"/>
      <c r="R108" s="44"/>
      <c r="S108" s="44"/>
      <c r="T108" s="44"/>
      <c r="U108" s="44"/>
      <c r="V108" s="44"/>
      <c r="W108" s="44"/>
      <c r="X108" s="44"/>
      <c r="Y108" s="44"/>
    </row>
    <row r="109">
      <c r="A109" s="89" t="s">
        <v>228</v>
      </c>
      <c r="B109" s="108">
        <v>-35.0</v>
      </c>
      <c r="C109" s="102"/>
      <c r="D109" s="44"/>
      <c r="E109" s="44"/>
      <c r="F109" s="84" t="s">
        <v>210</v>
      </c>
      <c r="G109" s="83"/>
      <c r="H109" s="95"/>
      <c r="I109" s="78"/>
      <c r="J109" s="78"/>
      <c r="K109" s="78"/>
      <c r="L109" s="78"/>
      <c r="M109" s="78"/>
      <c r="N109" s="44"/>
      <c r="O109" s="44"/>
      <c r="P109" s="44"/>
      <c r="Q109" s="44"/>
      <c r="R109" s="44"/>
      <c r="S109" s="44"/>
      <c r="T109" s="44"/>
      <c r="U109" s="44"/>
      <c r="V109" s="44"/>
      <c r="W109" s="44"/>
      <c r="X109" s="44"/>
      <c r="Y109" s="44"/>
    </row>
    <row r="110">
      <c r="B110" s="103"/>
      <c r="C110" s="50"/>
      <c r="D110" s="44"/>
      <c r="E110" s="44"/>
      <c r="F110" s="84" t="s">
        <v>211</v>
      </c>
      <c r="G110" s="83"/>
      <c r="H110" s="79">
        <v>28.0</v>
      </c>
      <c r="I110" s="78"/>
      <c r="J110" s="78"/>
      <c r="K110" s="78"/>
      <c r="L110" s="78"/>
      <c r="M110" s="78"/>
      <c r="N110" s="44"/>
      <c r="O110" s="44"/>
      <c r="P110" s="44"/>
      <c r="Q110" s="44"/>
      <c r="R110" s="44"/>
      <c r="S110" s="44"/>
      <c r="T110" s="44"/>
      <c r="U110" s="44"/>
      <c r="V110" s="44"/>
      <c r="W110" s="44"/>
      <c r="X110" s="44"/>
      <c r="Y110" s="44"/>
    </row>
    <row r="111">
      <c r="A111" s="94"/>
      <c r="B111" s="74"/>
      <c r="C111" s="74"/>
      <c r="D111" s="44"/>
      <c r="E111" s="44"/>
      <c r="F111" s="87" t="s">
        <v>213</v>
      </c>
      <c r="G111" s="83"/>
      <c r="H111" s="95"/>
      <c r="I111" s="78"/>
      <c r="J111" s="78"/>
      <c r="K111" s="78"/>
      <c r="L111" s="78"/>
      <c r="M111" s="78"/>
      <c r="N111" s="44"/>
      <c r="O111" s="44"/>
      <c r="P111" s="44"/>
      <c r="Q111" s="44"/>
      <c r="R111" s="44"/>
      <c r="S111" s="44"/>
      <c r="T111" s="44"/>
      <c r="U111" s="44"/>
      <c r="V111" s="44"/>
      <c r="W111" s="44"/>
      <c r="X111" s="44"/>
      <c r="Y111" s="44"/>
    </row>
    <row r="112">
      <c r="A112" s="96" t="s">
        <v>214</v>
      </c>
      <c r="B112" s="106" t="s">
        <v>229</v>
      </c>
      <c r="D112" s="52"/>
      <c r="E112" s="44"/>
      <c r="F112" s="76" t="s">
        <v>34</v>
      </c>
      <c r="G112" s="83"/>
      <c r="H112" s="79">
        <v>62.0</v>
      </c>
      <c r="I112" s="78"/>
      <c r="J112" s="78"/>
      <c r="K112" s="78"/>
      <c r="L112" s="78"/>
      <c r="M112" s="78"/>
      <c r="N112" s="44"/>
      <c r="O112" s="44"/>
      <c r="P112" s="44"/>
      <c r="Q112" s="44"/>
      <c r="R112" s="44"/>
      <c r="S112" s="44"/>
      <c r="T112" s="44"/>
      <c r="U112" s="44"/>
      <c r="V112" s="44"/>
      <c r="W112" s="44"/>
      <c r="X112" s="44"/>
      <c r="Y112" s="44"/>
    </row>
    <row r="113">
      <c r="A113" s="96" t="s">
        <v>215</v>
      </c>
      <c r="D113" s="44"/>
      <c r="E113" s="44"/>
      <c r="F113" s="87" t="s">
        <v>216</v>
      </c>
      <c r="G113" s="83"/>
      <c r="H113" s="79">
        <v>45.0</v>
      </c>
      <c r="I113" s="78"/>
      <c r="J113" s="78"/>
      <c r="K113" s="78"/>
      <c r="L113" s="78"/>
      <c r="M113" s="78"/>
      <c r="N113" s="44"/>
      <c r="O113" s="44"/>
      <c r="P113" s="44"/>
      <c r="Q113" s="44"/>
      <c r="R113" s="44"/>
      <c r="S113" s="44"/>
      <c r="T113" s="44"/>
      <c r="U113" s="44"/>
      <c r="V113" s="44"/>
      <c r="W113" s="44"/>
      <c r="X113" s="44"/>
      <c r="Y113" s="44"/>
    </row>
    <row r="114">
      <c r="A114" s="44"/>
      <c r="B114" s="74"/>
      <c r="C114" s="74"/>
      <c r="D114" s="44"/>
      <c r="E114" s="44"/>
      <c r="F114" s="76" t="s">
        <v>108</v>
      </c>
      <c r="G114" s="83"/>
      <c r="H114" s="95"/>
      <c r="I114" s="78"/>
      <c r="J114" s="78"/>
      <c r="K114" s="78"/>
      <c r="L114" s="78"/>
      <c r="M114" s="78"/>
      <c r="N114" s="44"/>
      <c r="O114" s="44"/>
      <c r="P114" s="44"/>
      <c r="Q114" s="44"/>
      <c r="R114" s="44"/>
      <c r="S114" s="44"/>
      <c r="T114" s="44"/>
      <c r="U114" s="44"/>
      <c r="V114" s="44"/>
      <c r="W114" s="44"/>
      <c r="X114" s="44"/>
      <c r="Y114" s="44"/>
    </row>
    <row r="115">
      <c r="A115" s="44"/>
      <c r="B115" s="74"/>
      <c r="C115" s="74"/>
      <c r="D115" s="44"/>
      <c r="E115" s="44"/>
      <c r="F115" s="97" t="s">
        <v>156</v>
      </c>
      <c r="G115" s="83"/>
      <c r="H115" s="79">
        <v>1250.0</v>
      </c>
      <c r="I115" s="88"/>
      <c r="J115" s="78"/>
      <c r="K115" s="78"/>
      <c r="L115" s="78"/>
      <c r="M115" s="78"/>
      <c r="N115" s="44"/>
      <c r="O115" s="44"/>
      <c r="P115" s="44"/>
      <c r="Q115" s="44"/>
      <c r="R115" s="44"/>
      <c r="S115" s="44"/>
      <c r="T115" s="44"/>
      <c r="U115" s="44"/>
      <c r="V115" s="44"/>
      <c r="W115" s="44"/>
      <c r="X115" s="44"/>
      <c r="Y115" s="44"/>
    </row>
    <row r="116">
      <c r="A116" s="44"/>
      <c r="B116" s="74"/>
      <c r="C116" s="74"/>
      <c r="D116" s="44"/>
      <c r="E116" s="44"/>
      <c r="F116" s="84" t="s">
        <v>217</v>
      </c>
      <c r="G116" s="83"/>
      <c r="H116" s="79"/>
      <c r="I116" s="78"/>
      <c r="J116" s="78"/>
      <c r="K116" s="78"/>
      <c r="L116" s="78"/>
      <c r="M116" s="78"/>
      <c r="N116" s="44"/>
      <c r="O116" s="44"/>
      <c r="P116" s="44"/>
      <c r="Q116" s="44"/>
      <c r="R116" s="44"/>
      <c r="S116" s="44"/>
      <c r="T116" s="44"/>
      <c r="U116" s="44"/>
      <c r="V116" s="44"/>
      <c r="W116" s="44"/>
      <c r="X116" s="44"/>
      <c r="Y116" s="44"/>
    </row>
    <row r="117">
      <c r="A117" s="44"/>
      <c r="B117" s="74"/>
      <c r="C117" s="74"/>
      <c r="D117" s="44"/>
      <c r="E117" s="44"/>
      <c r="F117" s="87" t="s">
        <v>218</v>
      </c>
      <c r="G117" s="83"/>
      <c r="H117" s="85"/>
      <c r="I117" s="78"/>
      <c r="J117" s="78"/>
      <c r="K117" s="78"/>
      <c r="L117" s="78"/>
      <c r="M117" s="78"/>
      <c r="N117" s="44"/>
      <c r="O117" s="44"/>
      <c r="P117" s="44"/>
      <c r="Q117" s="44"/>
      <c r="R117" s="44"/>
      <c r="S117" s="44"/>
      <c r="T117" s="44"/>
      <c r="U117" s="44"/>
      <c r="V117" s="44"/>
      <c r="W117" s="44"/>
      <c r="X117" s="44"/>
      <c r="Y117" s="44"/>
    </row>
    <row r="118">
      <c r="A118" s="44"/>
      <c r="B118" s="74"/>
      <c r="C118" s="74"/>
      <c r="D118" s="44"/>
      <c r="E118" s="44"/>
      <c r="F118" s="76" t="s">
        <v>131</v>
      </c>
      <c r="G118" s="83"/>
      <c r="H118" s="85"/>
      <c r="I118" s="78"/>
      <c r="J118" s="78"/>
      <c r="K118" s="78"/>
      <c r="L118" s="78"/>
      <c r="M118" s="78"/>
      <c r="N118" s="44"/>
      <c r="O118" s="44"/>
      <c r="P118" s="44"/>
      <c r="Q118" s="44"/>
      <c r="R118" s="44"/>
      <c r="S118" s="44"/>
      <c r="T118" s="44"/>
      <c r="U118" s="44"/>
      <c r="V118" s="44"/>
      <c r="W118" s="44"/>
      <c r="X118" s="44"/>
      <c r="Y118" s="44"/>
    </row>
    <row r="119">
      <c r="A119" s="44"/>
      <c r="B119" s="74"/>
      <c r="C119" s="74"/>
      <c r="D119" s="44"/>
      <c r="E119" s="44"/>
      <c r="F119" s="76" t="s">
        <v>18</v>
      </c>
      <c r="G119" s="83"/>
      <c r="H119" s="85"/>
      <c r="I119" s="78"/>
      <c r="J119" s="78"/>
      <c r="K119" s="78"/>
      <c r="L119" s="78"/>
      <c r="M119" s="78"/>
      <c r="N119" s="44"/>
      <c r="O119" s="44"/>
      <c r="P119" s="44"/>
      <c r="Q119" s="44"/>
      <c r="R119" s="44"/>
      <c r="S119" s="44"/>
      <c r="T119" s="44"/>
      <c r="U119" s="44"/>
      <c r="V119" s="44"/>
      <c r="W119" s="44"/>
      <c r="X119" s="44"/>
      <c r="Y119" s="44"/>
    </row>
    <row r="120">
      <c r="A120" s="44"/>
      <c r="B120" s="74"/>
      <c r="C120" s="74"/>
      <c r="D120" s="44"/>
      <c r="E120" s="44"/>
      <c r="F120" s="98" t="s">
        <v>19</v>
      </c>
      <c r="G120" s="83"/>
      <c r="H120" s="85"/>
      <c r="I120" s="78"/>
      <c r="J120" s="78"/>
      <c r="K120" s="78"/>
      <c r="L120" s="78"/>
      <c r="M120" s="78"/>
      <c r="N120" s="44"/>
      <c r="O120" s="44"/>
      <c r="P120" s="44"/>
      <c r="Q120" s="44"/>
      <c r="R120" s="44"/>
      <c r="S120" s="44"/>
      <c r="T120" s="44"/>
      <c r="U120" s="44"/>
      <c r="V120" s="44"/>
      <c r="W120" s="44"/>
      <c r="X120" s="44"/>
      <c r="Y120" s="44"/>
    </row>
    <row r="121">
      <c r="A121" s="44"/>
      <c r="B121" s="74"/>
      <c r="C121" s="74"/>
      <c r="D121" s="44"/>
      <c r="E121" s="44"/>
      <c r="F121" s="76" t="s">
        <v>20</v>
      </c>
      <c r="G121" s="83"/>
      <c r="H121" s="85"/>
      <c r="I121" s="78"/>
      <c r="J121" s="78"/>
      <c r="K121" s="78"/>
      <c r="L121" s="78"/>
      <c r="M121" s="78"/>
      <c r="N121" s="44"/>
      <c r="O121" s="44"/>
      <c r="P121" s="44"/>
      <c r="Q121" s="44"/>
      <c r="R121" s="44"/>
      <c r="S121" s="44"/>
      <c r="T121" s="44"/>
      <c r="U121" s="44"/>
      <c r="V121" s="44"/>
      <c r="W121" s="44"/>
      <c r="X121" s="44"/>
      <c r="Y121" s="44"/>
    </row>
    <row r="122">
      <c r="A122" s="44"/>
      <c r="B122" s="74"/>
      <c r="C122" s="74"/>
      <c r="D122" s="44"/>
      <c r="E122" s="44"/>
      <c r="F122" s="87" t="s">
        <v>192</v>
      </c>
      <c r="G122" s="83"/>
      <c r="H122" s="79">
        <v>160.0</v>
      </c>
      <c r="I122" s="78"/>
      <c r="J122" s="78"/>
      <c r="K122" s="78"/>
      <c r="L122" s="78"/>
      <c r="M122" s="78"/>
      <c r="N122" s="44"/>
      <c r="O122" s="44"/>
      <c r="P122" s="44"/>
      <c r="Q122" s="44"/>
      <c r="R122" s="44"/>
      <c r="S122" s="44"/>
      <c r="T122" s="44"/>
      <c r="U122" s="44"/>
      <c r="V122" s="44"/>
      <c r="W122" s="44"/>
      <c r="X122" s="44"/>
      <c r="Y122" s="44"/>
    </row>
    <row r="123">
      <c r="A123" s="44"/>
      <c r="B123" s="74"/>
      <c r="C123" s="74"/>
      <c r="D123" s="44"/>
      <c r="E123" s="44"/>
      <c r="F123" s="87" t="s">
        <v>202</v>
      </c>
      <c r="G123" s="99"/>
      <c r="H123" s="79"/>
      <c r="I123" s="78"/>
      <c r="J123" s="78"/>
      <c r="K123" s="78"/>
      <c r="L123" s="78"/>
      <c r="M123" s="78"/>
      <c r="N123" s="44"/>
      <c r="O123" s="44"/>
      <c r="P123" s="44"/>
      <c r="Q123" s="44"/>
      <c r="R123" s="44"/>
      <c r="S123" s="44"/>
      <c r="T123" s="44"/>
      <c r="U123" s="44"/>
      <c r="V123" s="44"/>
      <c r="W123" s="44"/>
      <c r="X123" s="44"/>
      <c r="Y123" s="44"/>
    </row>
    <row r="124">
      <c r="A124" s="65"/>
      <c r="B124" s="74"/>
      <c r="C124" s="77"/>
      <c r="D124" s="44"/>
      <c r="E124" s="44"/>
      <c r="F124" s="87" t="s">
        <v>219</v>
      </c>
      <c r="G124" s="83"/>
      <c r="H124" s="95"/>
      <c r="I124" s="78"/>
      <c r="J124" s="78"/>
      <c r="K124" s="78"/>
      <c r="L124" s="78"/>
      <c r="M124" s="78"/>
      <c r="N124" s="44"/>
      <c r="O124" s="44"/>
      <c r="P124" s="44"/>
      <c r="Q124" s="44"/>
      <c r="R124" s="44"/>
      <c r="S124" s="44"/>
      <c r="T124" s="44"/>
      <c r="U124" s="44"/>
      <c r="V124" s="44"/>
      <c r="W124" s="44"/>
      <c r="X124" s="44"/>
      <c r="Y124" s="44"/>
    </row>
    <row r="125">
      <c r="A125" s="65"/>
      <c r="B125" s="74"/>
      <c r="C125" s="77"/>
      <c r="D125" s="44"/>
      <c r="E125" s="44"/>
      <c r="F125" s="87" t="s">
        <v>220</v>
      </c>
      <c r="G125" s="83"/>
      <c r="H125" s="95"/>
      <c r="I125" s="78"/>
      <c r="J125" s="78"/>
      <c r="K125" s="78"/>
      <c r="L125" s="78"/>
      <c r="M125" s="78"/>
      <c r="N125" s="44"/>
      <c r="O125" s="44"/>
      <c r="P125" s="44"/>
      <c r="Q125" s="44"/>
      <c r="R125" s="44"/>
      <c r="S125" s="44"/>
      <c r="T125" s="44"/>
      <c r="U125" s="44"/>
      <c r="V125" s="44"/>
      <c r="W125" s="44"/>
      <c r="X125" s="44"/>
      <c r="Y125" s="44"/>
    </row>
    <row r="126">
      <c r="B126" s="75"/>
      <c r="C126" s="75"/>
      <c r="F126" s="87" t="s">
        <v>225</v>
      </c>
      <c r="H126" s="75"/>
      <c r="I126" s="100"/>
      <c r="J126" s="100"/>
      <c r="K126" s="100"/>
      <c r="L126" s="100"/>
      <c r="M126" s="100"/>
    </row>
    <row r="127">
      <c r="B127" s="75"/>
      <c r="C127" s="75"/>
      <c r="F127" s="94"/>
      <c r="H127" s="75"/>
      <c r="I127" s="100"/>
      <c r="J127" s="100"/>
      <c r="K127" s="100"/>
      <c r="L127" s="100"/>
      <c r="M127" s="100"/>
    </row>
    <row r="128">
      <c r="A128" s="73" t="s">
        <v>117</v>
      </c>
      <c r="B128" s="74"/>
      <c r="C128" s="75"/>
      <c r="D128" s="52"/>
      <c r="E128" s="52"/>
      <c r="F128" s="76"/>
      <c r="G128" s="44"/>
      <c r="H128" s="77"/>
      <c r="I128" s="78"/>
      <c r="J128" s="78"/>
      <c r="K128" s="78"/>
      <c r="L128" s="78"/>
      <c r="M128" s="78"/>
      <c r="N128" s="44"/>
      <c r="O128" s="44"/>
      <c r="P128" s="44"/>
      <c r="Q128" s="44"/>
      <c r="R128" s="44"/>
      <c r="S128" s="44"/>
      <c r="T128" s="44"/>
      <c r="U128" s="44"/>
      <c r="V128" s="44"/>
      <c r="W128" s="44"/>
      <c r="X128" s="44"/>
      <c r="Y128" s="44"/>
    </row>
    <row r="129">
      <c r="A129" s="52"/>
      <c r="B129" s="74"/>
      <c r="C129" s="74"/>
      <c r="D129" s="52"/>
      <c r="E129" s="52"/>
      <c r="F129" s="79" t="s">
        <v>0</v>
      </c>
      <c r="G129" s="44"/>
      <c r="H129" s="77"/>
      <c r="I129" s="78"/>
      <c r="J129" s="78"/>
      <c r="K129" s="78"/>
      <c r="L129" s="78"/>
      <c r="M129" s="78"/>
      <c r="N129" s="44"/>
      <c r="O129" s="44"/>
      <c r="P129" s="44"/>
      <c r="Q129" s="44"/>
      <c r="R129" s="44"/>
      <c r="S129" s="44"/>
      <c r="T129" s="44"/>
      <c r="U129" s="44"/>
      <c r="V129" s="44"/>
      <c r="W129" s="44"/>
      <c r="X129" s="44"/>
      <c r="Y129" s="44"/>
    </row>
    <row r="130">
      <c r="A130" s="80" t="s">
        <v>179</v>
      </c>
      <c r="B130" s="104">
        <v>3230.0</v>
      </c>
      <c r="D130" s="52"/>
      <c r="E130" s="82"/>
      <c r="F130" s="76" t="s">
        <v>4</v>
      </c>
      <c r="G130" s="83"/>
      <c r="H130" s="79">
        <v>50.0</v>
      </c>
      <c r="I130" s="78"/>
      <c r="J130" s="78"/>
      <c r="K130" s="78"/>
      <c r="L130" s="78"/>
      <c r="M130" s="78"/>
      <c r="N130" s="44"/>
      <c r="O130" s="44"/>
      <c r="P130" s="44"/>
      <c r="Q130" s="44"/>
      <c r="R130" s="44"/>
      <c r="S130" s="44"/>
      <c r="T130" s="44"/>
      <c r="U130" s="44"/>
      <c r="V130" s="44"/>
      <c r="W130" s="44"/>
      <c r="X130" s="44"/>
      <c r="Y130" s="44"/>
    </row>
    <row r="131">
      <c r="A131" s="76"/>
      <c r="B131" s="74"/>
      <c r="C131" s="74"/>
      <c r="D131" s="44"/>
      <c r="E131" s="44"/>
      <c r="F131" s="84" t="s">
        <v>207</v>
      </c>
      <c r="G131" s="83"/>
      <c r="H131" s="85"/>
      <c r="I131" s="78"/>
      <c r="J131" s="78"/>
      <c r="K131" s="78"/>
      <c r="L131" s="78"/>
      <c r="M131" s="78"/>
      <c r="N131" s="44"/>
      <c r="O131" s="44"/>
      <c r="P131" s="44"/>
      <c r="Q131" s="44"/>
      <c r="R131" s="44"/>
      <c r="S131" s="44"/>
      <c r="T131" s="44"/>
      <c r="U131" s="44"/>
      <c r="V131" s="44"/>
      <c r="W131" s="44"/>
      <c r="X131" s="44"/>
      <c r="Y131" s="44"/>
    </row>
    <row r="132">
      <c r="A132" s="86" t="s">
        <v>201</v>
      </c>
      <c r="B132" s="81">
        <v>2500.0</v>
      </c>
      <c r="D132" s="44"/>
      <c r="E132" s="44"/>
      <c r="F132" s="76" t="s">
        <v>6</v>
      </c>
      <c r="G132" s="83"/>
      <c r="H132" s="85"/>
      <c r="I132" s="78"/>
      <c r="J132" s="78"/>
      <c r="K132" s="78"/>
      <c r="L132" s="78"/>
      <c r="M132" s="78"/>
      <c r="N132" s="44"/>
      <c r="O132" s="44"/>
      <c r="P132" s="44"/>
      <c r="Q132" s="44"/>
      <c r="R132" s="44"/>
      <c r="S132" s="44"/>
      <c r="T132" s="44"/>
      <c r="U132" s="44"/>
      <c r="V132" s="44"/>
      <c r="W132" s="44"/>
      <c r="X132" s="44"/>
      <c r="Y132" s="44"/>
    </row>
    <row r="133">
      <c r="A133" s="76"/>
      <c r="B133" s="74"/>
      <c r="C133" s="74"/>
      <c r="D133" s="44"/>
      <c r="E133" s="44"/>
      <c r="F133" s="87" t="s">
        <v>7</v>
      </c>
      <c r="G133" s="83"/>
      <c r="H133" s="79">
        <v>262.0</v>
      </c>
      <c r="I133" s="78"/>
      <c r="J133" s="78"/>
      <c r="K133" s="78"/>
      <c r="L133" s="78"/>
      <c r="M133" s="78"/>
      <c r="N133" s="44"/>
      <c r="O133" s="44"/>
      <c r="P133" s="44"/>
      <c r="Q133" s="44"/>
      <c r="R133" s="44"/>
      <c r="S133" s="44"/>
      <c r="T133" s="44"/>
      <c r="U133" s="44"/>
      <c r="V133" s="44"/>
      <c r="W133" s="44"/>
      <c r="X133" s="44"/>
      <c r="Y133" s="44"/>
    </row>
    <row r="134">
      <c r="A134" s="89" t="s">
        <v>230</v>
      </c>
      <c r="B134" s="101">
        <v>730.0</v>
      </c>
      <c r="C134" s="102"/>
      <c r="D134" s="44"/>
      <c r="E134" s="44"/>
      <c r="F134" s="84" t="s">
        <v>210</v>
      </c>
      <c r="G134" s="83"/>
      <c r="H134" s="95"/>
      <c r="I134" s="78"/>
      <c r="J134" s="78"/>
      <c r="K134" s="78"/>
      <c r="L134" s="78"/>
      <c r="M134" s="78"/>
      <c r="N134" s="44"/>
      <c r="O134" s="44"/>
      <c r="P134" s="44"/>
      <c r="Q134" s="44"/>
      <c r="R134" s="44"/>
      <c r="S134" s="44"/>
      <c r="T134" s="44"/>
      <c r="U134" s="44"/>
      <c r="V134" s="44"/>
      <c r="W134" s="44"/>
      <c r="X134" s="44"/>
      <c r="Y134" s="44"/>
    </row>
    <row r="135">
      <c r="B135" s="103"/>
      <c r="C135" s="50"/>
      <c r="D135" s="44"/>
      <c r="E135" s="44"/>
      <c r="F135" s="84" t="s">
        <v>211</v>
      </c>
      <c r="G135" s="83"/>
      <c r="H135" s="85"/>
      <c r="I135" s="78"/>
      <c r="J135" s="78"/>
      <c r="K135" s="78"/>
      <c r="L135" s="78"/>
      <c r="M135" s="78"/>
      <c r="N135" s="44"/>
      <c r="O135" s="44"/>
      <c r="P135" s="44"/>
      <c r="Q135" s="44"/>
      <c r="R135" s="44"/>
      <c r="S135" s="44"/>
      <c r="T135" s="44"/>
      <c r="U135" s="44"/>
      <c r="V135" s="44"/>
      <c r="W135" s="44"/>
      <c r="X135" s="44"/>
      <c r="Y135" s="44"/>
    </row>
    <row r="136">
      <c r="A136" s="94"/>
      <c r="B136" s="74"/>
      <c r="C136" s="74"/>
      <c r="D136" s="44"/>
      <c r="E136" s="44"/>
      <c r="F136" s="87" t="s">
        <v>213</v>
      </c>
      <c r="G136" s="83"/>
      <c r="H136" s="95"/>
      <c r="I136" s="78"/>
      <c r="J136" s="78"/>
      <c r="K136" s="78"/>
      <c r="L136" s="78"/>
      <c r="M136" s="78"/>
      <c r="N136" s="44"/>
      <c r="O136" s="44"/>
      <c r="P136" s="44"/>
      <c r="Q136" s="44"/>
      <c r="R136" s="44"/>
      <c r="S136" s="44"/>
      <c r="T136" s="44"/>
      <c r="U136" s="44"/>
      <c r="V136" s="44"/>
      <c r="W136" s="44"/>
      <c r="X136" s="44"/>
      <c r="Y136" s="44"/>
    </row>
    <row r="137">
      <c r="A137" s="96" t="s">
        <v>214</v>
      </c>
      <c r="B137" s="109" t="s">
        <v>231</v>
      </c>
      <c r="D137" s="52"/>
      <c r="E137" s="44"/>
      <c r="F137" s="76" t="s">
        <v>34</v>
      </c>
      <c r="G137" s="83"/>
      <c r="H137" s="79">
        <v>36.0</v>
      </c>
      <c r="I137" s="78"/>
      <c r="J137" s="78"/>
      <c r="K137" s="78"/>
      <c r="L137" s="78"/>
      <c r="M137" s="78"/>
      <c r="N137" s="44"/>
      <c r="O137" s="44"/>
      <c r="P137" s="44"/>
      <c r="Q137" s="44"/>
      <c r="R137" s="44"/>
      <c r="S137" s="44"/>
      <c r="T137" s="44"/>
      <c r="U137" s="44"/>
      <c r="V137" s="44"/>
      <c r="W137" s="44"/>
      <c r="X137" s="44"/>
      <c r="Y137" s="44"/>
    </row>
    <row r="138">
      <c r="A138" s="96" t="s">
        <v>215</v>
      </c>
      <c r="B138" s="74"/>
      <c r="C138" s="74"/>
      <c r="D138" s="44"/>
      <c r="E138" s="44"/>
      <c r="F138" s="87" t="s">
        <v>216</v>
      </c>
      <c r="G138" s="83"/>
      <c r="H138" s="85"/>
      <c r="I138" s="78"/>
      <c r="J138" s="78"/>
      <c r="K138" s="78"/>
      <c r="L138" s="78"/>
      <c r="M138" s="78"/>
      <c r="N138" s="44"/>
      <c r="O138" s="44"/>
      <c r="P138" s="44"/>
      <c r="Q138" s="44"/>
      <c r="R138" s="44"/>
      <c r="S138" s="44"/>
      <c r="T138" s="44"/>
      <c r="U138" s="44"/>
      <c r="V138" s="44"/>
      <c r="W138" s="44"/>
      <c r="X138" s="44"/>
      <c r="Y138" s="44"/>
    </row>
    <row r="139">
      <c r="A139" s="44"/>
      <c r="B139" s="74"/>
      <c r="C139" s="74"/>
      <c r="D139" s="44"/>
      <c r="E139" s="44"/>
      <c r="F139" s="76" t="s">
        <v>108</v>
      </c>
      <c r="G139" s="83"/>
      <c r="H139" s="95"/>
      <c r="I139" s="78"/>
      <c r="J139" s="78"/>
      <c r="K139" s="78"/>
      <c r="L139" s="78"/>
      <c r="M139" s="78"/>
      <c r="N139" s="44"/>
      <c r="O139" s="44"/>
      <c r="P139" s="44"/>
      <c r="Q139" s="44"/>
      <c r="R139" s="44"/>
      <c r="S139" s="44"/>
      <c r="T139" s="44"/>
      <c r="U139" s="44"/>
      <c r="V139" s="44"/>
      <c r="W139" s="44"/>
      <c r="X139" s="44"/>
      <c r="Y139" s="44"/>
    </row>
    <row r="140">
      <c r="A140" s="44"/>
      <c r="B140" s="74"/>
      <c r="C140" s="74"/>
      <c r="D140" s="44"/>
      <c r="E140" s="44"/>
      <c r="F140" s="97" t="s">
        <v>156</v>
      </c>
      <c r="G140" s="83"/>
      <c r="H140" s="79">
        <v>1250.0</v>
      </c>
      <c r="I140" s="78"/>
      <c r="J140" s="78"/>
      <c r="K140" s="78"/>
      <c r="L140" s="78"/>
      <c r="M140" s="78"/>
      <c r="N140" s="44"/>
      <c r="O140" s="44"/>
      <c r="P140" s="44"/>
      <c r="Q140" s="44"/>
      <c r="R140" s="44"/>
      <c r="S140" s="44"/>
      <c r="T140" s="44"/>
      <c r="U140" s="44"/>
      <c r="V140" s="44"/>
      <c r="W140" s="44"/>
      <c r="X140" s="44"/>
      <c r="Y140" s="44"/>
    </row>
    <row r="141">
      <c r="A141" s="44"/>
      <c r="B141" s="74"/>
      <c r="C141" s="74"/>
      <c r="D141" s="44"/>
      <c r="E141" s="44"/>
      <c r="F141" s="84" t="s">
        <v>217</v>
      </c>
      <c r="G141" s="83"/>
      <c r="H141" s="79"/>
      <c r="I141" s="78"/>
      <c r="J141" s="78"/>
      <c r="K141" s="78"/>
      <c r="L141" s="78"/>
      <c r="M141" s="78"/>
      <c r="N141" s="44"/>
      <c r="O141" s="44"/>
      <c r="P141" s="44"/>
      <c r="Q141" s="44"/>
      <c r="R141" s="44"/>
      <c r="S141" s="44"/>
      <c r="T141" s="44"/>
      <c r="U141" s="44"/>
      <c r="V141" s="44"/>
      <c r="W141" s="44"/>
      <c r="X141" s="44"/>
      <c r="Y141" s="44"/>
    </row>
    <row r="142">
      <c r="A142" s="44"/>
      <c r="B142" s="74"/>
      <c r="C142" s="74"/>
      <c r="D142" s="44"/>
      <c r="E142" s="44"/>
      <c r="F142" s="87" t="s">
        <v>218</v>
      </c>
      <c r="G142" s="83"/>
      <c r="H142" s="85"/>
      <c r="I142" s="78"/>
      <c r="J142" s="78"/>
      <c r="K142" s="78"/>
      <c r="L142" s="78"/>
      <c r="M142" s="78"/>
      <c r="N142" s="44"/>
      <c r="O142" s="44"/>
      <c r="P142" s="44"/>
      <c r="Q142" s="44"/>
      <c r="R142" s="44"/>
      <c r="S142" s="44"/>
      <c r="T142" s="44"/>
      <c r="U142" s="44"/>
      <c r="V142" s="44"/>
      <c r="W142" s="44"/>
      <c r="X142" s="44"/>
      <c r="Y142" s="44"/>
    </row>
    <row r="143">
      <c r="A143" s="44"/>
      <c r="B143" s="74"/>
      <c r="C143" s="74"/>
      <c r="D143" s="44"/>
      <c r="E143" s="44"/>
      <c r="F143" s="76" t="s">
        <v>131</v>
      </c>
      <c r="G143" s="83"/>
      <c r="H143" s="85"/>
      <c r="I143" s="78"/>
      <c r="J143" s="78"/>
      <c r="K143" s="78"/>
      <c r="L143" s="78"/>
      <c r="M143" s="78"/>
      <c r="N143" s="44"/>
      <c r="O143" s="44"/>
      <c r="P143" s="44"/>
      <c r="Q143" s="44"/>
      <c r="R143" s="44"/>
      <c r="S143" s="44"/>
      <c r="T143" s="44"/>
      <c r="U143" s="44"/>
      <c r="V143" s="44"/>
      <c r="W143" s="44"/>
      <c r="X143" s="44"/>
      <c r="Y143" s="44"/>
    </row>
    <row r="144">
      <c r="A144" s="44"/>
      <c r="B144" s="74"/>
      <c r="C144" s="74"/>
      <c r="D144" s="44"/>
      <c r="E144" s="44"/>
      <c r="F144" s="76" t="s">
        <v>18</v>
      </c>
      <c r="G144" s="83"/>
      <c r="H144" s="85"/>
      <c r="I144" s="78"/>
      <c r="J144" s="78"/>
      <c r="K144" s="78"/>
      <c r="L144" s="78"/>
      <c r="M144" s="78"/>
      <c r="N144" s="44"/>
      <c r="O144" s="44"/>
      <c r="P144" s="44"/>
      <c r="Q144" s="44"/>
      <c r="R144" s="44"/>
      <c r="S144" s="44"/>
      <c r="T144" s="44"/>
      <c r="U144" s="44"/>
      <c r="V144" s="44"/>
      <c r="W144" s="44"/>
      <c r="X144" s="44"/>
      <c r="Y144" s="44"/>
    </row>
    <row r="145">
      <c r="A145" s="44"/>
      <c r="B145" s="74"/>
      <c r="C145" s="74"/>
      <c r="D145" s="44"/>
      <c r="E145" s="44"/>
      <c r="F145" s="98" t="s">
        <v>19</v>
      </c>
      <c r="G145" s="83"/>
      <c r="H145" s="85"/>
      <c r="I145" s="78"/>
      <c r="J145" s="78"/>
      <c r="K145" s="78"/>
      <c r="L145" s="78"/>
      <c r="M145" s="78"/>
      <c r="N145" s="44"/>
      <c r="O145" s="44"/>
      <c r="P145" s="44"/>
      <c r="Q145" s="44"/>
      <c r="R145" s="44"/>
      <c r="S145" s="44"/>
      <c r="T145" s="44"/>
      <c r="U145" s="44"/>
      <c r="V145" s="44"/>
      <c r="W145" s="44"/>
      <c r="X145" s="44"/>
      <c r="Y145" s="44"/>
    </row>
    <row r="146">
      <c r="A146" s="44"/>
      <c r="B146" s="74"/>
      <c r="C146" s="74"/>
      <c r="D146" s="44"/>
      <c r="E146" s="44"/>
      <c r="F146" s="76" t="s">
        <v>20</v>
      </c>
      <c r="G146" s="83"/>
      <c r="H146" s="85"/>
      <c r="I146" s="78"/>
      <c r="J146" s="78"/>
      <c r="K146" s="78"/>
      <c r="L146" s="78"/>
      <c r="M146" s="78"/>
      <c r="N146" s="44"/>
      <c r="O146" s="44"/>
      <c r="P146" s="44"/>
      <c r="Q146" s="44"/>
      <c r="R146" s="44"/>
      <c r="S146" s="44"/>
      <c r="T146" s="44"/>
      <c r="U146" s="44"/>
      <c r="V146" s="44"/>
      <c r="W146" s="44"/>
      <c r="X146" s="44"/>
      <c r="Y146" s="44"/>
    </row>
    <row r="147">
      <c r="A147" s="44"/>
      <c r="B147" s="74"/>
      <c r="C147" s="74"/>
      <c r="D147" s="44"/>
      <c r="E147" s="44"/>
      <c r="F147" s="87" t="s">
        <v>232</v>
      </c>
      <c r="G147" s="83"/>
      <c r="H147" s="79">
        <v>405.0</v>
      </c>
      <c r="I147" s="78"/>
      <c r="J147" s="78"/>
      <c r="K147" s="78"/>
      <c r="L147" s="78"/>
      <c r="M147" s="78"/>
      <c r="N147" s="44"/>
      <c r="O147" s="44"/>
      <c r="P147" s="44"/>
      <c r="Q147" s="44"/>
      <c r="R147" s="44"/>
      <c r="S147" s="44"/>
      <c r="T147" s="44"/>
      <c r="U147" s="44"/>
      <c r="V147" s="44"/>
      <c r="W147" s="44"/>
      <c r="X147" s="44"/>
      <c r="Y147" s="44"/>
    </row>
    <row r="148">
      <c r="A148" s="44"/>
      <c r="B148" s="74"/>
      <c r="C148" s="74"/>
      <c r="D148" s="44"/>
      <c r="E148" s="44"/>
      <c r="F148" s="87" t="s">
        <v>202</v>
      </c>
      <c r="G148" s="99"/>
      <c r="H148" s="79"/>
      <c r="I148" s="78"/>
      <c r="J148" s="78"/>
      <c r="K148" s="78"/>
      <c r="L148" s="78"/>
      <c r="M148" s="78"/>
      <c r="N148" s="44"/>
      <c r="O148" s="44"/>
      <c r="P148" s="44"/>
      <c r="Q148" s="44"/>
      <c r="R148" s="44"/>
      <c r="S148" s="44"/>
      <c r="T148" s="44"/>
      <c r="U148" s="44"/>
      <c r="V148" s="44"/>
      <c r="W148" s="44"/>
      <c r="X148" s="44"/>
      <c r="Y148" s="44"/>
    </row>
    <row r="149">
      <c r="A149" s="65"/>
      <c r="B149" s="74"/>
      <c r="C149" s="77"/>
      <c r="D149" s="44"/>
      <c r="E149" s="44"/>
      <c r="F149" s="87" t="s">
        <v>219</v>
      </c>
      <c r="G149" s="83"/>
      <c r="H149" s="79">
        <v>345.61</v>
      </c>
      <c r="I149" s="78"/>
      <c r="J149" s="78"/>
      <c r="K149" s="78"/>
      <c r="L149" s="78"/>
      <c r="M149" s="78"/>
      <c r="N149" s="44"/>
      <c r="O149" s="44"/>
      <c r="P149" s="44"/>
      <c r="Q149" s="44"/>
      <c r="R149" s="44"/>
      <c r="S149" s="44"/>
      <c r="T149" s="44"/>
      <c r="U149" s="44"/>
      <c r="V149" s="44"/>
      <c r="W149" s="44"/>
      <c r="X149" s="44"/>
      <c r="Y149" s="44"/>
    </row>
    <row r="150">
      <c r="A150" s="65"/>
      <c r="B150" s="74"/>
      <c r="C150" s="77"/>
      <c r="D150" s="44"/>
      <c r="E150" s="44"/>
      <c r="F150" s="87" t="s">
        <v>220</v>
      </c>
      <c r="G150" s="83"/>
      <c r="H150" s="79">
        <v>50.0</v>
      </c>
      <c r="I150" s="78"/>
      <c r="J150" s="78"/>
      <c r="K150" s="78"/>
      <c r="L150" s="78"/>
      <c r="M150" s="78"/>
      <c r="N150" s="44"/>
      <c r="O150" s="44"/>
      <c r="P150" s="44"/>
      <c r="Q150" s="44"/>
      <c r="R150" s="44"/>
      <c r="S150" s="44"/>
      <c r="T150" s="44"/>
      <c r="U150" s="44"/>
      <c r="V150" s="44"/>
      <c r="W150" s="44"/>
      <c r="X150" s="44"/>
      <c r="Y150" s="44"/>
    </row>
    <row r="151">
      <c r="B151" s="75"/>
      <c r="C151" s="75"/>
      <c r="F151" s="87" t="s">
        <v>225</v>
      </c>
      <c r="H151" s="75"/>
      <c r="I151" s="100"/>
      <c r="J151" s="100"/>
      <c r="K151" s="100"/>
      <c r="L151" s="100"/>
      <c r="M151" s="100"/>
    </row>
    <row r="152">
      <c r="B152" s="75"/>
      <c r="C152" s="75"/>
      <c r="F152" s="94"/>
      <c r="H152" s="75"/>
      <c r="I152" s="100"/>
      <c r="J152" s="100"/>
      <c r="K152" s="100"/>
      <c r="L152" s="100"/>
      <c r="M152" s="100"/>
    </row>
    <row r="153">
      <c r="A153" s="73" t="s">
        <v>127</v>
      </c>
      <c r="B153" s="74"/>
      <c r="C153" s="75"/>
      <c r="D153" s="52"/>
      <c r="E153" s="52"/>
      <c r="F153" s="76"/>
      <c r="G153" s="44"/>
      <c r="H153" s="77"/>
      <c r="I153" s="78"/>
      <c r="J153" s="78"/>
      <c r="K153" s="78"/>
      <c r="L153" s="78"/>
      <c r="M153" s="78"/>
      <c r="N153" s="44"/>
      <c r="O153" s="44"/>
      <c r="P153" s="44"/>
      <c r="Q153" s="44"/>
      <c r="R153" s="44"/>
      <c r="S153" s="44"/>
      <c r="T153" s="44"/>
      <c r="U153" s="44"/>
      <c r="V153" s="44"/>
      <c r="W153" s="44"/>
      <c r="X153" s="44"/>
      <c r="Y153" s="44"/>
    </row>
    <row r="154">
      <c r="A154" s="52"/>
      <c r="B154" s="74"/>
      <c r="C154" s="74"/>
      <c r="D154" s="52"/>
      <c r="E154" s="52"/>
      <c r="F154" s="79" t="s">
        <v>0</v>
      </c>
      <c r="G154" s="44"/>
      <c r="H154" s="77"/>
      <c r="I154" s="78"/>
      <c r="J154" s="78"/>
      <c r="K154" s="78"/>
      <c r="L154" s="78"/>
      <c r="M154" s="78"/>
      <c r="N154" s="44"/>
      <c r="O154" s="44"/>
      <c r="P154" s="44"/>
      <c r="Q154" s="44"/>
      <c r="R154" s="44"/>
      <c r="S154" s="44"/>
      <c r="T154" s="44"/>
      <c r="U154" s="44"/>
      <c r="V154" s="44"/>
      <c r="W154" s="44"/>
      <c r="X154" s="44"/>
      <c r="Y154" s="44"/>
    </row>
    <row r="155">
      <c r="A155" s="80" t="s">
        <v>179</v>
      </c>
      <c r="B155" s="81">
        <v>6285.0</v>
      </c>
      <c r="D155" s="52"/>
      <c r="E155" s="82"/>
      <c r="F155" s="76" t="s">
        <v>4</v>
      </c>
      <c r="G155" s="83"/>
      <c r="H155" s="85"/>
      <c r="I155" s="78"/>
      <c r="J155" s="78"/>
      <c r="K155" s="78"/>
      <c r="L155" s="78"/>
      <c r="M155" s="78"/>
      <c r="N155" s="44"/>
      <c r="O155" s="44"/>
      <c r="P155" s="44"/>
      <c r="Q155" s="44"/>
      <c r="R155" s="44"/>
      <c r="S155" s="44"/>
      <c r="T155" s="44"/>
      <c r="U155" s="44"/>
      <c r="V155" s="44"/>
      <c r="W155" s="44"/>
      <c r="X155" s="44"/>
      <c r="Y155" s="44"/>
    </row>
    <row r="156">
      <c r="A156" s="76"/>
      <c r="B156" s="74"/>
      <c r="C156" s="74"/>
      <c r="D156" s="44"/>
      <c r="E156" s="44"/>
      <c r="F156" s="84" t="s">
        <v>207</v>
      </c>
      <c r="G156" s="83"/>
      <c r="H156" s="85"/>
      <c r="I156" s="78"/>
      <c r="J156" s="78"/>
      <c r="K156" s="78"/>
      <c r="L156" s="78"/>
      <c r="M156" s="78"/>
      <c r="N156" s="44"/>
      <c r="O156" s="44"/>
      <c r="P156" s="44"/>
      <c r="Q156" s="44"/>
      <c r="R156" s="44"/>
      <c r="S156" s="44"/>
      <c r="T156" s="44"/>
      <c r="U156" s="44"/>
      <c r="V156" s="44"/>
      <c r="W156" s="44"/>
      <c r="X156" s="44"/>
      <c r="Y156" s="44"/>
    </row>
    <row r="157">
      <c r="A157" s="86" t="s">
        <v>201</v>
      </c>
      <c r="B157" s="81">
        <v>4062.0</v>
      </c>
      <c r="D157" s="44"/>
      <c r="E157" s="44"/>
      <c r="F157" s="87" t="s">
        <v>233</v>
      </c>
      <c r="G157" s="83"/>
      <c r="H157" s="79">
        <v>350.0</v>
      </c>
      <c r="I157" s="78"/>
      <c r="J157" s="78"/>
      <c r="K157" s="78"/>
      <c r="L157" s="78"/>
      <c r="M157" s="78"/>
      <c r="N157" s="44"/>
      <c r="O157" s="44"/>
      <c r="P157" s="44"/>
      <c r="Q157" s="44"/>
      <c r="R157" s="44"/>
      <c r="S157" s="44"/>
      <c r="T157" s="44"/>
      <c r="U157" s="44"/>
      <c r="V157" s="44"/>
      <c r="W157" s="44"/>
      <c r="X157" s="44"/>
      <c r="Y157" s="44"/>
    </row>
    <row r="158">
      <c r="A158" s="76"/>
      <c r="B158" s="74"/>
      <c r="C158" s="74"/>
      <c r="D158" s="44"/>
      <c r="E158" s="44"/>
      <c r="F158" s="87" t="s">
        <v>7</v>
      </c>
      <c r="G158" s="83"/>
      <c r="H158" s="79">
        <v>332.0</v>
      </c>
      <c r="I158" s="78"/>
      <c r="J158" s="78"/>
      <c r="K158" s="78"/>
      <c r="L158" s="78"/>
      <c r="M158" s="78"/>
      <c r="N158" s="44"/>
      <c r="O158" s="44"/>
      <c r="P158" s="44"/>
      <c r="Q158" s="44"/>
      <c r="R158" s="44"/>
      <c r="S158" s="44"/>
      <c r="T158" s="44"/>
      <c r="U158" s="44"/>
      <c r="V158" s="44"/>
      <c r="W158" s="44"/>
      <c r="X158" s="44"/>
      <c r="Y158" s="44"/>
    </row>
    <row r="159">
      <c r="A159" s="89" t="s">
        <v>234</v>
      </c>
      <c r="B159" s="101">
        <v>1941.0</v>
      </c>
      <c r="C159" s="102"/>
      <c r="D159" s="44"/>
      <c r="E159" s="44"/>
      <c r="F159" s="84" t="s">
        <v>235</v>
      </c>
      <c r="G159" s="83"/>
      <c r="H159" s="79">
        <v>800.0</v>
      </c>
      <c r="I159" s="78"/>
      <c r="J159" s="78"/>
      <c r="K159" s="78"/>
      <c r="L159" s="78"/>
      <c r="M159" s="78"/>
      <c r="N159" s="44"/>
      <c r="O159" s="44"/>
      <c r="P159" s="44"/>
      <c r="Q159" s="44"/>
      <c r="R159" s="44"/>
      <c r="S159" s="44"/>
      <c r="T159" s="44"/>
      <c r="U159" s="44"/>
      <c r="V159" s="44"/>
      <c r="W159" s="44"/>
      <c r="X159" s="44"/>
      <c r="Y159" s="44"/>
    </row>
    <row r="160">
      <c r="B160" s="103"/>
      <c r="C160" s="50"/>
      <c r="D160" s="44"/>
      <c r="E160" s="44"/>
      <c r="F160" s="84" t="s">
        <v>211</v>
      </c>
      <c r="G160" s="83"/>
      <c r="H160" s="79">
        <v>290.0</v>
      </c>
      <c r="I160" s="78"/>
      <c r="J160" s="78"/>
      <c r="K160" s="78"/>
      <c r="L160" s="78"/>
      <c r="M160" s="78"/>
      <c r="N160" s="44"/>
      <c r="O160" s="44"/>
      <c r="P160" s="44"/>
      <c r="Q160" s="44"/>
      <c r="R160" s="44"/>
      <c r="S160" s="44"/>
      <c r="T160" s="44"/>
      <c r="U160" s="44"/>
      <c r="V160" s="44"/>
      <c r="W160" s="44"/>
      <c r="X160" s="44"/>
      <c r="Y160" s="44"/>
    </row>
    <row r="161">
      <c r="A161" s="94"/>
      <c r="B161" s="74"/>
      <c r="C161" s="74"/>
      <c r="D161" s="44"/>
      <c r="E161" s="44"/>
      <c r="F161" s="87" t="s">
        <v>213</v>
      </c>
      <c r="G161" s="83"/>
      <c r="H161" s="95"/>
      <c r="I161" s="78"/>
      <c r="J161" s="78"/>
      <c r="K161" s="78"/>
      <c r="L161" s="78"/>
      <c r="M161" s="78"/>
      <c r="N161" s="44"/>
      <c r="O161" s="44"/>
      <c r="P161" s="44"/>
      <c r="Q161" s="44"/>
      <c r="R161" s="44"/>
      <c r="S161" s="44"/>
      <c r="T161" s="44"/>
      <c r="U161" s="44"/>
      <c r="V161" s="44"/>
      <c r="W161" s="44"/>
      <c r="X161" s="44"/>
      <c r="Y161" s="44"/>
    </row>
    <row r="162">
      <c r="A162" s="96" t="s">
        <v>214</v>
      </c>
      <c r="B162" s="81" t="s">
        <v>236</v>
      </c>
      <c r="D162" s="52"/>
      <c r="E162" s="44"/>
      <c r="F162" s="76" t="s">
        <v>34</v>
      </c>
      <c r="G162" s="83"/>
      <c r="H162" s="79">
        <v>36.0</v>
      </c>
      <c r="I162" s="78"/>
      <c r="J162" s="78"/>
      <c r="K162" s="78"/>
      <c r="L162" s="78"/>
      <c r="M162" s="78"/>
      <c r="N162" s="44"/>
      <c r="O162" s="44"/>
      <c r="P162" s="44"/>
      <c r="Q162" s="44"/>
      <c r="R162" s="44"/>
      <c r="S162" s="44"/>
      <c r="T162" s="44"/>
      <c r="U162" s="44"/>
      <c r="V162" s="44"/>
      <c r="W162" s="44"/>
      <c r="X162" s="44"/>
      <c r="Y162" s="44"/>
    </row>
    <row r="163">
      <c r="A163" s="96" t="s">
        <v>215</v>
      </c>
      <c r="B163" s="74"/>
      <c r="D163" s="44"/>
      <c r="E163" s="44"/>
      <c r="F163" s="87" t="s">
        <v>216</v>
      </c>
      <c r="G163" s="83"/>
      <c r="H163" s="85"/>
      <c r="I163" s="78"/>
      <c r="J163" s="78"/>
      <c r="K163" s="78"/>
      <c r="L163" s="78"/>
      <c r="M163" s="78"/>
      <c r="N163" s="44"/>
      <c r="O163" s="44"/>
      <c r="P163" s="44"/>
      <c r="Q163" s="44"/>
      <c r="R163" s="44"/>
      <c r="S163" s="44"/>
      <c r="T163" s="44"/>
      <c r="U163" s="44"/>
      <c r="V163" s="44"/>
      <c r="W163" s="44"/>
      <c r="X163" s="44"/>
      <c r="Y163" s="44"/>
    </row>
    <row r="164">
      <c r="A164" s="44"/>
      <c r="B164" s="74"/>
      <c r="C164" s="74"/>
      <c r="D164" s="44"/>
      <c r="E164" s="44"/>
      <c r="F164" s="76" t="s">
        <v>108</v>
      </c>
      <c r="G164" s="83"/>
      <c r="H164" s="95"/>
      <c r="I164" s="78"/>
      <c r="J164" s="78"/>
      <c r="K164" s="78"/>
      <c r="L164" s="78"/>
      <c r="M164" s="78"/>
      <c r="N164" s="44"/>
      <c r="O164" s="44"/>
      <c r="P164" s="44"/>
      <c r="Q164" s="44"/>
      <c r="R164" s="44"/>
      <c r="S164" s="44"/>
      <c r="T164" s="44"/>
      <c r="U164" s="44"/>
      <c r="V164" s="44"/>
      <c r="W164" s="44"/>
      <c r="X164" s="44"/>
      <c r="Y164" s="44"/>
    </row>
    <row r="165">
      <c r="A165" s="44"/>
      <c r="B165" s="74"/>
      <c r="C165" s="74"/>
      <c r="D165" s="44"/>
      <c r="E165" s="44"/>
      <c r="F165" s="97" t="s">
        <v>156</v>
      </c>
      <c r="G165" s="83"/>
      <c r="H165" s="79">
        <v>1250.0</v>
      </c>
      <c r="I165" s="88" t="s">
        <v>237</v>
      </c>
      <c r="J165" s="78"/>
      <c r="K165" s="78"/>
      <c r="L165" s="78"/>
      <c r="M165" s="78"/>
      <c r="N165" s="44"/>
      <c r="O165" s="44"/>
      <c r="P165" s="44"/>
      <c r="Q165" s="44"/>
      <c r="R165" s="44"/>
      <c r="S165" s="44"/>
      <c r="T165" s="44"/>
      <c r="U165" s="44"/>
      <c r="V165" s="44"/>
      <c r="W165" s="44"/>
      <c r="X165" s="44"/>
      <c r="Y165" s="44"/>
    </row>
    <row r="166">
      <c r="A166" s="44"/>
      <c r="B166" s="74"/>
      <c r="C166" s="74"/>
      <c r="D166" s="44"/>
      <c r="E166" s="44"/>
      <c r="F166" s="84" t="s">
        <v>217</v>
      </c>
      <c r="G166" s="83"/>
      <c r="H166" s="79"/>
      <c r="I166" s="78"/>
      <c r="J166" s="78"/>
      <c r="K166" s="78"/>
      <c r="L166" s="78"/>
      <c r="M166" s="78"/>
      <c r="N166" s="44"/>
      <c r="O166" s="44"/>
      <c r="P166" s="44"/>
      <c r="Q166" s="44"/>
      <c r="R166" s="44"/>
      <c r="S166" s="44"/>
      <c r="T166" s="44"/>
      <c r="U166" s="44"/>
      <c r="V166" s="44"/>
      <c r="W166" s="44"/>
      <c r="X166" s="44"/>
      <c r="Y166" s="44"/>
    </row>
    <row r="167">
      <c r="A167" s="44"/>
      <c r="B167" s="74"/>
      <c r="C167" s="74"/>
      <c r="D167" s="44"/>
      <c r="E167" s="44"/>
      <c r="F167" s="87" t="s">
        <v>218</v>
      </c>
      <c r="G167" s="83"/>
      <c r="H167" s="85"/>
      <c r="I167" s="78"/>
      <c r="J167" s="78"/>
      <c r="K167" s="78"/>
      <c r="L167" s="78"/>
      <c r="M167" s="78"/>
      <c r="N167" s="44"/>
      <c r="O167" s="44"/>
      <c r="P167" s="44"/>
      <c r="Q167" s="44"/>
      <c r="R167" s="44"/>
      <c r="S167" s="44"/>
      <c r="T167" s="44"/>
      <c r="U167" s="44"/>
      <c r="V167" s="44"/>
      <c r="W167" s="44"/>
      <c r="X167" s="44"/>
      <c r="Y167" s="44"/>
    </row>
    <row r="168">
      <c r="A168" s="44"/>
      <c r="B168" s="74"/>
      <c r="C168" s="74"/>
      <c r="D168" s="44"/>
      <c r="E168" s="44"/>
      <c r="F168" s="76" t="s">
        <v>131</v>
      </c>
      <c r="G168" s="83"/>
      <c r="H168" s="85"/>
      <c r="I168" s="78"/>
      <c r="J168" s="78"/>
      <c r="K168" s="78"/>
      <c r="L168" s="78"/>
      <c r="M168" s="78"/>
      <c r="N168" s="44"/>
      <c r="O168" s="44"/>
      <c r="P168" s="44"/>
      <c r="Q168" s="44"/>
      <c r="R168" s="44"/>
      <c r="S168" s="44"/>
      <c r="T168" s="44"/>
      <c r="U168" s="44"/>
      <c r="V168" s="44"/>
      <c r="W168" s="44"/>
      <c r="X168" s="44"/>
      <c r="Y168" s="44"/>
    </row>
    <row r="169">
      <c r="A169" s="44"/>
      <c r="B169" s="74"/>
      <c r="C169" s="74"/>
      <c r="D169" s="44"/>
      <c r="E169" s="44"/>
      <c r="F169" s="76" t="s">
        <v>18</v>
      </c>
      <c r="G169" s="83"/>
      <c r="H169" s="85"/>
      <c r="I169" s="78"/>
      <c r="J169" s="78"/>
      <c r="K169" s="78"/>
      <c r="L169" s="78"/>
      <c r="M169" s="78"/>
      <c r="N169" s="44"/>
      <c r="O169" s="44"/>
      <c r="P169" s="44"/>
      <c r="Q169" s="44"/>
      <c r="R169" s="44"/>
      <c r="S169" s="44"/>
      <c r="T169" s="44"/>
      <c r="U169" s="44"/>
      <c r="V169" s="44"/>
      <c r="W169" s="44"/>
      <c r="X169" s="44"/>
      <c r="Y169" s="44"/>
    </row>
    <row r="170">
      <c r="A170" s="44"/>
      <c r="B170" s="74"/>
      <c r="C170" s="74"/>
      <c r="D170" s="44"/>
      <c r="E170" s="44"/>
      <c r="F170" s="98" t="s">
        <v>19</v>
      </c>
      <c r="G170" s="83"/>
      <c r="H170" s="85"/>
      <c r="I170" s="78"/>
      <c r="J170" s="78"/>
      <c r="K170" s="78"/>
      <c r="L170" s="78"/>
      <c r="M170" s="78"/>
      <c r="N170" s="44"/>
      <c r="O170" s="44"/>
      <c r="P170" s="44"/>
      <c r="Q170" s="44"/>
      <c r="R170" s="44"/>
      <c r="S170" s="44"/>
      <c r="T170" s="44"/>
      <c r="U170" s="44"/>
      <c r="V170" s="44"/>
      <c r="W170" s="44"/>
      <c r="X170" s="44"/>
      <c r="Y170" s="44"/>
    </row>
    <row r="171">
      <c r="A171" s="44"/>
      <c r="B171" s="74"/>
      <c r="C171" s="74"/>
      <c r="D171" s="44"/>
      <c r="E171" s="44"/>
      <c r="F171" s="76" t="s">
        <v>20</v>
      </c>
      <c r="G171" s="83"/>
      <c r="H171" s="79">
        <v>50.0</v>
      </c>
      <c r="I171" s="78"/>
      <c r="J171" s="78"/>
      <c r="K171" s="78"/>
      <c r="L171" s="78"/>
      <c r="M171" s="78"/>
      <c r="N171" s="44"/>
      <c r="O171" s="44"/>
      <c r="P171" s="44"/>
      <c r="Q171" s="44"/>
      <c r="R171" s="44"/>
      <c r="S171" s="44"/>
      <c r="T171" s="44"/>
      <c r="U171" s="44"/>
      <c r="V171" s="44"/>
      <c r="W171" s="44"/>
      <c r="X171" s="44"/>
      <c r="Y171" s="44"/>
    </row>
    <row r="172">
      <c r="A172" s="44"/>
      <c r="B172" s="74"/>
      <c r="C172" s="74"/>
      <c r="D172" s="44"/>
      <c r="E172" s="44"/>
      <c r="F172" s="87" t="s">
        <v>232</v>
      </c>
      <c r="G172" s="83"/>
      <c r="H172" s="79">
        <v>500.0</v>
      </c>
      <c r="I172" s="78"/>
      <c r="J172" s="78"/>
      <c r="K172" s="78"/>
      <c r="L172" s="78"/>
      <c r="M172" s="78"/>
      <c r="N172" s="44"/>
      <c r="O172" s="44"/>
      <c r="P172" s="44"/>
      <c r="Q172" s="44"/>
      <c r="R172" s="44"/>
      <c r="S172" s="44"/>
      <c r="T172" s="44"/>
      <c r="U172" s="44"/>
      <c r="V172" s="44"/>
      <c r="W172" s="44"/>
      <c r="X172" s="44"/>
      <c r="Y172" s="44"/>
    </row>
    <row r="173">
      <c r="A173" s="44"/>
      <c r="B173" s="74"/>
      <c r="C173" s="74"/>
      <c r="D173" s="44"/>
      <c r="E173" s="44"/>
      <c r="F173" s="87" t="s">
        <v>202</v>
      </c>
      <c r="G173" s="99"/>
      <c r="H173" s="79">
        <v>402.0</v>
      </c>
      <c r="I173" s="78"/>
      <c r="J173" s="78"/>
      <c r="K173" s="78"/>
      <c r="L173" s="78"/>
      <c r="M173" s="78"/>
      <c r="N173" s="44"/>
      <c r="O173" s="44"/>
      <c r="P173" s="44"/>
      <c r="Q173" s="44"/>
      <c r="R173" s="44"/>
      <c r="S173" s="44"/>
      <c r="T173" s="44"/>
      <c r="U173" s="44"/>
      <c r="V173" s="44"/>
      <c r="W173" s="44"/>
      <c r="X173" s="44"/>
      <c r="Y173" s="44"/>
    </row>
    <row r="174">
      <c r="A174" s="65"/>
      <c r="B174" s="74"/>
      <c r="C174" s="77"/>
      <c r="D174" s="44"/>
      <c r="E174" s="44"/>
      <c r="F174" s="87" t="s">
        <v>219</v>
      </c>
      <c r="G174" s="83"/>
      <c r="H174" s="79">
        <v>104.0</v>
      </c>
      <c r="I174" s="78"/>
      <c r="J174" s="78"/>
      <c r="K174" s="78"/>
      <c r="L174" s="78"/>
      <c r="M174" s="78"/>
      <c r="N174" s="44"/>
      <c r="O174" s="44"/>
      <c r="P174" s="44"/>
      <c r="Q174" s="44"/>
      <c r="R174" s="44"/>
      <c r="S174" s="44"/>
      <c r="T174" s="44"/>
      <c r="U174" s="44"/>
      <c r="V174" s="44"/>
      <c r="W174" s="44"/>
      <c r="X174" s="44"/>
      <c r="Y174" s="44"/>
    </row>
    <row r="175">
      <c r="A175" s="65"/>
      <c r="B175" s="74"/>
      <c r="C175" s="77"/>
      <c r="D175" s="44"/>
      <c r="E175" s="44"/>
      <c r="F175" s="87" t="s">
        <v>220</v>
      </c>
      <c r="G175" s="83"/>
      <c r="H175" s="79"/>
      <c r="I175" s="78"/>
      <c r="J175" s="78"/>
      <c r="K175" s="78"/>
      <c r="L175" s="78"/>
      <c r="M175" s="78"/>
      <c r="N175" s="44"/>
      <c r="O175" s="44"/>
      <c r="P175" s="44"/>
      <c r="Q175" s="44"/>
      <c r="R175" s="44"/>
      <c r="S175" s="44"/>
      <c r="T175" s="44"/>
      <c r="U175" s="44"/>
      <c r="V175" s="44"/>
      <c r="W175" s="44"/>
      <c r="X175" s="44"/>
      <c r="Y175" s="44"/>
    </row>
    <row r="176">
      <c r="B176" s="75"/>
      <c r="C176" s="75"/>
      <c r="F176" s="87" t="s">
        <v>225</v>
      </c>
      <c r="H176" s="110"/>
      <c r="I176" s="100"/>
      <c r="J176" s="100"/>
      <c r="K176" s="100"/>
      <c r="L176" s="100"/>
      <c r="M176" s="100"/>
    </row>
    <row r="177">
      <c r="B177" s="75"/>
      <c r="C177" s="75"/>
      <c r="F177" s="111" t="s">
        <v>238</v>
      </c>
      <c r="H177" s="6">
        <v>230.0</v>
      </c>
      <c r="I177" s="100"/>
      <c r="J177" s="100"/>
      <c r="K177" s="100"/>
      <c r="L177" s="100"/>
      <c r="M177" s="100"/>
    </row>
    <row r="178">
      <c r="A178" s="73"/>
      <c r="B178" s="74"/>
      <c r="C178" s="75"/>
      <c r="D178" s="52"/>
      <c r="E178" s="52"/>
      <c r="F178" s="76"/>
      <c r="G178" s="44"/>
      <c r="H178" s="77"/>
      <c r="I178" s="78"/>
      <c r="J178" s="78"/>
      <c r="K178" s="78"/>
      <c r="L178" s="78"/>
      <c r="M178" s="78"/>
      <c r="N178" s="44"/>
      <c r="O178" s="44"/>
      <c r="P178" s="44"/>
      <c r="Q178" s="44"/>
      <c r="R178" s="44"/>
      <c r="S178" s="44"/>
      <c r="T178" s="44"/>
      <c r="U178" s="44"/>
      <c r="V178" s="44"/>
      <c r="W178" s="44"/>
      <c r="X178" s="44"/>
      <c r="Y178" s="44"/>
    </row>
    <row r="179">
      <c r="A179" s="73" t="s">
        <v>71</v>
      </c>
      <c r="B179" s="74"/>
      <c r="C179" s="75"/>
      <c r="D179" s="52"/>
      <c r="E179" s="52"/>
      <c r="F179" s="76"/>
      <c r="G179" s="44"/>
      <c r="H179" s="77"/>
      <c r="I179" s="78"/>
      <c r="J179" s="78"/>
      <c r="K179" s="78"/>
      <c r="L179" s="78"/>
      <c r="M179" s="78"/>
      <c r="N179" s="44"/>
      <c r="O179" s="44"/>
      <c r="P179" s="44"/>
      <c r="Q179" s="44"/>
      <c r="R179" s="44"/>
      <c r="S179" s="44"/>
      <c r="T179" s="44"/>
      <c r="U179" s="44"/>
      <c r="V179" s="44"/>
      <c r="W179" s="44"/>
      <c r="X179" s="44"/>
      <c r="Y179" s="44"/>
    </row>
    <row r="180">
      <c r="A180" s="52"/>
      <c r="B180" s="74"/>
      <c r="C180" s="74"/>
      <c r="D180" s="52"/>
      <c r="E180" s="52"/>
      <c r="F180" s="79" t="s">
        <v>0</v>
      </c>
      <c r="G180" s="44"/>
      <c r="H180" s="77"/>
      <c r="I180" s="78"/>
      <c r="J180" s="78"/>
      <c r="K180" s="78"/>
      <c r="L180" s="78"/>
      <c r="M180" s="78"/>
      <c r="N180" s="44"/>
      <c r="O180" s="44"/>
      <c r="P180" s="44"/>
      <c r="Q180" s="44"/>
      <c r="R180" s="44"/>
      <c r="S180" s="44"/>
      <c r="T180" s="44"/>
      <c r="U180" s="44"/>
      <c r="V180" s="44"/>
      <c r="W180" s="44"/>
      <c r="X180" s="44"/>
      <c r="Y180" s="44"/>
    </row>
    <row r="181">
      <c r="A181" s="80" t="s">
        <v>179</v>
      </c>
      <c r="B181" s="81">
        <v>4880.0</v>
      </c>
      <c r="D181" s="52"/>
      <c r="E181" s="82"/>
      <c r="F181" s="76" t="s">
        <v>4</v>
      </c>
      <c r="G181" s="83"/>
      <c r="H181" s="79">
        <v>80.0</v>
      </c>
      <c r="I181" s="78"/>
      <c r="J181" s="78"/>
      <c r="K181" s="78"/>
      <c r="L181" s="78"/>
      <c r="M181" s="78"/>
      <c r="N181" s="44"/>
      <c r="O181" s="44"/>
      <c r="P181" s="44"/>
      <c r="Q181" s="44"/>
      <c r="R181" s="44"/>
      <c r="S181" s="44"/>
      <c r="T181" s="44"/>
      <c r="U181" s="44"/>
      <c r="V181" s="44"/>
      <c r="W181" s="44"/>
      <c r="X181" s="44"/>
      <c r="Y181" s="44"/>
    </row>
    <row r="182">
      <c r="A182" s="76"/>
      <c r="B182" s="74"/>
      <c r="C182" s="74"/>
      <c r="D182" s="44"/>
      <c r="E182" s="44"/>
      <c r="F182" s="84" t="s">
        <v>207</v>
      </c>
      <c r="G182" s="83"/>
      <c r="H182" s="85"/>
      <c r="I182" s="78"/>
      <c r="J182" s="78"/>
      <c r="K182" s="78"/>
      <c r="L182" s="78"/>
      <c r="M182" s="78"/>
      <c r="N182" s="44"/>
      <c r="O182" s="44"/>
      <c r="P182" s="44"/>
      <c r="Q182" s="44"/>
      <c r="R182" s="44"/>
      <c r="S182" s="44"/>
      <c r="T182" s="44"/>
      <c r="U182" s="44"/>
      <c r="V182" s="44"/>
      <c r="W182" s="44"/>
      <c r="X182" s="44"/>
      <c r="Y182" s="44"/>
    </row>
    <row r="183">
      <c r="A183" s="86" t="s">
        <v>201</v>
      </c>
      <c r="B183" s="81">
        <v>3772.0</v>
      </c>
      <c r="D183" s="44"/>
      <c r="E183" s="44"/>
      <c r="F183" s="87" t="s">
        <v>233</v>
      </c>
      <c r="G183" s="83"/>
      <c r="H183" s="79"/>
      <c r="I183" s="112" t="s">
        <v>239</v>
      </c>
      <c r="L183" s="78"/>
      <c r="M183" s="78"/>
      <c r="N183" s="44"/>
      <c r="O183" s="44"/>
      <c r="P183" s="44"/>
      <c r="Q183" s="44"/>
      <c r="R183" s="44"/>
      <c r="S183" s="44"/>
      <c r="T183" s="44"/>
      <c r="U183" s="44"/>
      <c r="V183" s="44"/>
      <c r="W183" s="44"/>
      <c r="X183" s="44"/>
      <c r="Y183" s="44"/>
    </row>
    <row r="184">
      <c r="A184" s="76"/>
      <c r="B184" s="74"/>
      <c r="C184" s="74"/>
      <c r="D184" s="44"/>
      <c r="E184" s="44"/>
      <c r="F184" s="87" t="s">
        <v>7</v>
      </c>
      <c r="G184" s="83"/>
      <c r="H184" s="79">
        <v>160.0</v>
      </c>
      <c r="I184" s="78"/>
      <c r="J184" s="78"/>
      <c r="K184" s="78"/>
      <c r="L184" s="78"/>
      <c r="M184" s="78"/>
      <c r="N184" s="44"/>
      <c r="O184" s="44"/>
      <c r="P184" s="44"/>
      <c r="Q184" s="44"/>
      <c r="R184" s="44"/>
      <c r="S184" s="44"/>
      <c r="T184" s="44"/>
      <c r="U184" s="44"/>
      <c r="V184" s="44"/>
      <c r="W184" s="44"/>
      <c r="X184" s="44"/>
      <c r="Y184" s="44"/>
    </row>
    <row r="185">
      <c r="A185" s="89" t="s">
        <v>240</v>
      </c>
      <c r="B185" s="101">
        <v>1100.0</v>
      </c>
      <c r="C185" s="102"/>
      <c r="D185" s="44"/>
      <c r="E185" s="44"/>
      <c r="F185" s="113" t="s">
        <v>241</v>
      </c>
      <c r="G185" s="83"/>
      <c r="H185" s="79">
        <v>100.0</v>
      </c>
      <c r="I185" s="78"/>
      <c r="J185" s="78"/>
      <c r="K185" s="78"/>
      <c r="L185" s="78"/>
      <c r="M185" s="78"/>
      <c r="N185" s="44"/>
      <c r="O185" s="44"/>
      <c r="P185" s="44"/>
      <c r="Q185" s="44"/>
      <c r="R185" s="44"/>
      <c r="S185" s="44"/>
      <c r="T185" s="44"/>
      <c r="U185" s="44"/>
      <c r="V185" s="44"/>
      <c r="W185" s="44"/>
      <c r="X185" s="44"/>
      <c r="Y185" s="44"/>
    </row>
    <row r="186">
      <c r="B186" s="103"/>
      <c r="C186" s="50"/>
      <c r="D186" s="44"/>
      <c r="E186" s="44"/>
      <c r="F186" s="84" t="s">
        <v>211</v>
      </c>
      <c r="G186" s="83"/>
      <c r="H186" s="79"/>
      <c r="I186" s="78"/>
      <c r="J186" s="78"/>
      <c r="K186" s="78"/>
      <c r="L186" s="78"/>
      <c r="M186" s="78"/>
      <c r="N186" s="44"/>
      <c r="O186" s="44"/>
      <c r="P186" s="44"/>
      <c r="Q186" s="44"/>
      <c r="R186" s="44"/>
      <c r="S186" s="44"/>
      <c r="T186" s="44"/>
      <c r="U186" s="44"/>
      <c r="V186" s="44"/>
      <c r="W186" s="44"/>
      <c r="X186" s="44"/>
      <c r="Y186" s="44"/>
    </row>
    <row r="187">
      <c r="A187" s="94"/>
      <c r="B187" s="74"/>
      <c r="C187" s="74"/>
      <c r="D187" s="44"/>
      <c r="E187" s="44"/>
      <c r="F187" s="87" t="s">
        <v>213</v>
      </c>
      <c r="G187" s="83"/>
      <c r="H187" s="95"/>
      <c r="I187" s="78"/>
      <c r="J187" s="78"/>
      <c r="K187" s="78"/>
      <c r="L187" s="78"/>
      <c r="M187" s="78"/>
      <c r="N187" s="44"/>
      <c r="O187" s="44"/>
      <c r="P187" s="44"/>
      <c r="Q187" s="44"/>
      <c r="R187" s="44"/>
      <c r="S187" s="44"/>
      <c r="T187" s="44"/>
      <c r="U187" s="44"/>
      <c r="V187" s="44"/>
      <c r="W187" s="44"/>
      <c r="X187" s="44"/>
      <c r="Y187" s="44"/>
    </row>
    <row r="188">
      <c r="A188" s="96" t="s">
        <v>214</v>
      </c>
      <c r="B188" s="81" t="s">
        <v>236</v>
      </c>
      <c r="D188" s="52"/>
      <c r="E188" s="44"/>
      <c r="F188" s="76" t="s">
        <v>34</v>
      </c>
      <c r="G188" s="83"/>
      <c r="H188" s="79">
        <v>36.0</v>
      </c>
      <c r="I188" s="78"/>
      <c r="J188" s="78"/>
      <c r="K188" s="78"/>
      <c r="L188" s="78"/>
      <c r="M188" s="78"/>
      <c r="N188" s="44"/>
      <c r="O188" s="44"/>
      <c r="P188" s="44"/>
      <c r="Q188" s="44"/>
      <c r="R188" s="44"/>
      <c r="S188" s="44"/>
      <c r="T188" s="44"/>
      <c r="U188" s="44"/>
      <c r="V188" s="44"/>
      <c r="W188" s="44"/>
      <c r="X188" s="44"/>
      <c r="Y188" s="44"/>
    </row>
    <row r="189">
      <c r="A189" s="96" t="s">
        <v>215</v>
      </c>
      <c r="B189" s="74"/>
      <c r="C189" s="74"/>
      <c r="D189" s="44"/>
      <c r="E189" s="44"/>
      <c r="F189" s="87" t="s">
        <v>216</v>
      </c>
      <c r="G189" s="83"/>
      <c r="H189" s="85"/>
      <c r="I189" s="78"/>
      <c r="J189" s="78"/>
      <c r="K189" s="78"/>
      <c r="L189" s="78"/>
      <c r="M189" s="78"/>
      <c r="N189" s="44"/>
      <c r="O189" s="44"/>
      <c r="P189" s="44"/>
      <c r="Q189" s="44"/>
      <c r="R189" s="44"/>
      <c r="S189" s="44"/>
      <c r="T189" s="44"/>
      <c r="U189" s="44"/>
      <c r="V189" s="44"/>
      <c r="W189" s="44"/>
      <c r="X189" s="44"/>
      <c r="Y189" s="44"/>
    </row>
    <row r="190">
      <c r="A190" s="44"/>
      <c r="B190" s="74"/>
      <c r="C190" s="74"/>
      <c r="D190" s="44"/>
      <c r="E190" s="44"/>
      <c r="F190" s="76" t="s">
        <v>108</v>
      </c>
      <c r="G190" s="83"/>
      <c r="H190" s="95"/>
      <c r="I190" s="78"/>
      <c r="J190" s="78"/>
      <c r="K190" s="78"/>
      <c r="L190" s="78"/>
      <c r="M190" s="78"/>
      <c r="N190" s="44"/>
      <c r="O190" s="44"/>
      <c r="P190" s="44"/>
      <c r="Q190" s="44"/>
      <c r="R190" s="44"/>
      <c r="S190" s="44"/>
      <c r="T190" s="44"/>
      <c r="U190" s="44"/>
      <c r="V190" s="44"/>
      <c r="W190" s="44"/>
      <c r="X190" s="44"/>
      <c r="Y190" s="44"/>
    </row>
    <row r="191">
      <c r="A191" s="44"/>
      <c r="B191" s="74"/>
      <c r="C191" s="74"/>
      <c r="D191" s="44"/>
      <c r="E191" s="44"/>
      <c r="F191" s="97" t="s">
        <v>156</v>
      </c>
      <c r="G191" s="83"/>
      <c r="H191" s="79">
        <v>1250.0</v>
      </c>
      <c r="I191" s="88" t="s">
        <v>237</v>
      </c>
      <c r="J191" s="78"/>
      <c r="K191" s="78"/>
      <c r="L191" s="78"/>
      <c r="M191" s="78"/>
      <c r="N191" s="44"/>
      <c r="O191" s="44"/>
      <c r="P191" s="44"/>
      <c r="Q191" s="44"/>
      <c r="R191" s="44"/>
      <c r="S191" s="44"/>
      <c r="T191" s="44"/>
      <c r="U191" s="44"/>
      <c r="V191" s="44"/>
      <c r="W191" s="44"/>
      <c r="X191" s="44"/>
      <c r="Y191" s="44"/>
    </row>
    <row r="192">
      <c r="A192" s="44"/>
      <c r="B192" s="74"/>
      <c r="C192" s="74"/>
      <c r="D192" s="44"/>
      <c r="E192" s="44"/>
      <c r="F192" s="84" t="s">
        <v>217</v>
      </c>
      <c r="G192" s="83"/>
      <c r="H192" s="79">
        <v>87.0</v>
      </c>
      <c r="I192" s="88" t="s">
        <v>237</v>
      </c>
      <c r="J192" s="78"/>
      <c r="K192" s="78"/>
      <c r="L192" s="78"/>
      <c r="M192" s="78"/>
      <c r="N192" s="44"/>
      <c r="O192" s="44"/>
      <c r="P192" s="44"/>
      <c r="Q192" s="44"/>
      <c r="R192" s="44"/>
      <c r="S192" s="44"/>
      <c r="T192" s="44"/>
      <c r="U192" s="44"/>
      <c r="V192" s="44"/>
      <c r="W192" s="44"/>
      <c r="X192" s="44"/>
      <c r="Y192" s="44"/>
    </row>
    <row r="193">
      <c r="A193" s="44"/>
      <c r="B193" s="74"/>
      <c r="C193" s="74"/>
      <c r="D193" s="44"/>
      <c r="E193" s="44"/>
      <c r="F193" s="87" t="s">
        <v>218</v>
      </c>
      <c r="G193" s="83"/>
      <c r="H193" s="85"/>
      <c r="I193" s="78"/>
      <c r="J193" s="78"/>
      <c r="K193" s="78"/>
      <c r="L193" s="78"/>
      <c r="M193" s="78"/>
      <c r="N193" s="44"/>
      <c r="O193" s="44"/>
      <c r="P193" s="44"/>
      <c r="Q193" s="44"/>
      <c r="R193" s="44"/>
      <c r="S193" s="44"/>
      <c r="T193" s="44"/>
      <c r="U193" s="44"/>
      <c r="V193" s="44"/>
      <c r="W193" s="44"/>
      <c r="X193" s="44"/>
      <c r="Y193" s="44"/>
    </row>
    <row r="194">
      <c r="A194" s="44"/>
      <c r="B194" s="74"/>
      <c r="C194" s="74"/>
      <c r="D194" s="44"/>
      <c r="E194" s="44"/>
      <c r="F194" s="76" t="s">
        <v>131</v>
      </c>
      <c r="G194" s="83"/>
      <c r="H194" s="85"/>
      <c r="I194" s="78"/>
      <c r="J194" s="78"/>
      <c r="K194" s="78"/>
      <c r="L194" s="78"/>
      <c r="M194" s="78"/>
      <c r="N194" s="44"/>
      <c r="O194" s="44"/>
      <c r="P194" s="44"/>
      <c r="Q194" s="44"/>
      <c r="R194" s="44"/>
      <c r="S194" s="44"/>
      <c r="T194" s="44"/>
      <c r="U194" s="44"/>
      <c r="V194" s="44"/>
      <c r="W194" s="44"/>
      <c r="X194" s="44"/>
      <c r="Y194" s="44"/>
    </row>
    <row r="195">
      <c r="A195" s="44"/>
      <c r="B195" s="74"/>
      <c r="C195" s="74"/>
      <c r="D195" s="44"/>
      <c r="E195" s="44"/>
      <c r="F195" s="76" t="s">
        <v>18</v>
      </c>
      <c r="G195" s="83"/>
      <c r="H195" s="85"/>
      <c r="I195" s="78"/>
      <c r="J195" s="78"/>
      <c r="K195" s="78"/>
      <c r="L195" s="78"/>
      <c r="M195" s="78"/>
      <c r="N195" s="44"/>
      <c r="O195" s="44"/>
      <c r="P195" s="44"/>
      <c r="Q195" s="44"/>
      <c r="R195" s="44"/>
      <c r="S195" s="44"/>
      <c r="T195" s="44"/>
      <c r="U195" s="44"/>
      <c r="V195" s="44"/>
      <c r="W195" s="44"/>
      <c r="X195" s="44"/>
      <c r="Y195" s="44"/>
    </row>
    <row r="196">
      <c r="A196" s="44"/>
      <c r="B196" s="74"/>
      <c r="C196" s="74"/>
      <c r="D196" s="44"/>
      <c r="E196" s="44"/>
      <c r="F196" s="98" t="s">
        <v>19</v>
      </c>
      <c r="G196" s="83"/>
      <c r="H196" s="79"/>
      <c r="I196" s="78"/>
      <c r="J196" s="78"/>
      <c r="K196" s="78"/>
      <c r="L196" s="78"/>
      <c r="M196" s="78"/>
      <c r="N196" s="44"/>
      <c r="O196" s="44"/>
      <c r="P196" s="44"/>
      <c r="Q196" s="44"/>
      <c r="R196" s="44"/>
      <c r="S196" s="44"/>
      <c r="T196" s="44"/>
      <c r="U196" s="44"/>
      <c r="V196" s="44"/>
      <c r="W196" s="44"/>
      <c r="X196" s="44"/>
      <c r="Y196" s="44"/>
    </row>
    <row r="197">
      <c r="A197" s="44"/>
      <c r="B197" s="74"/>
      <c r="C197" s="74"/>
      <c r="D197" s="44"/>
      <c r="E197" s="44"/>
      <c r="F197" s="76" t="s">
        <v>20</v>
      </c>
      <c r="G197" s="83"/>
      <c r="H197" s="79">
        <v>50.0</v>
      </c>
      <c r="I197" s="78"/>
      <c r="J197" s="78"/>
      <c r="K197" s="78"/>
      <c r="L197" s="78"/>
      <c r="M197" s="78"/>
      <c r="N197" s="44"/>
      <c r="O197" s="44"/>
      <c r="P197" s="44"/>
      <c r="Q197" s="44"/>
      <c r="R197" s="44"/>
      <c r="S197" s="44"/>
      <c r="T197" s="44"/>
      <c r="U197" s="44"/>
      <c r="V197" s="44"/>
      <c r="W197" s="44"/>
      <c r="X197" s="44"/>
      <c r="Y197" s="44"/>
    </row>
    <row r="198">
      <c r="A198" s="44"/>
      <c r="B198" s="74"/>
      <c r="C198" s="74"/>
      <c r="D198" s="44"/>
      <c r="E198" s="44"/>
      <c r="F198" s="87" t="s">
        <v>232</v>
      </c>
      <c r="G198" s="83"/>
      <c r="H198" s="79">
        <v>400.0</v>
      </c>
      <c r="I198" s="78"/>
      <c r="J198" s="78"/>
      <c r="K198" s="78"/>
      <c r="L198" s="78"/>
      <c r="M198" s="78"/>
      <c r="N198" s="44"/>
      <c r="O198" s="44"/>
      <c r="P198" s="44"/>
      <c r="Q198" s="44"/>
      <c r="R198" s="44"/>
      <c r="S198" s="44"/>
      <c r="T198" s="44"/>
      <c r="U198" s="44"/>
      <c r="V198" s="44"/>
      <c r="W198" s="44"/>
      <c r="X198" s="44"/>
      <c r="Y198" s="44"/>
    </row>
    <row r="199">
      <c r="A199" s="44"/>
      <c r="B199" s="74"/>
      <c r="C199" s="74"/>
      <c r="D199" s="44"/>
      <c r="E199" s="44"/>
      <c r="F199" s="87" t="s">
        <v>202</v>
      </c>
      <c r="G199" s="99"/>
      <c r="H199" s="79">
        <v>310.0</v>
      </c>
      <c r="I199" s="78"/>
      <c r="J199" s="78"/>
      <c r="K199" s="78"/>
      <c r="L199" s="78"/>
      <c r="M199" s="78"/>
      <c r="N199" s="44"/>
      <c r="O199" s="44"/>
      <c r="P199" s="44"/>
      <c r="Q199" s="44"/>
      <c r="R199" s="44"/>
      <c r="S199" s="44"/>
      <c r="T199" s="44"/>
      <c r="U199" s="44"/>
      <c r="V199" s="44"/>
      <c r="W199" s="44"/>
      <c r="X199" s="44"/>
      <c r="Y199" s="44"/>
    </row>
    <row r="200">
      <c r="A200" s="65"/>
      <c r="B200" s="74"/>
      <c r="C200" s="77"/>
      <c r="D200" s="44"/>
      <c r="E200" s="44"/>
      <c r="F200" s="87" t="s">
        <v>219</v>
      </c>
      <c r="G200" s="83"/>
      <c r="H200" s="79">
        <v>1069.0</v>
      </c>
      <c r="I200" s="78"/>
      <c r="J200" s="78"/>
      <c r="K200" s="78"/>
      <c r="L200" s="78"/>
      <c r="M200" s="78"/>
      <c r="N200" s="44"/>
      <c r="O200" s="44"/>
      <c r="P200" s="44"/>
      <c r="Q200" s="44"/>
      <c r="R200" s="44"/>
      <c r="S200" s="44"/>
      <c r="T200" s="44"/>
      <c r="U200" s="44"/>
      <c r="V200" s="44"/>
      <c r="W200" s="44"/>
      <c r="X200" s="44"/>
      <c r="Y200" s="44"/>
    </row>
    <row r="201">
      <c r="A201" s="65"/>
      <c r="B201" s="74"/>
      <c r="C201" s="77"/>
      <c r="D201" s="44"/>
      <c r="E201" s="44"/>
      <c r="F201" s="87" t="s">
        <v>220</v>
      </c>
      <c r="G201" s="83"/>
      <c r="H201" s="79"/>
      <c r="I201" s="78"/>
      <c r="J201" s="78"/>
      <c r="K201" s="78"/>
      <c r="L201" s="78"/>
      <c r="M201" s="78"/>
      <c r="N201" s="44"/>
      <c r="O201" s="44"/>
      <c r="P201" s="44"/>
      <c r="Q201" s="44"/>
      <c r="R201" s="44"/>
      <c r="S201" s="44"/>
      <c r="T201" s="44"/>
      <c r="U201" s="44"/>
      <c r="V201" s="44"/>
      <c r="W201" s="44"/>
      <c r="X201" s="44"/>
      <c r="Y201" s="44"/>
    </row>
    <row r="202">
      <c r="B202" s="75"/>
      <c r="C202" s="75"/>
      <c r="F202" s="87" t="s">
        <v>225</v>
      </c>
      <c r="H202" s="110"/>
      <c r="I202" s="100"/>
      <c r="J202" s="100"/>
      <c r="K202" s="100"/>
      <c r="L202" s="100"/>
      <c r="M202" s="100"/>
    </row>
    <row r="203">
      <c r="B203" s="75"/>
      <c r="C203" s="75"/>
      <c r="F203" s="111" t="s">
        <v>238</v>
      </c>
      <c r="H203" s="6">
        <v>230.0</v>
      </c>
      <c r="I203" s="100"/>
      <c r="J203" s="100"/>
      <c r="K203" s="100"/>
      <c r="L203" s="100"/>
      <c r="M203" s="100"/>
    </row>
    <row r="204">
      <c r="A204" s="73" t="s">
        <v>75</v>
      </c>
      <c r="B204" s="74"/>
      <c r="C204" s="75"/>
      <c r="D204" s="52"/>
      <c r="E204" s="52"/>
      <c r="F204" s="76"/>
      <c r="G204" s="44"/>
      <c r="H204" s="77"/>
      <c r="I204" s="78"/>
      <c r="J204" s="78"/>
      <c r="K204" s="78"/>
      <c r="L204" s="78"/>
      <c r="M204" s="78"/>
      <c r="N204" s="44"/>
      <c r="O204" s="44"/>
      <c r="P204" s="44"/>
      <c r="Q204" s="44"/>
      <c r="R204" s="44"/>
      <c r="S204" s="44"/>
      <c r="T204" s="44"/>
      <c r="U204" s="44"/>
      <c r="V204" s="44"/>
      <c r="W204" s="44"/>
      <c r="X204" s="44"/>
      <c r="Y204" s="44"/>
    </row>
    <row r="205">
      <c r="A205" s="52"/>
      <c r="B205" s="74"/>
      <c r="C205" s="74"/>
      <c r="D205" s="52"/>
      <c r="E205" s="52"/>
      <c r="F205" s="79" t="s">
        <v>0</v>
      </c>
      <c r="G205" s="44"/>
      <c r="H205" s="77"/>
      <c r="I205" s="78"/>
      <c r="J205" s="78"/>
      <c r="K205" s="78"/>
      <c r="L205" s="78"/>
      <c r="M205" s="78"/>
      <c r="N205" s="44"/>
      <c r="O205" s="44"/>
      <c r="P205" s="44"/>
      <c r="Q205" s="44"/>
      <c r="R205" s="44"/>
      <c r="S205" s="44"/>
      <c r="T205" s="44"/>
      <c r="U205" s="44"/>
      <c r="V205" s="44"/>
      <c r="W205" s="44"/>
      <c r="X205" s="44"/>
      <c r="Y205" s="44"/>
    </row>
    <row r="206">
      <c r="A206" s="80" t="s">
        <v>179</v>
      </c>
      <c r="B206" s="81">
        <v>3615.0</v>
      </c>
      <c r="D206" s="52"/>
      <c r="E206" s="82"/>
      <c r="F206" s="76" t="s">
        <v>4</v>
      </c>
      <c r="G206" s="83"/>
      <c r="H206" s="79">
        <v>80.0</v>
      </c>
      <c r="I206" s="78"/>
      <c r="J206" s="78"/>
      <c r="K206" s="78"/>
      <c r="L206" s="78"/>
      <c r="M206" s="78"/>
      <c r="N206" s="44"/>
      <c r="O206" s="44"/>
      <c r="P206" s="44"/>
      <c r="Q206" s="44"/>
      <c r="R206" s="44"/>
      <c r="S206" s="44"/>
      <c r="T206" s="44"/>
      <c r="U206" s="44"/>
      <c r="V206" s="44"/>
      <c r="W206" s="44"/>
      <c r="X206" s="44"/>
      <c r="Y206" s="44"/>
    </row>
    <row r="207">
      <c r="A207" s="76"/>
      <c r="B207" s="74"/>
      <c r="C207" s="74"/>
      <c r="D207" s="44"/>
      <c r="E207" s="44"/>
      <c r="F207" s="84" t="s">
        <v>207</v>
      </c>
      <c r="G207" s="83"/>
      <c r="H207" s="79">
        <v>90.0</v>
      </c>
      <c r="I207" s="78"/>
      <c r="J207" s="78"/>
      <c r="K207" s="78"/>
      <c r="L207" s="78"/>
      <c r="M207" s="78"/>
      <c r="N207" s="44"/>
      <c r="O207" s="44"/>
      <c r="P207" s="44"/>
      <c r="Q207" s="44"/>
      <c r="R207" s="44"/>
      <c r="S207" s="44"/>
      <c r="T207" s="44"/>
      <c r="U207" s="44"/>
      <c r="V207" s="44"/>
      <c r="W207" s="44"/>
      <c r="X207" s="44"/>
      <c r="Y207" s="44"/>
    </row>
    <row r="208">
      <c r="A208" s="86" t="s">
        <v>201</v>
      </c>
      <c r="B208" s="81">
        <v>3388.0</v>
      </c>
      <c r="D208" s="44"/>
      <c r="E208" s="44"/>
      <c r="F208" s="87" t="s">
        <v>233</v>
      </c>
      <c r="G208" s="83"/>
      <c r="H208" s="79">
        <v>40.0</v>
      </c>
      <c r="I208" s="78"/>
      <c r="J208" s="78"/>
      <c r="K208" s="78"/>
      <c r="L208" s="78"/>
      <c r="M208" s="78"/>
      <c r="N208" s="44"/>
      <c r="O208" s="44"/>
      <c r="P208" s="44"/>
      <c r="Q208" s="44"/>
      <c r="R208" s="44"/>
      <c r="S208" s="44"/>
      <c r="T208" s="44"/>
      <c r="U208" s="44"/>
      <c r="V208" s="44"/>
      <c r="W208" s="44"/>
      <c r="X208" s="44"/>
      <c r="Y208" s="44"/>
    </row>
    <row r="209">
      <c r="A209" s="76"/>
      <c r="B209" s="74"/>
      <c r="C209" s="74"/>
      <c r="D209" s="44"/>
      <c r="E209" s="44"/>
      <c r="F209" s="87" t="s">
        <v>7</v>
      </c>
      <c r="G209" s="83"/>
      <c r="H209" s="79">
        <v>63.0</v>
      </c>
      <c r="I209" s="78"/>
      <c r="J209" s="78"/>
      <c r="K209" s="78"/>
      <c r="L209" s="78"/>
      <c r="M209" s="78"/>
      <c r="N209" s="44"/>
      <c r="O209" s="44"/>
      <c r="P209" s="44"/>
      <c r="Q209" s="44"/>
      <c r="R209" s="44"/>
      <c r="S209" s="44"/>
      <c r="T209" s="44"/>
      <c r="U209" s="44"/>
      <c r="V209" s="44"/>
      <c r="W209" s="44"/>
      <c r="X209" s="44"/>
      <c r="Y209" s="44"/>
    </row>
    <row r="210">
      <c r="A210" s="89" t="s">
        <v>242</v>
      </c>
      <c r="B210" s="101">
        <v>227.0</v>
      </c>
      <c r="C210" s="102"/>
      <c r="D210" s="44"/>
      <c r="E210" s="44"/>
      <c r="F210" s="113" t="s">
        <v>241</v>
      </c>
      <c r="G210" s="83"/>
      <c r="H210" s="79">
        <v>250.0</v>
      </c>
      <c r="I210" s="78"/>
      <c r="J210" s="78"/>
      <c r="K210" s="78"/>
      <c r="L210" s="78"/>
      <c r="M210" s="78"/>
      <c r="N210" s="44"/>
      <c r="O210" s="44"/>
      <c r="P210" s="44"/>
      <c r="Q210" s="44"/>
      <c r="R210" s="44"/>
      <c r="S210" s="44"/>
      <c r="T210" s="44"/>
      <c r="U210" s="44"/>
      <c r="V210" s="44"/>
      <c r="W210" s="44"/>
      <c r="X210" s="44"/>
      <c r="Y210" s="44"/>
    </row>
    <row r="211">
      <c r="B211" s="103"/>
      <c r="C211" s="50"/>
      <c r="D211" s="44"/>
      <c r="E211" s="44"/>
      <c r="F211" s="84" t="s">
        <v>211</v>
      </c>
      <c r="G211" s="83"/>
      <c r="H211" s="79">
        <v>30.0</v>
      </c>
      <c r="I211" s="78"/>
      <c r="J211" s="78"/>
      <c r="K211" s="78"/>
      <c r="L211" s="78"/>
      <c r="M211" s="78"/>
      <c r="N211" s="44"/>
      <c r="O211" s="44"/>
      <c r="P211" s="44"/>
      <c r="Q211" s="44"/>
      <c r="R211" s="44"/>
      <c r="S211" s="44"/>
      <c r="T211" s="44"/>
      <c r="U211" s="44"/>
      <c r="V211" s="44"/>
      <c r="W211" s="44"/>
      <c r="X211" s="44"/>
      <c r="Y211" s="44"/>
    </row>
    <row r="212">
      <c r="A212" s="94"/>
      <c r="B212" s="74"/>
      <c r="C212" s="74"/>
      <c r="D212" s="44"/>
      <c r="E212" s="44"/>
      <c r="F212" s="87" t="s">
        <v>213</v>
      </c>
      <c r="G212" s="83"/>
      <c r="H212" s="95"/>
      <c r="I212" s="78"/>
      <c r="J212" s="78"/>
      <c r="K212" s="78"/>
      <c r="L212" s="78"/>
      <c r="M212" s="78"/>
      <c r="N212" s="44"/>
      <c r="O212" s="44"/>
      <c r="P212" s="44"/>
      <c r="Q212" s="44"/>
      <c r="R212" s="44"/>
      <c r="S212" s="44"/>
      <c r="T212" s="44"/>
      <c r="U212" s="44"/>
      <c r="V212" s="44"/>
      <c r="W212" s="44"/>
      <c r="X212" s="44"/>
      <c r="Y212" s="44"/>
    </row>
    <row r="213">
      <c r="A213" s="96" t="s">
        <v>214</v>
      </c>
      <c r="B213" s="114" t="s">
        <v>243</v>
      </c>
      <c r="D213" s="52"/>
      <c r="E213" s="44"/>
      <c r="F213" s="76" t="s">
        <v>34</v>
      </c>
      <c r="G213" s="83"/>
      <c r="H213" s="79">
        <v>36.0</v>
      </c>
      <c r="I213" s="78"/>
      <c r="J213" s="78"/>
      <c r="K213" s="78"/>
      <c r="L213" s="78"/>
      <c r="M213" s="78"/>
      <c r="N213" s="44"/>
      <c r="O213" s="44"/>
      <c r="P213" s="44"/>
      <c r="Q213" s="44"/>
      <c r="R213" s="44"/>
      <c r="S213" s="44"/>
      <c r="T213" s="44"/>
      <c r="U213" s="44"/>
      <c r="V213" s="44"/>
      <c r="W213" s="44"/>
      <c r="X213" s="44"/>
      <c r="Y213" s="44"/>
    </row>
    <row r="214">
      <c r="A214" s="96" t="s">
        <v>215</v>
      </c>
      <c r="B214" s="74"/>
      <c r="D214" s="44"/>
      <c r="E214" s="44"/>
      <c r="F214" s="87" t="s">
        <v>216</v>
      </c>
      <c r="G214" s="83"/>
      <c r="H214" s="85"/>
      <c r="I214" s="78"/>
      <c r="J214" s="78"/>
      <c r="K214" s="78"/>
      <c r="L214" s="78"/>
      <c r="M214" s="78"/>
      <c r="N214" s="44"/>
      <c r="O214" s="44"/>
      <c r="P214" s="44"/>
      <c r="Q214" s="44"/>
      <c r="R214" s="44"/>
      <c r="S214" s="44"/>
      <c r="T214" s="44"/>
      <c r="U214" s="44"/>
      <c r="V214" s="44"/>
      <c r="W214" s="44"/>
      <c r="X214" s="44"/>
      <c r="Y214" s="44"/>
    </row>
    <row r="215">
      <c r="A215" s="44"/>
      <c r="B215" s="74"/>
      <c r="C215" s="74"/>
      <c r="D215" s="44"/>
      <c r="E215" s="44"/>
      <c r="F215" s="76" t="s">
        <v>108</v>
      </c>
      <c r="G215" s="83"/>
      <c r="H215" s="79">
        <v>108.0</v>
      </c>
      <c r="I215" s="78"/>
      <c r="J215" s="78"/>
      <c r="K215" s="78"/>
      <c r="L215" s="78"/>
      <c r="M215" s="78"/>
      <c r="N215" s="44"/>
      <c r="O215" s="44"/>
      <c r="P215" s="44"/>
      <c r="Q215" s="44"/>
      <c r="R215" s="44"/>
      <c r="S215" s="44"/>
      <c r="T215" s="44"/>
      <c r="U215" s="44"/>
      <c r="V215" s="44"/>
      <c r="W215" s="44"/>
      <c r="X215" s="44"/>
      <c r="Y215" s="44"/>
    </row>
    <row r="216">
      <c r="A216" s="44"/>
      <c r="B216" s="74"/>
      <c r="C216" s="74"/>
      <c r="D216" s="44"/>
      <c r="E216" s="44"/>
      <c r="F216" s="97" t="s">
        <v>156</v>
      </c>
      <c r="G216" s="83"/>
      <c r="H216" s="79"/>
      <c r="I216" s="88">
        <v>1250.0</v>
      </c>
      <c r="J216" s="78"/>
      <c r="K216" s="78"/>
      <c r="L216" s="78"/>
      <c r="M216" s="78"/>
      <c r="N216" s="44"/>
      <c r="O216" s="44"/>
      <c r="P216" s="44"/>
      <c r="Q216" s="44"/>
      <c r="R216" s="44"/>
      <c r="S216" s="44"/>
      <c r="T216" s="44"/>
      <c r="U216" s="44"/>
      <c r="V216" s="44"/>
      <c r="W216" s="44"/>
      <c r="X216" s="44"/>
      <c r="Y216" s="44"/>
    </row>
    <row r="217">
      <c r="A217" s="44"/>
      <c r="B217" s="74"/>
      <c r="C217" s="74"/>
      <c r="D217" s="44"/>
      <c r="E217" s="44"/>
      <c r="F217" s="84" t="s">
        <v>217</v>
      </c>
      <c r="G217" s="83"/>
      <c r="H217" s="79"/>
      <c r="I217" s="78"/>
      <c r="J217" s="78"/>
      <c r="K217" s="78"/>
      <c r="L217" s="78"/>
      <c r="M217" s="78"/>
      <c r="N217" s="44"/>
      <c r="O217" s="44"/>
      <c r="P217" s="44"/>
      <c r="Q217" s="44"/>
      <c r="R217" s="44"/>
      <c r="S217" s="44"/>
      <c r="T217" s="44"/>
      <c r="U217" s="44"/>
      <c r="V217" s="44"/>
      <c r="W217" s="44"/>
      <c r="X217" s="44"/>
      <c r="Y217" s="44"/>
    </row>
    <row r="218">
      <c r="A218" s="44"/>
      <c r="B218" s="74"/>
      <c r="C218" s="74"/>
      <c r="D218" s="44"/>
      <c r="E218" s="44"/>
      <c r="F218" s="87" t="s">
        <v>218</v>
      </c>
      <c r="G218" s="83"/>
      <c r="H218" s="85"/>
      <c r="I218" s="78"/>
      <c r="J218" s="78"/>
      <c r="K218" s="78"/>
      <c r="L218" s="78"/>
      <c r="M218" s="78"/>
      <c r="N218" s="44"/>
      <c r="O218" s="44"/>
      <c r="P218" s="44"/>
      <c r="Q218" s="44"/>
      <c r="R218" s="44"/>
      <c r="S218" s="44"/>
      <c r="T218" s="44"/>
      <c r="U218" s="44"/>
      <c r="V218" s="44"/>
      <c r="W218" s="44"/>
      <c r="X218" s="44"/>
      <c r="Y218" s="44"/>
    </row>
    <row r="219">
      <c r="A219" s="44"/>
      <c r="B219" s="74"/>
      <c r="C219" s="74"/>
      <c r="D219" s="44"/>
      <c r="E219" s="44"/>
      <c r="F219" s="76" t="s">
        <v>131</v>
      </c>
      <c r="G219" s="83"/>
      <c r="H219" s="79">
        <v>155.0</v>
      </c>
      <c r="I219" s="78"/>
      <c r="J219" s="78"/>
      <c r="K219" s="78"/>
      <c r="L219" s="78"/>
      <c r="M219" s="78"/>
      <c r="N219" s="44"/>
      <c r="O219" s="44"/>
      <c r="P219" s="44"/>
      <c r="Q219" s="44"/>
      <c r="R219" s="44"/>
      <c r="S219" s="44"/>
      <c r="T219" s="44"/>
      <c r="U219" s="44"/>
      <c r="V219" s="44"/>
      <c r="W219" s="44"/>
      <c r="X219" s="44"/>
      <c r="Y219" s="44"/>
    </row>
    <row r="220">
      <c r="A220" s="44"/>
      <c r="B220" s="74"/>
      <c r="C220" s="74"/>
      <c r="D220" s="44"/>
      <c r="E220" s="44"/>
      <c r="F220" s="76" t="s">
        <v>18</v>
      </c>
      <c r="G220" s="83"/>
      <c r="H220" s="79">
        <v>183.0</v>
      </c>
      <c r="I220" s="78"/>
      <c r="J220" s="78"/>
      <c r="K220" s="78"/>
      <c r="L220" s="78"/>
      <c r="M220" s="78"/>
      <c r="N220" s="44"/>
      <c r="O220" s="44"/>
      <c r="P220" s="44"/>
      <c r="Q220" s="44"/>
      <c r="R220" s="44"/>
      <c r="S220" s="44"/>
      <c r="T220" s="44"/>
      <c r="U220" s="44"/>
      <c r="V220" s="44"/>
      <c r="W220" s="44"/>
      <c r="X220" s="44"/>
      <c r="Y220" s="44"/>
    </row>
    <row r="221">
      <c r="A221" s="44"/>
      <c r="B221" s="74"/>
      <c r="C221" s="74"/>
      <c r="D221" s="44"/>
      <c r="E221" s="44"/>
      <c r="F221" s="98" t="s">
        <v>19</v>
      </c>
      <c r="G221" s="83"/>
      <c r="H221" s="79"/>
      <c r="I221" s="78"/>
      <c r="J221" s="78"/>
      <c r="K221" s="78"/>
      <c r="L221" s="78"/>
      <c r="M221" s="78"/>
      <c r="N221" s="44"/>
      <c r="O221" s="44"/>
      <c r="P221" s="44"/>
      <c r="Q221" s="44"/>
      <c r="R221" s="44"/>
      <c r="S221" s="44"/>
      <c r="T221" s="44"/>
      <c r="U221" s="44"/>
      <c r="V221" s="44"/>
      <c r="W221" s="44"/>
      <c r="X221" s="44"/>
      <c r="Y221" s="44"/>
    </row>
    <row r="222">
      <c r="A222" s="44"/>
      <c r="B222" s="74"/>
      <c r="C222" s="74"/>
      <c r="D222" s="44"/>
      <c r="E222" s="44"/>
      <c r="F222" s="76" t="s">
        <v>20</v>
      </c>
      <c r="G222" s="83"/>
      <c r="H222" s="79"/>
      <c r="I222" s="100"/>
      <c r="J222" s="78"/>
      <c r="K222" s="78"/>
      <c r="L222" s="78"/>
      <c r="M222" s="78"/>
      <c r="N222" s="44"/>
      <c r="O222" s="44"/>
      <c r="P222" s="44"/>
      <c r="Q222" s="44"/>
      <c r="R222" s="44"/>
      <c r="S222" s="44"/>
      <c r="T222" s="44"/>
      <c r="U222" s="44"/>
      <c r="V222" s="44"/>
      <c r="W222" s="44"/>
      <c r="X222" s="44"/>
      <c r="Y222" s="44"/>
    </row>
    <row r="223">
      <c r="A223" s="44"/>
      <c r="B223" s="74"/>
      <c r="C223" s="74"/>
      <c r="D223" s="44"/>
      <c r="E223" s="44"/>
      <c r="F223" s="87" t="s">
        <v>232</v>
      </c>
      <c r="G223" s="83"/>
      <c r="H223" s="79">
        <v>500.0</v>
      </c>
      <c r="I223" s="78"/>
      <c r="J223" s="78"/>
      <c r="K223" s="78"/>
      <c r="L223" s="78"/>
      <c r="M223" s="78"/>
      <c r="N223" s="44"/>
      <c r="O223" s="44"/>
      <c r="P223" s="44"/>
      <c r="Q223" s="44"/>
      <c r="R223" s="44"/>
      <c r="S223" s="44"/>
      <c r="T223" s="44"/>
      <c r="U223" s="44"/>
      <c r="V223" s="44"/>
      <c r="W223" s="44"/>
      <c r="X223" s="44"/>
      <c r="Y223" s="44"/>
    </row>
    <row r="224">
      <c r="A224" s="44"/>
      <c r="B224" s="74"/>
      <c r="C224" s="74"/>
      <c r="D224" s="44"/>
      <c r="E224" s="44"/>
      <c r="F224" s="87" t="s">
        <v>244</v>
      </c>
      <c r="G224" s="83"/>
      <c r="H224" s="79">
        <v>30.0</v>
      </c>
      <c r="I224" s="78"/>
      <c r="J224" s="78"/>
      <c r="K224" s="78"/>
      <c r="L224" s="78"/>
      <c r="M224" s="78"/>
      <c r="N224" s="44"/>
      <c r="O224" s="44"/>
      <c r="P224" s="44"/>
      <c r="Q224" s="44"/>
      <c r="R224" s="44"/>
      <c r="S224" s="44"/>
      <c r="T224" s="44"/>
      <c r="U224" s="44"/>
      <c r="V224" s="44"/>
      <c r="W224" s="44"/>
      <c r="X224" s="44"/>
      <c r="Y224" s="44"/>
    </row>
    <row r="225">
      <c r="A225" s="44"/>
      <c r="B225" s="74"/>
      <c r="C225" s="74"/>
      <c r="D225" s="44"/>
      <c r="E225" s="44"/>
      <c r="F225" s="87" t="s">
        <v>202</v>
      </c>
      <c r="G225" s="99"/>
      <c r="H225" s="79">
        <v>273.0</v>
      </c>
      <c r="I225" s="78"/>
      <c r="J225" s="78"/>
      <c r="K225" s="78"/>
      <c r="L225" s="78"/>
      <c r="M225" s="78"/>
      <c r="N225" s="44"/>
      <c r="O225" s="44"/>
      <c r="P225" s="44"/>
      <c r="Q225" s="44"/>
      <c r="R225" s="44"/>
      <c r="S225" s="44"/>
      <c r="T225" s="44"/>
      <c r="U225" s="44"/>
      <c r="V225" s="44"/>
      <c r="W225" s="44"/>
      <c r="X225" s="44"/>
      <c r="Y225" s="44"/>
    </row>
    <row r="226">
      <c r="A226" s="65"/>
      <c r="B226" s="74"/>
      <c r="C226" s="77"/>
      <c r="D226" s="44"/>
      <c r="E226" s="44"/>
      <c r="F226" s="87" t="s">
        <v>245</v>
      </c>
      <c r="G226" s="83"/>
      <c r="H226" s="79">
        <v>70.0</v>
      </c>
      <c r="I226" s="78"/>
      <c r="J226" s="78"/>
      <c r="K226" s="78"/>
      <c r="L226" s="78"/>
      <c r="M226" s="78"/>
      <c r="N226" s="44"/>
      <c r="O226" s="44"/>
      <c r="P226" s="44"/>
      <c r="Q226" s="44"/>
      <c r="R226" s="44"/>
      <c r="S226" s="44"/>
      <c r="T226" s="44"/>
      <c r="U226" s="44"/>
      <c r="V226" s="44"/>
      <c r="W226" s="44"/>
      <c r="X226" s="44"/>
      <c r="Y226" s="44"/>
    </row>
    <row r="227">
      <c r="A227" s="65"/>
      <c r="B227" s="74"/>
      <c r="C227" s="77"/>
      <c r="D227" s="44"/>
      <c r="E227" s="44"/>
      <c r="F227" s="87" t="s">
        <v>220</v>
      </c>
      <c r="G227" s="83"/>
      <c r="H227" s="79"/>
      <c r="I227" s="78"/>
      <c r="J227" s="78"/>
      <c r="K227" s="78"/>
      <c r="L227" s="78"/>
      <c r="M227" s="78"/>
      <c r="N227" s="44"/>
      <c r="O227" s="44"/>
      <c r="P227" s="44"/>
      <c r="Q227" s="44"/>
      <c r="R227" s="44"/>
      <c r="S227" s="44"/>
      <c r="T227" s="44"/>
      <c r="U227" s="44"/>
      <c r="V227" s="44"/>
      <c r="W227" s="44"/>
      <c r="X227" s="44"/>
      <c r="Y227" s="44"/>
    </row>
    <row r="228">
      <c r="B228" s="75"/>
      <c r="C228" s="75"/>
      <c r="F228" s="87" t="s">
        <v>225</v>
      </c>
      <c r="H228" s="110"/>
      <c r="I228" s="100"/>
      <c r="J228" s="100"/>
      <c r="K228" s="100"/>
      <c r="L228" s="100"/>
      <c r="M228" s="100"/>
    </row>
    <row r="229">
      <c r="B229" s="75"/>
      <c r="C229" s="75"/>
      <c r="F229" s="111" t="s">
        <v>238</v>
      </c>
      <c r="H229" s="6">
        <v>230.0</v>
      </c>
      <c r="I229" s="100"/>
      <c r="J229" s="100"/>
      <c r="K229" s="100"/>
      <c r="L229" s="100"/>
      <c r="M229" s="100"/>
    </row>
    <row r="230">
      <c r="A230" s="73" t="s">
        <v>79</v>
      </c>
      <c r="B230" s="74"/>
      <c r="C230" s="75"/>
      <c r="D230" s="52"/>
      <c r="E230" s="52"/>
      <c r="F230" s="76"/>
      <c r="G230" s="44"/>
      <c r="H230" s="77"/>
      <c r="I230" s="78"/>
      <c r="J230" s="78"/>
      <c r="K230" s="78"/>
      <c r="L230" s="78"/>
      <c r="M230" s="78"/>
      <c r="N230" s="44"/>
      <c r="O230" s="44"/>
      <c r="P230" s="44"/>
      <c r="Q230" s="44"/>
      <c r="R230" s="44"/>
      <c r="S230" s="44"/>
      <c r="T230" s="44"/>
      <c r="U230" s="44"/>
      <c r="V230" s="44"/>
      <c r="W230" s="44"/>
      <c r="X230" s="44"/>
      <c r="Y230" s="44"/>
    </row>
    <row r="231">
      <c r="A231" s="52"/>
      <c r="B231" s="74"/>
      <c r="C231" s="74"/>
      <c r="D231" s="52"/>
      <c r="E231" s="52"/>
      <c r="F231" s="79" t="s">
        <v>0</v>
      </c>
      <c r="G231" s="44"/>
      <c r="H231" s="77"/>
      <c r="I231" s="78"/>
      <c r="J231" s="78"/>
      <c r="K231" s="78"/>
      <c r="L231" s="78"/>
      <c r="M231" s="78"/>
      <c r="N231" s="44"/>
      <c r="O231" s="44"/>
      <c r="P231" s="44"/>
      <c r="Q231" s="44"/>
      <c r="R231" s="44"/>
      <c r="S231" s="44"/>
      <c r="T231" s="44"/>
      <c r="U231" s="44"/>
      <c r="V231" s="44"/>
      <c r="W231" s="44"/>
      <c r="X231" s="44"/>
      <c r="Y231" s="44"/>
    </row>
    <row r="232">
      <c r="A232" s="80" t="s">
        <v>179</v>
      </c>
      <c r="B232" s="81">
        <v>4675.0</v>
      </c>
      <c r="D232" s="52"/>
      <c r="E232" s="82"/>
      <c r="F232" s="76" t="s">
        <v>4</v>
      </c>
      <c r="G232" s="83"/>
      <c r="H232" s="79">
        <v>80.0</v>
      </c>
      <c r="I232" s="78"/>
      <c r="J232" s="78"/>
      <c r="K232" s="78"/>
      <c r="L232" s="78"/>
      <c r="M232" s="78"/>
      <c r="N232" s="44"/>
      <c r="O232" s="44"/>
      <c r="P232" s="44"/>
      <c r="Q232" s="44"/>
      <c r="R232" s="44"/>
      <c r="S232" s="44"/>
      <c r="T232" s="44"/>
      <c r="U232" s="44"/>
      <c r="V232" s="44"/>
      <c r="W232" s="44"/>
      <c r="X232" s="44"/>
      <c r="Y232" s="45">
        <v>1.0</v>
      </c>
    </row>
    <row r="233">
      <c r="A233" s="76"/>
      <c r="B233" s="74"/>
      <c r="C233" s="74"/>
      <c r="D233" s="44"/>
      <c r="E233" s="44"/>
      <c r="F233" s="84" t="s">
        <v>207</v>
      </c>
      <c r="G233" s="83"/>
      <c r="H233" s="85"/>
      <c r="I233" s="78"/>
      <c r="J233" s="78"/>
      <c r="K233" s="78"/>
      <c r="L233" s="78"/>
      <c r="M233" s="78"/>
      <c r="N233" s="44"/>
      <c r="O233" s="44"/>
      <c r="P233" s="44"/>
      <c r="Q233" s="44"/>
      <c r="R233" s="44"/>
      <c r="S233" s="44"/>
      <c r="T233" s="44"/>
      <c r="U233" s="44"/>
      <c r="V233" s="44"/>
      <c r="W233" s="44"/>
      <c r="X233" s="44"/>
      <c r="Y233" s="44"/>
    </row>
    <row r="234">
      <c r="A234" s="86" t="s">
        <v>201</v>
      </c>
      <c r="B234" s="81">
        <v>3500.0</v>
      </c>
      <c r="D234" s="44"/>
      <c r="E234" s="44"/>
      <c r="F234" s="87" t="s">
        <v>233</v>
      </c>
      <c r="G234" s="83"/>
      <c r="H234" s="79"/>
      <c r="I234" s="78"/>
      <c r="J234" s="78"/>
      <c r="K234" s="78"/>
      <c r="L234" s="78"/>
      <c r="M234" s="78"/>
      <c r="N234" s="44"/>
      <c r="O234" s="44"/>
      <c r="P234" s="44"/>
      <c r="Q234" s="44"/>
      <c r="R234" s="44"/>
      <c r="S234" s="44"/>
      <c r="T234" s="44"/>
      <c r="U234" s="44"/>
      <c r="V234" s="44"/>
      <c r="W234" s="44"/>
      <c r="X234" s="44"/>
      <c r="Y234" s="44"/>
    </row>
    <row r="235">
      <c r="A235" s="76"/>
      <c r="B235" s="74"/>
      <c r="C235" s="74"/>
      <c r="D235" s="44"/>
      <c r="E235" s="44"/>
      <c r="F235" s="87" t="s">
        <v>7</v>
      </c>
      <c r="G235" s="83"/>
      <c r="H235" s="79">
        <v>77.0</v>
      </c>
      <c r="I235" s="88" t="s">
        <v>246</v>
      </c>
      <c r="J235" s="78"/>
      <c r="K235" s="78"/>
      <c r="L235" s="78"/>
      <c r="M235" s="78"/>
      <c r="N235" s="44"/>
      <c r="O235" s="44"/>
      <c r="P235" s="44"/>
      <c r="Q235" s="44"/>
      <c r="R235" s="44"/>
      <c r="S235" s="44"/>
      <c r="T235" s="44"/>
      <c r="U235" s="44"/>
      <c r="V235" s="44"/>
      <c r="W235" s="44"/>
      <c r="X235" s="44"/>
      <c r="Y235" s="44"/>
    </row>
    <row r="236">
      <c r="A236" s="89" t="s">
        <v>247</v>
      </c>
      <c r="B236" s="101">
        <v>1175.0</v>
      </c>
      <c r="C236" s="102"/>
      <c r="D236" s="44"/>
      <c r="E236" s="44"/>
      <c r="F236" s="113" t="s">
        <v>241</v>
      </c>
      <c r="G236" s="83"/>
      <c r="H236" s="79">
        <v>400.0</v>
      </c>
      <c r="I236" s="78"/>
      <c r="J236" s="78"/>
      <c r="K236" s="78"/>
      <c r="L236" s="78"/>
      <c r="M236" s="78"/>
      <c r="N236" s="44"/>
      <c r="O236" s="44"/>
      <c r="P236" s="44"/>
      <c r="Q236" s="44"/>
      <c r="R236" s="44"/>
      <c r="S236" s="44"/>
      <c r="T236" s="44"/>
      <c r="U236" s="44"/>
      <c r="V236" s="44"/>
      <c r="W236" s="44"/>
      <c r="X236" s="44"/>
      <c r="Y236" s="44"/>
    </row>
    <row r="237">
      <c r="B237" s="103"/>
      <c r="C237" s="50"/>
      <c r="D237" s="44"/>
      <c r="E237" s="44"/>
      <c r="F237" s="84" t="s">
        <v>211</v>
      </c>
      <c r="G237" s="83"/>
      <c r="H237" s="79">
        <v>20.0</v>
      </c>
      <c r="I237" s="78"/>
      <c r="J237" s="78"/>
      <c r="K237" s="78"/>
      <c r="L237" s="78"/>
      <c r="M237" s="78"/>
      <c r="N237" s="44"/>
      <c r="O237" s="44"/>
      <c r="P237" s="44"/>
      <c r="Q237" s="44"/>
      <c r="R237" s="44"/>
      <c r="S237" s="44"/>
      <c r="T237" s="44"/>
      <c r="U237" s="44"/>
      <c r="V237" s="44"/>
      <c r="W237" s="44"/>
      <c r="X237" s="44"/>
      <c r="Y237" s="44"/>
    </row>
    <row r="238">
      <c r="A238" s="94"/>
      <c r="B238" s="74"/>
      <c r="C238" s="74"/>
      <c r="D238" s="44"/>
      <c r="E238" s="44"/>
      <c r="F238" s="87" t="s">
        <v>213</v>
      </c>
      <c r="G238" s="83"/>
      <c r="H238" s="95"/>
      <c r="I238" s="78"/>
      <c r="J238" s="78"/>
      <c r="K238" s="78"/>
      <c r="L238" s="78"/>
      <c r="M238" s="78"/>
      <c r="N238" s="44"/>
      <c r="O238" s="44"/>
      <c r="P238" s="44"/>
      <c r="Q238" s="44"/>
      <c r="R238" s="44"/>
      <c r="S238" s="44"/>
      <c r="T238" s="44"/>
      <c r="U238" s="44"/>
      <c r="V238" s="44"/>
      <c r="W238" s="44"/>
      <c r="X238" s="44"/>
      <c r="Y238" s="44"/>
    </row>
    <row r="239">
      <c r="A239" s="96" t="s">
        <v>214</v>
      </c>
      <c r="B239" s="81" t="s">
        <v>243</v>
      </c>
      <c r="D239" s="52"/>
      <c r="E239" s="44"/>
      <c r="F239" s="76" t="s">
        <v>34</v>
      </c>
      <c r="G239" s="83"/>
      <c r="H239" s="79">
        <v>36.0</v>
      </c>
      <c r="I239" s="78"/>
      <c r="J239" s="78"/>
      <c r="K239" s="78"/>
      <c r="L239" s="78"/>
      <c r="M239" s="78"/>
      <c r="N239" s="44"/>
      <c r="O239" s="44"/>
      <c r="P239" s="44"/>
      <c r="Q239" s="44"/>
      <c r="R239" s="44"/>
      <c r="S239" s="44"/>
      <c r="T239" s="44"/>
      <c r="U239" s="44"/>
      <c r="V239" s="44"/>
      <c r="W239" s="44"/>
      <c r="X239" s="44"/>
      <c r="Y239" s="44"/>
    </row>
    <row r="240">
      <c r="A240" s="96" t="s">
        <v>215</v>
      </c>
      <c r="B240" s="74"/>
      <c r="C240" s="74"/>
      <c r="D240" s="44"/>
      <c r="E240" s="44"/>
      <c r="F240" s="87" t="s">
        <v>216</v>
      </c>
      <c r="G240" s="83"/>
      <c r="H240" s="85"/>
      <c r="I240" s="78"/>
      <c r="J240" s="78"/>
      <c r="K240" s="78"/>
      <c r="L240" s="78"/>
      <c r="M240" s="78"/>
      <c r="N240" s="44"/>
      <c r="O240" s="44"/>
      <c r="P240" s="44"/>
      <c r="Q240" s="44"/>
      <c r="R240" s="44"/>
      <c r="S240" s="44"/>
      <c r="T240" s="44"/>
      <c r="U240" s="44"/>
      <c r="V240" s="44"/>
      <c r="W240" s="44"/>
      <c r="X240" s="44"/>
      <c r="Y240" s="44"/>
    </row>
    <row r="241">
      <c r="A241" s="44"/>
      <c r="B241" s="74"/>
      <c r="C241" s="74"/>
      <c r="D241" s="44"/>
      <c r="E241" s="44"/>
      <c r="F241" s="76" t="s">
        <v>108</v>
      </c>
      <c r="G241" s="83"/>
      <c r="H241" s="79">
        <v>80.0</v>
      </c>
      <c r="I241" s="78"/>
      <c r="J241" s="78"/>
      <c r="K241" s="78"/>
      <c r="L241" s="78"/>
      <c r="M241" s="78"/>
      <c r="N241" s="44"/>
      <c r="O241" s="44"/>
      <c r="P241" s="44"/>
      <c r="Q241" s="44"/>
      <c r="R241" s="44"/>
      <c r="S241" s="44"/>
      <c r="T241" s="44"/>
      <c r="U241" s="44"/>
      <c r="V241" s="44"/>
      <c r="W241" s="44"/>
      <c r="X241" s="44"/>
      <c r="Y241" s="44"/>
    </row>
    <row r="242">
      <c r="A242" s="44"/>
      <c r="B242" s="74"/>
      <c r="C242" s="74"/>
      <c r="D242" s="44"/>
      <c r="E242" s="44"/>
      <c r="F242" s="97" t="s">
        <v>156</v>
      </c>
      <c r="G242" s="83"/>
      <c r="H242" s="79">
        <v>1250.0</v>
      </c>
      <c r="I242" s="88" t="s">
        <v>237</v>
      </c>
      <c r="J242" s="78"/>
      <c r="K242" s="78"/>
      <c r="L242" s="78"/>
      <c r="M242" s="78"/>
      <c r="N242" s="44"/>
      <c r="O242" s="44"/>
      <c r="P242" s="44"/>
      <c r="Q242" s="44"/>
      <c r="R242" s="44"/>
      <c r="S242" s="44"/>
      <c r="T242" s="44"/>
      <c r="U242" s="44"/>
      <c r="V242" s="44"/>
      <c r="W242" s="44"/>
      <c r="X242" s="44"/>
      <c r="Y242" s="44"/>
    </row>
    <row r="243">
      <c r="A243" s="44"/>
      <c r="B243" s="74"/>
      <c r="C243" s="74"/>
      <c r="D243" s="44"/>
      <c r="E243" s="44"/>
      <c r="F243" s="84" t="s">
        <v>217</v>
      </c>
      <c r="G243" s="83"/>
      <c r="H243" s="79">
        <v>151.0</v>
      </c>
      <c r="I243" s="78"/>
      <c r="J243" s="78"/>
      <c r="K243" s="78"/>
      <c r="L243" s="78"/>
      <c r="M243" s="78"/>
      <c r="N243" s="44"/>
      <c r="O243" s="44"/>
      <c r="P243" s="44"/>
      <c r="Q243" s="44"/>
      <c r="R243" s="44"/>
      <c r="S243" s="44"/>
      <c r="T243" s="44"/>
      <c r="U243" s="44"/>
      <c r="V243" s="44"/>
      <c r="W243" s="44"/>
      <c r="X243" s="44"/>
      <c r="Y243" s="44"/>
    </row>
    <row r="244">
      <c r="A244" s="44"/>
      <c r="B244" s="74"/>
      <c r="C244" s="74"/>
      <c r="D244" s="44"/>
      <c r="E244" s="44"/>
      <c r="F244" s="87" t="s">
        <v>218</v>
      </c>
      <c r="G244" s="83"/>
      <c r="H244" s="85"/>
      <c r="I244" s="78"/>
      <c r="J244" s="78"/>
      <c r="K244" s="78"/>
      <c r="L244" s="78"/>
      <c r="M244" s="78"/>
      <c r="N244" s="44"/>
      <c r="O244" s="44"/>
      <c r="P244" s="44"/>
      <c r="Q244" s="44"/>
      <c r="R244" s="44"/>
      <c r="S244" s="44"/>
      <c r="T244" s="44"/>
      <c r="U244" s="44"/>
      <c r="V244" s="44"/>
      <c r="W244" s="44"/>
      <c r="X244" s="44"/>
      <c r="Y244" s="44"/>
    </row>
    <row r="245">
      <c r="A245" s="44"/>
      <c r="B245" s="74"/>
      <c r="C245" s="74"/>
      <c r="D245" s="44"/>
      <c r="E245" s="44"/>
      <c r="F245" s="76" t="s">
        <v>131</v>
      </c>
      <c r="G245" s="83"/>
      <c r="H245" s="85"/>
      <c r="I245" s="78"/>
      <c r="J245" s="78"/>
      <c r="K245" s="78"/>
      <c r="L245" s="78"/>
      <c r="M245" s="78"/>
      <c r="N245" s="44"/>
      <c r="O245" s="44"/>
      <c r="P245" s="44"/>
      <c r="Q245" s="44"/>
      <c r="R245" s="44"/>
      <c r="S245" s="44"/>
      <c r="T245" s="44"/>
      <c r="U245" s="44"/>
      <c r="V245" s="44"/>
      <c r="W245" s="44"/>
      <c r="X245" s="44"/>
      <c r="Y245" s="44"/>
    </row>
    <row r="246">
      <c r="A246" s="44"/>
      <c r="B246" s="74"/>
      <c r="C246" s="74"/>
      <c r="D246" s="44"/>
      <c r="E246" s="44"/>
      <c r="F246" s="76" t="s">
        <v>18</v>
      </c>
      <c r="G246" s="83"/>
      <c r="H246" s="79">
        <v>354.0</v>
      </c>
      <c r="I246" s="88" t="s">
        <v>248</v>
      </c>
      <c r="J246" s="78"/>
      <c r="K246" s="78"/>
      <c r="L246" s="78"/>
      <c r="M246" s="78"/>
      <c r="N246" s="44"/>
      <c r="O246" s="44"/>
      <c r="P246" s="44"/>
      <c r="Q246" s="44"/>
      <c r="R246" s="44"/>
      <c r="S246" s="44"/>
      <c r="T246" s="44"/>
      <c r="U246" s="44"/>
      <c r="V246" s="44"/>
      <c r="W246" s="44"/>
      <c r="X246" s="44"/>
      <c r="Y246" s="44"/>
    </row>
    <row r="247">
      <c r="A247" s="44"/>
      <c r="B247" s="74"/>
      <c r="C247" s="74"/>
      <c r="D247" s="44"/>
      <c r="E247" s="44"/>
      <c r="F247" s="98" t="s">
        <v>19</v>
      </c>
      <c r="G247" s="83"/>
      <c r="H247" s="79"/>
      <c r="I247" s="78"/>
      <c r="J247" s="78"/>
      <c r="K247" s="78"/>
      <c r="L247" s="78"/>
      <c r="M247" s="78"/>
      <c r="N247" s="44"/>
      <c r="O247" s="44"/>
      <c r="P247" s="44"/>
      <c r="Q247" s="44"/>
      <c r="R247" s="44"/>
      <c r="S247" s="44"/>
      <c r="T247" s="44"/>
      <c r="U247" s="44"/>
      <c r="V247" s="44"/>
      <c r="W247" s="44"/>
      <c r="X247" s="44"/>
      <c r="Y247" s="44"/>
    </row>
    <row r="248">
      <c r="A248" s="44"/>
      <c r="B248" s="74"/>
      <c r="C248" s="74"/>
      <c r="D248" s="44"/>
      <c r="E248" s="44"/>
      <c r="F248" s="76" t="s">
        <v>20</v>
      </c>
      <c r="G248" s="83"/>
      <c r="H248" s="79"/>
      <c r="I248" s="78"/>
      <c r="J248" s="78"/>
      <c r="K248" s="78"/>
      <c r="L248" s="78"/>
      <c r="M248" s="78"/>
      <c r="N248" s="44"/>
      <c r="O248" s="44"/>
      <c r="P248" s="44"/>
      <c r="Q248" s="44"/>
      <c r="R248" s="44"/>
      <c r="S248" s="44"/>
      <c r="T248" s="44"/>
      <c r="U248" s="44"/>
      <c r="V248" s="44"/>
      <c r="W248" s="44"/>
      <c r="X248" s="44"/>
      <c r="Y248" s="44"/>
    </row>
    <row r="249">
      <c r="A249" s="44"/>
      <c r="B249" s="74"/>
      <c r="C249" s="74"/>
      <c r="D249" s="44"/>
      <c r="E249" s="44"/>
      <c r="F249" s="87" t="s">
        <v>232</v>
      </c>
      <c r="G249" s="83"/>
      <c r="H249" s="79">
        <v>370.0</v>
      </c>
      <c r="I249" s="78"/>
      <c r="J249" s="78"/>
      <c r="K249" s="78"/>
      <c r="L249" s="78"/>
      <c r="M249" s="78"/>
      <c r="N249" s="44"/>
      <c r="O249" s="44"/>
      <c r="P249" s="44"/>
      <c r="Q249" s="44"/>
      <c r="R249" s="44"/>
      <c r="S249" s="44"/>
      <c r="T249" s="44"/>
      <c r="U249" s="44"/>
      <c r="V249" s="44"/>
      <c r="W249" s="44"/>
      <c r="X249" s="44"/>
      <c r="Y249" s="44"/>
    </row>
    <row r="250">
      <c r="A250" s="44"/>
      <c r="B250" s="74"/>
      <c r="C250" s="74"/>
      <c r="D250" s="44"/>
      <c r="E250" s="44"/>
      <c r="F250" s="87" t="s">
        <v>202</v>
      </c>
      <c r="G250" s="99"/>
      <c r="H250" s="79"/>
      <c r="I250" s="78"/>
      <c r="J250" s="78"/>
      <c r="K250" s="78"/>
      <c r="L250" s="78"/>
      <c r="M250" s="78"/>
      <c r="N250" s="44"/>
      <c r="O250" s="44"/>
      <c r="P250" s="44"/>
      <c r="Q250" s="44"/>
      <c r="R250" s="44"/>
      <c r="S250" s="44"/>
      <c r="T250" s="44"/>
      <c r="U250" s="44"/>
      <c r="V250" s="44"/>
      <c r="W250" s="44"/>
      <c r="X250" s="44"/>
      <c r="Y250" s="44"/>
    </row>
    <row r="251">
      <c r="A251" s="65"/>
      <c r="B251" s="74"/>
      <c r="C251" s="77"/>
      <c r="D251" s="44"/>
      <c r="E251" s="44"/>
      <c r="F251" s="87" t="s">
        <v>249</v>
      </c>
      <c r="G251" s="83"/>
      <c r="H251" s="79">
        <v>184.0</v>
      </c>
      <c r="I251" s="78"/>
      <c r="J251" s="78"/>
      <c r="K251" s="78"/>
      <c r="L251" s="78"/>
      <c r="M251" s="78"/>
      <c r="N251" s="44"/>
      <c r="O251" s="44"/>
      <c r="P251" s="44"/>
      <c r="Q251" s="44"/>
      <c r="R251" s="44"/>
      <c r="S251" s="44"/>
      <c r="T251" s="44"/>
      <c r="U251" s="44"/>
      <c r="V251" s="44"/>
      <c r="W251" s="44"/>
      <c r="X251" s="44"/>
      <c r="Y251" s="44"/>
    </row>
    <row r="252">
      <c r="A252" s="65"/>
      <c r="B252" s="74"/>
      <c r="C252" s="77"/>
      <c r="D252" s="44"/>
      <c r="E252" s="44"/>
      <c r="F252" s="87" t="s">
        <v>250</v>
      </c>
      <c r="G252" s="83"/>
      <c r="H252" s="79">
        <v>248.0</v>
      </c>
      <c r="I252" s="78"/>
      <c r="J252" s="78"/>
      <c r="K252" s="78"/>
      <c r="L252" s="78"/>
      <c r="M252" s="78"/>
      <c r="N252" s="44"/>
      <c r="O252" s="44"/>
      <c r="P252" s="44"/>
      <c r="Q252" s="44"/>
      <c r="R252" s="44"/>
      <c r="S252" s="44"/>
      <c r="T252" s="44"/>
      <c r="U252" s="44"/>
      <c r="V252" s="44"/>
      <c r="W252" s="44"/>
      <c r="X252" s="44"/>
      <c r="Y252" s="44"/>
    </row>
    <row r="253">
      <c r="A253" s="65"/>
      <c r="B253" s="74"/>
      <c r="C253" s="77"/>
      <c r="D253" s="44"/>
      <c r="E253" s="44"/>
      <c r="F253" s="87" t="s">
        <v>220</v>
      </c>
      <c r="G253" s="83"/>
      <c r="H253" s="79"/>
      <c r="I253" s="78"/>
      <c r="J253" s="78"/>
      <c r="K253" s="78"/>
      <c r="L253" s="78"/>
      <c r="M253" s="78"/>
      <c r="N253" s="44"/>
      <c r="O253" s="44"/>
      <c r="P253" s="44"/>
      <c r="Q253" s="44"/>
      <c r="R253" s="44"/>
      <c r="S253" s="44"/>
      <c r="T253" s="44"/>
      <c r="U253" s="44"/>
      <c r="V253" s="44"/>
      <c r="W253" s="44"/>
      <c r="X253" s="44"/>
      <c r="Y253" s="44"/>
    </row>
    <row r="254">
      <c r="B254" s="75"/>
      <c r="C254" s="75"/>
      <c r="F254" s="87" t="s">
        <v>225</v>
      </c>
      <c r="H254" s="110"/>
      <c r="I254" s="100"/>
      <c r="J254" s="100"/>
      <c r="K254" s="100"/>
      <c r="L254" s="100"/>
      <c r="M254" s="100"/>
    </row>
    <row r="255">
      <c r="B255" s="75"/>
      <c r="C255" s="75"/>
      <c r="F255" s="111" t="s">
        <v>238</v>
      </c>
      <c r="H255" s="6">
        <v>230.0</v>
      </c>
      <c r="I255" s="100"/>
      <c r="J255" s="100"/>
      <c r="K255" s="100"/>
      <c r="L255" s="100"/>
      <c r="M255" s="100"/>
    </row>
    <row r="256">
      <c r="A256" s="73" t="s">
        <v>85</v>
      </c>
      <c r="B256" s="74"/>
      <c r="C256" s="75"/>
      <c r="D256" s="52"/>
      <c r="E256" s="52"/>
      <c r="F256" s="76"/>
      <c r="G256" s="44"/>
      <c r="H256" s="77"/>
      <c r="I256" s="78"/>
      <c r="J256" s="78"/>
      <c r="K256" s="78"/>
      <c r="L256" s="78"/>
      <c r="M256" s="78"/>
      <c r="N256" s="44"/>
      <c r="O256" s="44"/>
      <c r="P256" s="44"/>
      <c r="Q256" s="44"/>
      <c r="R256" s="44"/>
      <c r="S256" s="44"/>
      <c r="T256" s="44"/>
      <c r="U256" s="44"/>
      <c r="V256" s="44"/>
      <c r="W256" s="44"/>
      <c r="X256" s="44"/>
      <c r="Y256" s="44"/>
    </row>
    <row r="257">
      <c r="A257" s="52"/>
      <c r="B257" s="74"/>
      <c r="C257" s="74"/>
      <c r="D257" s="52"/>
      <c r="E257" s="52"/>
      <c r="F257" s="79" t="s">
        <v>0</v>
      </c>
      <c r="G257" s="44"/>
      <c r="H257" s="77"/>
      <c r="I257" s="78"/>
      <c r="J257" s="78"/>
      <c r="M257" s="78"/>
      <c r="N257" s="44"/>
      <c r="O257" s="44"/>
      <c r="P257" s="44"/>
      <c r="Q257" s="44"/>
      <c r="R257" s="44"/>
      <c r="S257" s="44"/>
      <c r="T257" s="44"/>
      <c r="U257" s="44"/>
      <c r="V257" s="44"/>
      <c r="W257" s="44"/>
      <c r="X257" s="44"/>
      <c r="Y257" s="44"/>
    </row>
    <row r="258">
      <c r="A258" s="80" t="s">
        <v>179</v>
      </c>
      <c r="B258" s="81">
        <v>6535.0</v>
      </c>
      <c r="D258" s="52"/>
      <c r="E258" s="82"/>
      <c r="F258" s="76" t="s">
        <v>4</v>
      </c>
      <c r="G258" s="83"/>
      <c r="H258" s="79">
        <v>100.0</v>
      </c>
      <c r="I258" s="78"/>
      <c r="J258" s="78"/>
      <c r="M258" s="78"/>
      <c r="N258" s="44"/>
      <c r="O258" s="44"/>
      <c r="P258" s="44"/>
      <c r="Q258" s="44"/>
      <c r="R258" s="44"/>
      <c r="S258" s="44"/>
      <c r="T258" s="44"/>
      <c r="U258" s="44"/>
      <c r="V258" s="44"/>
      <c r="W258" s="44"/>
      <c r="X258" s="44"/>
      <c r="Y258" s="44"/>
    </row>
    <row r="259">
      <c r="A259" s="76"/>
      <c r="B259" s="74"/>
      <c r="C259" s="74"/>
      <c r="D259" s="44"/>
      <c r="E259" s="44"/>
      <c r="F259" s="84" t="s">
        <v>207</v>
      </c>
      <c r="G259" s="83"/>
      <c r="H259" s="79">
        <v>120.0</v>
      </c>
      <c r="I259" s="88" t="s">
        <v>251</v>
      </c>
      <c r="J259" s="78"/>
      <c r="M259" s="78"/>
      <c r="N259" s="44"/>
      <c r="O259" s="44"/>
      <c r="P259" s="44"/>
      <c r="Q259" s="44"/>
      <c r="R259" s="44"/>
      <c r="S259" s="44"/>
      <c r="T259" s="44"/>
      <c r="U259" s="44"/>
      <c r="V259" s="44"/>
      <c r="W259" s="44"/>
      <c r="X259" s="44"/>
      <c r="Y259" s="44"/>
    </row>
    <row r="260">
      <c r="A260" s="86" t="s">
        <v>201</v>
      </c>
      <c r="B260" s="81">
        <v>3313.0</v>
      </c>
      <c r="D260" s="44"/>
      <c r="E260" s="44"/>
      <c r="F260" s="87" t="s">
        <v>233</v>
      </c>
      <c r="G260" s="83"/>
      <c r="H260" s="79">
        <v>50.0</v>
      </c>
      <c r="I260" s="88" t="s">
        <v>252</v>
      </c>
      <c r="J260" s="78"/>
      <c r="M260" s="78"/>
      <c r="N260" s="44"/>
      <c r="O260" s="44"/>
      <c r="P260" s="44"/>
      <c r="Q260" s="44"/>
      <c r="R260" s="44"/>
      <c r="S260" s="44"/>
      <c r="T260" s="44"/>
      <c r="U260" s="44"/>
      <c r="V260" s="44"/>
      <c r="W260" s="44"/>
      <c r="X260" s="44"/>
      <c r="Y260" s="44"/>
    </row>
    <row r="261">
      <c r="A261" s="76"/>
      <c r="B261" s="74"/>
      <c r="C261" s="74"/>
      <c r="D261" s="44"/>
      <c r="E261" s="44"/>
      <c r="F261" s="87" t="s">
        <v>7</v>
      </c>
      <c r="G261" s="83"/>
      <c r="H261" s="79">
        <v>10.0</v>
      </c>
      <c r="I261" s="78"/>
      <c r="J261" s="78"/>
      <c r="M261" s="78"/>
      <c r="N261" s="44"/>
      <c r="O261" s="44"/>
      <c r="P261" s="44"/>
      <c r="Q261" s="44"/>
      <c r="R261" s="44"/>
      <c r="S261" s="44"/>
      <c r="T261" s="44"/>
      <c r="U261" s="44"/>
      <c r="V261" s="44"/>
      <c r="W261" s="44"/>
      <c r="X261" s="44"/>
      <c r="Y261" s="44"/>
    </row>
    <row r="262">
      <c r="A262" s="89" t="s">
        <v>253</v>
      </c>
      <c r="B262" s="101">
        <v>3222.0</v>
      </c>
      <c r="C262" s="102"/>
      <c r="D262" s="44"/>
      <c r="E262" s="44"/>
      <c r="F262" s="113" t="s">
        <v>241</v>
      </c>
      <c r="G262" s="83"/>
      <c r="H262" s="79">
        <v>150.0</v>
      </c>
      <c r="I262" s="78"/>
      <c r="J262" s="78"/>
      <c r="K262" s="78"/>
      <c r="L262" s="78"/>
      <c r="M262" s="78"/>
      <c r="N262" s="44"/>
      <c r="O262" s="44"/>
      <c r="P262" s="44"/>
      <c r="Q262" s="44"/>
      <c r="R262" s="44"/>
      <c r="S262" s="44"/>
      <c r="T262" s="44"/>
      <c r="U262" s="44"/>
      <c r="V262" s="44"/>
      <c r="W262" s="44"/>
      <c r="X262" s="44"/>
      <c r="Y262" s="44"/>
    </row>
    <row r="263">
      <c r="B263" s="103"/>
      <c r="C263" s="50"/>
      <c r="D263" s="44"/>
      <c r="E263" s="44"/>
      <c r="F263" s="84" t="s">
        <v>211</v>
      </c>
      <c r="G263" s="83"/>
      <c r="H263" s="79">
        <v>300.0</v>
      </c>
      <c r="I263" s="88" t="s">
        <v>254</v>
      </c>
      <c r="J263" s="78"/>
      <c r="K263" s="78"/>
      <c r="L263" s="78"/>
      <c r="M263" s="78"/>
      <c r="N263" s="44"/>
      <c r="O263" s="44"/>
      <c r="P263" s="44"/>
      <c r="Q263" s="44"/>
      <c r="R263" s="44"/>
      <c r="S263" s="44"/>
      <c r="T263" s="44"/>
      <c r="U263" s="44"/>
      <c r="V263" s="44"/>
      <c r="W263" s="44"/>
      <c r="X263" s="44"/>
      <c r="Y263" s="44"/>
    </row>
    <row r="264">
      <c r="A264" s="94"/>
      <c r="B264" s="74"/>
      <c r="C264" s="74"/>
      <c r="D264" s="44"/>
      <c r="E264" s="44"/>
      <c r="F264" s="87" t="s">
        <v>213</v>
      </c>
      <c r="G264" s="83"/>
      <c r="H264" s="95"/>
      <c r="I264" s="78"/>
      <c r="J264" s="78"/>
      <c r="K264" s="78"/>
      <c r="L264" s="78"/>
      <c r="M264" s="78"/>
      <c r="N264" s="44"/>
      <c r="O264" s="44"/>
      <c r="P264" s="44"/>
      <c r="Q264" s="44"/>
      <c r="R264" s="44"/>
      <c r="S264" s="44"/>
      <c r="T264" s="44"/>
      <c r="U264" s="44"/>
      <c r="V264" s="44"/>
      <c r="W264" s="44"/>
      <c r="X264" s="44"/>
      <c r="Y264" s="44"/>
    </row>
    <row r="265">
      <c r="A265" s="96" t="s">
        <v>214</v>
      </c>
      <c r="B265" s="81" t="s">
        <v>255</v>
      </c>
      <c r="D265" s="52"/>
      <c r="E265" s="44"/>
      <c r="F265" s="76" t="s">
        <v>34</v>
      </c>
      <c r="G265" s="83"/>
      <c r="H265" s="79">
        <v>70.0</v>
      </c>
      <c r="I265" s="78"/>
      <c r="J265" s="78"/>
      <c r="K265" s="78"/>
      <c r="L265" s="78"/>
      <c r="M265" s="78"/>
      <c r="N265" s="44"/>
      <c r="O265" s="44"/>
      <c r="P265" s="44"/>
      <c r="Q265" s="44"/>
      <c r="R265" s="44"/>
      <c r="S265" s="44"/>
      <c r="T265" s="44"/>
      <c r="U265" s="44"/>
      <c r="V265" s="44"/>
      <c r="W265" s="44"/>
      <c r="X265" s="44"/>
      <c r="Y265" s="44"/>
    </row>
    <row r="266">
      <c r="A266" s="96" t="s">
        <v>215</v>
      </c>
      <c r="B266" s="74"/>
      <c r="C266" s="74"/>
      <c r="D266" s="44"/>
      <c r="E266" s="44"/>
      <c r="F266" s="87" t="s">
        <v>216</v>
      </c>
      <c r="G266" s="83"/>
      <c r="H266" s="79">
        <v>164.0</v>
      </c>
      <c r="I266" s="78"/>
      <c r="J266" s="78"/>
      <c r="K266" s="78"/>
      <c r="L266" s="78"/>
      <c r="M266" s="78"/>
      <c r="N266" s="44"/>
      <c r="O266" s="44"/>
      <c r="P266" s="44"/>
      <c r="Q266" s="44"/>
      <c r="R266" s="44"/>
      <c r="S266" s="44"/>
      <c r="T266" s="44"/>
      <c r="U266" s="44"/>
      <c r="V266" s="44"/>
      <c r="W266" s="44"/>
      <c r="X266" s="44"/>
      <c r="Y266" s="44"/>
    </row>
    <row r="267">
      <c r="A267" s="44"/>
      <c r="B267" s="74"/>
      <c r="C267" s="74"/>
      <c r="D267" s="44"/>
      <c r="E267" s="44"/>
      <c r="F267" s="76" t="s">
        <v>108</v>
      </c>
      <c r="G267" s="83"/>
      <c r="H267" s="79">
        <v>80.0</v>
      </c>
      <c r="I267" s="78"/>
      <c r="J267" s="78"/>
      <c r="K267" s="78"/>
      <c r="L267" s="78"/>
      <c r="M267" s="78"/>
      <c r="N267" s="44"/>
      <c r="O267" s="44"/>
      <c r="P267" s="44"/>
      <c r="Q267" s="44"/>
      <c r="R267" s="44"/>
      <c r="S267" s="44"/>
      <c r="T267" s="44"/>
      <c r="U267" s="44"/>
      <c r="V267" s="44"/>
      <c r="W267" s="44"/>
      <c r="X267" s="44"/>
      <c r="Y267" s="44"/>
    </row>
    <row r="268">
      <c r="A268" s="44"/>
      <c r="B268" s="74"/>
      <c r="C268" s="74"/>
      <c r="D268" s="44"/>
      <c r="E268" s="44"/>
      <c r="F268" s="97" t="s">
        <v>156</v>
      </c>
      <c r="G268" s="83"/>
      <c r="H268" s="79">
        <v>1250.0</v>
      </c>
      <c r="I268" s="88" t="s">
        <v>256</v>
      </c>
      <c r="J268" s="78"/>
      <c r="K268" s="78"/>
      <c r="L268" s="78"/>
      <c r="M268" s="78"/>
      <c r="N268" s="44"/>
      <c r="O268" s="44"/>
      <c r="P268" s="44"/>
      <c r="Q268" s="44"/>
      <c r="R268" s="44"/>
      <c r="S268" s="44"/>
      <c r="T268" s="44"/>
      <c r="U268" s="44"/>
      <c r="V268" s="44"/>
      <c r="W268" s="44"/>
      <c r="X268" s="44"/>
      <c r="Y268" s="44"/>
    </row>
    <row r="269">
      <c r="A269" s="44"/>
      <c r="B269" s="74"/>
      <c r="C269" s="74"/>
      <c r="D269" s="44"/>
      <c r="E269" s="44"/>
      <c r="F269" s="84" t="s">
        <v>217</v>
      </c>
      <c r="G269" s="83"/>
      <c r="H269" s="79"/>
      <c r="I269" s="78"/>
      <c r="J269" s="78"/>
      <c r="K269" s="78"/>
      <c r="L269" s="78"/>
      <c r="M269" s="78"/>
      <c r="N269" s="44"/>
      <c r="O269" s="44"/>
      <c r="P269" s="44"/>
      <c r="Q269" s="44"/>
      <c r="R269" s="44"/>
      <c r="S269" s="44"/>
      <c r="T269" s="44"/>
      <c r="U269" s="44"/>
      <c r="V269" s="44"/>
      <c r="W269" s="44"/>
      <c r="X269" s="44"/>
      <c r="Y269" s="44"/>
    </row>
    <row r="270">
      <c r="A270" s="44"/>
      <c r="B270" s="74"/>
      <c r="C270" s="74"/>
      <c r="D270" s="44"/>
      <c r="E270" s="44"/>
      <c r="F270" s="87" t="s">
        <v>218</v>
      </c>
      <c r="G270" s="83"/>
      <c r="H270" s="85"/>
      <c r="I270" s="78"/>
      <c r="J270" s="78"/>
      <c r="K270" s="78"/>
      <c r="L270" s="78"/>
      <c r="M270" s="78"/>
      <c r="N270" s="44"/>
      <c r="O270" s="44"/>
      <c r="P270" s="44"/>
      <c r="Q270" s="44"/>
      <c r="R270" s="44"/>
      <c r="S270" s="44"/>
      <c r="T270" s="44"/>
      <c r="U270" s="44"/>
      <c r="V270" s="44"/>
      <c r="W270" s="44"/>
      <c r="X270" s="44"/>
      <c r="Y270" s="44"/>
    </row>
    <row r="271">
      <c r="A271" s="44"/>
      <c r="B271" s="74"/>
      <c r="C271" s="74"/>
      <c r="D271" s="44"/>
      <c r="E271" s="44"/>
      <c r="F271" s="76" t="s">
        <v>131</v>
      </c>
      <c r="G271" s="83"/>
      <c r="H271" s="85"/>
      <c r="I271" s="78"/>
      <c r="J271" s="78"/>
      <c r="K271" s="78"/>
      <c r="L271" s="78"/>
      <c r="M271" s="78"/>
      <c r="N271" s="44"/>
      <c r="O271" s="44"/>
      <c r="P271" s="44"/>
      <c r="Q271" s="44"/>
      <c r="R271" s="44"/>
      <c r="S271" s="44"/>
      <c r="T271" s="44"/>
      <c r="U271" s="44"/>
      <c r="V271" s="44"/>
      <c r="W271" s="44"/>
      <c r="X271" s="44"/>
      <c r="Y271" s="44"/>
    </row>
    <row r="272">
      <c r="A272" s="44"/>
      <c r="B272" s="74"/>
      <c r="C272" s="74"/>
      <c r="D272" s="44"/>
      <c r="E272" s="44"/>
      <c r="F272" s="76" t="s">
        <v>18</v>
      </c>
      <c r="G272" s="83"/>
      <c r="H272" s="79">
        <v>350.0</v>
      </c>
      <c r="I272" s="78"/>
      <c r="J272" s="78"/>
      <c r="K272" s="78"/>
      <c r="L272" s="78"/>
      <c r="M272" s="78"/>
      <c r="N272" s="44"/>
      <c r="O272" s="44"/>
      <c r="P272" s="44"/>
      <c r="Q272" s="44"/>
      <c r="R272" s="44"/>
      <c r="S272" s="44"/>
      <c r="T272" s="44"/>
      <c r="U272" s="44"/>
      <c r="V272" s="44"/>
      <c r="W272" s="44"/>
      <c r="X272" s="44"/>
      <c r="Y272" s="44"/>
    </row>
    <row r="273">
      <c r="A273" s="44"/>
      <c r="B273" s="74"/>
      <c r="C273" s="74"/>
      <c r="D273" s="44"/>
      <c r="E273" s="44"/>
      <c r="F273" s="98" t="s">
        <v>19</v>
      </c>
      <c r="G273" s="83"/>
      <c r="H273" s="79"/>
      <c r="I273" s="78"/>
      <c r="J273" s="78"/>
      <c r="K273" s="78"/>
      <c r="L273" s="78"/>
      <c r="M273" s="78"/>
      <c r="N273" s="44"/>
      <c r="O273" s="44"/>
      <c r="P273" s="44"/>
      <c r="Q273" s="44"/>
      <c r="R273" s="44"/>
      <c r="S273" s="44"/>
      <c r="T273" s="44"/>
      <c r="U273" s="44"/>
      <c r="V273" s="44"/>
      <c r="W273" s="44"/>
      <c r="X273" s="44"/>
      <c r="Y273" s="44"/>
    </row>
    <row r="274">
      <c r="A274" s="44"/>
      <c r="B274" s="74"/>
      <c r="C274" s="74"/>
      <c r="D274" s="44"/>
      <c r="E274" s="44"/>
      <c r="F274" s="76" t="s">
        <v>20</v>
      </c>
      <c r="G274" s="83"/>
      <c r="H274" s="79"/>
      <c r="I274" s="78"/>
      <c r="J274" s="78"/>
      <c r="K274" s="78"/>
      <c r="L274" s="78"/>
      <c r="M274" s="78"/>
      <c r="N274" s="44"/>
      <c r="O274" s="44"/>
      <c r="P274" s="44"/>
      <c r="Q274" s="44"/>
      <c r="R274" s="44"/>
      <c r="S274" s="44"/>
      <c r="T274" s="44"/>
      <c r="U274" s="44"/>
      <c r="V274" s="44"/>
      <c r="W274" s="44"/>
      <c r="X274" s="44"/>
      <c r="Y274" s="44"/>
    </row>
    <row r="275">
      <c r="A275" s="44"/>
      <c r="B275" s="74"/>
      <c r="C275" s="74"/>
      <c r="D275" s="44"/>
      <c r="E275" s="44"/>
      <c r="F275" s="87" t="s">
        <v>232</v>
      </c>
      <c r="G275" s="83"/>
      <c r="H275" s="79">
        <v>225.0</v>
      </c>
      <c r="I275" s="78"/>
      <c r="J275" s="78"/>
      <c r="K275" s="78"/>
      <c r="L275" s="78"/>
      <c r="M275" s="78"/>
      <c r="N275" s="44"/>
      <c r="O275" s="44"/>
      <c r="P275" s="44"/>
      <c r="Q275" s="44"/>
      <c r="R275" s="44"/>
      <c r="S275" s="44"/>
      <c r="T275" s="44"/>
      <c r="U275" s="44"/>
      <c r="V275" s="44"/>
      <c r="W275" s="44"/>
      <c r="X275" s="44"/>
      <c r="Y275" s="44"/>
    </row>
    <row r="276">
      <c r="A276" s="44"/>
      <c r="B276" s="74"/>
      <c r="C276" s="74"/>
      <c r="D276" s="44"/>
      <c r="E276" s="44"/>
      <c r="F276" s="87" t="s">
        <v>202</v>
      </c>
      <c r="G276" s="99"/>
      <c r="H276" s="79"/>
      <c r="I276" s="78"/>
      <c r="J276" s="78"/>
      <c r="K276" s="78"/>
      <c r="L276" s="78"/>
      <c r="M276" s="78"/>
      <c r="N276" s="44"/>
      <c r="O276" s="44"/>
      <c r="P276" s="44"/>
      <c r="Q276" s="44"/>
      <c r="R276" s="44"/>
      <c r="S276" s="44"/>
      <c r="T276" s="44"/>
      <c r="U276" s="44"/>
      <c r="V276" s="44"/>
      <c r="W276" s="44"/>
      <c r="X276" s="44"/>
      <c r="Y276" s="44"/>
    </row>
    <row r="277">
      <c r="A277" s="65"/>
      <c r="B277" s="74"/>
      <c r="C277" s="77"/>
      <c r="D277" s="44"/>
      <c r="E277" s="44"/>
      <c r="F277" s="87" t="s">
        <v>219</v>
      </c>
      <c r="G277" s="83"/>
      <c r="H277" s="79"/>
      <c r="I277" s="78"/>
      <c r="J277" s="78"/>
      <c r="K277" s="78"/>
      <c r="L277" s="78"/>
      <c r="M277" s="78"/>
      <c r="N277" s="44"/>
      <c r="O277" s="44"/>
      <c r="P277" s="44"/>
      <c r="Q277" s="44"/>
      <c r="R277" s="44"/>
      <c r="S277" s="44"/>
      <c r="T277" s="44"/>
      <c r="U277" s="44"/>
      <c r="V277" s="44"/>
      <c r="W277" s="44"/>
      <c r="X277" s="44"/>
      <c r="Y277" s="44"/>
    </row>
    <row r="278">
      <c r="A278" s="65"/>
      <c r="B278" s="74"/>
      <c r="C278" s="77"/>
      <c r="D278" s="44"/>
      <c r="E278" s="44"/>
      <c r="F278" s="87" t="s">
        <v>220</v>
      </c>
      <c r="G278" s="83"/>
      <c r="H278" s="79">
        <v>337.0</v>
      </c>
      <c r="I278" s="88"/>
      <c r="J278" s="78"/>
      <c r="K278" s="78"/>
      <c r="L278" s="78"/>
      <c r="M278" s="78"/>
      <c r="N278" s="44"/>
      <c r="O278" s="44"/>
      <c r="P278" s="44"/>
      <c r="Q278" s="44"/>
      <c r="R278" s="44"/>
      <c r="S278" s="44"/>
      <c r="T278" s="44"/>
      <c r="U278" s="44"/>
      <c r="V278" s="44"/>
      <c r="W278" s="44"/>
      <c r="X278" s="44"/>
      <c r="Y278" s="44"/>
    </row>
    <row r="279">
      <c r="B279" s="75"/>
      <c r="C279" s="75"/>
      <c r="F279" s="87" t="s">
        <v>225</v>
      </c>
      <c r="H279" s="110"/>
      <c r="I279" s="100"/>
      <c r="J279" s="100"/>
      <c r="K279" s="100"/>
      <c r="L279" s="100"/>
      <c r="M279" s="100"/>
    </row>
    <row r="280">
      <c r="B280" s="75"/>
      <c r="C280" s="75"/>
      <c r="F280" s="111" t="s">
        <v>238</v>
      </c>
      <c r="H280" s="6">
        <v>230.0</v>
      </c>
      <c r="I280" s="100"/>
      <c r="J280" s="100"/>
      <c r="K280" s="100"/>
      <c r="L280" s="100"/>
      <c r="M280" s="100"/>
    </row>
    <row r="281">
      <c r="A281" s="73" t="s">
        <v>257</v>
      </c>
      <c r="B281" s="74"/>
      <c r="C281" s="75"/>
      <c r="D281" s="52"/>
      <c r="E281" s="52"/>
      <c r="F281" s="76"/>
      <c r="G281" s="44"/>
      <c r="H281" s="77"/>
      <c r="I281" s="78"/>
      <c r="J281" s="78"/>
      <c r="K281" s="78"/>
      <c r="L281" s="78"/>
      <c r="M281" s="78"/>
      <c r="N281" s="44"/>
      <c r="O281" s="44"/>
      <c r="P281" s="44"/>
      <c r="Q281" s="44"/>
      <c r="R281" s="44"/>
      <c r="S281" s="44"/>
      <c r="T281" s="44"/>
      <c r="U281" s="44"/>
      <c r="V281" s="44"/>
      <c r="W281" s="44"/>
      <c r="X281" s="44"/>
      <c r="Y281" s="44"/>
    </row>
    <row r="282">
      <c r="A282" s="52"/>
      <c r="B282" s="74"/>
      <c r="C282" s="74"/>
      <c r="D282" s="52"/>
      <c r="E282" s="52"/>
      <c r="F282" s="79" t="s">
        <v>0</v>
      </c>
      <c r="G282" s="44"/>
      <c r="H282" s="77"/>
      <c r="I282" s="78"/>
      <c r="J282" s="78"/>
      <c r="K282" s="78"/>
      <c r="L282" s="78"/>
      <c r="M282" s="78"/>
      <c r="N282" s="44"/>
      <c r="O282" s="44"/>
      <c r="P282" s="44"/>
      <c r="Q282" s="44"/>
      <c r="R282" s="44"/>
      <c r="S282" s="44"/>
      <c r="T282" s="44"/>
      <c r="U282" s="44"/>
      <c r="V282" s="44"/>
      <c r="W282" s="44"/>
      <c r="X282" s="44"/>
      <c r="Y282" s="44"/>
    </row>
    <row r="283">
      <c r="A283" s="80" t="s">
        <v>179</v>
      </c>
      <c r="B283" s="81">
        <v>4900.0</v>
      </c>
      <c r="D283" s="52"/>
      <c r="E283" s="82"/>
      <c r="F283" s="76" t="s">
        <v>4</v>
      </c>
      <c r="G283" s="83"/>
      <c r="H283" s="85"/>
      <c r="I283" s="78"/>
      <c r="J283" s="78"/>
      <c r="K283" s="78"/>
      <c r="L283" s="78"/>
      <c r="M283" s="78"/>
      <c r="N283" s="44"/>
      <c r="O283" s="44"/>
      <c r="P283" s="44"/>
      <c r="Q283" s="44"/>
      <c r="R283" s="44"/>
      <c r="S283" s="44"/>
      <c r="T283" s="44"/>
      <c r="U283" s="44"/>
      <c r="V283" s="44"/>
      <c r="W283" s="44"/>
      <c r="X283" s="44"/>
      <c r="Y283" s="44"/>
    </row>
    <row r="284">
      <c r="A284" s="76"/>
      <c r="B284" s="74"/>
      <c r="C284" s="74"/>
      <c r="D284" s="44"/>
      <c r="E284" s="44"/>
      <c r="F284" s="84" t="s">
        <v>207</v>
      </c>
      <c r="G284" s="83"/>
      <c r="H284" s="85"/>
      <c r="I284" s="78"/>
      <c r="J284" s="78"/>
      <c r="K284" s="78"/>
      <c r="L284" s="78"/>
      <c r="M284" s="78"/>
      <c r="N284" s="44"/>
      <c r="O284" s="44"/>
      <c r="P284" s="44"/>
      <c r="Q284" s="44"/>
      <c r="R284" s="44"/>
      <c r="S284" s="44"/>
      <c r="T284" s="44"/>
      <c r="U284" s="44"/>
      <c r="V284" s="44"/>
      <c r="W284" s="44"/>
      <c r="X284" s="44"/>
      <c r="Y284" s="44"/>
    </row>
    <row r="285">
      <c r="A285" s="86" t="s">
        <v>201</v>
      </c>
      <c r="B285" s="81"/>
      <c r="D285" s="44"/>
      <c r="E285" s="44"/>
      <c r="F285" s="76" t="s">
        <v>6</v>
      </c>
      <c r="G285" s="83"/>
      <c r="H285" s="85"/>
      <c r="I285" s="78"/>
      <c r="J285" s="78"/>
      <c r="K285" s="78"/>
      <c r="L285" s="78"/>
      <c r="M285" s="78"/>
      <c r="N285" s="44"/>
      <c r="O285" s="44"/>
      <c r="P285" s="44"/>
      <c r="Q285" s="44"/>
      <c r="R285" s="44"/>
      <c r="S285" s="44"/>
      <c r="T285" s="44"/>
      <c r="U285" s="44"/>
      <c r="V285" s="44"/>
      <c r="W285" s="44"/>
      <c r="X285" s="44"/>
      <c r="Y285" s="44"/>
    </row>
    <row r="286">
      <c r="A286" s="76"/>
      <c r="B286" s="74"/>
      <c r="C286" s="74"/>
      <c r="D286" s="44"/>
      <c r="E286" s="44"/>
      <c r="F286" s="87" t="s">
        <v>7</v>
      </c>
      <c r="G286" s="83"/>
      <c r="H286" s="79">
        <v>475.0</v>
      </c>
      <c r="I286" s="78"/>
      <c r="J286" s="78"/>
      <c r="K286" s="78"/>
      <c r="L286" s="78"/>
      <c r="M286" s="78"/>
      <c r="N286" s="44"/>
      <c r="O286" s="44"/>
      <c r="P286" s="44"/>
      <c r="Q286" s="44"/>
      <c r="R286" s="44"/>
      <c r="S286" s="44"/>
      <c r="T286" s="44"/>
      <c r="U286" s="44"/>
      <c r="V286" s="44"/>
      <c r="W286" s="44"/>
      <c r="X286" s="44"/>
      <c r="Y286" s="44"/>
    </row>
    <row r="287">
      <c r="A287" s="89" t="s">
        <v>258</v>
      </c>
      <c r="B287" s="115"/>
      <c r="C287" s="102"/>
      <c r="D287" s="44"/>
      <c r="E287" s="44"/>
      <c r="F287" s="84" t="s">
        <v>210</v>
      </c>
      <c r="G287" s="83"/>
      <c r="H287" s="79">
        <v>350.0</v>
      </c>
      <c r="I287" s="78"/>
      <c r="J287" s="78"/>
      <c r="K287" s="78"/>
      <c r="L287" s="78"/>
      <c r="M287" s="78"/>
      <c r="N287" s="44"/>
      <c r="O287" s="44"/>
      <c r="P287" s="44"/>
      <c r="Q287" s="44"/>
      <c r="R287" s="44"/>
      <c r="S287" s="44"/>
      <c r="T287" s="44"/>
      <c r="U287" s="44"/>
      <c r="V287" s="44"/>
      <c r="W287" s="44"/>
      <c r="X287" s="44"/>
      <c r="Y287" s="44"/>
    </row>
    <row r="288">
      <c r="B288" s="103"/>
      <c r="C288" s="50"/>
      <c r="D288" s="44"/>
      <c r="E288" s="44"/>
      <c r="F288" s="84" t="s">
        <v>211</v>
      </c>
      <c r="G288" s="83"/>
      <c r="H288" s="79">
        <v>1179.0</v>
      </c>
      <c r="I288" s="88" t="s">
        <v>259</v>
      </c>
      <c r="J288" s="78"/>
      <c r="K288" s="78"/>
      <c r="L288" s="78"/>
      <c r="M288" s="78"/>
      <c r="N288" s="44"/>
      <c r="O288" s="44"/>
      <c r="P288" s="44"/>
      <c r="Q288" s="44"/>
      <c r="R288" s="44"/>
      <c r="S288" s="44"/>
      <c r="T288" s="44"/>
      <c r="U288" s="44"/>
      <c r="V288" s="44"/>
      <c r="W288" s="44"/>
      <c r="X288" s="44"/>
      <c r="Y288" s="44"/>
    </row>
    <row r="289">
      <c r="A289" s="94"/>
      <c r="B289" s="74"/>
      <c r="C289" s="74"/>
      <c r="D289" s="44"/>
      <c r="E289" s="44"/>
      <c r="F289" s="87" t="s">
        <v>213</v>
      </c>
      <c r="G289" s="83"/>
      <c r="H289" s="79">
        <v>119.0</v>
      </c>
      <c r="I289" s="78"/>
      <c r="J289" s="78"/>
      <c r="K289" s="78"/>
      <c r="L289" s="78"/>
      <c r="M289" s="78"/>
      <c r="N289" s="44"/>
      <c r="O289" s="44"/>
      <c r="P289" s="44"/>
      <c r="Q289" s="44"/>
      <c r="R289" s="44"/>
      <c r="S289" s="44"/>
      <c r="T289" s="44"/>
      <c r="U289" s="44"/>
      <c r="V289" s="44"/>
      <c r="W289" s="44"/>
      <c r="X289" s="44"/>
      <c r="Y289" s="44"/>
    </row>
    <row r="290">
      <c r="A290" s="96" t="s">
        <v>214</v>
      </c>
      <c r="B290" s="116" t="s">
        <v>260</v>
      </c>
      <c r="D290" s="52"/>
      <c r="E290" s="44"/>
      <c r="F290" s="76" t="s">
        <v>34</v>
      </c>
      <c r="G290" s="83"/>
      <c r="H290" s="79">
        <v>72.0</v>
      </c>
      <c r="I290" s="78"/>
      <c r="J290" s="78"/>
      <c r="K290" s="78"/>
      <c r="L290" s="78"/>
      <c r="M290" s="78"/>
      <c r="N290" s="44"/>
      <c r="O290" s="44"/>
      <c r="P290" s="44"/>
      <c r="Q290" s="44"/>
      <c r="R290" s="44"/>
      <c r="S290" s="44"/>
      <c r="T290" s="44"/>
      <c r="U290" s="44"/>
      <c r="V290" s="44"/>
      <c r="W290" s="44"/>
      <c r="X290" s="44"/>
      <c r="Y290" s="44"/>
    </row>
    <row r="291">
      <c r="A291" s="96" t="s">
        <v>215</v>
      </c>
      <c r="D291" s="44"/>
      <c r="E291" s="44"/>
      <c r="F291" s="87" t="s">
        <v>216</v>
      </c>
      <c r="G291" s="83"/>
      <c r="H291" s="79">
        <v>167.0</v>
      </c>
      <c r="I291" s="78"/>
      <c r="J291" s="78"/>
      <c r="K291" s="78"/>
      <c r="L291" s="78"/>
      <c r="M291" s="78"/>
      <c r="N291" s="44"/>
      <c r="O291" s="44"/>
      <c r="P291" s="44"/>
      <c r="Q291" s="44"/>
      <c r="R291" s="44"/>
      <c r="S291" s="44"/>
      <c r="T291" s="44"/>
      <c r="U291" s="44"/>
      <c r="V291" s="44"/>
      <c r="W291" s="44"/>
      <c r="X291" s="44"/>
      <c r="Y291" s="44"/>
    </row>
    <row r="292">
      <c r="A292" s="44"/>
      <c r="B292" s="74"/>
      <c r="C292" s="74"/>
      <c r="D292" s="44"/>
      <c r="E292" s="44"/>
      <c r="F292" s="76" t="s">
        <v>108</v>
      </c>
      <c r="G292" s="83"/>
      <c r="H292" s="79">
        <v>120.0</v>
      </c>
      <c r="I292" s="78"/>
      <c r="J292" s="78"/>
      <c r="K292" s="78"/>
      <c r="L292" s="78"/>
      <c r="M292" s="78"/>
      <c r="N292" s="44"/>
      <c r="O292" s="44"/>
      <c r="P292" s="44"/>
      <c r="Q292" s="44"/>
      <c r="R292" s="44"/>
      <c r="S292" s="44"/>
      <c r="T292" s="44"/>
      <c r="U292" s="44"/>
      <c r="V292" s="44"/>
      <c r="W292" s="44"/>
      <c r="X292" s="44"/>
      <c r="Y292" s="44"/>
    </row>
    <row r="293">
      <c r="A293" s="44"/>
      <c r="B293" s="74"/>
      <c r="C293" s="74"/>
      <c r="D293" s="44"/>
      <c r="E293" s="44"/>
      <c r="F293" s="97" t="s">
        <v>156</v>
      </c>
      <c r="G293" s="83"/>
      <c r="H293" s="79">
        <v>2500.0</v>
      </c>
      <c r="I293" s="88" t="s">
        <v>237</v>
      </c>
      <c r="J293" s="78"/>
      <c r="K293" s="78"/>
      <c r="L293" s="78"/>
      <c r="M293" s="78"/>
      <c r="N293" s="44"/>
      <c r="O293" s="44"/>
      <c r="P293" s="44"/>
      <c r="Q293" s="44"/>
      <c r="R293" s="44"/>
      <c r="S293" s="44"/>
      <c r="T293" s="44"/>
      <c r="U293" s="44"/>
      <c r="V293" s="44"/>
      <c r="W293" s="44"/>
      <c r="X293" s="44"/>
      <c r="Y293" s="44"/>
    </row>
    <row r="294">
      <c r="A294" s="44"/>
      <c r="B294" s="74"/>
      <c r="C294" s="74"/>
      <c r="D294" s="44"/>
      <c r="E294" s="44"/>
      <c r="F294" s="84" t="s">
        <v>217</v>
      </c>
      <c r="G294" s="83"/>
      <c r="H294" s="79"/>
      <c r="I294" s="78"/>
      <c r="J294" s="78"/>
      <c r="K294" s="78"/>
      <c r="L294" s="78"/>
      <c r="M294" s="78"/>
      <c r="N294" s="44"/>
      <c r="O294" s="44"/>
      <c r="P294" s="44"/>
      <c r="Q294" s="44"/>
      <c r="R294" s="44"/>
      <c r="S294" s="44"/>
      <c r="T294" s="44"/>
      <c r="U294" s="44"/>
      <c r="V294" s="44"/>
      <c r="W294" s="44"/>
      <c r="X294" s="44"/>
      <c r="Y294" s="44"/>
    </row>
    <row r="295">
      <c r="A295" s="44"/>
      <c r="B295" s="74"/>
      <c r="C295" s="74"/>
      <c r="D295" s="44"/>
      <c r="E295" s="44"/>
      <c r="F295" s="87" t="s">
        <v>218</v>
      </c>
      <c r="G295" s="83"/>
      <c r="H295" s="85"/>
      <c r="I295" s="78"/>
      <c r="J295" s="78"/>
      <c r="K295" s="78"/>
      <c r="L295" s="78"/>
      <c r="M295" s="78"/>
      <c r="N295" s="44"/>
      <c r="O295" s="44"/>
      <c r="P295" s="44"/>
      <c r="Q295" s="44"/>
      <c r="R295" s="44"/>
      <c r="S295" s="44"/>
      <c r="T295" s="44"/>
      <c r="U295" s="44"/>
      <c r="V295" s="44"/>
      <c r="W295" s="44"/>
      <c r="X295" s="44"/>
      <c r="Y295" s="44"/>
    </row>
    <row r="296">
      <c r="A296" s="44"/>
      <c r="B296" s="74"/>
      <c r="C296" s="74"/>
      <c r="D296" s="44"/>
      <c r="E296" s="44"/>
      <c r="F296" s="76" t="s">
        <v>131</v>
      </c>
      <c r="G296" s="83"/>
      <c r="H296" s="85"/>
      <c r="I296" s="78"/>
      <c r="J296" s="78"/>
      <c r="K296" s="78"/>
      <c r="L296" s="78"/>
      <c r="M296" s="78"/>
      <c r="N296" s="44"/>
      <c r="O296" s="44"/>
      <c r="P296" s="44"/>
      <c r="Q296" s="44"/>
      <c r="R296" s="44"/>
      <c r="S296" s="44"/>
      <c r="T296" s="44"/>
      <c r="U296" s="44"/>
      <c r="V296" s="44"/>
      <c r="W296" s="44"/>
      <c r="X296" s="44"/>
      <c r="Y296" s="44"/>
    </row>
    <row r="297">
      <c r="A297" s="44"/>
      <c r="B297" s="74"/>
      <c r="C297" s="74"/>
      <c r="D297" s="44"/>
      <c r="E297" s="44"/>
      <c r="F297" s="76" t="s">
        <v>18</v>
      </c>
      <c r="G297" s="83"/>
      <c r="H297" s="85"/>
      <c r="I297" s="78"/>
      <c r="J297" s="78"/>
      <c r="K297" s="78"/>
      <c r="L297" s="78"/>
      <c r="M297" s="78"/>
      <c r="N297" s="44"/>
      <c r="O297" s="44"/>
      <c r="P297" s="44"/>
      <c r="Q297" s="44"/>
      <c r="R297" s="44"/>
      <c r="S297" s="44"/>
      <c r="T297" s="44"/>
      <c r="U297" s="44"/>
      <c r="V297" s="44"/>
      <c r="W297" s="44"/>
      <c r="X297" s="44"/>
      <c r="Y297" s="44"/>
    </row>
    <row r="298">
      <c r="A298" s="44"/>
      <c r="B298" s="74"/>
      <c r="C298" s="74"/>
      <c r="D298" s="44"/>
      <c r="E298" s="44"/>
      <c r="F298" s="98" t="s">
        <v>19</v>
      </c>
      <c r="G298" s="83"/>
      <c r="H298" s="85"/>
      <c r="I298" s="78"/>
      <c r="J298" s="78"/>
      <c r="K298" s="78"/>
      <c r="L298" s="78"/>
      <c r="M298" s="78"/>
      <c r="N298" s="44"/>
      <c r="O298" s="44"/>
      <c r="P298" s="44"/>
      <c r="Q298" s="44"/>
      <c r="R298" s="44"/>
      <c r="S298" s="44"/>
      <c r="T298" s="44"/>
      <c r="U298" s="44"/>
      <c r="V298" s="44"/>
      <c r="W298" s="44"/>
      <c r="X298" s="44"/>
      <c r="Y298" s="44"/>
    </row>
    <row r="299">
      <c r="A299" s="44"/>
      <c r="B299" s="74"/>
      <c r="C299" s="74"/>
      <c r="D299" s="44"/>
      <c r="E299" s="44"/>
      <c r="F299" s="76" t="s">
        <v>20</v>
      </c>
      <c r="G299" s="83"/>
      <c r="H299" s="85"/>
      <c r="I299" s="78"/>
      <c r="J299" s="78"/>
      <c r="K299" s="78"/>
      <c r="L299" s="78"/>
      <c r="M299" s="78"/>
      <c r="N299" s="44"/>
      <c r="O299" s="44"/>
      <c r="P299" s="44"/>
      <c r="Q299" s="44"/>
      <c r="R299" s="44"/>
      <c r="S299" s="44"/>
      <c r="T299" s="44"/>
      <c r="U299" s="44"/>
      <c r="V299" s="44"/>
      <c r="W299" s="44"/>
      <c r="X299" s="44"/>
      <c r="Y299" s="44"/>
    </row>
    <row r="300">
      <c r="A300" s="44"/>
      <c r="B300" s="74"/>
      <c r="C300" s="74"/>
      <c r="D300" s="44"/>
      <c r="E300" s="44"/>
      <c r="F300" s="87" t="s">
        <v>232</v>
      </c>
      <c r="G300" s="83"/>
      <c r="H300" s="79">
        <v>770.0</v>
      </c>
      <c r="I300" s="78"/>
      <c r="J300" s="78"/>
      <c r="K300" s="78"/>
      <c r="L300" s="78"/>
      <c r="M300" s="78"/>
      <c r="N300" s="44"/>
      <c r="O300" s="44"/>
      <c r="P300" s="44"/>
      <c r="Q300" s="44"/>
      <c r="R300" s="44"/>
      <c r="S300" s="44"/>
      <c r="T300" s="44"/>
      <c r="U300" s="44"/>
      <c r="V300" s="44"/>
      <c r="W300" s="44"/>
      <c r="X300" s="44"/>
      <c r="Y300" s="44"/>
    </row>
    <row r="301">
      <c r="A301" s="44"/>
      <c r="B301" s="74"/>
      <c r="C301" s="74"/>
      <c r="D301" s="44"/>
      <c r="E301" s="44"/>
      <c r="F301" s="87" t="s">
        <v>244</v>
      </c>
      <c r="G301" s="99"/>
      <c r="H301" s="79">
        <v>80.0</v>
      </c>
      <c r="I301" s="78"/>
      <c r="J301" s="78"/>
      <c r="K301" s="78"/>
      <c r="L301" s="78"/>
      <c r="M301" s="78"/>
      <c r="N301" s="44"/>
      <c r="O301" s="44"/>
      <c r="P301" s="44"/>
      <c r="Q301" s="44"/>
      <c r="R301" s="44"/>
      <c r="S301" s="44"/>
      <c r="T301" s="44"/>
      <c r="U301" s="44"/>
      <c r="V301" s="44"/>
      <c r="W301" s="44"/>
      <c r="X301" s="44"/>
      <c r="Y301" s="44"/>
    </row>
    <row r="302">
      <c r="A302" s="44"/>
      <c r="B302" s="74"/>
      <c r="C302" s="74"/>
      <c r="D302" s="44"/>
      <c r="E302" s="44"/>
      <c r="F302" s="87" t="s">
        <v>202</v>
      </c>
      <c r="G302" s="99"/>
      <c r="H302" s="79"/>
      <c r="I302" s="78"/>
      <c r="J302" s="78"/>
      <c r="K302" s="78"/>
      <c r="L302" s="78"/>
      <c r="M302" s="78"/>
      <c r="N302" s="44"/>
      <c r="O302" s="44"/>
      <c r="P302" s="44"/>
      <c r="Q302" s="44"/>
      <c r="R302" s="44"/>
      <c r="S302" s="44"/>
      <c r="T302" s="44"/>
      <c r="U302" s="44"/>
      <c r="V302" s="44"/>
      <c r="W302" s="44"/>
      <c r="X302" s="44"/>
      <c r="Y302" s="44"/>
    </row>
    <row r="303">
      <c r="A303" s="65"/>
      <c r="B303" s="74"/>
      <c r="C303" s="77"/>
      <c r="D303" s="44"/>
      <c r="E303" s="44"/>
      <c r="F303" s="87" t="s">
        <v>219</v>
      </c>
      <c r="G303" s="83"/>
      <c r="H303" s="79">
        <v>420.0</v>
      </c>
      <c r="I303" s="78"/>
      <c r="J303" s="78"/>
      <c r="K303" s="78"/>
      <c r="L303" s="78"/>
      <c r="M303" s="78"/>
      <c r="N303" s="44"/>
      <c r="O303" s="44"/>
      <c r="P303" s="44"/>
      <c r="Q303" s="44"/>
      <c r="R303" s="44"/>
      <c r="S303" s="44"/>
      <c r="T303" s="44"/>
      <c r="U303" s="44"/>
      <c r="V303" s="44"/>
      <c r="W303" s="44"/>
      <c r="X303" s="44"/>
      <c r="Y303" s="44"/>
    </row>
    <row r="304">
      <c r="A304" s="65"/>
      <c r="B304" s="74"/>
      <c r="C304" s="77"/>
      <c r="D304" s="44"/>
      <c r="E304" s="44"/>
      <c r="F304" s="87" t="s">
        <v>220</v>
      </c>
      <c r="G304" s="83"/>
      <c r="H304" s="79">
        <v>50.0</v>
      </c>
      <c r="I304" s="78"/>
      <c r="J304" s="78"/>
      <c r="K304" s="78"/>
      <c r="L304" s="78"/>
      <c r="M304" s="78"/>
      <c r="N304" s="44"/>
      <c r="O304" s="44"/>
      <c r="P304" s="44"/>
      <c r="Q304" s="44"/>
      <c r="R304" s="44"/>
      <c r="S304" s="44"/>
      <c r="T304" s="44"/>
      <c r="U304" s="44"/>
      <c r="V304" s="44"/>
      <c r="W304" s="44"/>
      <c r="X304" s="44"/>
      <c r="Y304" s="44"/>
    </row>
    <row r="305">
      <c r="B305" s="75"/>
      <c r="C305" s="75"/>
      <c r="F305" s="87" t="s">
        <v>225</v>
      </c>
      <c r="H305" s="110"/>
      <c r="I305" s="100"/>
      <c r="J305" s="100"/>
      <c r="K305" s="100"/>
      <c r="L305" s="100"/>
      <c r="M305" s="100"/>
    </row>
    <row r="306">
      <c r="B306" s="75"/>
      <c r="C306" s="75"/>
      <c r="F306" s="111" t="s">
        <v>261</v>
      </c>
      <c r="H306" s="6">
        <v>415.0</v>
      </c>
      <c r="I306" s="117" t="s">
        <v>262</v>
      </c>
      <c r="J306" s="100"/>
      <c r="K306" s="100"/>
      <c r="L306" s="100"/>
      <c r="M306" s="100"/>
    </row>
    <row r="307">
      <c r="B307" s="75"/>
      <c r="C307" s="75"/>
      <c r="F307" s="111" t="s">
        <v>238</v>
      </c>
      <c r="H307" s="6">
        <v>460.0</v>
      </c>
      <c r="I307" s="100"/>
      <c r="J307" s="100"/>
      <c r="K307" s="100"/>
      <c r="L307" s="100"/>
      <c r="M307" s="100"/>
    </row>
    <row r="308">
      <c r="B308" s="75"/>
      <c r="C308" s="75"/>
      <c r="F308" s="94"/>
      <c r="H308" s="75"/>
      <c r="I308" s="100"/>
      <c r="J308" s="100"/>
      <c r="K308" s="100"/>
      <c r="L308" s="100"/>
      <c r="M308" s="100"/>
    </row>
    <row r="309">
      <c r="A309" s="118" t="s">
        <v>263</v>
      </c>
      <c r="B309" s="118">
        <v>51110.0</v>
      </c>
      <c r="C309" s="75"/>
      <c r="F309" s="94"/>
      <c r="H309" s="75"/>
      <c r="I309" s="100"/>
      <c r="J309" s="100"/>
      <c r="K309" s="100"/>
      <c r="L309" s="100"/>
      <c r="M309" s="100"/>
    </row>
    <row r="310">
      <c r="A310" s="118" t="s">
        <v>264</v>
      </c>
      <c r="B310" s="118">
        <v>4646.0</v>
      </c>
      <c r="C310" s="75"/>
      <c r="F310" s="94"/>
      <c r="H310" s="75"/>
      <c r="I310" s="100"/>
      <c r="J310" s="100"/>
      <c r="K310" s="100"/>
      <c r="L310" s="100"/>
      <c r="M310" s="100"/>
    </row>
    <row r="311">
      <c r="A311" s="119"/>
      <c r="B311" s="119"/>
      <c r="C311" s="75"/>
      <c r="F311" s="94"/>
      <c r="H311" s="75"/>
      <c r="I311" s="100"/>
      <c r="J311" s="100"/>
      <c r="K311" s="100"/>
      <c r="L311" s="100"/>
      <c r="M311" s="100"/>
    </row>
    <row r="312">
      <c r="A312" s="118" t="s">
        <v>265</v>
      </c>
      <c r="B312" s="118">
        <v>33755.0</v>
      </c>
      <c r="C312" s="75"/>
      <c r="F312" s="94"/>
      <c r="H312" s="75"/>
      <c r="I312" s="100"/>
      <c r="J312" s="100"/>
      <c r="K312" s="100"/>
      <c r="L312" s="100"/>
      <c r="M312" s="100"/>
    </row>
    <row r="313">
      <c r="A313" s="118" t="s">
        <v>266</v>
      </c>
      <c r="B313" s="118">
        <v>2812.0</v>
      </c>
      <c r="C313" s="75"/>
      <c r="F313" s="94"/>
      <c r="H313" s="75"/>
      <c r="I313" s="100"/>
      <c r="J313" s="100"/>
      <c r="K313" s="100"/>
      <c r="L313" s="100"/>
      <c r="M313" s="100"/>
    </row>
    <row r="314">
      <c r="B314" s="75"/>
      <c r="C314" s="75"/>
      <c r="F314" s="94"/>
      <c r="H314" s="75"/>
      <c r="I314" s="100"/>
      <c r="J314" s="100"/>
      <c r="K314" s="100"/>
      <c r="L314" s="100"/>
      <c r="M314" s="100"/>
    </row>
    <row r="315">
      <c r="B315" s="75"/>
      <c r="C315" s="75"/>
      <c r="F315" s="94"/>
      <c r="H315" s="75"/>
      <c r="I315" s="100"/>
      <c r="J315" s="100"/>
      <c r="K315" s="100"/>
      <c r="L315" s="100"/>
      <c r="M315" s="100"/>
    </row>
    <row r="316">
      <c r="B316" s="75"/>
      <c r="C316" s="75"/>
      <c r="F316" s="94"/>
      <c r="H316" s="75"/>
      <c r="I316" s="100"/>
      <c r="J316" s="100"/>
      <c r="K316" s="100"/>
      <c r="L316" s="100"/>
      <c r="M316" s="100"/>
    </row>
    <row r="317">
      <c r="B317" s="75"/>
      <c r="C317" s="75"/>
      <c r="F317" s="94"/>
      <c r="H317" s="75"/>
      <c r="I317" s="100"/>
      <c r="J317" s="100"/>
      <c r="K317" s="100"/>
      <c r="L317" s="100"/>
      <c r="M317" s="100"/>
    </row>
    <row r="318">
      <c r="B318" s="75"/>
      <c r="C318" s="75"/>
      <c r="F318" s="94"/>
      <c r="H318" s="75"/>
      <c r="I318" s="100"/>
      <c r="J318" s="100"/>
      <c r="K318" s="100"/>
      <c r="L318" s="100"/>
      <c r="M318" s="100"/>
    </row>
    <row r="319">
      <c r="B319" s="75"/>
      <c r="C319" s="75"/>
      <c r="F319" s="94"/>
      <c r="H319" s="75"/>
      <c r="I319" s="100"/>
      <c r="J319" s="100"/>
      <c r="K319" s="100"/>
      <c r="L319" s="100"/>
      <c r="M319" s="100"/>
    </row>
    <row r="320">
      <c r="B320" s="75"/>
      <c r="C320" s="75"/>
      <c r="F320" s="94"/>
      <c r="H320" s="75"/>
      <c r="I320" s="100"/>
      <c r="J320" s="100"/>
      <c r="K320" s="100"/>
      <c r="L320" s="100"/>
      <c r="M320" s="100"/>
    </row>
    <row r="321">
      <c r="B321" s="75"/>
      <c r="C321" s="75"/>
      <c r="F321" s="94"/>
      <c r="H321" s="75"/>
      <c r="I321" s="100"/>
      <c r="J321" s="100"/>
      <c r="K321" s="100"/>
      <c r="L321" s="100"/>
      <c r="M321" s="100"/>
    </row>
    <row r="322">
      <c r="B322" s="75"/>
      <c r="C322" s="75"/>
      <c r="F322" s="94"/>
      <c r="H322" s="75"/>
      <c r="I322" s="100"/>
      <c r="J322" s="100"/>
      <c r="K322" s="100"/>
      <c r="L322" s="100"/>
      <c r="M322" s="100"/>
    </row>
    <row r="323">
      <c r="B323" s="75"/>
      <c r="C323" s="75"/>
      <c r="F323" s="94"/>
      <c r="H323" s="75"/>
      <c r="I323" s="100"/>
      <c r="J323" s="100"/>
      <c r="K323" s="100"/>
      <c r="L323" s="100"/>
      <c r="M323" s="100"/>
    </row>
    <row r="324">
      <c r="B324" s="75"/>
      <c r="C324" s="75"/>
      <c r="F324" s="94"/>
      <c r="H324" s="75"/>
      <c r="I324" s="100"/>
      <c r="J324" s="100"/>
      <c r="K324" s="100"/>
      <c r="L324" s="100"/>
      <c r="M324" s="100"/>
    </row>
    <row r="325">
      <c r="B325" s="75"/>
      <c r="C325" s="75"/>
      <c r="F325" s="94"/>
      <c r="H325" s="75"/>
      <c r="I325" s="100"/>
      <c r="J325" s="100"/>
      <c r="K325" s="100"/>
      <c r="L325" s="100"/>
      <c r="M325" s="100"/>
    </row>
    <row r="326">
      <c r="B326" s="75"/>
      <c r="C326" s="75"/>
      <c r="F326" s="94"/>
      <c r="H326" s="75"/>
      <c r="I326" s="100"/>
      <c r="J326" s="100"/>
      <c r="K326" s="100"/>
      <c r="L326" s="100"/>
      <c r="M326" s="100"/>
    </row>
    <row r="327">
      <c r="B327" s="75"/>
      <c r="C327" s="75"/>
      <c r="F327" s="94"/>
      <c r="H327" s="75"/>
      <c r="I327" s="100"/>
      <c r="J327" s="100"/>
      <c r="K327" s="100"/>
      <c r="L327" s="100"/>
      <c r="M327" s="100"/>
    </row>
    <row r="328">
      <c r="B328" s="75"/>
      <c r="C328" s="75"/>
      <c r="F328" s="94"/>
      <c r="H328" s="75"/>
      <c r="I328" s="100"/>
      <c r="J328" s="100"/>
      <c r="K328" s="100"/>
      <c r="L328" s="100"/>
      <c r="M328" s="100"/>
    </row>
    <row r="329">
      <c r="B329" s="75"/>
      <c r="C329" s="75"/>
      <c r="F329" s="94"/>
      <c r="H329" s="75"/>
      <c r="I329" s="100"/>
      <c r="J329" s="100"/>
      <c r="K329" s="100"/>
      <c r="L329" s="100"/>
      <c r="M329" s="100"/>
    </row>
    <row r="330">
      <c r="B330" s="75"/>
      <c r="C330" s="75"/>
      <c r="F330" s="94"/>
      <c r="H330" s="75"/>
      <c r="I330" s="100"/>
      <c r="J330" s="100"/>
      <c r="K330" s="100"/>
      <c r="L330" s="100"/>
      <c r="M330" s="100"/>
    </row>
    <row r="331">
      <c r="B331" s="75"/>
      <c r="C331" s="75"/>
      <c r="F331" s="94"/>
      <c r="H331" s="75"/>
      <c r="I331" s="100"/>
      <c r="J331" s="100"/>
      <c r="K331" s="100"/>
      <c r="L331" s="100"/>
      <c r="M331" s="100"/>
    </row>
    <row r="332">
      <c r="B332" s="75"/>
      <c r="C332" s="75"/>
      <c r="F332" s="94"/>
      <c r="H332" s="75"/>
      <c r="I332" s="100"/>
      <c r="J332" s="100"/>
      <c r="K332" s="100"/>
      <c r="L332" s="100"/>
      <c r="M332" s="100"/>
    </row>
    <row r="333">
      <c r="B333" s="75"/>
      <c r="C333" s="75"/>
      <c r="F333" s="94"/>
      <c r="H333" s="75"/>
      <c r="I333" s="100"/>
      <c r="J333" s="100"/>
      <c r="K333" s="100"/>
      <c r="L333" s="100"/>
      <c r="M333" s="100"/>
    </row>
    <row r="334">
      <c r="B334" s="75"/>
      <c r="C334" s="75"/>
      <c r="F334" s="94"/>
      <c r="H334" s="75"/>
      <c r="I334" s="100"/>
      <c r="J334" s="100"/>
      <c r="K334" s="100"/>
      <c r="L334" s="100"/>
      <c r="M334" s="100"/>
    </row>
    <row r="335">
      <c r="B335" s="75"/>
      <c r="C335" s="75"/>
      <c r="F335" s="94"/>
      <c r="H335" s="75"/>
      <c r="I335" s="100"/>
      <c r="J335" s="100"/>
      <c r="K335" s="100"/>
      <c r="L335" s="100"/>
      <c r="M335" s="100"/>
    </row>
    <row r="336">
      <c r="B336" s="75"/>
      <c r="C336" s="75"/>
      <c r="F336" s="94"/>
      <c r="H336" s="75"/>
      <c r="I336" s="100"/>
      <c r="J336" s="100"/>
      <c r="K336" s="100"/>
      <c r="L336" s="100"/>
      <c r="M336" s="100"/>
    </row>
    <row r="337">
      <c r="B337" s="75"/>
      <c r="C337" s="75"/>
      <c r="F337" s="94"/>
      <c r="H337" s="75"/>
      <c r="I337" s="100"/>
      <c r="J337" s="100"/>
      <c r="K337" s="100"/>
      <c r="L337" s="100"/>
      <c r="M337" s="100"/>
    </row>
    <row r="338">
      <c r="B338" s="75"/>
      <c r="C338" s="75"/>
      <c r="F338" s="94"/>
      <c r="H338" s="75"/>
      <c r="I338" s="100"/>
      <c r="J338" s="100"/>
      <c r="K338" s="100"/>
      <c r="L338" s="100"/>
      <c r="M338" s="100"/>
    </row>
    <row r="339">
      <c r="B339" s="75"/>
      <c r="C339" s="75"/>
      <c r="F339" s="94"/>
      <c r="H339" s="75"/>
      <c r="I339" s="100"/>
      <c r="J339" s="100"/>
      <c r="K339" s="100"/>
      <c r="L339" s="100"/>
      <c r="M339" s="100"/>
    </row>
    <row r="340">
      <c r="B340" s="75"/>
      <c r="C340" s="75"/>
      <c r="F340" s="94"/>
      <c r="H340" s="75"/>
      <c r="I340" s="100"/>
      <c r="J340" s="100"/>
      <c r="K340" s="100"/>
      <c r="L340" s="100"/>
      <c r="M340" s="100"/>
    </row>
    <row r="341">
      <c r="B341" s="75"/>
      <c r="C341" s="75"/>
      <c r="F341" s="94"/>
      <c r="H341" s="75"/>
      <c r="I341" s="100"/>
      <c r="J341" s="100"/>
      <c r="K341" s="100"/>
      <c r="L341" s="100"/>
      <c r="M341" s="100"/>
    </row>
    <row r="342">
      <c r="B342" s="75"/>
      <c r="C342" s="75"/>
      <c r="F342" s="94"/>
      <c r="H342" s="75"/>
      <c r="I342" s="100"/>
      <c r="J342" s="100"/>
      <c r="K342" s="100"/>
      <c r="L342" s="100"/>
      <c r="M342" s="100"/>
    </row>
    <row r="343">
      <c r="B343" s="75"/>
      <c r="C343" s="75"/>
      <c r="F343" s="94"/>
      <c r="H343" s="75"/>
      <c r="I343" s="100"/>
      <c r="J343" s="100"/>
      <c r="K343" s="100"/>
      <c r="L343" s="100"/>
      <c r="M343" s="100"/>
    </row>
    <row r="344">
      <c r="B344" s="75"/>
      <c r="C344" s="75"/>
      <c r="F344" s="94"/>
      <c r="H344" s="75"/>
      <c r="I344" s="100"/>
      <c r="J344" s="100"/>
      <c r="K344" s="100"/>
      <c r="L344" s="100"/>
      <c r="M344" s="100"/>
    </row>
    <row r="345">
      <c r="B345" s="75"/>
      <c r="C345" s="75"/>
      <c r="F345" s="94"/>
      <c r="H345" s="75"/>
      <c r="I345" s="100"/>
      <c r="J345" s="100"/>
      <c r="K345" s="100"/>
      <c r="L345" s="100"/>
      <c r="M345" s="100"/>
    </row>
    <row r="346">
      <c r="B346" s="75"/>
      <c r="C346" s="75"/>
      <c r="F346" s="94"/>
      <c r="H346" s="75"/>
      <c r="I346" s="100"/>
      <c r="J346" s="100"/>
      <c r="K346" s="100"/>
      <c r="L346" s="100"/>
      <c r="M346" s="100"/>
    </row>
    <row r="347">
      <c r="B347" s="75"/>
      <c r="C347" s="75"/>
      <c r="F347" s="94"/>
      <c r="H347" s="75"/>
      <c r="I347" s="100"/>
      <c r="J347" s="100"/>
      <c r="K347" s="100"/>
      <c r="L347" s="100"/>
      <c r="M347" s="100"/>
    </row>
    <row r="348">
      <c r="B348" s="75"/>
      <c r="C348" s="75"/>
      <c r="F348" s="94"/>
      <c r="H348" s="75"/>
      <c r="I348" s="100"/>
      <c r="J348" s="100"/>
      <c r="K348" s="100"/>
      <c r="L348" s="100"/>
      <c r="M348" s="100"/>
    </row>
    <row r="349">
      <c r="B349" s="75"/>
      <c r="C349" s="75"/>
      <c r="F349" s="94"/>
      <c r="H349" s="75"/>
      <c r="I349" s="100"/>
      <c r="J349" s="100"/>
      <c r="K349" s="100"/>
      <c r="L349" s="100"/>
      <c r="M349" s="100"/>
    </row>
    <row r="350">
      <c r="B350" s="75"/>
      <c r="C350" s="75"/>
      <c r="F350" s="94"/>
      <c r="H350" s="75"/>
      <c r="I350" s="100"/>
      <c r="J350" s="100"/>
      <c r="K350" s="100"/>
      <c r="L350" s="100"/>
      <c r="M350" s="100"/>
    </row>
    <row r="351">
      <c r="B351" s="75"/>
      <c r="C351" s="75"/>
      <c r="F351" s="94"/>
      <c r="H351" s="75"/>
      <c r="I351" s="100"/>
      <c r="J351" s="100"/>
      <c r="K351" s="100"/>
      <c r="L351" s="100"/>
      <c r="M351" s="100"/>
    </row>
    <row r="352">
      <c r="B352" s="75"/>
      <c r="C352" s="75"/>
      <c r="F352" s="94"/>
      <c r="H352" s="75"/>
      <c r="I352" s="100"/>
      <c r="J352" s="100"/>
      <c r="K352" s="100"/>
      <c r="L352" s="100"/>
      <c r="M352" s="100"/>
    </row>
    <row r="353">
      <c r="B353" s="75"/>
      <c r="C353" s="75"/>
      <c r="F353" s="94"/>
      <c r="H353" s="75"/>
      <c r="I353" s="100"/>
      <c r="J353" s="100"/>
      <c r="K353" s="100"/>
      <c r="L353" s="100"/>
      <c r="M353" s="100"/>
    </row>
    <row r="354">
      <c r="B354" s="75"/>
      <c r="C354" s="75"/>
      <c r="F354" s="94"/>
      <c r="H354" s="75"/>
      <c r="I354" s="100"/>
      <c r="J354" s="100"/>
      <c r="K354" s="100"/>
      <c r="L354" s="100"/>
      <c r="M354" s="100"/>
    </row>
    <row r="355">
      <c r="B355" s="75"/>
      <c r="C355" s="75"/>
      <c r="F355" s="94"/>
      <c r="H355" s="75"/>
      <c r="I355" s="100"/>
      <c r="J355" s="100"/>
      <c r="K355" s="100"/>
      <c r="L355" s="100"/>
      <c r="M355" s="100"/>
    </row>
    <row r="356">
      <c r="B356" s="75"/>
      <c r="C356" s="75"/>
      <c r="F356" s="94"/>
      <c r="H356" s="75"/>
      <c r="I356" s="100"/>
      <c r="J356" s="100"/>
      <c r="K356" s="100"/>
      <c r="L356" s="100"/>
      <c r="M356" s="100"/>
    </row>
    <row r="357">
      <c r="B357" s="75"/>
      <c r="C357" s="75"/>
      <c r="F357" s="94"/>
      <c r="H357" s="75"/>
      <c r="I357" s="100"/>
      <c r="J357" s="100"/>
      <c r="K357" s="100"/>
      <c r="L357" s="100"/>
      <c r="M357" s="100"/>
    </row>
    <row r="358">
      <c r="B358" s="75"/>
      <c r="C358" s="75"/>
      <c r="F358" s="94"/>
      <c r="H358" s="75"/>
      <c r="I358" s="100"/>
      <c r="J358" s="100"/>
      <c r="K358" s="100"/>
      <c r="L358" s="100"/>
      <c r="M358" s="100"/>
    </row>
    <row r="359">
      <c r="B359" s="75"/>
      <c r="C359" s="75"/>
      <c r="F359" s="94"/>
      <c r="H359" s="75"/>
      <c r="I359" s="100"/>
      <c r="J359" s="100"/>
      <c r="K359" s="100"/>
      <c r="L359" s="100"/>
      <c r="M359" s="100"/>
    </row>
    <row r="360">
      <c r="B360" s="75"/>
      <c r="C360" s="75"/>
      <c r="F360" s="94"/>
      <c r="H360" s="75"/>
      <c r="I360" s="100"/>
      <c r="J360" s="100"/>
      <c r="K360" s="100"/>
      <c r="L360" s="100"/>
      <c r="M360" s="100"/>
    </row>
    <row r="361">
      <c r="B361" s="75"/>
      <c r="C361" s="75"/>
      <c r="F361" s="94"/>
      <c r="H361" s="75"/>
      <c r="I361" s="100"/>
      <c r="J361" s="100"/>
      <c r="K361" s="100"/>
      <c r="L361" s="100"/>
      <c r="M361" s="100"/>
    </row>
    <row r="362">
      <c r="B362" s="75"/>
      <c r="C362" s="75"/>
      <c r="F362" s="94"/>
      <c r="H362" s="75"/>
      <c r="I362" s="100"/>
      <c r="J362" s="100"/>
      <c r="K362" s="100"/>
      <c r="L362" s="100"/>
      <c r="M362" s="100"/>
    </row>
    <row r="363">
      <c r="B363" s="75"/>
      <c r="C363" s="75"/>
      <c r="F363" s="94"/>
      <c r="H363" s="75"/>
      <c r="I363" s="100"/>
      <c r="J363" s="100"/>
      <c r="K363" s="100"/>
      <c r="L363" s="100"/>
      <c r="M363" s="100"/>
    </row>
    <row r="364">
      <c r="B364" s="75"/>
      <c r="C364" s="75"/>
      <c r="F364" s="94"/>
      <c r="H364" s="75"/>
      <c r="I364" s="100"/>
      <c r="J364" s="100"/>
      <c r="K364" s="100"/>
      <c r="L364" s="100"/>
      <c r="M364" s="100"/>
    </row>
    <row r="365">
      <c r="B365" s="75"/>
      <c r="C365" s="75"/>
      <c r="F365" s="94"/>
      <c r="H365" s="75"/>
      <c r="I365" s="100"/>
      <c r="J365" s="100"/>
      <c r="K365" s="100"/>
      <c r="L365" s="100"/>
      <c r="M365" s="100"/>
    </row>
    <row r="366">
      <c r="B366" s="75"/>
      <c r="C366" s="75"/>
      <c r="F366" s="94"/>
      <c r="H366" s="75"/>
      <c r="I366" s="100"/>
      <c r="J366" s="100"/>
      <c r="K366" s="100"/>
      <c r="L366" s="100"/>
      <c r="M366" s="100"/>
    </row>
    <row r="367">
      <c r="B367" s="75"/>
      <c r="C367" s="75"/>
      <c r="F367" s="94"/>
      <c r="H367" s="75"/>
      <c r="I367" s="100"/>
      <c r="J367" s="100"/>
      <c r="K367" s="100"/>
      <c r="L367" s="100"/>
      <c r="M367" s="100"/>
    </row>
    <row r="368">
      <c r="B368" s="75"/>
      <c r="C368" s="75"/>
      <c r="F368" s="94"/>
      <c r="H368" s="75"/>
      <c r="I368" s="100"/>
      <c r="J368" s="100"/>
      <c r="K368" s="100"/>
      <c r="L368" s="100"/>
      <c r="M368" s="100"/>
    </row>
    <row r="369">
      <c r="B369" s="75"/>
      <c r="C369" s="75"/>
      <c r="F369" s="94"/>
      <c r="H369" s="75"/>
      <c r="I369" s="100"/>
      <c r="J369" s="100"/>
      <c r="K369" s="100"/>
      <c r="L369" s="100"/>
      <c r="M369" s="100"/>
    </row>
    <row r="370">
      <c r="B370" s="75"/>
      <c r="C370" s="75"/>
      <c r="F370" s="94"/>
      <c r="H370" s="75"/>
      <c r="I370" s="100"/>
      <c r="J370" s="100"/>
      <c r="K370" s="100"/>
      <c r="L370" s="100"/>
      <c r="M370" s="100"/>
    </row>
    <row r="371">
      <c r="B371" s="75"/>
      <c r="C371" s="75"/>
      <c r="F371" s="94"/>
      <c r="H371" s="75"/>
      <c r="I371" s="100"/>
      <c r="J371" s="100"/>
      <c r="K371" s="100"/>
      <c r="L371" s="100"/>
      <c r="M371" s="100"/>
    </row>
    <row r="372">
      <c r="B372" s="75"/>
      <c r="C372" s="75"/>
      <c r="F372" s="94"/>
      <c r="H372" s="75"/>
      <c r="I372" s="100"/>
      <c r="J372" s="100"/>
      <c r="K372" s="100"/>
      <c r="L372" s="100"/>
      <c r="M372" s="100"/>
    </row>
    <row r="373">
      <c r="B373" s="75"/>
      <c r="C373" s="75"/>
      <c r="F373" s="94"/>
      <c r="H373" s="75"/>
      <c r="I373" s="100"/>
      <c r="J373" s="100"/>
      <c r="K373" s="100"/>
      <c r="L373" s="100"/>
      <c r="M373" s="100"/>
    </row>
    <row r="374">
      <c r="B374" s="75"/>
      <c r="C374" s="75"/>
      <c r="F374" s="94"/>
      <c r="H374" s="75"/>
      <c r="I374" s="100"/>
      <c r="J374" s="100"/>
      <c r="K374" s="100"/>
      <c r="L374" s="100"/>
      <c r="M374" s="100"/>
    </row>
    <row r="375">
      <c r="B375" s="75"/>
      <c r="C375" s="75"/>
      <c r="F375" s="94"/>
      <c r="H375" s="75"/>
      <c r="I375" s="100"/>
      <c r="J375" s="100"/>
      <c r="K375" s="100"/>
      <c r="L375" s="100"/>
      <c r="M375" s="100"/>
    </row>
    <row r="376">
      <c r="B376" s="75"/>
      <c r="C376" s="75"/>
      <c r="F376" s="94"/>
      <c r="H376" s="75"/>
      <c r="I376" s="100"/>
      <c r="J376" s="100"/>
      <c r="K376" s="100"/>
      <c r="L376" s="100"/>
      <c r="M376" s="100"/>
    </row>
    <row r="377">
      <c r="B377" s="75"/>
      <c r="C377" s="75"/>
      <c r="F377" s="94"/>
      <c r="H377" s="75"/>
      <c r="I377" s="100"/>
      <c r="J377" s="100"/>
      <c r="K377" s="100"/>
      <c r="L377" s="100"/>
      <c r="M377" s="100"/>
    </row>
    <row r="378">
      <c r="B378" s="75"/>
      <c r="C378" s="75"/>
      <c r="F378" s="94"/>
      <c r="H378" s="75"/>
      <c r="I378" s="100"/>
      <c r="J378" s="100"/>
      <c r="K378" s="100"/>
      <c r="L378" s="100"/>
      <c r="M378" s="100"/>
    </row>
    <row r="379">
      <c r="B379" s="75"/>
      <c r="C379" s="75"/>
      <c r="F379" s="94"/>
      <c r="H379" s="75"/>
      <c r="I379" s="100"/>
      <c r="J379" s="100"/>
      <c r="K379" s="100"/>
      <c r="L379" s="100"/>
      <c r="M379" s="100"/>
    </row>
    <row r="380">
      <c r="B380" s="75"/>
      <c r="C380" s="75"/>
      <c r="F380" s="94"/>
      <c r="H380" s="75"/>
      <c r="I380" s="100"/>
      <c r="J380" s="100"/>
      <c r="K380" s="100"/>
      <c r="L380" s="100"/>
      <c r="M380" s="100"/>
    </row>
    <row r="381">
      <c r="B381" s="75"/>
      <c r="C381" s="75"/>
      <c r="F381" s="94"/>
      <c r="H381" s="75"/>
      <c r="I381" s="100"/>
      <c r="J381" s="100"/>
      <c r="K381" s="100"/>
      <c r="L381" s="100"/>
      <c r="M381" s="100"/>
    </row>
    <row r="382">
      <c r="B382" s="75"/>
      <c r="C382" s="75"/>
      <c r="F382" s="94"/>
      <c r="H382" s="75"/>
      <c r="I382" s="100"/>
      <c r="J382" s="100"/>
      <c r="K382" s="100"/>
      <c r="L382" s="100"/>
      <c r="M382" s="100"/>
    </row>
    <row r="383">
      <c r="B383" s="75"/>
      <c r="C383" s="75"/>
      <c r="F383" s="94"/>
      <c r="H383" s="75"/>
      <c r="I383" s="100"/>
      <c r="J383" s="100"/>
      <c r="K383" s="100"/>
      <c r="L383" s="100"/>
      <c r="M383" s="100"/>
    </row>
    <row r="384">
      <c r="B384" s="75"/>
      <c r="C384" s="75"/>
      <c r="F384" s="94"/>
      <c r="H384" s="75"/>
      <c r="I384" s="100"/>
      <c r="J384" s="100"/>
      <c r="K384" s="100"/>
      <c r="L384" s="100"/>
      <c r="M384" s="100"/>
    </row>
    <row r="385">
      <c r="B385" s="75"/>
      <c r="C385" s="75"/>
      <c r="F385" s="94"/>
      <c r="H385" s="75"/>
      <c r="I385" s="100"/>
      <c r="J385" s="100"/>
      <c r="K385" s="100"/>
      <c r="L385" s="100"/>
      <c r="M385" s="100"/>
    </row>
    <row r="386">
      <c r="B386" s="75"/>
      <c r="C386" s="75"/>
      <c r="F386" s="94"/>
      <c r="H386" s="75"/>
      <c r="I386" s="100"/>
      <c r="J386" s="100"/>
      <c r="K386" s="100"/>
      <c r="L386" s="100"/>
      <c r="M386" s="100"/>
    </row>
    <row r="387">
      <c r="B387" s="75"/>
      <c r="C387" s="75"/>
      <c r="F387" s="94"/>
      <c r="H387" s="75"/>
      <c r="I387" s="100"/>
      <c r="J387" s="100"/>
      <c r="K387" s="100"/>
      <c r="L387" s="100"/>
      <c r="M387" s="100"/>
    </row>
    <row r="388">
      <c r="B388" s="75"/>
      <c r="C388" s="75"/>
      <c r="F388" s="94"/>
      <c r="H388" s="75"/>
      <c r="I388" s="100"/>
      <c r="J388" s="100"/>
      <c r="K388" s="100"/>
      <c r="L388" s="100"/>
      <c r="M388" s="100"/>
    </row>
    <row r="389">
      <c r="B389" s="75"/>
      <c r="C389" s="75"/>
      <c r="F389" s="94"/>
      <c r="H389" s="75"/>
      <c r="I389" s="100"/>
      <c r="J389" s="100"/>
      <c r="K389" s="100"/>
      <c r="L389" s="100"/>
      <c r="M389" s="100"/>
    </row>
    <row r="390">
      <c r="B390" s="75"/>
      <c r="C390" s="75"/>
      <c r="F390" s="94"/>
      <c r="H390" s="75"/>
      <c r="I390" s="100"/>
      <c r="J390" s="100"/>
      <c r="K390" s="100"/>
      <c r="L390" s="100"/>
      <c r="M390" s="100"/>
    </row>
    <row r="391">
      <c r="B391" s="75"/>
      <c r="C391" s="75"/>
      <c r="F391" s="94"/>
      <c r="H391" s="75"/>
      <c r="I391" s="100"/>
      <c r="J391" s="100"/>
      <c r="K391" s="100"/>
      <c r="L391" s="100"/>
      <c r="M391" s="100"/>
    </row>
    <row r="392">
      <c r="B392" s="75"/>
      <c r="C392" s="75"/>
      <c r="F392" s="94"/>
      <c r="H392" s="75"/>
      <c r="I392" s="100"/>
      <c r="J392" s="100"/>
      <c r="K392" s="100"/>
      <c r="L392" s="100"/>
      <c r="M392" s="100"/>
    </row>
    <row r="393">
      <c r="B393" s="75"/>
      <c r="C393" s="75"/>
      <c r="F393" s="94"/>
      <c r="H393" s="75"/>
      <c r="I393" s="100"/>
      <c r="J393" s="100"/>
      <c r="K393" s="100"/>
      <c r="L393" s="100"/>
      <c r="M393" s="100"/>
    </row>
    <row r="394">
      <c r="B394" s="75"/>
      <c r="C394" s="75"/>
      <c r="F394" s="94"/>
      <c r="H394" s="75"/>
      <c r="I394" s="100"/>
      <c r="J394" s="100"/>
      <c r="K394" s="100"/>
      <c r="L394" s="100"/>
      <c r="M394" s="100"/>
    </row>
    <row r="395">
      <c r="B395" s="75"/>
      <c r="C395" s="75"/>
      <c r="F395" s="94"/>
      <c r="H395" s="75"/>
      <c r="I395" s="100"/>
      <c r="J395" s="100"/>
      <c r="K395" s="100"/>
      <c r="L395" s="100"/>
      <c r="M395" s="100"/>
    </row>
    <row r="396">
      <c r="B396" s="75"/>
      <c r="C396" s="75"/>
      <c r="F396" s="94"/>
      <c r="H396" s="75"/>
      <c r="I396" s="100"/>
      <c r="J396" s="100"/>
      <c r="K396" s="100"/>
      <c r="L396" s="100"/>
      <c r="M396" s="100"/>
    </row>
    <row r="397">
      <c r="B397" s="75"/>
      <c r="C397" s="75"/>
      <c r="F397" s="94"/>
      <c r="H397" s="75"/>
      <c r="I397" s="100"/>
      <c r="J397" s="100"/>
      <c r="K397" s="100"/>
      <c r="L397" s="100"/>
      <c r="M397" s="100"/>
    </row>
    <row r="398">
      <c r="B398" s="75"/>
      <c r="C398" s="75"/>
      <c r="F398" s="94"/>
      <c r="H398" s="75"/>
      <c r="I398" s="100"/>
      <c r="J398" s="100"/>
      <c r="K398" s="100"/>
      <c r="L398" s="100"/>
      <c r="M398" s="100"/>
    </row>
    <row r="399">
      <c r="B399" s="75"/>
      <c r="C399" s="75"/>
      <c r="F399" s="94"/>
      <c r="H399" s="75"/>
      <c r="I399" s="100"/>
      <c r="J399" s="100"/>
      <c r="K399" s="100"/>
      <c r="L399" s="100"/>
      <c r="M399" s="100"/>
    </row>
    <row r="400">
      <c r="B400" s="75"/>
      <c r="C400" s="75"/>
      <c r="F400" s="94"/>
      <c r="H400" s="75"/>
      <c r="I400" s="100"/>
      <c r="J400" s="100"/>
      <c r="K400" s="100"/>
      <c r="L400" s="100"/>
      <c r="M400" s="100"/>
    </row>
    <row r="401">
      <c r="B401" s="75"/>
      <c r="C401" s="75"/>
      <c r="F401" s="94"/>
      <c r="H401" s="75"/>
      <c r="I401" s="100"/>
      <c r="J401" s="100"/>
      <c r="K401" s="100"/>
      <c r="L401" s="100"/>
      <c r="M401" s="100"/>
    </row>
    <row r="402">
      <c r="B402" s="75"/>
      <c r="C402" s="75"/>
      <c r="F402" s="94"/>
      <c r="H402" s="75"/>
      <c r="I402" s="100"/>
      <c r="J402" s="100"/>
      <c r="K402" s="100"/>
      <c r="L402" s="100"/>
      <c r="M402" s="100"/>
    </row>
    <row r="403">
      <c r="B403" s="75"/>
      <c r="C403" s="75"/>
      <c r="F403" s="94"/>
      <c r="H403" s="75"/>
      <c r="I403" s="100"/>
      <c r="J403" s="100"/>
      <c r="K403" s="100"/>
      <c r="L403" s="100"/>
      <c r="M403" s="100"/>
    </row>
    <row r="404">
      <c r="B404" s="75"/>
      <c r="C404" s="75"/>
      <c r="F404" s="94"/>
      <c r="H404" s="75"/>
      <c r="I404" s="100"/>
      <c r="J404" s="100"/>
      <c r="K404" s="100"/>
      <c r="L404" s="100"/>
      <c r="M404" s="100"/>
    </row>
    <row r="405">
      <c r="B405" s="75"/>
      <c r="C405" s="75"/>
      <c r="F405" s="94"/>
      <c r="H405" s="75"/>
      <c r="I405" s="100"/>
      <c r="J405" s="100"/>
      <c r="K405" s="100"/>
      <c r="L405" s="100"/>
      <c r="M405" s="100"/>
    </row>
    <row r="406">
      <c r="B406" s="75"/>
      <c r="C406" s="75"/>
      <c r="F406" s="94"/>
      <c r="H406" s="75"/>
      <c r="I406" s="100"/>
      <c r="J406" s="100"/>
      <c r="K406" s="100"/>
      <c r="L406" s="100"/>
      <c r="M406" s="100"/>
    </row>
    <row r="407">
      <c r="B407" s="75"/>
      <c r="C407" s="75"/>
      <c r="F407" s="94"/>
      <c r="H407" s="75"/>
      <c r="I407" s="100"/>
      <c r="J407" s="100"/>
      <c r="K407" s="100"/>
      <c r="L407" s="100"/>
      <c r="M407" s="100"/>
    </row>
    <row r="408">
      <c r="B408" s="75"/>
      <c r="C408" s="75"/>
      <c r="F408" s="94"/>
      <c r="H408" s="75"/>
      <c r="I408" s="100"/>
      <c r="J408" s="100"/>
      <c r="K408" s="100"/>
      <c r="L408" s="100"/>
      <c r="M408" s="100"/>
    </row>
    <row r="409">
      <c r="B409" s="75"/>
      <c r="C409" s="75"/>
      <c r="F409" s="94"/>
      <c r="H409" s="75"/>
      <c r="I409" s="100"/>
      <c r="J409" s="100"/>
      <c r="K409" s="100"/>
      <c r="L409" s="100"/>
      <c r="M409" s="100"/>
    </row>
    <row r="410">
      <c r="B410" s="75"/>
      <c r="C410" s="75"/>
      <c r="F410" s="94"/>
      <c r="H410" s="75"/>
      <c r="I410" s="100"/>
      <c r="J410" s="100"/>
      <c r="K410" s="100"/>
      <c r="L410" s="100"/>
      <c r="M410" s="100"/>
    </row>
    <row r="411">
      <c r="B411" s="75"/>
      <c r="C411" s="75"/>
      <c r="F411" s="94"/>
      <c r="H411" s="75"/>
      <c r="I411" s="100"/>
      <c r="J411" s="100"/>
      <c r="K411" s="100"/>
      <c r="L411" s="100"/>
      <c r="M411" s="100"/>
    </row>
    <row r="412">
      <c r="B412" s="75"/>
      <c r="C412" s="75"/>
      <c r="F412" s="94"/>
      <c r="H412" s="75"/>
      <c r="I412" s="100"/>
      <c r="J412" s="100"/>
      <c r="K412" s="100"/>
      <c r="L412" s="100"/>
      <c r="M412" s="100"/>
    </row>
    <row r="413">
      <c r="B413" s="75"/>
      <c r="C413" s="75"/>
      <c r="F413" s="94"/>
      <c r="H413" s="75"/>
      <c r="I413" s="100"/>
      <c r="J413" s="100"/>
      <c r="K413" s="100"/>
      <c r="L413" s="100"/>
      <c r="M413" s="100"/>
    </row>
    <row r="414">
      <c r="B414" s="75"/>
      <c r="C414" s="75"/>
      <c r="F414" s="94"/>
      <c r="H414" s="75"/>
      <c r="I414" s="100"/>
      <c r="J414" s="100"/>
      <c r="K414" s="100"/>
      <c r="L414" s="100"/>
      <c r="M414" s="100"/>
    </row>
    <row r="415">
      <c r="B415" s="75"/>
      <c r="C415" s="75"/>
      <c r="F415" s="94"/>
      <c r="H415" s="75"/>
      <c r="I415" s="100"/>
      <c r="J415" s="100"/>
      <c r="K415" s="100"/>
      <c r="L415" s="100"/>
      <c r="M415" s="100"/>
    </row>
    <row r="416">
      <c r="B416" s="75"/>
      <c r="C416" s="75"/>
      <c r="F416" s="94"/>
      <c r="H416" s="75"/>
      <c r="I416" s="100"/>
      <c r="J416" s="100"/>
      <c r="K416" s="100"/>
      <c r="L416" s="100"/>
      <c r="M416" s="100"/>
    </row>
    <row r="417">
      <c r="B417" s="75"/>
      <c r="C417" s="75"/>
      <c r="F417" s="94"/>
      <c r="H417" s="75"/>
      <c r="I417" s="100"/>
      <c r="J417" s="100"/>
      <c r="K417" s="100"/>
      <c r="L417" s="100"/>
      <c r="M417" s="100"/>
    </row>
    <row r="418">
      <c r="B418" s="75"/>
      <c r="C418" s="75"/>
      <c r="F418" s="94"/>
      <c r="H418" s="75"/>
      <c r="I418" s="100"/>
      <c r="J418" s="100"/>
      <c r="K418" s="100"/>
      <c r="L418" s="100"/>
      <c r="M418" s="100"/>
    </row>
    <row r="419">
      <c r="B419" s="75"/>
      <c r="C419" s="75"/>
      <c r="F419" s="94"/>
      <c r="H419" s="75"/>
      <c r="I419" s="100"/>
      <c r="J419" s="100"/>
      <c r="K419" s="100"/>
      <c r="L419" s="100"/>
      <c r="M419" s="100"/>
    </row>
    <row r="420">
      <c r="B420" s="75"/>
      <c r="C420" s="75"/>
      <c r="F420" s="94"/>
      <c r="H420" s="75"/>
      <c r="I420" s="100"/>
      <c r="J420" s="100"/>
      <c r="K420" s="100"/>
      <c r="L420" s="100"/>
      <c r="M420" s="100"/>
    </row>
    <row r="421">
      <c r="B421" s="75"/>
      <c r="C421" s="75"/>
      <c r="F421" s="94"/>
      <c r="H421" s="75"/>
      <c r="I421" s="100"/>
      <c r="J421" s="100"/>
      <c r="K421" s="100"/>
      <c r="L421" s="100"/>
      <c r="M421" s="100"/>
    </row>
    <row r="422">
      <c r="B422" s="75"/>
      <c r="C422" s="75"/>
      <c r="F422" s="94"/>
      <c r="H422" s="75"/>
      <c r="I422" s="100"/>
      <c r="J422" s="100"/>
      <c r="K422" s="100"/>
      <c r="L422" s="100"/>
      <c r="M422" s="100"/>
    </row>
    <row r="423">
      <c r="B423" s="75"/>
      <c r="C423" s="75"/>
      <c r="F423" s="94"/>
      <c r="H423" s="75"/>
      <c r="I423" s="100"/>
      <c r="J423" s="100"/>
      <c r="K423" s="100"/>
      <c r="L423" s="100"/>
      <c r="M423" s="100"/>
    </row>
    <row r="424">
      <c r="B424" s="75"/>
      <c r="C424" s="75"/>
      <c r="F424" s="94"/>
      <c r="H424" s="75"/>
      <c r="I424" s="100"/>
      <c r="J424" s="100"/>
      <c r="K424" s="100"/>
      <c r="L424" s="100"/>
      <c r="M424" s="100"/>
    </row>
    <row r="425">
      <c r="B425" s="75"/>
      <c r="C425" s="75"/>
      <c r="F425" s="94"/>
      <c r="H425" s="75"/>
      <c r="I425" s="100"/>
      <c r="J425" s="100"/>
      <c r="K425" s="100"/>
      <c r="L425" s="100"/>
      <c r="M425" s="100"/>
    </row>
    <row r="426">
      <c r="B426" s="75"/>
      <c r="C426" s="75"/>
      <c r="F426" s="94"/>
      <c r="H426" s="75"/>
      <c r="I426" s="100"/>
      <c r="J426" s="100"/>
      <c r="K426" s="100"/>
      <c r="L426" s="100"/>
      <c r="M426" s="100"/>
    </row>
    <row r="427">
      <c r="B427" s="75"/>
      <c r="C427" s="75"/>
      <c r="F427" s="94"/>
      <c r="H427" s="75"/>
      <c r="I427" s="100"/>
      <c r="J427" s="100"/>
      <c r="K427" s="100"/>
      <c r="L427" s="100"/>
      <c r="M427" s="100"/>
    </row>
    <row r="428">
      <c r="B428" s="75"/>
      <c r="C428" s="75"/>
      <c r="F428" s="94"/>
      <c r="H428" s="75"/>
      <c r="I428" s="100"/>
      <c r="J428" s="100"/>
      <c r="K428" s="100"/>
      <c r="L428" s="100"/>
      <c r="M428" s="100"/>
    </row>
    <row r="429">
      <c r="B429" s="75"/>
      <c r="C429" s="75"/>
      <c r="F429" s="94"/>
      <c r="H429" s="75"/>
      <c r="I429" s="100"/>
      <c r="J429" s="100"/>
      <c r="K429" s="100"/>
      <c r="L429" s="100"/>
      <c r="M429" s="100"/>
    </row>
    <row r="430">
      <c r="B430" s="75"/>
      <c r="C430" s="75"/>
      <c r="F430" s="94"/>
      <c r="H430" s="75"/>
      <c r="I430" s="100"/>
      <c r="J430" s="100"/>
      <c r="K430" s="100"/>
      <c r="L430" s="100"/>
      <c r="M430" s="100"/>
    </row>
    <row r="431">
      <c r="B431" s="75"/>
      <c r="C431" s="75"/>
      <c r="F431" s="94"/>
      <c r="H431" s="75"/>
      <c r="I431" s="100"/>
      <c r="J431" s="100"/>
      <c r="K431" s="100"/>
      <c r="L431" s="100"/>
      <c r="M431" s="100"/>
    </row>
    <row r="432">
      <c r="B432" s="75"/>
      <c r="C432" s="75"/>
      <c r="F432" s="94"/>
      <c r="H432" s="75"/>
      <c r="I432" s="100"/>
      <c r="J432" s="100"/>
      <c r="K432" s="100"/>
      <c r="L432" s="100"/>
      <c r="M432" s="100"/>
    </row>
    <row r="433">
      <c r="B433" s="75"/>
      <c r="C433" s="75"/>
      <c r="F433" s="94"/>
      <c r="H433" s="75"/>
      <c r="I433" s="100"/>
      <c r="J433" s="100"/>
      <c r="K433" s="100"/>
      <c r="L433" s="100"/>
      <c r="M433" s="100"/>
    </row>
    <row r="434">
      <c r="B434" s="75"/>
      <c r="C434" s="75"/>
      <c r="F434" s="94"/>
      <c r="H434" s="75"/>
      <c r="I434" s="100"/>
      <c r="J434" s="100"/>
      <c r="K434" s="100"/>
      <c r="L434" s="100"/>
      <c r="M434" s="100"/>
    </row>
    <row r="435">
      <c r="B435" s="75"/>
      <c r="C435" s="75"/>
      <c r="F435" s="94"/>
      <c r="H435" s="75"/>
      <c r="I435" s="100"/>
      <c r="J435" s="100"/>
      <c r="K435" s="100"/>
      <c r="L435" s="100"/>
      <c r="M435" s="100"/>
    </row>
    <row r="436">
      <c r="B436" s="75"/>
      <c r="C436" s="75"/>
      <c r="F436" s="94"/>
      <c r="H436" s="75"/>
      <c r="I436" s="100"/>
      <c r="J436" s="100"/>
      <c r="K436" s="100"/>
      <c r="L436" s="100"/>
      <c r="M436" s="100"/>
    </row>
    <row r="437">
      <c r="B437" s="75"/>
      <c r="C437" s="75"/>
      <c r="F437" s="94"/>
      <c r="H437" s="75"/>
      <c r="I437" s="100"/>
      <c r="J437" s="100"/>
      <c r="K437" s="100"/>
      <c r="L437" s="100"/>
      <c r="M437" s="100"/>
    </row>
    <row r="438">
      <c r="B438" s="75"/>
      <c r="C438" s="75"/>
      <c r="F438" s="94"/>
      <c r="H438" s="75"/>
      <c r="I438" s="100"/>
      <c r="J438" s="100"/>
      <c r="K438" s="100"/>
      <c r="L438" s="100"/>
      <c r="M438" s="100"/>
    </row>
    <row r="439">
      <c r="B439" s="75"/>
      <c r="C439" s="75"/>
      <c r="F439" s="94"/>
      <c r="H439" s="75"/>
      <c r="I439" s="100"/>
      <c r="J439" s="100"/>
      <c r="K439" s="100"/>
      <c r="L439" s="100"/>
      <c r="M439" s="100"/>
    </row>
    <row r="440">
      <c r="B440" s="75"/>
      <c r="C440" s="75"/>
      <c r="F440" s="94"/>
      <c r="H440" s="75"/>
      <c r="I440" s="100"/>
      <c r="J440" s="100"/>
      <c r="K440" s="100"/>
      <c r="L440" s="100"/>
      <c r="M440" s="100"/>
    </row>
    <row r="441">
      <c r="B441" s="75"/>
      <c r="C441" s="75"/>
      <c r="F441" s="94"/>
      <c r="H441" s="75"/>
      <c r="I441" s="100"/>
      <c r="J441" s="100"/>
      <c r="K441" s="100"/>
      <c r="L441" s="100"/>
      <c r="M441" s="100"/>
    </row>
    <row r="442">
      <c r="B442" s="75"/>
      <c r="C442" s="75"/>
      <c r="F442" s="94"/>
      <c r="H442" s="75"/>
      <c r="I442" s="100"/>
      <c r="J442" s="100"/>
      <c r="K442" s="100"/>
      <c r="L442" s="100"/>
      <c r="M442" s="100"/>
    </row>
    <row r="443">
      <c r="B443" s="75"/>
      <c r="C443" s="75"/>
      <c r="F443" s="94"/>
      <c r="H443" s="75"/>
      <c r="I443" s="100"/>
      <c r="J443" s="100"/>
      <c r="K443" s="100"/>
      <c r="L443" s="100"/>
      <c r="M443" s="100"/>
    </row>
    <row r="444">
      <c r="B444" s="75"/>
      <c r="C444" s="75"/>
      <c r="F444" s="94"/>
      <c r="H444" s="75"/>
      <c r="I444" s="100"/>
      <c r="J444" s="100"/>
      <c r="K444" s="100"/>
      <c r="L444" s="100"/>
      <c r="M444" s="100"/>
    </row>
    <row r="445">
      <c r="B445" s="75"/>
      <c r="C445" s="75"/>
      <c r="F445" s="94"/>
      <c r="H445" s="75"/>
      <c r="I445" s="100"/>
      <c r="J445" s="100"/>
      <c r="K445" s="100"/>
      <c r="L445" s="100"/>
      <c r="M445" s="100"/>
    </row>
    <row r="446">
      <c r="B446" s="75"/>
      <c r="C446" s="75"/>
      <c r="F446" s="94"/>
      <c r="H446" s="75"/>
      <c r="I446" s="100"/>
      <c r="J446" s="100"/>
      <c r="K446" s="100"/>
      <c r="L446" s="100"/>
      <c r="M446" s="100"/>
    </row>
    <row r="447">
      <c r="B447" s="75"/>
      <c r="C447" s="75"/>
      <c r="F447" s="94"/>
      <c r="H447" s="75"/>
      <c r="I447" s="100"/>
      <c r="J447" s="100"/>
      <c r="K447" s="100"/>
      <c r="L447" s="100"/>
      <c r="M447" s="100"/>
    </row>
    <row r="448">
      <c r="B448" s="75"/>
      <c r="C448" s="75"/>
      <c r="F448" s="94"/>
      <c r="H448" s="75"/>
      <c r="I448" s="100"/>
      <c r="J448" s="100"/>
      <c r="K448" s="100"/>
      <c r="L448" s="100"/>
      <c r="M448" s="100"/>
    </row>
    <row r="449">
      <c r="B449" s="75"/>
      <c r="C449" s="75"/>
      <c r="F449" s="94"/>
      <c r="H449" s="75"/>
      <c r="I449" s="100"/>
      <c r="J449" s="100"/>
      <c r="K449" s="100"/>
      <c r="L449" s="100"/>
      <c r="M449" s="100"/>
    </row>
    <row r="450">
      <c r="B450" s="75"/>
      <c r="C450" s="75"/>
      <c r="F450" s="94"/>
      <c r="H450" s="75"/>
      <c r="I450" s="100"/>
      <c r="J450" s="100"/>
      <c r="K450" s="100"/>
      <c r="L450" s="100"/>
      <c r="M450" s="100"/>
    </row>
    <row r="451">
      <c r="B451" s="75"/>
      <c r="C451" s="75"/>
      <c r="F451" s="94"/>
      <c r="H451" s="75"/>
      <c r="I451" s="100"/>
      <c r="J451" s="100"/>
      <c r="K451" s="100"/>
      <c r="L451" s="100"/>
      <c r="M451" s="100"/>
    </row>
    <row r="452">
      <c r="B452" s="75"/>
      <c r="C452" s="75"/>
      <c r="F452" s="94"/>
      <c r="H452" s="75"/>
      <c r="I452" s="100"/>
      <c r="J452" s="100"/>
      <c r="K452" s="100"/>
      <c r="L452" s="100"/>
      <c r="M452" s="100"/>
    </row>
    <row r="453">
      <c r="B453" s="75"/>
      <c r="C453" s="75"/>
      <c r="F453" s="94"/>
      <c r="H453" s="75"/>
      <c r="I453" s="100"/>
      <c r="J453" s="100"/>
      <c r="K453" s="100"/>
      <c r="L453" s="100"/>
      <c r="M453" s="100"/>
    </row>
    <row r="454">
      <c r="B454" s="75"/>
      <c r="C454" s="75"/>
      <c r="F454" s="94"/>
      <c r="H454" s="75"/>
      <c r="I454" s="100"/>
      <c r="J454" s="100"/>
      <c r="K454" s="100"/>
      <c r="L454" s="100"/>
      <c r="M454" s="100"/>
    </row>
    <row r="455">
      <c r="B455" s="75"/>
      <c r="C455" s="75"/>
      <c r="F455" s="94"/>
      <c r="H455" s="75"/>
      <c r="I455" s="100"/>
      <c r="J455" s="100"/>
      <c r="K455" s="100"/>
      <c r="L455" s="100"/>
      <c r="M455" s="100"/>
    </row>
    <row r="456">
      <c r="B456" s="75"/>
      <c r="C456" s="75"/>
      <c r="F456" s="94"/>
      <c r="H456" s="75"/>
      <c r="I456" s="100"/>
      <c r="J456" s="100"/>
      <c r="K456" s="100"/>
      <c r="L456" s="100"/>
      <c r="M456" s="100"/>
    </row>
    <row r="457">
      <c r="B457" s="75"/>
      <c r="C457" s="75"/>
      <c r="F457" s="94"/>
      <c r="H457" s="75"/>
      <c r="I457" s="100"/>
      <c r="J457" s="100"/>
      <c r="K457" s="100"/>
      <c r="L457" s="100"/>
      <c r="M457" s="100"/>
    </row>
    <row r="458">
      <c r="B458" s="75"/>
      <c r="C458" s="75"/>
      <c r="F458" s="94"/>
      <c r="H458" s="75"/>
      <c r="I458" s="100"/>
      <c r="J458" s="100"/>
      <c r="K458" s="100"/>
      <c r="L458" s="100"/>
      <c r="M458" s="100"/>
    </row>
    <row r="459">
      <c r="B459" s="75"/>
      <c r="C459" s="75"/>
      <c r="F459" s="94"/>
      <c r="H459" s="75"/>
      <c r="I459" s="100"/>
      <c r="J459" s="100"/>
      <c r="K459" s="100"/>
      <c r="L459" s="100"/>
      <c r="M459" s="100"/>
    </row>
    <row r="460">
      <c r="B460" s="75"/>
      <c r="C460" s="75"/>
      <c r="F460" s="94"/>
      <c r="H460" s="75"/>
      <c r="I460" s="100"/>
      <c r="J460" s="100"/>
      <c r="K460" s="100"/>
      <c r="L460" s="100"/>
      <c r="M460" s="100"/>
    </row>
    <row r="461">
      <c r="B461" s="75"/>
      <c r="C461" s="75"/>
      <c r="F461" s="94"/>
      <c r="H461" s="75"/>
      <c r="I461" s="100"/>
      <c r="J461" s="100"/>
      <c r="K461" s="100"/>
      <c r="L461" s="100"/>
      <c r="M461" s="100"/>
    </row>
    <row r="462">
      <c r="B462" s="75"/>
      <c r="C462" s="75"/>
      <c r="F462" s="94"/>
      <c r="H462" s="75"/>
      <c r="I462" s="100"/>
      <c r="J462" s="100"/>
      <c r="K462" s="100"/>
      <c r="L462" s="100"/>
      <c r="M462" s="100"/>
    </row>
    <row r="463">
      <c r="B463" s="75"/>
      <c r="C463" s="75"/>
      <c r="F463" s="94"/>
      <c r="H463" s="75"/>
      <c r="I463" s="100"/>
      <c r="J463" s="100"/>
      <c r="K463" s="100"/>
      <c r="L463" s="100"/>
      <c r="M463" s="100"/>
    </row>
    <row r="464">
      <c r="B464" s="75"/>
      <c r="C464" s="75"/>
      <c r="F464" s="94"/>
      <c r="H464" s="75"/>
      <c r="I464" s="100"/>
      <c r="J464" s="100"/>
      <c r="K464" s="100"/>
      <c r="L464" s="100"/>
      <c r="M464" s="100"/>
    </row>
    <row r="465">
      <c r="B465" s="75"/>
      <c r="C465" s="75"/>
      <c r="F465" s="94"/>
      <c r="H465" s="75"/>
      <c r="I465" s="100"/>
      <c r="J465" s="100"/>
      <c r="K465" s="100"/>
      <c r="L465" s="100"/>
      <c r="M465" s="100"/>
    </row>
    <row r="466">
      <c r="B466" s="75"/>
      <c r="C466" s="75"/>
      <c r="F466" s="94"/>
      <c r="H466" s="75"/>
      <c r="I466" s="100"/>
      <c r="J466" s="100"/>
      <c r="K466" s="100"/>
      <c r="L466" s="100"/>
      <c r="M466" s="100"/>
    </row>
    <row r="467">
      <c r="B467" s="75"/>
      <c r="C467" s="75"/>
      <c r="F467" s="94"/>
      <c r="H467" s="75"/>
      <c r="I467" s="100"/>
      <c r="J467" s="100"/>
      <c r="K467" s="100"/>
      <c r="L467" s="100"/>
      <c r="M467" s="100"/>
    </row>
    <row r="468">
      <c r="B468" s="75"/>
      <c r="C468" s="75"/>
      <c r="F468" s="94"/>
      <c r="H468" s="75"/>
      <c r="I468" s="100"/>
      <c r="J468" s="100"/>
      <c r="K468" s="100"/>
      <c r="L468" s="100"/>
      <c r="M468" s="100"/>
    </row>
    <row r="469">
      <c r="B469" s="75"/>
      <c r="C469" s="75"/>
      <c r="F469" s="94"/>
      <c r="H469" s="75"/>
      <c r="I469" s="100"/>
      <c r="J469" s="100"/>
      <c r="K469" s="100"/>
      <c r="L469" s="100"/>
      <c r="M469" s="100"/>
    </row>
    <row r="470">
      <c r="B470" s="75"/>
      <c r="C470" s="75"/>
      <c r="F470" s="94"/>
      <c r="H470" s="75"/>
      <c r="I470" s="100"/>
      <c r="J470" s="100"/>
      <c r="K470" s="100"/>
      <c r="L470" s="100"/>
      <c r="M470" s="100"/>
    </row>
    <row r="471">
      <c r="B471" s="75"/>
      <c r="C471" s="75"/>
      <c r="F471" s="94"/>
      <c r="H471" s="75"/>
      <c r="I471" s="100"/>
      <c r="J471" s="100"/>
      <c r="K471" s="100"/>
      <c r="L471" s="100"/>
      <c r="M471" s="100"/>
    </row>
    <row r="472">
      <c r="B472" s="75"/>
      <c r="C472" s="75"/>
      <c r="F472" s="94"/>
      <c r="H472" s="75"/>
      <c r="I472" s="100"/>
      <c r="J472" s="100"/>
      <c r="K472" s="100"/>
      <c r="L472" s="100"/>
      <c r="M472" s="100"/>
    </row>
    <row r="473">
      <c r="B473" s="75"/>
      <c r="C473" s="75"/>
      <c r="F473" s="94"/>
      <c r="H473" s="75"/>
      <c r="I473" s="100"/>
      <c r="J473" s="100"/>
      <c r="K473" s="100"/>
      <c r="L473" s="100"/>
      <c r="M473" s="100"/>
    </row>
    <row r="474">
      <c r="B474" s="75"/>
      <c r="C474" s="75"/>
      <c r="F474" s="94"/>
      <c r="H474" s="75"/>
      <c r="I474" s="100"/>
      <c r="J474" s="100"/>
      <c r="K474" s="100"/>
      <c r="L474" s="100"/>
      <c r="M474" s="100"/>
    </row>
    <row r="475">
      <c r="B475" s="75"/>
      <c r="C475" s="75"/>
      <c r="F475" s="94"/>
      <c r="H475" s="75"/>
      <c r="I475" s="100"/>
      <c r="J475" s="100"/>
      <c r="K475" s="100"/>
      <c r="L475" s="100"/>
      <c r="M475" s="100"/>
    </row>
    <row r="476">
      <c r="B476" s="75"/>
      <c r="C476" s="75"/>
      <c r="F476" s="94"/>
      <c r="H476" s="75"/>
      <c r="I476" s="100"/>
      <c r="J476" s="100"/>
      <c r="K476" s="100"/>
      <c r="L476" s="100"/>
      <c r="M476" s="100"/>
    </row>
    <row r="477">
      <c r="B477" s="75"/>
      <c r="C477" s="75"/>
      <c r="F477" s="94"/>
      <c r="H477" s="75"/>
      <c r="I477" s="100"/>
      <c r="J477" s="100"/>
      <c r="K477" s="100"/>
      <c r="L477" s="100"/>
      <c r="M477" s="100"/>
    </row>
    <row r="478">
      <c r="B478" s="75"/>
      <c r="C478" s="75"/>
      <c r="F478" s="94"/>
      <c r="H478" s="75"/>
      <c r="I478" s="100"/>
      <c r="J478" s="100"/>
      <c r="K478" s="100"/>
      <c r="L478" s="100"/>
      <c r="M478" s="100"/>
    </row>
    <row r="479">
      <c r="B479" s="75"/>
      <c r="C479" s="75"/>
      <c r="F479" s="94"/>
      <c r="H479" s="75"/>
      <c r="I479" s="100"/>
      <c r="J479" s="100"/>
      <c r="K479" s="100"/>
      <c r="L479" s="100"/>
      <c r="M479" s="100"/>
    </row>
    <row r="480">
      <c r="B480" s="75"/>
      <c r="C480" s="75"/>
      <c r="F480" s="94"/>
      <c r="H480" s="75"/>
      <c r="I480" s="100"/>
      <c r="J480" s="100"/>
      <c r="K480" s="100"/>
      <c r="L480" s="100"/>
      <c r="M480" s="100"/>
    </row>
    <row r="481">
      <c r="B481" s="75"/>
      <c r="C481" s="75"/>
      <c r="F481" s="94"/>
      <c r="H481" s="75"/>
      <c r="I481" s="100"/>
      <c r="J481" s="100"/>
      <c r="K481" s="100"/>
      <c r="L481" s="100"/>
      <c r="M481" s="100"/>
    </row>
    <row r="482">
      <c r="B482" s="75"/>
      <c r="C482" s="75"/>
      <c r="F482" s="94"/>
      <c r="H482" s="75"/>
      <c r="I482" s="100"/>
      <c r="J482" s="100"/>
      <c r="K482" s="100"/>
      <c r="L482" s="100"/>
      <c r="M482" s="100"/>
    </row>
    <row r="483">
      <c r="B483" s="75"/>
      <c r="C483" s="75"/>
      <c r="F483" s="94"/>
      <c r="H483" s="75"/>
      <c r="I483" s="100"/>
      <c r="J483" s="100"/>
      <c r="K483" s="100"/>
      <c r="L483" s="100"/>
      <c r="M483" s="100"/>
    </row>
    <row r="484">
      <c r="B484" s="75"/>
      <c r="C484" s="75"/>
      <c r="F484" s="94"/>
      <c r="H484" s="75"/>
      <c r="I484" s="100"/>
      <c r="J484" s="100"/>
      <c r="K484" s="100"/>
      <c r="L484" s="100"/>
      <c r="M484" s="100"/>
    </row>
    <row r="485">
      <c r="B485" s="75"/>
      <c r="C485" s="75"/>
      <c r="F485" s="94"/>
      <c r="H485" s="75"/>
      <c r="I485" s="100"/>
      <c r="J485" s="100"/>
      <c r="K485" s="100"/>
      <c r="L485" s="100"/>
      <c r="M485" s="100"/>
    </row>
    <row r="486">
      <c r="B486" s="75"/>
      <c r="C486" s="75"/>
      <c r="F486" s="94"/>
      <c r="H486" s="75"/>
      <c r="I486" s="100"/>
      <c r="J486" s="100"/>
      <c r="K486" s="100"/>
      <c r="L486" s="100"/>
      <c r="M486" s="100"/>
    </row>
    <row r="487">
      <c r="B487" s="75"/>
      <c r="C487" s="75"/>
      <c r="F487" s="94"/>
      <c r="H487" s="75"/>
      <c r="I487" s="100"/>
      <c r="J487" s="100"/>
      <c r="K487" s="100"/>
      <c r="L487" s="100"/>
      <c r="M487" s="100"/>
    </row>
    <row r="488">
      <c r="B488" s="75"/>
      <c r="C488" s="75"/>
      <c r="F488" s="94"/>
      <c r="H488" s="75"/>
      <c r="I488" s="100"/>
      <c r="J488" s="100"/>
      <c r="K488" s="100"/>
      <c r="L488" s="100"/>
      <c r="M488" s="100"/>
    </row>
    <row r="489">
      <c r="B489" s="75"/>
      <c r="C489" s="75"/>
      <c r="F489" s="94"/>
      <c r="H489" s="75"/>
      <c r="I489" s="100"/>
      <c r="J489" s="100"/>
      <c r="K489" s="100"/>
      <c r="L489" s="100"/>
      <c r="M489" s="100"/>
    </row>
    <row r="490">
      <c r="B490" s="75"/>
      <c r="C490" s="75"/>
      <c r="F490" s="94"/>
      <c r="H490" s="75"/>
      <c r="I490" s="100"/>
      <c r="J490" s="100"/>
      <c r="K490" s="100"/>
      <c r="L490" s="100"/>
      <c r="M490" s="100"/>
    </row>
    <row r="491">
      <c r="B491" s="75"/>
      <c r="C491" s="75"/>
      <c r="F491" s="94"/>
      <c r="H491" s="75"/>
      <c r="I491" s="100"/>
      <c r="J491" s="100"/>
      <c r="K491" s="100"/>
      <c r="L491" s="100"/>
      <c r="M491" s="100"/>
    </row>
    <row r="492">
      <c r="B492" s="75"/>
      <c r="C492" s="75"/>
      <c r="F492" s="94"/>
      <c r="H492" s="75"/>
      <c r="I492" s="100"/>
      <c r="J492" s="100"/>
      <c r="K492" s="100"/>
      <c r="L492" s="100"/>
      <c r="M492" s="100"/>
    </row>
    <row r="493">
      <c r="B493" s="75"/>
      <c r="C493" s="75"/>
      <c r="F493" s="94"/>
      <c r="H493" s="75"/>
      <c r="I493" s="100"/>
      <c r="J493" s="100"/>
      <c r="K493" s="100"/>
      <c r="L493" s="100"/>
      <c r="M493" s="100"/>
    </row>
    <row r="494">
      <c r="B494" s="75"/>
      <c r="C494" s="75"/>
      <c r="F494" s="94"/>
      <c r="H494" s="75"/>
      <c r="I494" s="100"/>
      <c r="J494" s="100"/>
      <c r="K494" s="100"/>
      <c r="L494" s="100"/>
      <c r="M494" s="100"/>
    </row>
    <row r="495">
      <c r="B495" s="75"/>
      <c r="C495" s="75"/>
      <c r="F495" s="94"/>
      <c r="H495" s="75"/>
      <c r="I495" s="100"/>
      <c r="J495" s="100"/>
      <c r="K495" s="100"/>
      <c r="L495" s="100"/>
      <c r="M495" s="100"/>
    </row>
    <row r="496">
      <c r="B496" s="75"/>
      <c r="C496" s="75"/>
      <c r="F496" s="94"/>
      <c r="H496" s="75"/>
      <c r="I496" s="100"/>
      <c r="J496" s="100"/>
      <c r="K496" s="100"/>
      <c r="L496" s="100"/>
      <c r="M496" s="100"/>
    </row>
    <row r="497">
      <c r="B497" s="75"/>
      <c r="C497" s="75"/>
      <c r="F497" s="94"/>
      <c r="H497" s="75"/>
      <c r="I497" s="100"/>
      <c r="J497" s="100"/>
      <c r="K497" s="100"/>
      <c r="L497" s="100"/>
      <c r="M497" s="100"/>
    </row>
    <row r="498">
      <c r="B498" s="75"/>
      <c r="C498" s="75"/>
      <c r="F498" s="94"/>
      <c r="H498" s="75"/>
      <c r="I498" s="100"/>
      <c r="J498" s="100"/>
      <c r="K498" s="100"/>
      <c r="L498" s="100"/>
      <c r="M498" s="100"/>
    </row>
    <row r="499">
      <c r="B499" s="75"/>
      <c r="C499" s="75"/>
      <c r="F499" s="94"/>
      <c r="H499" s="75"/>
      <c r="I499" s="100"/>
      <c r="J499" s="100"/>
      <c r="K499" s="100"/>
      <c r="L499" s="100"/>
      <c r="M499" s="100"/>
    </row>
    <row r="500">
      <c r="B500" s="75"/>
      <c r="C500" s="75"/>
      <c r="F500" s="94"/>
      <c r="H500" s="75"/>
      <c r="I500" s="100"/>
      <c r="J500" s="100"/>
      <c r="K500" s="100"/>
      <c r="L500" s="100"/>
      <c r="M500" s="100"/>
    </row>
    <row r="501">
      <c r="B501" s="75"/>
      <c r="C501" s="75"/>
      <c r="F501" s="94"/>
      <c r="H501" s="75"/>
      <c r="I501" s="100"/>
      <c r="J501" s="100"/>
      <c r="K501" s="100"/>
      <c r="L501" s="100"/>
      <c r="M501" s="100"/>
    </row>
    <row r="502">
      <c r="B502" s="75"/>
      <c r="C502" s="75"/>
      <c r="F502" s="94"/>
      <c r="H502" s="75"/>
      <c r="I502" s="100"/>
      <c r="J502" s="100"/>
      <c r="K502" s="100"/>
      <c r="L502" s="100"/>
      <c r="M502" s="100"/>
    </row>
    <row r="503">
      <c r="B503" s="75"/>
      <c r="C503" s="75"/>
      <c r="F503" s="94"/>
      <c r="H503" s="75"/>
      <c r="I503" s="100"/>
      <c r="J503" s="100"/>
      <c r="K503" s="100"/>
      <c r="L503" s="100"/>
      <c r="M503" s="100"/>
    </row>
    <row r="504">
      <c r="B504" s="75"/>
      <c r="C504" s="75"/>
      <c r="F504" s="94"/>
      <c r="H504" s="75"/>
      <c r="I504" s="100"/>
      <c r="J504" s="100"/>
      <c r="K504" s="100"/>
      <c r="L504" s="100"/>
      <c r="M504" s="100"/>
    </row>
    <row r="505">
      <c r="B505" s="75"/>
      <c r="C505" s="75"/>
      <c r="F505" s="94"/>
      <c r="H505" s="75"/>
      <c r="I505" s="100"/>
      <c r="J505" s="100"/>
      <c r="K505" s="100"/>
      <c r="L505" s="100"/>
      <c r="M505" s="100"/>
    </row>
    <row r="506">
      <c r="B506" s="75"/>
      <c r="C506" s="75"/>
      <c r="F506" s="94"/>
      <c r="H506" s="75"/>
      <c r="I506" s="100"/>
      <c r="J506" s="100"/>
      <c r="K506" s="100"/>
      <c r="L506" s="100"/>
      <c r="M506" s="100"/>
    </row>
    <row r="507">
      <c r="B507" s="75"/>
      <c r="C507" s="75"/>
      <c r="F507" s="94"/>
      <c r="H507" s="75"/>
      <c r="I507" s="100"/>
      <c r="J507" s="100"/>
      <c r="K507" s="100"/>
      <c r="L507" s="100"/>
      <c r="M507" s="100"/>
    </row>
    <row r="508">
      <c r="B508" s="75"/>
      <c r="C508" s="75"/>
      <c r="F508" s="94"/>
      <c r="H508" s="75"/>
      <c r="I508" s="100"/>
      <c r="J508" s="100"/>
      <c r="K508" s="100"/>
      <c r="L508" s="100"/>
      <c r="M508" s="100"/>
    </row>
    <row r="509">
      <c r="B509" s="75"/>
      <c r="C509" s="75"/>
      <c r="F509" s="94"/>
      <c r="H509" s="75"/>
      <c r="I509" s="100"/>
      <c r="J509" s="100"/>
      <c r="K509" s="100"/>
      <c r="L509" s="100"/>
      <c r="M509" s="100"/>
    </row>
    <row r="510">
      <c r="B510" s="75"/>
      <c r="C510" s="75"/>
      <c r="F510" s="94"/>
      <c r="H510" s="75"/>
      <c r="I510" s="100"/>
      <c r="J510" s="100"/>
      <c r="K510" s="100"/>
      <c r="L510" s="100"/>
      <c r="M510" s="100"/>
    </row>
    <row r="511">
      <c r="B511" s="75"/>
      <c r="C511" s="75"/>
      <c r="F511" s="94"/>
      <c r="H511" s="75"/>
      <c r="I511" s="100"/>
      <c r="J511" s="100"/>
      <c r="K511" s="100"/>
      <c r="L511" s="100"/>
      <c r="M511" s="100"/>
    </row>
    <row r="512">
      <c r="B512" s="75"/>
      <c r="C512" s="75"/>
      <c r="F512" s="94"/>
      <c r="H512" s="75"/>
      <c r="I512" s="100"/>
      <c r="J512" s="100"/>
      <c r="K512" s="100"/>
      <c r="L512" s="100"/>
      <c r="M512" s="100"/>
    </row>
    <row r="513">
      <c r="B513" s="75"/>
      <c r="C513" s="75"/>
      <c r="F513" s="94"/>
      <c r="H513" s="75"/>
      <c r="I513" s="100"/>
      <c r="J513" s="100"/>
      <c r="K513" s="100"/>
      <c r="L513" s="100"/>
      <c r="M513" s="100"/>
    </row>
    <row r="514">
      <c r="B514" s="75"/>
      <c r="C514" s="75"/>
      <c r="F514" s="94"/>
      <c r="H514" s="75"/>
      <c r="I514" s="100"/>
      <c r="J514" s="100"/>
      <c r="K514" s="100"/>
      <c r="L514" s="100"/>
      <c r="M514" s="100"/>
    </row>
    <row r="515">
      <c r="B515" s="75"/>
      <c r="C515" s="75"/>
      <c r="F515" s="94"/>
      <c r="H515" s="75"/>
      <c r="I515" s="100"/>
      <c r="J515" s="100"/>
      <c r="K515" s="100"/>
      <c r="L515" s="100"/>
      <c r="M515" s="100"/>
    </row>
    <row r="516">
      <c r="B516" s="75"/>
      <c r="C516" s="75"/>
      <c r="F516" s="94"/>
      <c r="H516" s="75"/>
      <c r="I516" s="100"/>
      <c r="J516" s="100"/>
      <c r="K516" s="100"/>
      <c r="L516" s="100"/>
      <c r="M516" s="100"/>
    </row>
    <row r="517">
      <c r="B517" s="75"/>
      <c r="C517" s="75"/>
      <c r="F517" s="94"/>
      <c r="H517" s="75"/>
      <c r="I517" s="100"/>
      <c r="J517" s="100"/>
      <c r="K517" s="100"/>
      <c r="L517" s="100"/>
      <c r="M517" s="100"/>
    </row>
    <row r="518">
      <c r="B518" s="75"/>
      <c r="C518" s="75"/>
      <c r="F518" s="94"/>
      <c r="H518" s="75"/>
      <c r="I518" s="100"/>
      <c r="J518" s="100"/>
      <c r="K518" s="100"/>
      <c r="L518" s="100"/>
      <c r="M518" s="100"/>
    </row>
    <row r="519">
      <c r="B519" s="75"/>
      <c r="C519" s="75"/>
      <c r="F519" s="94"/>
      <c r="H519" s="75"/>
      <c r="I519" s="100"/>
      <c r="J519" s="100"/>
      <c r="K519" s="100"/>
      <c r="L519" s="100"/>
      <c r="M519" s="100"/>
    </row>
    <row r="520">
      <c r="B520" s="75"/>
      <c r="C520" s="75"/>
      <c r="F520" s="94"/>
      <c r="H520" s="75"/>
      <c r="I520" s="100"/>
      <c r="J520" s="100"/>
      <c r="K520" s="100"/>
      <c r="L520" s="100"/>
      <c r="M520" s="100"/>
    </row>
    <row r="521">
      <c r="B521" s="75"/>
      <c r="C521" s="75"/>
      <c r="F521" s="94"/>
      <c r="H521" s="75"/>
      <c r="I521" s="100"/>
      <c r="J521" s="100"/>
      <c r="K521" s="100"/>
      <c r="L521" s="100"/>
      <c r="M521" s="100"/>
    </row>
    <row r="522">
      <c r="B522" s="75"/>
      <c r="C522" s="75"/>
      <c r="F522" s="94"/>
      <c r="H522" s="75"/>
      <c r="I522" s="100"/>
      <c r="J522" s="100"/>
      <c r="K522" s="100"/>
      <c r="L522" s="100"/>
      <c r="M522" s="100"/>
    </row>
    <row r="523">
      <c r="B523" s="75"/>
      <c r="C523" s="75"/>
      <c r="F523" s="94"/>
      <c r="H523" s="75"/>
      <c r="I523" s="100"/>
      <c r="J523" s="100"/>
      <c r="K523" s="100"/>
      <c r="L523" s="100"/>
      <c r="M523" s="100"/>
    </row>
    <row r="524">
      <c r="B524" s="75"/>
      <c r="C524" s="75"/>
      <c r="F524" s="94"/>
      <c r="H524" s="75"/>
      <c r="I524" s="100"/>
      <c r="J524" s="100"/>
      <c r="K524" s="100"/>
      <c r="L524" s="100"/>
      <c r="M524" s="100"/>
    </row>
    <row r="525">
      <c r="B525" s="75"/>
      <c r="C525" s="75"/>
      <c r="F525" s="94"/>
      <c r="H525" s="75"/>
      <c r="I525" s="100"/>
      <c r="J525" s="100"/>
      <c r="K525" s="100"/>
      <c r="L525" s="100"/>
      <c r="M525" s="100"/>
    </row>
    <row r="526">
      <c r="B526" s="75"/>
      <c r="C526" s="75"/>
      <c r="F526" s="94"/>
      <c r="H526" s="75"/>
      <c r="I526" s="100"/>
      <c r="J526" s="100"/>
      <c r="K526" s="100"/>
      <c r="L526" s="100"/>
      <c r="M526" s="100"/>
    </row>
    <row r="527">
      <c r="B527" s="75"/>
      <c r="C527" s="75"/>
      <c r="F527" s="94"/>
      <c r="H527" s="75"/>
      <c r="I527" s="100"/>
      <c r="J527" s="100"/>
      <c r="K527" s="100"/>
      <c r="L527" s="100"/>
      <c r="M527" s="100"/>
    </row>
    <row r="528">
      <c r="B528" s="75"/>
      <c r="C528" s="75"/>
      <c r="F528" s="94"/>
      <c r="H528" s="75"/>
      <c r="I528" s="100"/>
      <c r="J528" s="100"/>
      <c r="K528" s="100"/>
      <c r="L528" s="100"/>
      <c r="M528" s="100"/>
    </row>
    <row r="529">
      <c r="B529" s="75"/>
      <c r="C529" s="75"/>
      <c r="F529" s="94"/>
      <c r="H529" s="75"/>
      <c r="I529" s="100"/>
      <c r="J529" s="100"/>
      <c r="K529" s="100"/>
      <c r="L529" s="100"/>
      <c r="M529" s="100"/>
    </row>
    <row r="530">
      <c r="B530" s="75"/>
      <c r="C530" s="75"/>
      <c r="F530" s="94"/>
      <c r="H530" s="75"/>
      <c r="I530" s="100"/>
      <c r="J530" s="100"/>
      <c r="K530" s="100"/>
      <c r="L530" s="100"/>
      <c r="M530" s="100"/>
    </row>
    <row r="531">
      <c r="B531" s="75"/>
      <c r="C531" s="75"/>
      <c r="F531" s="94"/>
      <c r="H531" s="75"/>
      <c r="I531" s="100"/>
      <c r="J531" s="100"/>
      <c r="K531" s="100"/>
      <c r="L531" s="100"/>
      <c r="M531" s="100"/>
    </row>
    <row r="532">
      <c r="B532" s="75"/>
      <c r="C532" s="75"/>
      <c r="F532" s="94"/>
      <c r="H532" s="75"/>
      <c r="I532" s="100"/>
      <c r="J532" s="100"/>
      <c r="K532" s="100"/>
      <c r="L532" s="100"/>
      <c r="M532" s="100"/>
    </row>
    <row r="533">
      <c r="B533" s="75"/>
      <c r="C533" s="75"/>
      <c r="F533" s="94"/>
      <c r="H533" s="75"/>
      <c r="I533" s="100"/>
      <c r="J533" s="100"/>
      <c r="K533" s="100"/>
      <c r="L533" s="100"/>
      <c r="M533" s="100"/>
    </row>
    <row r="534">
      <c r="B534" s="75"/>
      <c r="C534" s="75"/>
      <c r="F534" s="94"/>
      <c r="H534" s="75"/>
      <c r="I534" s="100"/>
      <c r="J534" s="100"/>
      <c r="K534" s="100"/>
      <c r="L534" s="100"/>
      <c r="M534" s="100"/>
    </row>
    <row r="535">
      <c r="B535" s="75"/>
      <c r="C535" s="75"/>
      <c r="F535" s="94"/>
      <c r="H535" s="75"/>
      <c r="I535" s="100"/>
      <c r="J535" s="100"/>
      <c r="K535" s="100"/>
      <c r="L535" s="100"/>
      <c r="M535" s="100"/>
    </row>
    <row r="536">
      <c r="B536" s="75"/>
      <c r="C536" s="75"/>
      <c r="F536" s="94"/>
      <c r="H536" s="75"/>
      <c r="I536" s="100"/>
      <c r="J536" s="100"/>
      <c r="K536" s="100"/>
      <c r="L536" s="100"/>
      <c r="M536" s="100"/>
    </row>
    <row r="537">
      <c r="B537" s="75"/>
      <c r="C537" s="75"/>
      <c r="F537" s="94"/>
      <c r="H537" s="75"/>
      <c r="I537" s="100"/>
      <c r="J537" s="100"/>
      <c r="K537" s="100"/>
      <c r="L537" s="100"/>
      <c r="M537" s="100"/>
    </row>
    <row r="538">
      <c r="B538" s="75"/>
      <c r="C538" s="75"/>
      <c r="F538" s="94"/>
      <c r="H538" s="75"/>
      <c r="I538" s="100"/>
      <c r="J538" s="100"/>
      <c r="K538" s="100"/>
      <c r="L538" s="100"/>
      <c r="M538" s="100"/>
    </row>
    <row r="539">
      <c r="B539" s="75"/>
      <c r="C539" s="75"/>
      <c r="F539" s="94"/>
      <c r="H539" s="75"/>
      <c r="I539" s="100"/>
      <c r="J539" s="100"/>
      <c r="K539" s="100"/>
      <c r="L539" s="100"/>
      <c r="M539" s="100"/>
    </row>
    <row r="540">
      <c r="B540" s="75"/>
      <c r="C540" s="75"/>
      <c r="F540" s="94"/>
      <c r="H540" s="75"/>
      <c r="I540" s="100"/>
      <c r="J540" s="100"/>
      <c r="K540" s="100"/>
      <c r="L540" s="100"/>
      <c r="M540" s="100"/>
    </row>
    <row r="541">
      <c r="B541" s="75"/>
      <c r="C541" s="75"/>
      <c r="F541" s="94"/>
      <c r="H541" s="75"/>
      <c r="I541" s="100"/>
      <c r="J541" s="100"/>
      <c r="K541" s="100"/>
      <c r="L541" s="100"/>
      <c r="M541" s="100"/>
    </row>
    <row r="542">
      <c r="B542" s="75"/>
      <c r="C542" s="75"/>
      <c r="F542" s="94"/>
      <c r="H542" s="75"/>
      <c r="I542" s="100"/>
      <c r="J542" s="100"/>
      <c r="K542" s="100"/>
      <c r="L542" s="100"/>
      <c r="M542" s="100"/>
    </row>
    <row r="543">
      <c r="B543" s="75"/>
      <c r="C543" s="75"/>
      <c r="F543" s="94"/>
      <c r="H543" s="75"/>
      <c r="I543" s="100"/>
      <c r="J543" s="100"/>
      <c r="K543" s="100"/>
      <c r="L543" s="100"/>
      <c r="M543" s="100"/>
    </row>
    <row r="544">
      <c r="B544" s="75"/>
      <c r="C544" s="75"/>
      <c r="F544" s="94"/>
      <c r="H544" s="75"/>
      <c r="I544" s="100"/>
      <c r="J544" s="100"/>
      <c r="K544" s="100"/>
      <c r="L544" s="100"/>
      <c r="M544" s="100"/>
    </row>
    <row r="545">
      <c r="B545" s="75"/>
      <c r="C545" s="75"/>
      <c r="F545" s="94"/>
      <c r="H545" s="75"/>
      <c r="I545" s="100"/>
      <c r="J545" s="100"/>
      <c r="K545" s="100"/>
      <c r="L545" s="100"/>
      <c r="M545" s="100"/>
    </row>
    <row r="546">
      <c r="B546" s="75"/>
      <c r="C546" s="75"/>
      <c r="F546" s="94"/>
      <c r="H546" s="75"/>
      <c r="I546" s="100"/>
      <c r="J546" s="100"/>
      <c r="K546" s="100"/>
      <c r="L546" s="100"/>
      <c r="M546" s="100"/>
    </row>
    <row r="547">
      <c r="B547" s="75"/>
      <c r="C547" s="75"/>
      <c r="F547" s="94"/>
      <c r="H547" s="75"/>
      <c r="I547" s="100"/>
      <c r="J547" s="100"/>
      <c r="K547" s="100"/>
      <c r="L547" s="100"/>
      <c r="M547" s="100"/>
    </row>
    <row r="548">
      <c r="B548" s="75"/>
      <c r="C548" s="75"/>
      <c r="F548" s="94"/>
      <c r="H548" s="75"/>
      <c r="I548" s="100"/>
      <c r="J548" s="100"/>
      <c r="K548" s="100"/>
      <c r="L548" s="100"/>
      <c r="M548" s="100"/>
    </row>
    <row r="549">
      <c r="B549" s="75"/>
      <c r="C549" s="75"/>
      <c r="F549" s="94"/>
      <c r="H549" s="75"/>
      <c r="I549" s="100"/>
      <c r="J549" s="100"/>
      <c r="K549" s="100"/>
      <c r="L549" s="100"/>
      <c r="M549" s="100"/>
    </row>
    <row r="550">
      <c r="B550" s="75"/>
      <c r="C550" s="75"/>
      <c r="F550" s="94"/>
      <c r="H550" s="75"/>
      <c r="I550" s="100"/>
      <c r="J550" s="100"/>
      <c r="K550" s="100"/>
      <c r="L550" s="100"/>
      <c r="M550" s="100"/>
    </row>
    <row r="551">
      <c r="B551" s="75"/>
      <c r="C551" s="75"/>
      <c r="F551" s="94"/>
      <c r="H551" s="75"/>
      <c r="I551" s="100"/>
      <c r="J551" s="100"/>
      <c r="K551" s="100"/>
      <c r="L551" s="100"/>
      <c r="M551" s="100"/>
    </row>
    <row r="552">
      <c r="B552" s="75"/>
      <c r="C552" s="75"/>
      <c r="F552" s="94"/>
      <c r="H552" s="75"/>
      <c r="I552" s="100"/>
      <c r="J552" s="100"/>
      <c r="K552" s="100"/>
      <c r="L552" s="100"/>
      <c r="M552" s="100"/>
    </row>
    <row r="553">
      <c r="B553" s="75"/>
      <c r="C553" s="75"/>
      <c r="F553" s="94"/>
      <c r="H553" s="75"/>
      <c r="I553" s="100"/>
      <c r="J553" s="100"/>
      <c r="K553" s="100"/>
      <c r="L553" s="100"/>
      <c r="M553" s="100"/>
    </row>
    <row r="554">
      <c r="B554" s="75"/>
      <c r="C554" s="75"/>
      <c r="F554" s="94"/>
      <c r="H554" s="75"/>
      <c r="I554" s="100"/>
      <c r="J554" s="100"/>
      <c r="K554" s="100"/>
      <c r="L554" s="100"/>
      <c r="M554" s="100"/>
    </row>
    <row r="555">
      <c r="B555" s="75"/>
      <c r="C555" s="75"/>
      <c r="F555" s="94"/>
      <c r="H555" s="75"/>
      <c r="I555" s="100"/>
      <c r="J555" s="100"/>
      <c r="K555" s="100"/>
      <c r="L555" s="100"/>
      <c r="M555" s="100"/>
    </row>
    <row r="556">
      <c r="B556" s="75"/>
      <c r="C556" s="75"/>
      <c r="F556" s="94"/>
      <c r="H556" s="75"/>
      <c r="I556" s="100"/>
      <c r="J556" s="100"/>
      <c r="K556" s="100"/>
      <c r="L556" s="100"/>
      <c r="M556" s="100"/>
    </row>
    <row r="557">
      <c r="B557" s="75"/>
      <c r="C557" s="75"/>
      <c r="F557" s="94"/>
      <c r="H557" s="75"/>
      <c r="I557" s="100"/>
      <c r="J557" s="100"/>
      <c r="K557" s="100"/>
      <c r="L557" s="100"/>
      <c r="M557" s="100"/>
    </row>
    <row r="558">
      <c r="B558" s="75"/>
      <c r="C558" s="75"/>
      <c r="F558" s="94"/>
      <c r="H558" s="75"/>
      <c r="I558" s="100"/>
      <c r="J558" s="100"/>
      <c r="K558" s="100"/>
      <c r="L558" s="100"/>
      <c r="M558" s="100"/>
    </row>
    <row r="559">
      <c r="B559" s="75"/>
      <c r="C559" s="75"/>
      <c r="F559" s="94"/>
      <c r="H559" s="75"/>
      <c r="I559" s="100"/>
      <c r="J559" s="100"/>
      <c r="K559" s="100"/>
      <c r="L559" s="100"/>
      <c r="M559" s="100"/>
    </row>
    <row r="560">
      <c r="B560" s="75"/>
      <c r="C560" s="75"/>
      <c r="F560" s="94"/>
      <c r="H560" s="75"/>
      <c r="I560" s="100"/>
      <c r="J560" s="100"/>
      <c r="K560" s="100"/>
      <c r="L560" s="100"/>
      <c r="M560" s="100"/>
    </row>
    <row r="561">
      <c r="B561" s="75"/>
      <c r="C561" s="75"/>
      <c r="F561" s="94"/>
      <c r="H561" s="75"/>
      <c r="I561" s="100"/>
      <c r="J561" s="100"/>
      <c r="K561" s="100"/>
      <c r="L561" s="100"/>
      <c r="M561" s="100"/>
    </row>
    <row r="562">
      <c r="B562" s="75"/>
      <c r="C562" s="75"/>
      <c r="F562" s="94"/>
      <c r="H562" s="75"/>
      <c r="I562" s="100"/>
      <c r="J562" s="100"/>
      <c r="K562" s="100"/>
      <c r="L562" s="100"/>
      <c r="M562" s="100"/>
    </row>
    <row r="563">
      <c r="B563" s="75"/>
      <c r="C563" s="75"/>
      <c r="F563" s="94"/>
      <c r="H563" s="75"/>
      <c r="I563" s="100"/>
      <c r="J563" s="100"/>
      <c r="K563" s="100"/>
      <c r="L563" s="100"/>
      <c r="M563" s="100"/>
    </row>
    <row r="564">
      <c r="B564" s="75"/>
      <c r="C564" s="75"/>
      <c r="F564" s="94"/>
      <c r="H564" s="75"/>
      <c r="I564" s="100"/>
      <c r="J564" s="100"/>
      <c r="K564" s="100"/>
      <c r="L564" s="100"/>
      <c r="M564" s="100"/>
    </row>
    <row r="565">
      <c r="B565" s="75"/>
      <c r="C565" s="75"/>
      <c r="F565" s="94"/>
      <c r="H565" s="75"/>
      <c r="I565" s="100"/>
      <c r="J565" s="100"/>
      <c r="K565" s="100"/>
      <c r="L565" s="100"/>
      <c r="M565" s="100"/>
    </row>
    <row r="566">
      <c r="B566" s="75"/>
      <c r="C566" s="75"/>
      <c r="F566" s="94"/>
      <c r="H566" s="75"/>
      <c r="I566" s="100"/>
      <c r="J566" s="100"/>
      <c r="K566" s="100"/>
      <c r="L566" s="100"/>
      <c r="M566" s="100"/>
    </row>
    <row r="567">
      <c r="B567" s="75"/>
      <c r="C567" s="75"/>
      <c r="F567" s="94"/>
      <c r="H567" s="75"/>
      <c r="I567" s="100"/>
      <c r="J567" s="100"/>
      <c r="K567" s="100"/>
      <c r="L567" s="100"/>
      <c r="M567" s="100"/>
    </row>
    <row r="568">
      <c r="B568" s="75"/>
      <c r="C568" s="75"/>
      <c r="F568" s="94"/>
      <c r="H568" s="75"/>
      <c r="I568" s="100"/>
      <c r="J568" s="100"/>
      <c r="K568" s="100"/>
      <c r="L568" s="100"/>
      <c r="M568" s="100"/>
    </row>
    <row r="569">
      <c r="B569" s="75"/>
      <c r="C569" s="75"/>
      <c r="F569" s="94"/>
      <c r="H569" s="75"/>
      <c r="I569" s="100"/>
      <c r="J569" s="100"/>
      <c r="K569" s="100"/>
      <c r="L569" s="100"/>
      <c r="M569" s="100"/>
    </row>
    <row r="570">
      <c r="B570" s="75"/>
      <c r="C570" s="75"/>
      <c r="F570" s="94"/>
      <c r="H570" s="75"/>
      <c r="I570" s="100"/>
      <c r="J570" s="100"/>
      <c r="K570" s="100"/>
      <c r="L570" s="100"/>
      <c r="M570" s="100"/>
    </row>
    <row r="571">
      <c r="B571" s="75"/>
      <c r="C571" s="75"/>
      <c r="F571" s="94"/>
      <c r="H571" s="75"/>
      <c r="I571" s="100"/>
      <c r="J571" s="100"/>
      <c r="K571" s="100"/>
      <c r="L571" s="100"/>
      <c r="M571" s="100"/>
    </row>
    <row r="572">
      <c r="B572" s="75"/>
      <c r="C572" s="75"/>
      <c r="F572" s="94"/>
      <c r="H572" s="75"/>
      <c r="I572" s="100"/>
      <c r="J572" s="100"/>
      <c r="K572" s="100"/>
      <c r="L572" s="100"/>
      <c r="M572" s="100"/>
    </row>
    <row r="573">
      <c r="B573" s="75"/>
      <c r="C573" s="75"/>
      <c r="F573" s="94"/>
      <c r="H573" s="75"/>
      <c r="I573" s="100"/>
      <c r="J573" s="100"/>
      <c r="K573" s="100"/>
      <c r="L573" s="100"/>
      <c r="M573" s="100"/>
    </row>
    <row r="574">
      <c r="B574" s="75"/>
      <c r="C574" s="75"/>
      <c r="F574" s="94"/>
      <c r="H574" s="75"/>
      <c r="I574" s="100"/>
      <c r="J574" s="100"/>
      <c r="K574" s="100"/>
      <c r="L574" s="100"/>
      <c r="M574" s="100"/>
    </row>
    <row r="575">
      <c r="B575" s="75"/>
      <c r="C575" s="75"/>
      <c r="F575" s="94"/>
      <c r="H575" s="75"/>
      <c r="I575" s="100"/>
      <c r="J575" s="100"/>
      <c r="K575" s="100"/>
      <c r="L575" s="100"/>
      <c r="M575" s="100"/>
    </row>
    <row r="576">
      <c r="B576" s="75"/>
      <c r="C576" s="75"/>
      <c r="F576" s="94"/>
      <c r="H576" s="75"/>
      <c r="I576" s="100"/>
      <c r="J576" s="100"/>
      <c r="K576" s="100"/>
      <c r="L576" s="100"/>
      <c r="M576" s="100"/>
    </row>
    <row r="577">
      <c r="B577" s="75"/>
      <c r="C577" s="75"/>
      <c r="F577" s="94"/>
      <c r="H577" s="75"/>
      <c r="I577" s="100"/>
      <c r="J577" s="100"/>
      <c r="K577" s="100"/>
      <c r="L577" s="100"/>
      <c r="M577" s="100"/>
    </row>
    <row r="578">
      <c r="B578" s="75"/>
      <c r="C578" s="75"/>
      <c r="F578" s="94"/>
      <c r="H578" s="75"/>
      <c r="I578" s="100"/>
      <c r="J578" s="100"/>
      <c r="K578" s="100"/>
      <c r="L578" s="100"/>
      <c r="M578" s="100"/>
    </row>
    <row r="579">
      <c r="B579" s="75"/>
      <c r="C579" s="75"/>
      <c r="F579" s="94"/>
      <c r="H579" s="75"/>
      <c r="I579" s="100"/>
      <c r="J579" s="100"/>
      <c r="K579" s="100"/>
      <c r="L579" s="100"/>
      <c r="M579" s="100"/>
    </row>
    <row r="580">
      <c r="B580" s="75"/>
      <c r="C580" s="75"/>
      <c r="F580" s="94"/>
      <c r="H580" s="75"/>
      <c r="I580" s="100"/>
      <c r="J580" s="100"/>
      <c r="K580" s="100"/>
      <c r="L580" s="100"/>
      <c r="M580" s="100"/>
    </row>
    <row r="581">
      <c r="B581" s="75"/>
      <c r="C581" s="75"/>
      <c r="F581" s="94"/>
      <c r="H581" s="75"/>
      <c r="I581" s="100"/>
      <c r="J581" s="100"/>
      <c r="K581" s="100"/>
      <c r="L581" s="100"/>
      <c r="M581" s="100"/>
    </row>
    <row r="582">
      <c r="B582" s="75"/>
      <c r="C582" s="75"/>
      <c r="F582" s="94"/>
      <c r="H582" s="75"/>
      <c r="I582" s="100"/>
      <c r="J582" s="100"/>
      <c r="K582" s="100"/>
      <c r="L582" s="100"/>
      <c r="M582" s="100"/>
    </row>
    <row r="583">
      <c r="B583" s="75"/>
      <c r="C583" s="75"/>
      <c r="F583" s="94"/>
      <c r="H583" s="75"/>
      <c r="I583" s="100"/>
      <c r="J583" s="100"/>
      <c r="K583" s="100"/>
      <c r="L583" s="100"/>
      <c r="M583" s="100"/>
    </row>
    <row r="584">
      <c r="B584" s="75"/>
      <c r="C584" s="75"/>
      <c r="F584" s="94"/>
      <c r="H584" s="75"/>
      <c r="I584" s="100"/>
      <c r="J584" s="100"/>
      <c r="K584" s="100"/>
      <c r="L584" s="100"/>
      <c r="M584" s="100"/>
    </row>
    <row r="585">
      <c r="B585" s="75"/>
      <c r="C585" s="75"/>
      <c r="F585" s="94"/>
      <c r="H585" s="75"/>
      <c r="I585" s="100"/>
      <c r="J585" s="100"/>
      <c r="K585" s="100"/>
      <c r="L585" s="100"/>
      <c r="M585" s="100"/>
    </row>
    <row r="586">
      <c r="B586" s="75"/>
      <c r="C586" s="75"/>
      <c r="F586" s="94"/>
      <c r="H586" s="75"/>
      <c r="I586" s="100"/>
      <c r="J586" s="100"/>
      <c r="K586" s="100"/>
      <c r="L586" s="100"/>
      <c r="M586" s="100"/>
    </row>
    <row r="587">
      <c r="B587" s="75"/>
      <c r="C587" s="75"/>
      <c r="F587" s="94"/>
      <c r="H587" s="75"/>
      <c r="I587" s="100"/>
      <c r="J587" s="100"/>
      <c r="K587" s="100"/>
      <c r="L587" s="100"/>
      <c r="M587" s="100"/>
    </row>
    <row r="588">
      <c r="B588" s="75"/>
      <c r="C588" s="75"/>
      <c r="F588" s="94"/>
      <c r="H588" s="75"/>
      <c r="I588" s="100"/>
      <c r="J588" s="100"/>
      <c r="K588" s="100"/>
      <c r="L588" s="100"/>
      <c r="M588" s="100"/>
    </row>
    <row r="589">
      <c r="B589" s="75"/>
      <c r="C589" s="75"/>
      <c r="F589" s="94"/>
      <c r="H589" s="75"/>
      <c r="I589" s="100"/>
      <c r="J589" s="100"/>
      <c r="K589" s="100"/>
      <c r="L589" s="100"/>
      <c r="M589" s="100"/>
    </row>
    <row r="590">
      <c r="B590" s="75"/>
      <c r="C590" s="75"/>
      <c r="F590" s="94"/>
      <c r="H590" s="75"/>
      <c r="I590" s="100"/>
      <c r="J590" s="100"/>
      <c r="K590" s="100"/>
      <c r="L590" s="100"/>
      <c r="M590" s="100"/>
    </row>
    <row r="591">
      <c r="B591" s="75"/>
      <c r="C591" s="75"/>
      <c r="F591" s="94"/>
      <c r="H591" s="75"/>
      <c r="I591" s="100"/>
      <c r="J591" s="100"/>
      <c r="K591" s="100"/>
      <c r="L591" s="100"/>
      <c r="M591" s="100"/>
    </row>
    <row r="592">
      <c r="B592" s="75"/>
      <c r="C592" s="75"/>
      <c r="F592" s="94"/>
      <c r="H592" s="75"/>
      <c r="I592" s="100"/>
      <c r="J592" s="100"/>
      <c r="K592" s="100"/>
      <c r="L592" s="100"/>
      <c r="M592" s="100"/>
    </row>
    <row r="593">
      <c r="B593" s="75"/>
      <c r="C593" s="75"/>
      <c r="F593" s="94"/>
      <c r="H593" s="75"/>
      <c r="I593" s="100"/>
      <c r="J593" s="100"/>
      <c r="K593" s="100"/>
      <c r="L593" s="100"/>
      <c r="M593" s="100"/>
    </row>
    <row r="594">
      <c r="B594" s="75"/>
      <c r="C594" s="75"/>
      <c r="F594" s="94"/>
      <c r="H594" s="75"/>
      <c r="I594" s="100"/>
      <c r="J594" s="100"/>
      <c r="K594" s="100"/>
      <c r="L594" s="100"/>
      <c r="M594" s="100"/>
    </row>
    <row r="595">
      <c r="B595" s="75"/>
      <c r="C595" s="75"/>
      <c r="F595" s="94"/>
      <c r="H595" s="75"/>
      <c r="I595" s="100"/>
      <c r="J595" s="100"/>
      <c r="K595" s="100"/>
      <c r="L595" s="100"/>
      <c r="M595" s="100"/>
    </row>
    <row r="596">
      <c r="B596" s="75"/>
      <c r="C596" s="75"/>
      <c r="F596" s="94"/>
      <c r="H596" s="75"/>
      <c r="I596" s="100"/>
      <c r="J596" s="100"/>
      <c r="K596" s="100"/>
      <c r="L596" s="100"/>
      <c r="M596" s="100"/>
    </row>
    <row r="597">
      <c r="B597" s="75"/>
      <c r="C597" s="75"/>
      <c r="F597" s="94"/>
      <c r="H597" s="75"/>
      <c r="I597" s="100"/>
      <c r="J597" s="100"/>
      <c r="K597" s="100"/>
      <c r="L597" s="100"/>
      <c r="M597" s="100"/>
    </row>
    <row r="598">
      <c r="B598" s="75"/>
      <c r="C598" s="75"/>
      <c r="F598" s="94"/>
      <c r="H598" s="75"/>
      <c r="I598" s="100"/>
      <c r="J598" s="100"/>
      <c r="K598" s="100"/>
      <c r="L598" s="100"/>
      <c r="M598" s="100"/>
    </row>
    <row r="599">
      <c r="B599" s="75"/>
      <c r="C599" s="75"/>
      <c r="F599" s="94"/>
      <c r="H599" s="75"/>
      <c r="I599" s="100"/>
      <c r="J599" s="100"/>
      <c r="K599" s="100"/>
      <c r="L599" s="100"/>
      <c r="M599" s="100"/>
    </row>
    <row r="600">
      <c r="B600" s="75"/>
      <c r="C600" s="75"/>
      <c r="F600" s="94"/>
      <c r="H600" s="75"/>
      <c r="I600" s="100"/>
      <c r="J600" s="100"/>
      <c r="K600" s="100"/>
      <c r="L600" s="100"/>
      <c r="M600" s="100"/>
    </row>
    <row r="601">
      <c r="B601" s="75"/>
      <c r="C601" s="75"/>
      <c r="F601" s="94"/>
      <c r="H601" s="75"/>
      <c r="I601" s="100"/>
      <c r="J601" s="100"/>
      <c r="K601" s="100"/>
      <c r="L601" s="100"/>
      <c r="M601" s="100"/>
    </row>
    <row r="602">
      <c r="B602" s="75"/>
      <c r="C602" s="75"/>
      <c r="F602" s="94"/>
      <c r="H602" s="75"/>
      <c r="I602" s="100"/>
      <c r="J602" s="100"/>
      <c r="K602" s="100"/>
      <c r="L602" s="100"/>
      <c r="M602" s="100"/>
    </row>
    <row r="603">
      <c r="B603" s="75"/>
      <c r="C603" s="75"/>
      <c r="F603" s="94"/>
      <c r="H603" s="75"/>
      <c r="I603" s="100"/>
      <c r="J603" s="100"/>
      <c r="K603" s="100"/>
      <c r="L603" s="100"/>
      <c r="M603" s="100"/>
    </row>
    <row r="604">
      <c r="B604" s="75"/>
      <c r="C604" s="75"/>
      <c r="F604" s="94"/>
      <c r="H604" s="75"/>
      <c r="I604" s="100"/>
      <c r="J604" s="100"/>
      <c r="K604" s="100"/>
      <c r="L604" s="100"/>
      <c r="M604" s="100"/>
    </row>
    <row r="605">
      <c r="B605" s="75"/>
      <c r="C605" s="75"/>
      <c r="F605" s="94"/>
      <c r="H605" s="75"/>
      <c r="I605" s="100"/>
      <c r="J605" s="100"/>
      <c r="K605" s="100"/>
      <c r="L605" s="100"/>
      <c r="M605" s="100"/>
    </row>
    <row r="606">
      <c r="B606" s="75"/>
      <c r="C606" s="75"/>
      <c r="F606" s="94"/>
      <c r="H606" s="75"/>
      <c r="I606" s="100"/>
      <c r="J606" s="100"/>
      <c r="K606" s="100"/>
      <c r="L606" s="100"/>
      <c r="M606" s="100"/>
    </row>
    <row r="607">
      <c r="B607" s="75"/>
      <c r="C607" s="75"/>
      <c r="F607" s="94"/>
      <c r="H607" s="75"/>
      <c r="I607" s="100"/>
      <c r="J607" s="100"/>
      <c r="K607" s="100"/>
      <c r="L607" s="100"/>
      <c r="M607" s="100"/>
    </row>
    <row r="608">
      <c r="B608" s="75"/>
      <c r="C608" s="75"/>
      <c r="F608" s="94"/>
      <c r="H608" s="75"/>
      <c r="I608" s="100"/>
      <c r="J608" s="100"/>
      <c r="K608" s="100"/>
      <c r="L608" s="100"/>
      <c r="M608" s="100"/>
    </row>
    <row r="609">
      <c r="B609" s="75"/>
      <c r="C609" s="75"/>
      <c r="F609" s="94"/>
      <c r="H609" s="75"/>
      <c r="I609" s="100"/>
      <c r="J609" s="100"/>
      <c r="K609" s="100"/>
      <c r="L609" s="100"/>
      <c r="M609" s="100"/>
    </row>
    <row r="610">
      <c r="B610" s="75"/>
      <c r="C610" s="75"/>
      <c r="F610" s="94"/>
      <c r="H610" s="75"/>
      <c r="I610" s="100"/>
      <c r="J610" s="100"/>
      <c r="K610" s="100"/>
      <c r="L610" s="100"/>
      <c r="M610" s="100"/>
    </row>
    <row r="611">
      <c r="B611" s="75"/>
      <c r="C611" s="75"/>
      <c r="F611" s="94"/>
      <c r="H611" s="75"/>
      <c r="I611" s="100"/>
      <c r="J611" s="100"/>
      <c r="K611" s="100"/>
      <c r="L611" s="100"/>
      <c r="M611" s="100"/>
    </row>
    <row r="612">
      <c r="B612" s="75"/>
      <c r="C612" s="75"/>
      <c r="F612" s="94"/>
      <c r="H612" s="75"/>
      <c r="I612" s="100"/>
      <c r="J612" s="100"/>
      <c r="K612" s="100"/>
      <c r="L612" s="100"/>
      <c r="M612" s="100"/>
    </row>
    <row r="613">
      <c r="B613" s="75"/>
      <c r="C613" s="75"/>
      <c r="F613" s="94"/>
      <c r="H613" s="75"/>
      <c r="I613" s="100"/>
      <c r="J613" s="100"/>
      <c r="K613" s="100"/>
      <c r="L613" s="100"/>
      <c r="M613" s="100"/>
    </row>
    <row r="614">
      <c r="B614" s="75"/>
      <c r="C614" s="75"/>
      <c r="F614" s="94"/>
      <c r="H614" s="75"/>
      <c r="I614" s="100"/>
      <c r="J614" s="100"/>
      <c r="K614" s="100"/>
      <c r="L614" s="100"/>
      <c r="M614" s="100"/>
    </row>
    <row r="615">
      <c r="B615" s="75"/>
      <c r="C615" s="75"/>
      <c r="F615" s="94"/>
      <c r="H615" s="75"/>
      <c r="I615" s="100"/>
      <c r="J615" s="100"/>
      <c r="K615" s="100"/>
      <c r="L615" s="100"/>
      <c r="M615" s="100"/>
    </row>
    <row r="616">
      <c r="B616" s="75"/>
      <c r="C616" s="75"/>
      <c r="F616" s="94"/>
      <c r="H616" s="75"/>
      <c r="I616" s="100"/>
      <c r="J616" s="100"/>
      <c r="K616" s="100"/>
      <c r="L616" s="100"/>
      <c r="M616" s="100"/>
    </row>
    <row r="617">
      <c r="B617" s="75"/>
      <c r="C617" s="75"/>
      <c r="F617" s="94"/>
      <c r="H617" s="75"/>
      <c r="I617" s="100"/>
      <c r="J617" s="100"/>
      <c r="K617" s="100"/>
      <c r="L617" s="100"/>
      <c r="M617" s="100"/>
    </row>
    <row r="618">
      <c r="B618" s="75"/>
      <c r="C618" s="75"/>
      <c r="F618" s="94"/>
      <c r="H618" s="75"/>
      <c r="I618" s="100"/>
      <c r="J618" s="100"/>
      <c r="K618" s="100"/>
      <c r="L618" s="100"/>
      <c r="M618" s="100"/>
    </row>
    <row r="619">
      <c r="B619" s="75"/>
      <c r="C619" s="75"/>
      <c r="F619" s="94"/>
      <c r="H619" s="75"/>
      <c r="I619" s="100"/>
      <c r="J619" s="100"/>
      <c r="K619" s="100"/>
      <c r="L619" s="100"/>
      <c r="M619" s="100"/>
    </row>
    <row r="620">
      <c r="B620" s="75"/>
      <c r="C620" s="75"/>
      <c r="F620" s="94"/>
      <c r="H620" s="75"/>
      <c r="I620" s="100"/>
      <c r="J620" s="100"/>
      <c r="K620" s="100"/>
      <c r="L620" s="100"/>
      <c r="M620" s="100"/>
    </row>
    <row r="621">
      <c r="B621" s="75"/>
      <c r="C621" s="75"/>
      <c r="F621" s="94"/>
      <c r="H621" s="75"/>
      <c r="I621" s="100"/>
      <c r="J621" s="100"/>
      <c r="K621" s="100"/>
      <c r="L621" s="100"/>
      <c r="M621" s="100"/>
    </row>
    <row r="622">
      <c r="B622" s="75"/>
      <c r="C622" s="75"/>
      <c r="F622" s="94"/>
      <c r="H622" s="75"/>
      <c r="I622" s="100"/>
      <c r="J622" s="100"/>
      <c r="K622" s="100"/>
      <c r="L622" s="100"/>
      <c r="M622" s="100"/>
    </row>
    <row r="623">
      <c r="B623" s="75"/>
      <c r="C623" s="75"/>
      <c r="F623" s="94"/>
      <c r="H623" s="75"/>
      <c r="I623" s="100"/>
      <c r="J623" s="100"/>
      <c r="K623" s="100"/>
      <c r="L623" s="100"/>
      <c r="M623" s="100"/>
    </row>
    <row r="624">
      <c r="B624" s="75"/>
      <c r="C624" s="75"/>
      <c r="F624" s="94"/>
      <c r="H624" s="75"/>
      <c r="I624" s="100"/>
      <c r="J624" s="100"/>
      <c r="K624" s="100"/>
      <c r="L624" s="100"/>
      <c r="M624" s="100"/>
    </row>
    <row r="625">
      <c r="B625" s="75"/>
      <c r="C625" s="75"/>
      <c r="F625" s="94"/>
      <c r="H625" s="75"/>
      <c r="I625" s="100"/>
      <c r="J625" s="100"/>
      <c r="K625" s="100"/>
      <c r="L625" s="100"/>
      <c r="M625" s="100"/>
    </row>
    <row r="626">
      <c r="B626" s="75"/>
      <c r="C626" s="75"/>
      <c r="F626" s="94"/>
      <c r="H626" s="75"/>
      <c r="I626" s="100"/>
      <c r="J626" s="100"/>
      <c r="K626" s="100"/>
      <c r="L626" s="100"/>
      <c r="M626" s="100"/>
    </row>
    <row r="627">
      <c r="B627" s="75"/>
      <c r="C627" s="75"/>
      <c r="F627" s="94"/>
      <c r="H627" s="75"/>
      <c r="I627" s="100"/>
      <c r="J627" s="100"/>
      <c r="K627" s="100"/>
      <c r="L627" s="100"/>
      <c r="M627" s="100"/>
    </row>
    <row r="628">
      <c r="B628" s="75"/>
      <c r="C628" s="75"/>
      <c r="F628" s="94"/>
      <c r="H628" s="75"/>
      <c r="I628" s="100"/>
      <c r="J628" s="100"/>
      <c r="K628" s="100"/>
      <c r="L628" s="100"/>
      <c r="M628" s="100"/>
    </row>
    <row r="629">
      <c r="B629" s="75"/>
      <c r="C629" s="75"/>
      <c r="F629" s="94"/>
      <c r="H629" s="75"/>
      <c r="I629" s="100"/>
      <c r="J629" s="100"/>
      <c r="K629" s="100"/>
      <c r="L629" s="100"/>
      <c r="M629" s="100"/>
    </row>
    <row r="630">
      <c r="B630" s="75"/>
      <c r="C630" s="75"/>
      <c r="F630" s="94"/>
      <c r="H630" s="75"/>
      <c r="I630" s="100"/>
      <c r="J630" s="100"/>
      <c r="K630" s="100"/>
      <c r="L630" s="100"/>
      <c r="M630" s="100"/>
    </row>
    <row r="631">
      <c r="B631" s="75"/>
      <c r="C631" s="75"/>
      <c r="F631" s="94"/>
      <c r="H631" s="75"/>
      <c r="I631" s="100"/>
      <c r="J631" s="100"/>
      <c r="K631" s="100"/>
      <c r="L631" s="100"/>
      <c r="M631" s="100"/>
    </row>
    <row r="632">
      <c r="B632" s="75"/>
      <c r="C632" s="75"/>
      <c r="F632" s="94"/>
      <c r="H632" s="75"/>
      <c r="I632" s="100"/>
      <c r="J632" s="100"/>
      <c r="K632" s="100"/>
      <c r="L632" s="100"/>
      <c r="M632" s="100"/>
    </row>
    <row r="633">
      <c r="B633" s="75"/>
      <c r="C633" s="75"/>
      <c r="F633" s="94"/>
      <c r="H633" s="75"/>
      <c r="I633" s="100"/>
      <c r="J633" s="100"/>
      <c r="K633" s="100"/>
      <c r="L633" s="100"/>
      <c r="M633" s="100"/>
    </row>
    <row r="634">
      <c r="B634" s="75"/>
      <c r="C634" s="75"/>
      <c r="F634" s="94"/>
      <c r="H634" s="75"/>
      <c r="I634" s="100"/>
      <c r="J634" s="100"/>
      <c r="K634" s="100"/>
      <c r="L634" s="100"/>
      <c r="M634" s="100"/>
    </row>
    <row r="635">
      <c r="B635" s="75"/>
      <c r="C635" s="75"/>
      <c r="F635" s="94"/>
      <c r="H635" s="75"/>
      <c r="I635" s="100"/>
      <c r="J635" s="100"/>
      <c r="K635" s="100"/>
      <c r="L635" s="100"/>
      <c r="M635" s="100"/>
    </row>
    <row r="636">
      <c r="B636" s="75"/>
      <c r="C636" s="75"/>
      <c r="F636" s="94"/>
      <c r="H636" s="75"/>
      <c r="I636" s="100"/>
      <c r="J636" s="100"/>
      <c r="K636" s="100"/>
      <c r="L636" s="100"/>
      <c r="M636" s="100"/>
    </row>
    <row r="637">
      <c r="B637" s="75"/>
      <c r="C637" s="75"/>
      <c r="F637" s="94"/>
      <c r="H637" s="75"/>
      <c r="I637" s="100"/>
      <c r="J637" s="100"/>
      <c r="K637" s="100"/>
      <c r="L637" s="100"/>
      <c r="M637" s="100"/>
    </row>
    <row r="638">
      <c r="B638" s="75"/>
      <c r="C638" s="75"/>
      <c r="F638" s="94"/>
      <c r="H638" s="75"/>
      <c r="I638" s="100"/>
      <c r="J638" s="100"/>
      <c r="K638" s="100"/>
      <c r="L638" s="100"/>
      <c r="M638" s="100"/>
    </row>
    <row r="639">
      <c r="B639" s="75"/>
      <c r="C639" s="75"/>
      <c r="F639" s="94"/>
      <c r="H639" s="75"/>
      <c r="I639" s="100"/>
      <c r="J639" s="100"/>
      <c r="K639" s="100"/>
      <c r="L639" s="100"/>
      <c r="M639" s="100"/>
    </row>
    <row r="640">
      <c r="B640" s="75"/>
      <c r="C640" s="75"/>
      <c r="F640" s="94"/>
      <c r="H640" s="75"/>
      <c r="I640" s="100"/>
      <c r="J640" s="100"/>
      <c r="K640" s="100"/>
      <c r="L640" s="100"/>
      <c r="M640" s="100"/>
    </row>
    <row r="641">
      <c r="B641" s="75"/>
      <c r="C641" s="75"/>
      <c r="F641" s="94"/>
      <c r="H641" s="75"/>
      <c r="I641" s="100"/>
      <c r="J641" s="100"/>
      <c r="K641" s="100"/>
      <c r="L641" s="100"/>
      <c r="M641" s="100"/>
    </row>
    <row r="642">
      <c r="B642" s="75"/>
      <c r="C642" s="75"/>
      <c r="F642" s="94"/>
      <c r="H642" s="75"/>
      <c r="I642" s="100"/>
      <c r="J642" s="100"/>
      <c r="K642" s="100"/>
      <c r="L642" s="100"/>
      <c r="M642" s="100"/>
    </row>
    <row r="643">
      <c r="B643" s="75"/>
      <c r="C643" s="75"/>
      <c r="F643" s="94"/>
      <c r="H643" s="75"/>
      <c r="I643" s="100"/>
      <c r="J643" s="100"/>
      <c r="K643" s="100"/>
      <c r="L643" s="100"/>
      <c r="M643" s="100"/>
    </row>
    <row r="644">
      <c r="B644" s="75"/>
      <c r="C644" s="75"/>
      <c r="F644" s="94"/>
      <c r="H644" s="75"/>
      <c r="I644" s="100"/>
      <c r="J644" s="100"/>
      <c r="K644" s="100"/>
      <c r="L644" s="100"/>
      <c r="M644" s="100"/>
    </row>
    <row r="645">
      <c r="B645" s="75"/>
      <c r="C645" s="75"/>
      <c r="F645" s="94"/>
      <c r="H645" s="75"/>
      <c r="I645" s="100"/>
      <c r="J645" s="100"/>
      <c r="K645" s="100"/>
      <c r="L645" s="100"/>
      <c r="M645" s="100"/>
    </row>
    <row r="646">
      <c r="B646" s="75"/>
      <c r="C646" s="75"/>
      <c r="F646" s="94"/>
      <c r="H646" s="75"/>
      <c r="I646" s="100"/>
      <c r="J646" s="100"/>
      <c r="K646" s="100"/>
      <c r="L646" s="100"/>
      <c r="M646" s="100"/>
    </row>
    <row r="647">
      <c r="B647" s="75"/>
      <c r="C647" s="75"/>
      <c r="F647" s="94"/>
      <c r="H647" s="75"/>
      <c r="I647" s="100"/>
      <c r="J647" s="100"/>
      <c r="K647" s="100"/>
      <c r="L647" s="100"/>
      <c r="M647" s="100"/>
    </row>
    <row r="648">
      <c r="B648" s="75"/>
      <c r="C648" s="75"/>
      <c r="F648" s="94"/>
      <c r="H648" s="75"/>
      <c r="I648" s="100"/>
      <c r="J648" s="100"/>
      <c r="K648" s="100"/>
      <c r="L648" s="100"/>
      <c r="M648" s="100"/>
    </row>
    <row r="649">
      <c r="B649" s="75"/>
      <c r="C649" s="75"/>
      <c r="F649" s="94"/>
      <c r="H649" s="75"/>
      <c r="I649" s="100"/>
      <c r="J649" s="100"/>
      <c r="K649" s="100"/>
      <c r="L649" s="100"/>
      <c r="M649" s="100"/>
    </row>
    <row r="650">
      <c r="B650" s="75"/>
      <c r="C650" s="75"/>
      <c r="F650" s="94"/>
      <c r="H650" s="75"/>
      <c r="I650" s="100"/>
      <c r="J650" s="100"/>
      <c r="K650" s="100"/>
      <c r="L650" s="100"/>
      <c r="M650" s="100"/>
    </row>
    <row r="651">
      <c r="B651" s="75"/>
      <c r="C651" s="75"/>
      <c r="F651" s="94"/>
      <c r="H651" s="75"/>
      <c r="I651" s="100"/>
      <c r="J651" s="100"/>
      <c r="K651" s="100"/>
      <c r="L651" s="100"/>
      <c r="M651" s="100"/>
    </row>
    <row r="652">
      <c r="B652" s="75"/>
      <c r="C652" s="75"/>
      <c r="F652" s="94"/>
      <c r="H652" s="75"/>
      <c r="I652" s="100"/>
      <c r="J652" s="100"/>
      <c r="K652" s="100"/>
      <c r="L652" s="100"/>
      <c r="M652" s="100"/>
    </row>
    <row r="653">
      <c r="B653" s="75"/>
      <c r="C653" s="75"/>
      <c r="F653" s="94"/>
      <c r="H653" s="75"/>
      <c r="I653" s="100"/>
      <c r="J653" s="100"/>
      <c r="K653" s="100"/>
      <c r="L653" s="100"/>
      <c r="M653" s="100"/>
    </row>
    <row r="654">
      <c r="B654" s="75"/>
      <c r="C654" s="75"/>
      <c r="F654" s="94"/>
      <c r="H654" s="75"/>
      <c r="I654" s="100"/>
      <c r="J654" s="100"/>
      <c r="K654" s="100"/>
      <c r="L654" s="100"/>
      <c r="M654" s="100"/>
    </row>
    <row r="655">
      <c r="B655" s="75"/>
      <c r="C655" s="75"/>
      <c r="F655" s="94"/>
      <c r="H655" s="75"/>
      <c r="I655" s="100"/>
      <c r="J655" s="100"/>
      <c r="K655" s="100"/>
      <c r="L655" s="100"/>
      <c r="M655" s="100"/>
    </row>
    <row r="656">
      <c r="B656" s="75"/>
      <c r="C656" s="75"/>
      <c r="F656" s="94"/>
      <c r="H656" s="75"/>
      <c r="I656" s="100"/>
      <c r="J656" s="100"/>
      <c r="K656" s="100"/>
      <c r="L656" s="100"/>
      <c r="M656" s="100"/>
    </row>
    <row r="657">
      <c r="B657" s="75"/>
      <c r="C657" s="75"/>
      <c r="F657" s="94"/>
      <c r="H657" s="75"/>
      <c r="I657" s="100"/>
      <c r="J657" s="100"/>
      <c r="K657" s="100"/>
      <c r="L657" s="100"/>
      <c r="M657" s="100"/>
    </row>
    <row r="658">
      <c r="B658" s="75"/>
      <c r="C658" s="75"/>
      <c r="F658" s="94"/>
      <c r="H658" s="75"/>
      <c r="I658" s="100"/>
      <c r="J658" s="100"/>
      <c r="K658" s="100"/>
      <c r="L658" s="100"/>
      <c r="M658" s="100"/>
    </row>
    <row r="659">
      <c r="B659" s="75"/>
      <c r="C659" s="75"/>
      <c r="F659" s="94"/>
      <c r="H659" s="75"/>
      <c r="I659" s="100"/>
      <c r="J659" s="100"/>
      <c r="K659" s="100"/>
      <c r="L659" s="100"/>
      <c r="M659" s="100"/>
    </row>
    <row r="660">
      <c r="B660" s="75"/>
      <c r="C660" s="75"/>
      <c r="F660" s="94"/>
      <c r="H660" s="75"/>
      <c r="I660" s="100"/>
      <c r="J660" s="100"/>
      <c r="K660" s="100"/>
      <c r="L660" s="100"/>
      <c r="M660" s="100"/>
    </row>
    <row r="661">
      <c r="B661" s="75"/>
      <c r="C661" s="75"/>
      <c r="F661" s="94"/>
      <c r="H661" s="75"/>
      <c r="I661" s="100"/>
      <c r="J661" s="100"/>
      <c r="K661" s="100"/>
      <c r="L661" s="100"/>
      <c r="M661" s="100"/>
    </row>
    <row r="662">
      <c r="B662" s="75"/>
      <c r="C662" s="75"/>
      <c r="F662" s="94"/>
      <c r="H662" s="75"/>
      <c r="I662" s="100"/>
      <c r="J662" s="100"/>
      <c r="K662" s="100"/>
      <c r="L662" s="100"/>
      <c r="M662" s="100"/>
    </row>
    <row r="663">
      <c r="B663" s="75"/>
      <c r="C663" s="75"/>
      <c r="F663" s="94"/>
      <c r="H663" s="75"/>
      <c r="I663" s="100"/>
      <c r="J663" s="100"/>
      <c r="K663" s="100"/>
      <c r="L663" s="100"/>
      <c r="M663" s="100"/>
    </row>
    <row r="664">
      <c r="B664" s="75"/>
      <c r="C664" s="75"/>
      <c r="F664" s="94"/>
      <c r="H664" s="75"/>
      <c r="I664" s="100"/>
      <c r="J664" s="100"/>
      <c r="K664" s="100"/>
      <c r="L664" s="100"/>
      <c r="M664" s="100"/>
    </row>
    <row r="665">
      <c r="B665" s="75"/>
      <c r="C665" s="75"/>
      <c r="F665" s="94"/>
      <c r="H665" s="75"/>
      <c r="I665" s="100"/>
      <c r="J665" s="100"/>
      <c r="K665" s="100"/>
      <c r="L665" s="100"/>
      <c r="M665" s="100"/>
    </row>
    <row r="666">
      <c r="B666" s="75"/>
      <c r="C666" s="75"/>
      <c r="F666" s="94"/>
      <c r="H666" s="75"/>
      <c r="I666" s="100"/>
      <c r="J666" s="100"/>
      <c r="K666" s="100"/>
      <c r="L666" s="100"/>
      <c r="M666" s="100"/>
    </row>
    <row r="667">
      <c r="B667" s="75"/>
      <c r="C667" s="75"/>
      <c r="F667" s="94"/>
      <c r="H667" s="75"/>
      <c r="I667" s="100"/>
      <c r="J667" s="100"/>
      <c r="K667" s="100"/>
      <c r="L667" s="100"/>
      <c r="M667" s="100"/>
    </row>
    <row r="668">
      <c r="B668" s="75"/>
      <c r="C668" s="75"/>
      <c r="F668" s="94"/>
      <c r="H668" s="75"/>
      <c r="I668" s="100"/>
      <c r="J668" s="100"/>
      <c r="K668" s="100"/>
      <c r="L668" s="100"/>
      <c r="M668" s="100"/>
    </row>
    <row r="669">
      <c r="B669" s="75"/>
      <c r="C669" s="75"/>
      <c r="F669" s="94"/>
      <c r="H669" s="75"/>
      <c r="I669" s="100"/>
      <c r="J669" s="100"/>
      <c r="K669" s="100"/>
      <c r="L669" s="100"/>
      <c r="M669" s="100"/>
    </row>
    <row r="670">
      <c r="B670" s="75"/>
      <c r="C670" s="75"/>
      <c r="F670" s="94"/>
      <c r="H670" s="75"/>
      <c r="I670" s="100"/>
      <c r="J670" s="100"/>
      <c r="K670" s="100"/>
      <c r="L670" s="100"/>
      <c r="M670" s="100"/>
    </row>
    <row r="671">
      <c r="B671" s="75"/>
      <c r="C671" s="75"/>
      <c r="F671" s="94"/>
      <c r="H671" s="75"/>
      <c r="I671" s="100"/>
      <c r="J671" s="100"/>
      <c r="K671" s="100"/>
      <c r="L671" s="100"/>
      <c r="M671" s="100"/>
    </row>
    <row r="672">
      <c r="B672" s="75"/>
      <c r="C672" s="75"/>
      <c r="F672" s="94"/>
      <c r="H672" s="75"/>
      <c r="I672" s="100"/>
      <c r="J672" s="100"/>
      <c r="K672" s="100"/>
      <c r="L672" s="100"/>
      <c r="M672" s="100"/>
    </row>
    <row r="673">
      <c r="B673" s="75"/>
      <c r="C673" s="75"/>
      <c r="F673" s="94"/>
      <c r="H673" s="75"/>
      <c r="I673" s="100"/>
      <c r="J673" s="100"/>
      <c r="K673" s="100"/>
      <c r="L673" s="100"/>
      <c r="M673" s="100"/>
    </row>
    <row r="674">
      <c r="B674" s="75"/>
      <c r="C674" s="75"/>
      <c r="F674" s="94"/>
      <c r="H674" s="75"/>
      <c r="I674" s="100"/>
      <c r="J674" s="100"/>
      <c r="K674" s="100"/>
      <c r="L674" s="100"/>
      <c r="M674" s="100"/>
    </row>
    <row r="675">
      <c r="B675" s="75"/>
      <c r="C675" s="75"/>
      <c r="F675" s="94"/>
      <c r="H675" s="75"/>
      <c r="I675" s="100"/>
      <c r="J675" s="100"/>
      <c r="K675" s="100"/>
      <c r="L675" s="100"/>
      <c r="M675" s="100"/>
    </row>
    <row r="676">
      <c r="B676" s="75"/>
      <c r="C676" s="75"/>
      <c r="F676" s="94"/>
      <c r="H676" s="75"/>
      <c r="I676" s="100"/>
      <c r="J676" s="100"/>
      <c r="K676" s="100"/>
      <c r="L676" s="100"/>
      <c r="M676" s="100"/>
    </row>
    <row r="677">
      <c r="B677" s="75"/>
      <c r="C677" s="75"/>
      <c r="F677" s="94"/>
      <c r="H677" s="75"/>
      <c r="I677" s="100"/>
      <c r="J677" s="100"/>
      <c r="K677" s="100"/>
      <c r="L677" s="100"/>
      <c r="M677" s="100"/>
    </row>
    <row r="678">
      <c r="B678" s="75"/>
      <c r="C678" s="75"/>
      <c r="F678" s="94"/>
      <c r="H678" s="75"/>
      <c r="I678" s="100"/>
      <c r="J678" s="100"/>
      <c r="K678" s="100"/>
      <c r="L678" s="100"/>
      <c r="M678" s="100"/>
    </row>
    <row r="679">
      <c r="B679" s="75"/>
      <c r="C679" s="75"/>
      <c r="F679" s="94"/>
      <c r="H679" s="75"/>
      <c r="I679" s="100"/>
      <c r="J679" s="100"/>
      <c r="K679" s="100"/>
      <c r="L679" s="100"/>
      <c r="M679" s="100"/>
    </row>
    <row r="680">
      <c r="B680" s="75"/>
      <c r="C680" s="75"/>
      <c r="F680" s="94"/>
      <c r="H680" s="75"/>
      <c r="I680" s="100"/>
      <c r="J680" s="100"/>
      <c r="K680" s="100"/>
      <c r="L680" s="100"/>
      <c r="M680" s="100"/>
    </row>
    <row r="681">
      <c r="B681" s="75"/>
      <c r="C681" s="75"/>
      <c r="F681" s="94"/>
      <c r="H681" s="75"/>
      <c r="I681" s="100"/>
      <c r="J681" s="100"/>
      <c r="K681" s="100"/>
      <c r="L681" s="100"/>
      <c r="M681" s="100"/>
    </row>
    <row r="682">
      <c r="B682" s="75"/>
      <c r="C682" s="75"/>
      <c r="F682" s="94"/>
      <c r="H682" s="75"/>
      <c r="I682" s="100"/>
      <c r="J682" s="100"/>
      <c r="K682" s="100"/>
      <c r="L682" s="100"/>
      <c r="M682" s="100"/>
    </row>
    <row r="683">
      <c r="B683" s="75"/>
      <c r="C683" s="75"/>
      <c r="F683" s="94"/>
      <c r="H683" s="75"/>
      <c r="I683" s="100"/>
      <c r="J683" s="100"/>
      <c r="K683" s="100"/>
      <c r="L683" s="100"/>
      <c r="M683" s="100"/>
    </row>
    <row r="684">
      <c r="B684" s="75"/>
      <c r="C684" s="75"/>
      <c r="F684" s="94"/>
      <c r="H684" s="75"/>
      <c r="I684" s="100"/>
      <c r="J684" s="100"/>
      <c r="K684" s="100"/>
      <c r="L684" s="100"/>
      <c r="M684" s="100"/>
    </row>
    <row r="685">
      <c r="B685" s="75"/>
      <c r="C685" s="75"/>
      <c r="F685" s="94"/>
      <c r="H685" s="75"/>
      <c r="I685" s="100"/>
      <c r="J685" s="100"/>
      <c r="K685" s="100"/>
      <c r="L685" s="100"/>
      <c r="M685" s="100"/>
    </row>
    <row r="686">
      <c r="B686" s="75"/>
      <c r="C686" s="75"/>
      <c r="F686" s="94"/>
      <c r="H686" s="75"/>
      <c r="I686" s="100"/>
      <c r="J686" s="100"/>
      <c r="K686" s="100"/>
      <c r="L686" s="100"/>
      <c r="M686" s="100"/>
    </row>
    <row r="687">
      <c r="B687" s="75"/>
      <c r="C687" s="75"/>
      <c r="F687" s="94"/>
      <c r="H687" s="75"/>
      <c r="I687" s="100"/>
      <c r="J687" s="100"/>
      <c r="K687" s="100"/>
      <c r="L687" s="100"/>
      <c r="M687" s="100"/>
    </row>
    <row r="688">
      <c r="B688" s="75"/>
      <c r="C688" s="75"/>
      <c r="F688" s="94"/>
      <c r="H688" s="75"/>
      <c r="I688" s="100"/>
      <c r="J688" s="100"/>
      <c r="K688" s="100"/>
      <c r="L688" s="100"/>
      <c r="M688" s="100"/>
    </row>
    <row r="689">
      <c r="B689" s="75"/>
      <c r="C689" s="75"/>
      <c r="F689" s="94"/>
      <c r="H689" s="75"/>
      <c r="I689" s="100"/>
      <c r="J689" s="100"/>
      <c r="K689" s="100"/>
      <c r="L689" s="100"/>
      <c r="M689" s="100"/>
    </row>
    <row r="690">
      <c r="B690" s="75"/>
      <c r="C690" s="75"/>
      <c r="F690" s="94"/>
      <c r="H690" s="75"/>
      <c r="I690" s="100"/>
      <c r="J690" s="100"/>
      <c r="K690" s="100"/>
      <c r="L690" s="100"/>
      <c r="M690" s="100"/>
    </row>
    <row r="691">
      <c r="B691" s="75"/>
      <c r="C691" s="75"/>
      <c r="F691" s="94"/>
      <c r="H691" s="75"/>
      <c r="I691" s="100"/>
      <c r="J691" s="100"/>
      <c r="K691" s="100"/>
      <c r="L691" s="100"/>
      <c r="M691" s="100"/>
    </row>
    <row r="692">
      <c r="B692" s="75"/>
      <c r="C692" s="75"/>
      <c r="F692" s="94"/>
      <c r="H692" s="75"/>
      <c r="I692" s="100"/>
      <c r="J692" s="100"/>
      <c r="K692" s="100"/>
      <c r="L692" s="100"/>
      <c r="M692" s="100"/>
    </row>
    <row r="693">
      <c r="B693" s="75"/>
      <c r="C693" s="75"/>
      <c r="F693" s="94"/>
      <c r="H693" s="75"/>
      <c r="I693" s="100"/>
      <c r="J693" s="100"/>
      <c r="K693" s="100"/>
      <c r="L693" s="100"/>
      <c r="M693" s="100"/>
    </row>
    <row r="694">
      <c r="B694" s="75"/>
      <c r="C694" s="75"/>
      <c r="F694" s="94"/>
      <c r="H694" s="75"/>
      <c r="I694" s="100"/>
      <c r="J694" s="100"/>
      <c r="K694" s="100"/>
      <c r="L694" s="100"/>
      <c r="M694" s="100"/>
    </row>
    <row r="695">
      <c r="B695" s="75"/>
      <c r="C695" s="75"/>
      <c r="F695" s="94"/>
      <c r="H695" s="75"/>
      <c r="I695" s="100"/>
      <c r="J695" s="100"/>
      <c r="K695" s="100"/>
      <c r="L695" s="100"/>
      <c r="M695" s="100"/>
    </row>
    <row r="696">
      <c r="B696" s="75"/>
      <c r="C696" s="75"/>
      <c r="F696" s="94"/>
      <c r="H696" s="75"/>
      <c r="I696" s="100"/>
      <c r="J696" s="100"/>
      <c r="K696" s="100"/>
      <c r="L696" s="100"/>
      <c r="M696" s="100"/>
    </row>
    <row r="697">
      <c r="B697" s="75"/>
      <c r="C697" s="75"/>
      <c r="F697" s="94"/>
      <c r="H697" s="75"/>
      <c r="I697" s="100"/>
      <c r="J697" s="100"/>
      <c r="K697" s="100"/>
      <c r="L697" s="100"/>
      <c r="M697" s="100"/>
    </row>
    <row r="698">
      <c r="B698" s="75"/>
      <c r="C698" s="75"/>
      <c r="F698" s="94"/>
      <c r="H698" s="75"/>
      <c r="I698" s="100"/>
      <c r="J698" s="100"/>
      <c r="K698" s="100"/>
      <c r="L698" s="100"/>
      <c r="M698" s="100"/>
    </row>
    <row r="699">
      <c r="B699" s="75"/>
      <c r="C699" s="75"/>
      <c r="F699" s="94"/>
      <c r="H699" s="75"/>
      <c r="I699" s="100"/>
      <c r="J699" s="100"/>
      <c r="K699" s="100"/>
      <c r="L699" s="100"/>
      <c r="M699" s="100"/>
    </row>
    <row r="700">
      <c r="B700" s="75"/>
      <c r="C700" s="75"/>
      <c r="F700" s="94"/>
      <c r="H700" s="75"/>
      <c r="I700" s="100"/>
      <c r="J700" s="100"/>
      <c r="K700" s="100"/>
      <c r="L700" s="100"/>
      <c r="M700" s="100"/>
    </row>
    <row r="701">
      <c r="B701" s="75"/>
      <c r="C701" s="75"/>
      <c r="F701" s="94"/>
      <c r="H701" s="75"/>
      <c r="I701" s="100"/>
      <c r="J701" s="100"/>
      <c r="K701" s="100"/>
      <c r="L701" s="100"/>
      <c r="M701" s="100"/>
    </row>
    <row r="702">
      <c r="B702" s="75"/>
      <c r="C702" s="75"/>
      <c r="F702" s="94"/>
      <c r="H702" s="75"/>
      <c r="I702" s="100"/>
      <c r="J702" s="100"/>
      <c r="K702" s="100"/>
      <c r="L702" s="100"/>
      <c r="M702" s="100"/>
    </row>
    <row r="703">
      <c r="B703" s="75"/>
      <c r="C703" s="75"/>
      <c r="F703" s="94"/>
      <c r="H703" s="75"/>
      <c r="I703" s="100"/>
      <c r="J703" s="100"/>
      <c r="K703" s="100"/>
      <c r="L703" s="100"/>
      <c r="M703" s="100"/>
    </row>
    <row r="704">
      <c r="B704" s="75"/>
      <c r="C704" s="75"/>
      <c r="F704" s="94"/>
      <c r="H704" s="75"/>
      <c r="I704" s="100"/>
      <c r="J704" s="100"/>
      <c r="K704" s="100"/>
      <c r="L704" s="100"/>
      <c r="M704" s="100"/>
    </row>
    <row r="705">
      <c r="B705" s="75"/>
      <c r="C705" s="75"/>
      <c r="F705" s="94"/>
      <c r="H705" s="75"/>
      <c r="I705" s="100"/>
      <c r="J705" s="100"/>
      <c r="K705" s="100"/>
      <c r="L705" s="100"/>
      <c r="M705" s="100"/>
    </row>
    <row r="706">
      <c r="B706" s="75"/>
      <c r="C706" s="75"/>
      <c r="F706" s="94"/>
      <c r="H706" s="75"/>
      <c r="I706" s="100"/>
      <c r="J706" s="100"/>
      <c r="K706" s="100"/>
      <c r="L706" s="100"/>
      <c r="M706" s="100"/>
    </row>
    <row r="707">
      <c r="B707" s="75"/>
      <c r="C707" s="75"/>
      <c r="F707" s="94"/>
      <c r="H707" s="75"/>
      <c r="I707" s="100"/>
      <c r="J707" s="100"/>
      <c r="K707" s="100"/>
      <c r="L707" s="100"/>
      <c r="M707" s="100"/>
    </row>
    <row r="708">
      <c r="B708" s="75"/>
      <c r="C708" s="75"/>
      <c r="F708" s="94"/>
      <c r="H708" s="75"/>
      <c r="I708" s="100"/>
      <c r="J708" s="100"/>
      <c r="K708" s="100"/>
      <c r="L708" s="100"/>
      <c r="M708" s="100"/>
    </row>
    <row r="709">
      <c r="B709" s="75"/>
      <c r="C709" s="75"/>
      <c r="F709" s="94"/>
      <c r="H709" s="75"/>
      <c r="I709" s="100"/>
      <c r="J709" s="100"/>
      <c r="K709" s="100"/>
      <c r="L709" s="100"/>
      <c r="M709" s="100"/>
    </row>
    <row r="710">
      <c r="B710" s="75"/>
      <c r="C710" s="75"/>
      <c r="F710" s="94"/>
      <c r="H710" s="75"/>
      <c r="I710" s="100"/>
      <c r="J710" s="100"/>
      <c r="K710" s="100"/>
      <c r="L710" s="100"/>
      <c r="M710" s="100"/>
    </row>
    <row r="711">
      <c r="B711" s="75"/>
      <c r="C711" s="75"/>
      <c r="F711" s="94"/>
      <c r="H711" s="75"/>
      <c r="I711" s="100"/>
      <c r="J711" s="100"/>
      <c r="K711" s="100"/>
      <c r="L711" s="100"/>
      <c r="M711" s="100"/>
    </row>
    <row r="712">
      <c r="B712" s="75"/>
      <c r="C712" s="75"/>
      <c r="F712" s="94"/>
      <c r="H712" s="75"/>
      <c r="I712" s="100"/>
      <c r="J712" s="100"/>
      <c r="K712" s="100"/>
      <c r="L712" s="100"/>
      <c r="M712" s="100"/>
    </row>
    <row r="713">
      <c r="B713" s="75"/>
      <c r="C713" s="75"/>
      <c r="F713" s="94"/>
      <c r="H713" s="75"/>
      <c r="I713" s="100"/>
      <c r="J713" s="100"/>
      <c r="K713" s="100"/>
      <c r="L713" s="100"/>
      <c r="M713" s="100"/>
    </row>
    <row r="714">
      <c r="B714" s="75"/>
      <c r="C714" s="75"/>
      <c r="F714" s="94"/>
      <c r="H714" s="75"/>
      <c r="I714" s="100"/>
      <c r="J714" s="100"/>
      <c r="K714" s="100"/>
      <c r="L714" s="100"/>
      <c r="M714" s="100"/>
    </row>
    <row r="715">
      <c r="B715" s="75"/>
      <c r="C715" s="75"/>
      <c r="F715" s="94"/>
      <c r="H715" s="75"/>
      <c r="I715" s="100"/>
      <c r="J715" s="100"/>
      <c r="K715" s="100"/>
      <c r="L715" s="100"/>
      <c r="M715" s="100"/>
    </row>
    <row r="716">
      <c r="B716" s="75"/>
      <c r="C716" s="75"/>
      <c r="F716" s="94"/>
      <c r="H716" s="75"/>
      <c r="I716" s="100"/>
      <c r="J716" s="100"/>
      <c r="K716" s="100"/>
      <c r="L716" s="100"/>
      <c r="M716" s="100"/>
    </row>
    <row r="717">
      <c r="B717" s="75"/>
      <c r="C717" s="75"/>
      <c r="F717" s="94"/>
      <c r="H717" s="75"/>
      <c r="I717" s="100"/>
      <c r="J717" s="100"/>
      <c r="K717" s="100"/>
      <c r="L717" s="100"/>
      <c r="M717" s="100"/>
    </row>
    <row r="718">
      <c r="B718" s="75"/>
      <c r="C718" s="75"/>
      <c r="F718" s="94"/>
      <c r="H718" s="75"/>
      <c r="I718" s="100"/>
      <c r="J718" s="100"/>
      <c r="K718" s="100"/>
      <c r="L718" s="100"/>
      <c r="M718" s="100"/>
    </row>
    <row r="719">
      <c r="B719" s="75"/>
      <c r="C719" s="75"/>
      <c r="F719" s="94"/>
      <c r="H719" s="75"/>
      <c r="I719" s="100"/>
      <c r="J719" s="100"/>
      <c r="K719" s="100"/>
      <c r="L719" s="100"/>
      <c r="M719" s="100"/>
    </row>
    <row r="720">
      <c r="B720" s="75"/>
      <c r="C720" s="75"/>
      <c r="F720" s="94"/>
      <c r="H720" s="75"/>
      <c r="I720" s="100"/>
      <c r="J720" s="100"/>
      <c r="K720" s="100"/>
      <c r="L720" s="100"/>
      <c r="M720" s="100"/>
    </row>
    <row r="721">
      <c r="B721" s="75"/>
      <c r="C721" s="75"/>
      <c r="F721" s="94"/>
      <c r="H721" s="75"/>
      <c r="I721" s="100"/>
      <c r="J721" s="100"/>
      <c r="K721" s="100"/>
      <c r="L721" s="100"/>
      <c r="M721" s="100"/>
    </row>
    <row r="722">
      <c r="B722" s="75"/>
      <c r="C722" s="75"/>
      <c r="F722" s="94"/>
      <c r="H722" s="75"/>
      <c r="I722" s="100"/>
      <c r="J722" s="100"/>
      <c r="K722" s="100"/>
      <c r="L722" s="100"/>
      <c r="M722" s="100"/>
    </row>
    <row r="723">
      <c r="B723" s="75"/>
      <c r="C723" s="75"/>
      <c r="F723" s="94"/>
      <c r="H723" s="75"/>
      <c r="I723" s="100"/>
      <c r="J723" s="100"/>
      <c r="K723" s="100"/>
      <c r="L723" s="100"/>
      <c r="M723" s="100"/>
    </row>
    <row r="724">
      <c r="B724" s="75"/>
      <c r="C724" s="75"/>
      <c r="F724" s="94"/>
      <c r="H724" s="75"/>
      <c r="I724" s="100"/>
      <c r="J724" s="100"/>
      <c r="K724" s="100"/>
      <c r="L724" s="100"/>
      <c r="M724" s="100"/>
    </row>
    <row r="725">
      <c r="B725" s="75"/>
      <c r="C725" s="75"/>
      <c r="F725" s="94"/>
      <c r="H725" s="75"/>
      <c r="I725" s="100"/>
      <c r="J725" s="100"/>
      <c r="K725" s="100"/>
      <c r="L725" s="100"/>
      <c r="M725" s="100"/>
    </row>
    <row r="726">
      <c r="B726" s="75"/>
      <c r="C726" s="75"/>
      <c r="F726" s="94"/>
      <c r="H726" s="75"/>
      <c r="I726" s="100"/>
      <c r="J726" s="100"/>
      <c r="K726" s="100"/>
      <c r="L726" s="100"/>
      <c r="M726" s="100"/>
    </row>
    <row r="727">
      <c r="B727" s="75"/>
      <c r="C727" s="75"/>
      <c r="F727" s="94"/>
      <c r="H727" s="75"/>
      <c r="I727" s="100"/>
      <c r="J727" s="100"/>
      <c r="K727" s="100"/>
      <c r="L727" s="100"/>
      <c r="M727" s="100"/>
    </row>
    <row r="728">
      <c r="B728" s="75"/>
      <c r="C728" s="75"/>
      <c r="F728" s="94"/>
      <c r="H728" s="75"/>
      <c r="I728" s="100"/>
      <c r="J728" s="100"/>
      <c r="K728" s="100"/>
      <c r="L728" s="100"/>
      <c r="M728" s="100"/>
    </row>
    <row r="729">
      <c r="B729" s="75"/>
      <c r="C729" s="75"/>
      <c r="F729" s="94"/>
      <c r="H729" s="75"/>
      <c r="I729" s="100"/>
      <c r="J729" s="100"/>
      <c r="K729" s="100"/>
      <c r="L729" s="100"/>
      <c r="M729" s="100"/>
    </row>
    <row r="730">
      <c r="B730" s="75"/>
      <c r="C730" s="75"/>
      <c r="F730" s="94"/>
      <c r="H730" s="75"/>
      <c r="I730" s="100"/>
      <c r="J730" s="100"/>
      <c r="K730" s="100"/>
      <c r="L730" s="100"/>
      <c r="M730" s="100"/>
    </row>
    <row r="731">
      <c r="B731" s="75"/>
      <c r="C731" s="75"/>
      <c r="F731" s="94"/>
      <c r="H731" s="75"/>
      <c r="I731" s="100"/>
      <c r="J731" s="100"/>
      <c r="K731" s="100"/>
      <c r="L731" s="100"/>
      <c r="M731" s="100"/>
    </row>
    <row r="732">
      <c r="B732" s="75"/>
      <c r="C732" s="75"/>
      <c r="F732" s="94"/>
      <c r="H732" s="75"/>
      <c r="I732" s="100"/>
      <c r="J732" s="100"/>
      <c r="K732" s="100"/>
      <c r="L732" s="100"/>
      <c r="M732" s="100"/>
    </row>
    <row r="733">
      <c r="B733" s="75"/>
      <c r="C733" s="75"/>
      <c r="F733" s="94"/>
      <c r="H733" s="75"/>
      <c r="I733" s="100"/>
      <c r="J733" s="100"/>
      <c r="K733" s="100"/>
      <c r="L733" s="100"/>
      <c r="M733" s="100"/>
    </row>
    <row r="734">
      <c r="B734" s="75"/>
      <c r="C734" s="75"/>
      <c r="F734" s="94"/>
      <c r="H734" s="75"/>
      <c r="I734" s="100"/>
      <c r="J734" s="100"/>
      <c r="K734" s="100"/>
      <c r="L734" s="100"/>
      <c r="M734" s="100"/>
    </row>
    <row r="735">
      <c r="B735" s="75"/>
      <c r="C735" s="75"/>
      <c r="F735" s="94"/>
      <c r="H735" s="75"/>
      <c r="I735" s="100"/>
      <c r="J735" s="100"/>
      <c r="K735" s="100"/>
      <c r="L735" s="100"/>
      <c r="M735" s="100"/>
    </row>
    <row r="736">
      <c r="B736" s="75"/>
      <c r="C736" s="75"/>
      <c r="F736" s="94"/>
      <c r="H736" s="75"/>
      <c r="I736" s="100"/>
      <c r="J736" s="100"/>
      <c r="K736" s="100"/>
      <c r="L736" s="100"/>
      <c r="M736" s="100"/>
    </row>
    <row r="737">
      <c r="B737" s="75"/>
      <c r="C737" s="75"/>
      <c r="F737" s="94"/>
      <c r="H737" s="75"/>
      <c r="I737" s="100"/>
      <c r="J737" s="100"/>
      <c r="K737" s="100"/>
      <c r="L737" s="100"/>
      <c r="M737" s="100"/>
    </row>
    <row r="738">
      <c r="B738" s="75"/>
      <c r="C738" s="75"/>
      <c r="F738" s="94"/>
      <c r="H738" s="75"/>
      <c r="I738" s="100"/>
      <c r="J738" s="100"/>
      <c r="K738" s="100"/>
      <c r="L738" s="100"/>
      <c r="M738" s="100"/>
    </row>
    <row r="739">
      <c r="B739" s="75"/>
      <c r="C739" s="75"/>
      <c r="F739" s="94"/>
      <c r="H739" s="75"/>
      <c r="I739" s="100"/>
      <c r="J739" s="100"/>
      <c r="K739" s="100"/>
      <c r="L739" s="100"/>
      <c r="M739" s="100"/>
    </row>
    <row r="740">
      <c r="B740" s="75"/>
      <c r="C740" s="75"/>
      <c r="F740" s="94"/>
      <c r="H740" s="75"/>
      <c r="I740" s="100"/>
      <c r="J740" s="100"/>
      <c r="K740" s="100"/>
      <c r="L740" s="100"/>
      <c r="M740" s="100"/>
    </row>
    <row r="741">
      <c r="B741" s="75"/>
      <c r="C741" s="75"/>
      <c r="F741" s="94"/>
      <c r="H741" s="75"/>
      <c r="I741" s="100"/>
      <c r="J741" s="100"/>
      <c r="K741" s="100"/>
      <c r="L741" s="100"/>
      <c r="M741" s="100"/>
    </row>
    <row r="742">
      <c r="B742" s="75"/>
      <c r="C742" s="75"/>
      <c r="F742" s="94"/>
      <c r="H742" s="75"/>
      <c r="I742" s="100"/>
      <c r="J742" s="100"/>
      <c r="K742" s="100"/>
      <c r="L742" s="100"/>
      <c r="M742" s="100"/>
    </row>
    <row r="743">
      <c r="B743" s="75"/>
      <c r="C743" s="75"/>
      <c r="F743" s="94"/>
      <c r="H743" s="75"/>
      <c r="I743" s="100"/>
      <c r="J743" s="100"/>
      <c r="K743" s="100"/>
      <c r="L743" s="100"/>
      <c r="M743" s="100"/>
    </row>
    <row r="744">
      <c r="B744" s="75"/>
      <c r="C744" s="75"/>
      <c r="F744" s="94"/>
      <c r="H744" s="75"/>
      <c r="I744" s="100"/>
      <c r="J744" s="100"/>
      <c r="K744" s="100"/>
      <c r="L744" s="100"/>
      <c r="M744" s="100"/>
    </row>
    <row r="745">
      <c r="B745" s="75"/>
      <c r="C745" s="75"/>
      <c r="F745" s="94"/>
      <c r="H745" s="75"/>
      <c r="I745" s="100"/>
      <c r="J745" s="100"/>
      <c r="K745" s="100"/>
      <c r="L745" s="100"/>
      <c r="M745" s="100"/>
    </row>
    <row r="746">
      <c r="B746" s="75"/>
      <c r="C746" s="75"/>
      <c r="F746" s="94"/>
      <c r="H746" s="75"/>
      <c r="I746" s="100"/>
      <c r="J746" s="100"/>
      <c r="K746" s="100"/>
      <c r="L746" s="100"/>
      <c r="M746" s="100"/>
    </row>
    <row r="747">
      <c r="B747" s="75"/>
      <c r="C747" s="75"/>
      <c r="F747" s="94"/>
      <c r="H747" s="75"/>
      <c r="I747" s="100"/>
      <c r="J747" s="100"/>
      <c r="K747" s="100"/>
      <c r="L747" s="100"/>
      <c r="M747" s="100"/>
    </row>
    <row r="748">
      <c r="B748" s="75"/>
      <c r="C748" s="75"/>
      <c r="F748" s="94"/>
      <c r="H748" s="75"/>
      <c r="I748" s="100"/>
      <c r="J748" s="100"/>
      <c r="K748" s="100"/>
      <c r="L748" s="100"/>
      <c r="M748" s="100"/>
    </row>
    <row r="749">
      <c r="B749" s="75"/>
      <c r="C749" s="75"/>
      <c r="F749" s="94"/>
      <c r="H749" s="75"/>
      <c r="I749" s="100"/>
      <c r="J749" s="100"/>
      <c r="K749" s="100"/>
      <c r="L749" s="100"/>
      <c r="M749" s="100"/>
    </row>
    <row r="750">
      <c r="B750" s="75"/>
      <c r="C750" s="75"/>
      <c r="F750" s="94"/>
      <c r="H750" s="75"/>
      <c r="I750" s="100"/>
      <c r="J750" s="100"/>
      <c r="K750" s="100"/>
      <c r="L750" s="100"/>
      <c r="M750" s="100"/>
    </row>
    <row r="751">
      <c r="B751" s="75"/>
      <c r="C751" s="75"/>
      <c r="F751" s="94"/>
      <c r="H751" s="75"/>
      <c r="I751" s="100"/>
      <c r="J751" s="100"/>
      <c r="K751" s="100"/>
      <c r="L751" s="100"/>
      <c r="M751" s="100"/>
    </row>
    <row r="752">
      <c r="B752" s="75"/>
      <c r="C752" s="75"/>
      <c r="F752" s="94"/>
      <c r="H752" s="75"/>
      <c r="I752" s="100"/>
      <c r="J752" s="100"/>
      <c r="K752" s="100"/>
      <c r="L752" s="100"/>
      <c r="M752" s="100"/>
    </row>
    <row r="753">
      <c r="B753" s="75"/>
      <c r="C753" s="75"/>
      <c r="F753" s="94"/>
      <c r="H753" s="75"/>
      <c r="I753" s="100"/>
      <c r="J753" s="100"/>
      <c r="K753" s="100"/>
      <c r="L753" s="100"/>
      <c r="M753" s="100"/>
    </row>
    <row r="754">
      <c r="B754" s="75"/>
      <c r="C754" s="75"/>
      <c r="F754" s="94"/>
      <c r="H754" s="75"/>
      <c r="I754" s="100"/>
      <c r="J754" s="100"/>
      <c r="K754" s="100"/>
      <c r="L754" s="100"/>
      <c r="M754" s="100"/>
    </row>
    <row r="755">
      <c r="B755" s="75"/>
      <c r="C755" s="75"/>
      <c r="F755" s="94"/>
      <c r="H755" s="75"/>
      <c r="I755" s="100"/>
      <c r="J755" s="100"/>
      <c r="K755" s="100"/>
      <c r="L755" s="100"/>
      <c r="M755" s="100"/>
    </row>
    <row r="756">
      <c r="B756" s="75"/>
      <c r="C756" s="75"/>
      <c r="F756" s="94"/>
      <c r="H756" s="75"/>
      <c r="I756" s="100"/>
      <c r="J756" s="100"/>
      <c r="K756" s="100"/>
      <c r="L756" s="100"/>
      <c r="M756" s="100"/>
    </row>
    <row r="757">
      <c r="B757" s="75"/>
      <c r="C757" s="75"/>
      <c r="F757" s="94"/>
      <c r="H757" s="75"/>
      <c r="I757" s="100"/>
      <c r="J757" s="100"/>
      <c r="K757" s="100"/>
      <c r="L757" s="100"/>
      <c r="M757" s="100"/>
    </row>
    <row r="758">
      <c r="B758" s="75"/>
      <c r="C758" s="75"/>
      <c r="F758" s="94"/>
      <c r="H758" s="75"/>
      <c r="I758" s="100"/>
      <c r="J758" s="100"/>
      <c r="K758" s="100"/>
      <c r="L758" s="100"/>
      <c r="M758" s="100"/>
    </row>
    <row r="759">
      <c r="B759" s="75"/>
      <c r="C759" s="75"/>
      <c r="F759" s="94"/>
      <c r="H759" s="75"/>
      <c r="I759" s="100"/>
      <c r="J759" s="100"/>
      <c r="K759" s="100"/>
      <c r="L759" s="100"/>
      <c r="M759" s="100"/>
    </row>
    <row r="760">
      <c r="B760" s="75"/>
      <c r="C760" s="75"/>
      <c r="F760" s="94"/>
      <c r="H760" s="75"/>
      <c r="I760" s="100"/>
      <c r="J760" s="100"/>
      <c r="K760" s="100"/>
      <c r="L760" s="100"/>
      <c r="M760" s="100"/>
    </row>
    <row r="761">
      <c r="B761" s="75"/>
      <c r="C761" s="75"/>
      <c r="F761" s="94"/>
      <c r="H761" s="75"/>
      <c r="I761" s="100"/>
      <c r="J761" s="100"/>
      <c r="K761" s="100"/>
      <c r="L761" s="100"/>
      <c r="M761" s="100"/>
    </row>
    <row r="762">
      <c r="B762" s="75"/>
      <c r="C762" s="75"/>
      <c r="F762" s="94"/>
      <c r="H762" s="75"/>
      <c r="I762" s="100"/>
      <c r="J762" s="100"/>
      <c r="K762" s="100"/>
      <c r="L762" s="100"/>
      <c r="M762" s="100"/>
    </row>
    <row r="763">
      <c r="B763" s="75"/>
      <c r="C763" s="75"/>
      <c r="F763" s="94"/>
      <c r="H763" s="75"/>
      <c r="I763" s="100"/>
      <c r="J763" s="100"/>
      <c r="K763" s="100"/>
      <c r="L763" s="100"/>
      <c r="M763" s="100"/>
    </row>
    <row r="764">
      <c r="B764" s="75"/>
      <c r="C764" s="75"/>
      <c r="F764" s="94"/>
      <c r="H764" s="75"/>
      <c r="I764" s="100"/>
      <c r="J764" s="100"/>
      <c r="K764" s="100"/>
      <c r="L764" s="100"/>
      <c r="M764" s="100"/>
    </row>
    <row r="765">
      <c r="B765" s="75"/>
      <c r="C765" s="75"/>
      <c r="F765" s="94"/>
      <c r="H765" s="75"/>
      <c r="I765" s="100"/>
      <c r="J765" s="100"/>
      <c r="K765" s="100"/>
      <c r="L765" s="100"/>
      <c r="M765" s="100"/>
    </row>
    <row r="766">
      <c r="B766" s="75"/>
      <c r="C766" s="75"/>
      <c r="F766" s="94"/>
      <c r="H766" s="75"/>
      <c r="I766" s="100"/>
      <c r="J766" s="100"/>
      <c r="K766" s="100"/>
      <c r="L766" s="100"/>
      <c r="M766" s="100"/>
    </row>
    <row r="767">
      <c r="B767" s="75"/>
      <c r="C767" s="75"/>
      <c r="F767" s="94"/>
      <c r="H767" s="75"/>
      <c r="I767" s="100"/>
      <c r="J767" s="100"/>
      <c r="K767" s="100"/>
      <c r="L767" s="100"/>
      <c r="M767" s="100"/>
    </row>
    <row r="768">
      <c r="B768" s="75"/>
      <c r="C768" s="75"/>
      <c r="F768" s="94"/>
      <c r="H768" s="75"/>
      <c r="I768" s="100"/>
      <c r="J768" s="100"/>
      <c r="K768" s="100"/>
      <c r="L768" s="100"/>
      <c r="M768" s="100"/>
    </row>
    <row r="769">
      <c r="B769" s="75"/>
      <c r="C769" s="75"/>
      <c r="F769" s="94"/>
      <c r="H769" s="75"/>
      <c r="I769" s="100"/>
      <c r="J769" s="100"/>
      <c r="K769" s="100"/>
      <c r="L769" s="100"/>
      <c r="M769" s="100"/>
    </row>
    <row r="770">
      <c r="B770" s="75"/>
      <c r="C770" s="75"/>
      <c r="F770" s="94"/>
      <c r="H770" s="75"/>
      <c r="I770" s="100"/>
      <c r="J770" s="100"/>
      <c r="K770" s="100"/>
      <c r="L770" s="100"/>
      <c r="M770" s="100"/>
    </row>
    <row r="771">
      <c r="B771" s="75"/>
      <c r="C771" s="75"/>
      <c r="F771" s="94"/>
      <c r="H771" s="75"/>
      <c r="I771" s="100"/>
      <c r="J771" s="100"/>
      <c r="K771" s="100"/>
      <c r="L771" s="100"/>
      <c r="M771" s="100"/>
    </row>
    <row r="772">
      <c r="B772" s="75"/>
      <c r="C772" s="75"/>
      <c r="F772" s="94"/>
      <c r="H772" s="75"/>
      <c r="I772" s="100"/>
      <c r="J772" s="100"/>
      <c r="K772" s="100"/>
      <c r="L772" s="100"/>
      <c r="M772" s="100"/>
    </row>
    <row r="773">
      <c r="B773" s="75"/>
      <c r="C773" s="75"/>
      <c r="F773" s="94"/>
      <c r="H773" s="75"/>
      <c r="I773" s="100"/>
      <c r="J773" s="100"/>
      <c r="K773" s="100"/>
      <c r="L773" s="100"/>
      <c r="M773" s="100"/>
    </row>
    <row r="774">
      <c r="B774" s="75"/>
      <c r="C774" s="75"/>
      <c r="F774" s="94"/>
      <c r="H774" s="75"/>
      <c r="I774" s="100"/>
      <c r="J774" s="100"/>
      <c r="K774" s="100"/>
      <c r="L774" s="100"/>
      <c r="M774" s="100"/>
    </row>
    <row r="775">
      <c r="B775" s="75"/>
      <c r="C775" s="75"/>
      <c r="F775" s="94"/>
      <c r="H775" s="75"/>
      <c r="I775" s="100"/>
      <c r="J775" s="100"/>
      <c r="K775" s="100"/>
      <c r="L775" s="100"/>
      <c r="M775" s="100"/>
    </row>
    <row r="776">
      <c r="B776" s="75"/>
      <c r="C776" s="75"/>
      <c r="F776" s="94"/>
      <c r="H776" s="75"/>
      <c r="I776" s="100"/>
      <c r="J776" s="100"/>
      <c r="K776" s="100"/>
      <c r="L776" s="100"/>
      <c r="M776" s="100"/>
    </row>
    <row r="777">
      <c r="B777" s="75"/>
      <c r="C777" s="75"/>
      <c r="F777" s="94"/>
      <c r="H777" s="75"/>
      <c r="I777" s="100"/>
      <c r="J777" s="100"/>
      <c r="K777" s="100"/>
      <c r="L777" s="100"/>
      <c r="M777" s="100"/>
    </row>
    <row r="778">
      <c r="B778" s="75"/>
      <c r="C778" s="75"/>
      <c r="F778" s="94"/>
      <c r="H778" s="75"/>
      <c r="I778" s="100"/>
      <c r="J778" s="100"/>
      <c r="K778" s="100"/>
      <c r="L778" s="100"/>
      <c r="M778" s="100"/>
    </row>
    <row r="779">
      <c r="B779" s="75"/>
      <c r="C779" s="75"/>
      <c r="F779" s="94"/>
      <c r="H779" s="75"/>
      <c r="I779" s="100"/>
      <c r="J779" s="100"/>
      <c r="K779" s="100"/>
      <c r="L779" s="100"/>
      <c r="M779" s="100"/>
    </row>
    <row r="780">
      <c r="B780" s="75"/>
      <c r="C780" s="75"/>
      <c r="F780" s="94"/>
      <c r="H780" s="75"/>
      <c r="I780" s="100"/>
      <c r="J780" s="100"/>
      <c r="K780" s="100"/>
      <c r="L780" s="100"/>
      <c r="M780" s="100"/>
    </row>
    <row r="781">
      <c r="B781" s="75"/>
      <c r="C781" s="75"/>
      <c r="F781" s="94"/>
      <c r="H781" s="75"/>
      <c r="I781" s="100"/>
      <c r="J781" s="100"/>
      <c r="K781" s="100"/>
      <c r="L781" s="100"/>
      <c r="M781" s="100"/>
    </row>
    <row r="782">
      <c r="B782" s="75"/>
      <c r="C782" s="75"/>
      <c r="F782" s="94"/>
      <c r="H782" s="75"/>
      <c r="I782" s="100"/>
      <c r="J782" s="100"/>
      <c r="K782" s="100"/>
      <c r="L782" s="100"/>
      <c r="M782" s="100"/>
    </row>
    <row r="783">
      <c r="B783" s="75"/>
      <c r="C783" s="75"/>
      <c r="F783" s="94"/>
      <c r="H783" s="75"/>
      <c r="I783" s="100"/>
      <c r="J783" s="100"/>
      <c r="K783" s="100"/>
      <c r="L783" s="100"/>
      <c r="M783" s="100"/>
    </row>
    <row r="784">
      <c r="B784" s="75"/>
      <c r="C784" s="75"/>
      <c r="F784" s="94"/>
      <c r="H784" s="75"/>
      <c r="I784" s="100"/>
      <c r="J784" s="100"/>
      <c r="K784" s="100"/>
      <c r="L784" s="100"/>
      <c r="M784" s="100"/>
    </row>
    <row r="785">
      <c r="B785" s="75"/>
      <c r="C785" s="75"/>
      <c r="F785" s="94"/>
      <c r="H785" s="75"/>
      <c r="I785" s="100"/>
      <c r="J785" s="100"/>
      <c r="K785" s="100"/>
      <c r="L785" s="100"/>
      <c r="M785" s="100"/>
    </row>
    <row r="786">
      <c r="B786" s="75"/>
      <c r="C786" s="75"/>
      <c r="F786" s="94"/>
      <c r="H786" s="75"/>
      <c r="I786" s="100"/>
      <c r="J786" s="100"/>
      <c r="K786" s="100"/>
      <c r="L786" s="100"/>
      <c r="M786" s="100"/>
    </row>
    <row r="787">
      <c r="B787" s="75"/>
      <c r="C787" s="75"/>
      <c r="F787" s="94"/>
      <c r="H787" s="75"/>
      <c r="I787" s="100"/>
      <c r="J787" s="100"/>
      <c r="K787" s="100"/>
      <c r="L787" s="100"/>
      <c r="M787" s="100"/>
    </row>
    <row r="788">
      <c r="B788" s="75"/>
      <c r="C788" s="75"/>
      <c r="F788" s="94"/>
      <c r="H788" s="75"/>
      <c r="I788" s="100"/>
      <c r="J788" s="100"/>
      <c r="K788" s="100"/>
      <c r="L788" s="100"/>
      <c r="M788" s="100"/>
    </row>
    <row r="789">
      <c r="B789" s="75"/>
      <c r="C789" s="75"/>
      <c r="F789" s="94"/>
      <c r="H789" s="75"/>
      <c r="I789" s="100"/>
      <c r="J789" s="100"/>
      <c r="K789" s="100"/>
      <c r="L789" s="100"/>
      <c r="M789" s="100"/>
    </row>
    <row r="790">
      <c r="B790" s="75"/>
      <c r="C790" s="75"/>
      <c r="F790" s="94"/>
      <c r="H790" s="75"/>
      <c r="I790" s="100"/>
      <c r="J790" s="100"/>
      <c r="K790" s="100"/>
      <c r="L790" s="100"/>
      <c r="M790" s="100"/>
    </row>
    <row r="791">
      <c r="B791" s="75"/>
      <c r="C791" s="75"/>
      <c r="F791" s="94"/>
      <c r="H791" s="75"/>
      <c r="I791" s="100"/>
      <c r="J791" s="100"/>
      <c r="K791" s="100"/>
      <c r="L791" s="100"/>
      <c r="M791" s="100"/>
    </row>
    <row r="792">
      <c r="B792" s="75"/>
      <c r="C792" s="75"/>
      <c r="F792" s="94"/>
      <c r="H792" s="75"/>
      <c r="I792" s="100"/>
      <c r="J792" s="100"/>
      <c r="K792" s="100"/>
      <c r="L792" s="100"/>
      <c r="M792" s="100"/>
    </row>
    <row r="793">
      <c r="B793" s="75"/>
      <c r="C793" s="75"/>
      <c r="F793" s="94"/>
      <c r="H793" s="75"/>
      <c r="I793" s="100"/>
      <c r="J793" s="100"/>
      <c r="K793" s="100"/>
      <c r="L793" s="100"/>
      <c r="M793" s="100"/>
    </row>
    <row r="794">
      <c r="B794" s="75"/>
      <c r="C794" s="75"/>
      <c r="F794" s="94"/>
      <c r="H794" s="75"/>
      <c r="I794" s="100"/>
      <c r="J794" s="100"/>
      <c r="K794" s="100"/>
      <c r="L794" s="100"/>
      <c r="M794" s="100"/>
    </row>
    <row r="795">
      <c r="B795" s="75"/>
      <c r="C795" s="75"/>
      <c r="F795" s="94"/>
      <c r="H795" s="75"/>
      <c r="I795" s="100"/>
      <c r="J795" s="100"/>
      <c r="K795" s="100"/>
      <c r="L795" s="100"/>
      <c r="M795" s="100"/>
    </row>
    <row r="796">
      <c r="B796" s="75"/>
      <c r="C796" s="75"/>
      <c r="F796" s="94"/>
      <c r="H796" s="75"/>
      <c r="I796" s="100"/>
      <c r="J796" s="100"/>
      <c r="K796" s="100"/>
      <c r="L796" s="100"/>
      <c r="M796" s="100"/>
    </row>
    <row r="797">
      <c r="B797" s="75"/>
      <c r="C797" s="75"/>
      <c r="F797" s="94"/>
      <c r="H797" s="75"/>
      <c r="I797" s="100"/>
      <c r="J797" s="100"/>
      <c r="K797" s="100"/>
      <c r="L797" s="100"/>
      <c r="M797" s="100"/>
    </row>
    <row r="798">
      <c r="B798" s="75"/>
      <c r="C798" s="75"/>
      <c r="F798" s="94"/>
      <c r="H798" s="75"/>
      <c r="I798" s="100"/>
      <c r="J798" s="100"/>
      <c r="K798" s="100"/>
      <c r="L798" s="100"/>
      <c r="M798" s="100"/>
    </row>
    <row r="799">
      <c r="B799" s="75"/>
      <c r="C799" s="75"/>
      <c r="F799" s="94"/>
      <c r="H799" s="75"/>
      <c r="I799" s="100"/>
      <c r="J799" s="100"/>
      <c r="K799" s="100"/>
      <c r="L799" s="100"/>
      <c r="M799" s="100"/>
    </row>
    <row r="800">
      <c r="B800" s="75"/>
      <c r="C800" s="75"/>
      <c r="F800" s="94"/>
      <c r="H800" s="75"/>
      <c r="I800" s="100"/>
      <c r="J800" s="100"/>
      <c r="K800" s="100"/>
      <c r="L800" s="100"/>
      <c r="M800" s="100"/>
    </row>
    <row r="801">
      <c r="B801" s="75"/>
      <c r="C801" s="75"/>
      <c r="F801" s="94"/>
      <c r="H801" s="75"/>
      <c r="I801" s="100"/>
      <c r="J801" s="100"/>
      <c r="K801" s="100"/>
      <c r="L801" s="100"/>
      <c r="M801" s="100"/>
    </row>
    <row r="802">
      <c r="B802" s="75"/>
      <c r="C802" s="75"/>
      <c r="F802" s="94"/>
      <c r="H802" s="75"/>
      <c r="I802" s="100"/>
      <c r="J802" s="100"/>
      <c r="K802" s="100"/>
      <c r="L802" s="100"/>
      <c r="M802" s="100"/>
    </row>
    <row r="803">
      <c r="B803" s="75"/>
      <c r="C803" s="75"/>
      <c r="F803" s="94"/>
      <c r="H803" s="75"/>
      <c r="I803" s="100"/>
      <c r="J803" s="100"/>
      <c r="K803" s="100"/>
      <c r="L803" s="100"/>
      <c r="M803" s="100"/>
    </row>
    <row r="804">
      <c r="B804" s="75"/>
      <c r="C804" s="75"/>
      <c r="F804" s="94"/>
      <c r="H804" s="75"/>
      <c r="I804" s="100"/>
      <c r="J804" s="100"/>
      <c r="K804" s="100"/>
      <c r="L804" s="100"/>
      <c r="M804" s="100"/>
    </row>
    <row r="805">
      <c r="B805" s="75"/>
      <c r="C805" s="75"/>
      <c r="F805" s="94"/>
      <c r="H805" s="75"/>
      <c r="I805" s="100"/>
      <c r="J805" s="100"/>
      <c r="K805" s="100"/>
      <c r="L805" s="100"/>
      <c r="M805" s="100"/>
    </row>
    <row r="806">
      <c r="B806" s="75"/>
      <c r="C806" s="75"/>
      <c r="F806" s="94"/>
      <c r="H806" s="75"/>
      <c r="I806" s="100"/>
      <c r="J806" s="100"/>
      <c r="K806" s="100"/>
      <c r="L806" s="100"/>
      <c r="M806" s="100"/>
    </row>
    <row r="807">
      <c r="B807" s="75"/>
      <c r="C807" s="75"/>
      <c r="F807" s="94"/>
      <c r="H807" s="75"/>
      <c r="I807" s="100"/>
      <c r="J807" s="100"/>
      <c r="K807" s="100"/>
      <c r="L807" s="100"/>
      <c r="M807" s="100"/>
    </row>
    <row r="808">
      <c r="B808" s="75"/>
      <c r="C808" s="75"/>
      <c r="F808" s="94"/>
      <c r="H808" s="75"/>
      <c r="I808" s="100"/>
      <c r="J808" s="100"/>
      <c r="K808" s="100"/>
      <c r="L808" s="100"/>
      <c r="M808" s="100"/>
    </row>
    <row r="809">
      <c r="B809" s="75"/>
      <c r="C809" s="75"/>
      <c r="F809" s="94"/>
      <c r="H809" s="75"/>
      <c r="I809" s="100"/>
      <c r="J809" s="100"/>
      <c r="K809" s="100"/>
      <c r="L809" s="100"/>
      <c r="M809" s="100"/>
    </row>
    <row r="810">
      <c r="B810" s="75"/>
      <c r="C810" s="75"/>
      <c r="F810" s="94"/>
      <c r="H810" s="75"/>
      <c r="I810" s="100"/>
      <c r="J810" s="100"/>
      <c r="K810" s="100"/>
      <c r="L810" s="100"/>
      <c r="M810" s="100"/>
    </row>
    <row r="811">
      <c r="B811" s="75"/>
      <c r="C811" s="75"/>
      <c r="F811" s="94"/>
      <c r="H811" s="75"/>
      <c r="I811" s="100"/>
      <c r="J811" s="100"/>
      <c r="K811" s="100"/>
      <c r="L811" s="100"/>
      <c r="M811" s="100"/>
    </row>
    <row r="812">
      <c r="B812" s="75"/>
      <c r="C812" s="75"/>
      <c r="F812" s="94"/>
      <c r="H812" s="75"/>
      <c r="I812" s="100"/>
      <c r="J812" s="100"/>
      <c r="K812" s="100"/>
      <c r="L812" s="100"/>
      <c r="M812" s="100"/>
    </row>
    <row r="813">
      <c r="B813" s="75"/>
      <c r="C813" s="75"/>
      <c r="F813" s="94"/>
      <c r="H813" s="75"/>
      <c r="I813" s="100"/>
      <c r="J813" s="100"/>
      <c r="K813" s="100"/>
      <c r="L813" s="100"/>
      <c r="M813" s="100"/>
    </row>
    <row r="814">
      <c r="B814" s="75"/>
      <c r="C814" s="75"/>
      <c r="F814" s="94"/>
      <c r="H814" s="75"/>
      <c r="I814" s="100"/>
      <c r="J814" s="100"/>
      <c r="K814" s="100"/>
      <c r="L814" s="100"/>
      <c r="M814" s="100"/>
    </row>
    <row r="815">
      <c r="B815" s="75"/>
      <c r="C815" s="75"/>
      <c r="F815" s="94"/>
      <c r="H815" s="75"/>
      <c r="I815" s="100"/>
      <c r="J815" s="100"/>
      <c r="K815" s="100"/>
      <c r="L815" s="100"/>
      <c r="M815" s="100"/>
    </row>
    <row r="816">
      <c r="B816" s="75"/>
      <c r="C816" s="75"/>
      <c r="F816" s="94"/>
      <c r="H816" s="75"/>
      <c r="I816" s="100"/>
      <c r="J816" s="100"/>
      <c r="K816" s="100"/>
      <c r="L816" s="100"/>
      <c r="M816" s="100"/>
    </row>
    <row r="817">
      <c r="B817" s="75"/>
      <c r="C817" s="75"/>
      <c r="F817" s="94"/>
      <c r="H817" s="75"/>
      <c r="I817" s="100"/>
      <c r="J817" s="100"/>
      <c r="K817" s="100"/>
      <c r="L817" s="100"/>
      <c r="M817" s="100"/>
    </row>
    <row r="818">
      <c r="B818" s="75"/>
      <c r="C818" s="75"/>
      <c r="F818" s="94"/>
      <c r="H818" s="75"/>
      <c r="I818" s="100"/>
      <c r="J818" s="100"/>
      <c r="K818" s="100"/>
      <c r="L818" s="100"/>
      <c r="M818" s="100"/>
    </row>
    <row r="819">
      <c r="B819" s="75"/>
      <c r="C819" s="75"/>
      <c r="F819" s="94"/>
      <c r="H819" s="75"/>
      <c r="I819" s="100"/>
      <c r="J819" s="100"/>
      <c r="K819" s="100"/>
      <c r="L819" s="100"/>
      <c r="M819" s="100"/>
    </row>
    <row r="820">
      <c r="B820" s="75"/>
      <c r="C820" s="75"/>
      <c r="F820" s="94"/>
      <c r="H820" s="75"/>
      <c r="I820" s="100"/>
      <c r="J820" s="100"/>
      <c r="K820" s="100"/>
      <c r="L820" s="100"/>
      <c r="M820" s="100"/>
    </row>
    <row r="821">
      <c r="B821" s="75"/>
      <c r="C821" s="75"/>
      <c r="F821" s="94"/>
      <c r="H821" s="75"/>
      <c r="I821" s="100"/>
      <c r="J821" s="100"/>
      <c r="K821" s="100"/>
      <c r="L821" s="100"/>
      <c r="M821" s="100"/>
    </row>
    <row r="822">
      <c r="B822" s="75"/>
      <c r="C822" s="75"/>
      <c r="F822" s="94"/>
      <c r="H822" s="75"/>
      <c r="I822" s="100"/>
      <c r="J822" s="100"/>
      <c r="K822" s="100"/>
      <c r="L822" s="100"/>
      <c r="M822" s="100"/>
    </row>
    <row r="823">
      <c r="B823" s="75"/>
      <c r="C823" s="75"/>
      <c r="F823" s="94"/>
      <c r="H823" s="75"/>
      <c r="I823" s="100"/>
      <c r="J823" s="100"/>
      <c r="K823" s="100"/>
      <c r="L823" s="100"/>
      <c r="M823" s="100"/>
    </row>
    <row r="824">
      <c r="B824" s="75"/>
      <c r="C824" s="75"/>
      <c r="F824" s="94"/>
      <c r="H824" s="75"/>
      <c r="I824" s="100"/>
      <c r="J824" s="100"/>
      <c r="K824" s="100"/>
      <c r="L824" s="100"/>
      <c r="M824" s="100"/>
    </row>
    <row r="825">
      <c r="B825" s="75"/>
      <c r="C825" s="75"/>
      <c r="F825" s="94"/>
      <c r="H825" s="75"/>
      <c r="I825" s="100"/>
      <c r="J825" s="100"/>
      <c r="K825" s="100"/>
      <c r="L825" s="100"/>
      <c r="M825" s="100"/>
    </row>
    <row r="826">
      <c r="B826" s="75"/>
      <c r="C826" s="75"/>
      <c r="F826" s="94"/>
      <c r="H826" s="75"/>
      <c r="I826" s="100"/>
      <c r="J826" s="100"/>
      <c r="K826" s="100"/>
      <c r="L826" s="100"/>
      <c r="M826" s="100"/>
    </row>
    <row r="827">
      <c r="B827" s="75"/>
      <c r="C827" s="75"/>
      <c r="F827" s="94"/>
      <c r="H827" s="75"/>
      <c r="I827" s="100"/>
      <c r="J827" s="100"/>
      <c r="K827" s="100"/>
      <c r="L827" s="100"/>
      <c r="M827" s="100"/>
    </row>
    <row r="828">
      <c r="B828" s="75"/>
      <c r="C828" s="75"/>
      <c r="F828" s="94"/>
      <c r="H828" s="75"/>
      <c r="I828" s="100"/>
      <c r="J828" s="100"/>
      <c r="K828" s="100"/>
      <c r="L828" s="100"/>
      <c r="M828" s="100"/>
    </row>
    <row r="829">
      <c r="B829" s="75"/>
      <c r="C829" s="75"/>
      <c r="F829" s="94"/>
      <c r="H829" s="75"/>
      <c r="I829" s="100"/>
      <c r="J829" s="100"/>
      <c r="K829" s="100"/>
      <c r="L829" s="100"/>
      <c r="M829" s="100"/>
    </row>
    <row r="830">
      <c r="B830" s="75"/>
      <c r="C830" s="75"/>
      <c r="F830" s="94"/>
      <c r="H830" s="75"/>
      <c r="I830" s="100"/>
      <c r="J830" s="100"/>
      <c r="K830" s="100"/>
      <c r="L830" s="100"/>
      <c r="M830" s="100"/>
    </row>
    <row r="831">
      <c r="B831" s="75"/>
      <c r="C831" s="75"/>
      <c r="F831" s="94"/>
      <c r="H831" s="75"/>
      <c r="I831" s="100"/>
      <c r="J831" s="100"/>
      <c r="K831" s="100"/>
      <c r="L831" s="100"/>
      <c r="M831" s="100"/>
    </row>
    <row r="832">
      <c r="B832" s="75"/>
      <c r="C832" s="75"/>
      <c r="F832" s="94"/>
      <c r="H832" s="75"/>
      <c r="I832" s="100"/>
      <c r="J832" s="100"/>
      <c r="K832" s="100"/>
      <c r="L832" s="100"/>
      <c r="M832" s="100"/>
    </row>
    <row r="833">
      <c r="B833" s="75"/>
      <c r="C833" s="75"/>
      <c r="F833" s="94"/>
      <c r="H833" s="75"/>
      <c r="I833" s="100"/>
      <c r="J833" s="100"/>
      <c r="K833" s="100"/>
      <c r="L833" s="100"/>
      <c r="M833" s="100"/>
    </row>
    <row r="834">
      <c r="B834" s="75"/>
      <c r="C834" s="75"/>
      <c r="F834" s="94"/>
      <c r="H834" s="75"/>
      <c r="I834" s="100"/>
      <c r="J834" s="100"/>
      <c r="K834" s="100"/>
      <c r="L834" s="100"/>
      <c r="M834" s="100"/>
    </row>
    <row r="835">
      <c r="B835" s="75"/>
      <c r="C835" s="75"/>
      <c r="F835" s="94"/>
      <c r="H835" s="75"/>
      <c r="I835" s="100"/>
      <c r="J835" s="100"/>
      <c r="K835" s="100"/>
      <c r="L835" s="100"/>
      <c r="M835" s="100"/>
    </row>
    <row r="836">
      <c r="B836" s="75"/>
      <c r="C836" s="75"/>
      <c r="F836" s="94"/>
      <c r="H836" s="75"/>
      <c r="I836" s="100"/>
      <c r="J836" s="100"/>
      <c r="K836" s="100"/>
      <c r="L836" s="100"/>
      <c r="M836" s="100"/>
    </row>
    <row r="837">
      <c r="B837" s="75"/>
      <c r="C837" s="75"/>
      <c r="F837" s="94"/>
      <c r="H837" s="75"/>
      <c r="I837" s="100"/>
      <c r="J837" s="100"/>
      <c r="K837" s="100"/>
      <c r="L837" s="100"/>
      <c r="M837" s="100"/>
    </row>
    <row r="838">
      <c r="B838" s="75"/>
      <c r="C838" s="75"/>
      <c r="F838" s="94"/>
      <c r="H838" s="75"/>
      <c r="I838" s="100"/>
      <c r="J838" s="100"/>
      <c r="K838" s="100"/>
      <c r="L838" s="100"/>
      <c r="M838" s="100"/>
    </row>
    <row r="839">
      <c r="B839" s="75"/>
      <c r="C839" s="75"/>
      <c r="F839" s="94"/>
      <c r="H839" s="75"/>
      <c r="I839" s="100"/>
      <c r="J839" s="100"/>
      <c r="K839" s="100"/>
      <c r="L839" s="100"/>
      <c r="M839" s="100"/>
    </row>
    <row r="840">
      <c r="B840" s="75"/>
      <c r="C840" s="75"/>
      <c r="F840" s="94"/>
      <c r="H840" s="75"/>
      <c r="I840" s="100"/>
      <c r="J840" s="100"/>
      <c r="K840" s="100"/>
      <c r="L840" s="100"/>
      <c r="M840" s="100"/>
    </row>
    <row r="841">
      <c r="B841" s="75"/>
      <c r="C841" s="75"/>
      <c r="F841" s="94"/>
      <c r="H841" s="75"/>
      <c r="I841" s="100"/>
      <c r="J841" s="100"/>
      <c r="K841" s="100"/>
      <c r="L841" s="100"/>
      <c r="M841" s="100"/>
    </row>
    <row r="842">
      <c r="B842" s="75"/>
      <c r="C842" s="75"/>
      <c r="F842" s="94"/>
      <c r="H842" s="75"/>
      <c r="I842" s="100"/>
      <c r="J842" s="100"/>
      <c r="K842" s="100"/>
      <c r="L842" s="100"/>
      <c r="M842" s="100"/>
    </row>
    <row r="843">
      <c r="B843" s="75"/>
      <c r="C843" s="75"/>
      <c r="F843" s="94"/>
      <c r="H843" s="75"/>
      <c r="I843" s="100"/>
      <c r="J843" s="100"/>
      <c r="K843" s="100"/>
      <c r="L843" s="100"/>
      <c r="M843" s="100"/>
    </row>
    <row r="844">
      <c r="B844" s="75"/>
      <c r="C844" s="75"/>
      <c r="F844" s="94"/>
      <c r="H844" s="75"/>
      <c r="I844" s="100"/>
      <c r="J844" s="100"/>
      <c r="K844" s="100"/>
      <c r="L844" s="100"/>
      <c r="M844" s="100"/>
    </row>
    <row r="845">
      <c r="B845" s="75"/>
      <c r="C845" s="75"/>
      <c r="F845" s="94"/>
      <c r="H845" s="75"/>
      <c r="I845" s="100"/>
      <c r="J845" s="100"/>
      <c r="K845" s="100"/>
      <c r="L845" s="100"/>
      <c r="M845" s="100"/>
    </row>
    <row r="846">
      <c r="B846" s="75"/>
      <c r="C846" s="75"/>
      <c r="F846" s="94"/>
      <c r="H846" s="75"/>
      <c r="I846" s="100"/>
      <c r="J846" s="100"/>
      <c r="K846" s="100"/>
      <c r="L846" s="100"/>
      <c r="M846" s="100"/>
    </row>
    <row r="847">
      <c r="B847" s="75"/>
      <c r="C847" s="75"/>
      <c r="F847" s="94"/>
      <c r="H847" s="75"/>
      <c r="I847" s="100"/>
      <c r="J847" s="100"/>
      <c r="K847" s="100"/>
      <c r="L847" s="100"/>
      <c r="M847" s="100"/>
    </row>
    <row r="848">
      <c r="B848" s="75"/>
      <c r="C848" s="75"/>
      <c r="F848" s="94"/>
      <c r="H848" s="75"/>
      <c r="I848" s="100"/>
      <c r="J848" s="100"/>
      <c r="K848" s="100"/>
      <c r="L848" s="100"/>
      <c r="M848" s="100"/>
    </row>
    <row r="849">
      <c r="B849" s="75"/>
      <c r="C849" s="75"/>
      <c r="F849" s="94"/>
      <c r="H849" s="75"/>
      <c r="I849" s="100"/>
      <c r="J849" s="100"/>
      <c r="K849" s="100"/>
      <c r="L849" s="100"/>
      <c r="M849" s="100"/>
    </row>
    <row r="850">
      <c r="B850" s="75"/>
      <c r="C850" s="75"/>
      <c r="F850" s="94"/>
      <c r="H850" s="75"/>
      <c r="I850" s="100"/>
      <c r="J850" s="100"/>
      <c r="K850" s="100"/>
      <c r="L850" s="100"/>
      <c r="M850" s="100"/>
    </row>
    <row r="851">
      <c r="B851" s="75"/>
      <c r="C851" s="75"/>
      <c r="F851" s="94"/>
      <c r="H851" s="75"/>
      <c r="I851" s="100"/>
      <c r="J851" s="100"/>
      <c r="K851" s="100"/>
      <c r="L851" s="100"/>
      <c r="M851" s="100"/>
    </row>
    <row r="852">
      <c r="B852" s="75"/>
      <c r="C852" s="75"/>
      <c r="F852" s="94"/>
      <c r="H852" s="75"/>
      <c r="I852" s="100"/>
      <c r="J852" s="100"/>
      <c r="K852" s="100"/>
      <c r="L852" s="100"/>
      <c r="M852" s="100"/>
    </row>
    <row r="853">
      <c r="B853" s="75"/>
      <c r="C853" s="75"/>
      <c r="F853" s="94"/>
      <c r="H853" s="75"/>
      <c r="I853" s="100"/>
      <c r="J853" s="100"/>
      <c r="K853" s="100"/>
      <c r="L853" s="100"/>
      <c r="M853" s="100"/>
    </row>
    <row r="854">
      <c r="B854" s="75"/>
      <c r="C854" s="75"/>
      <c r="F854" s="94"/>
      <c r="H854" s="75"/>
      <c r="I854" s="100"/>
      <c r="J854" s="100"/>
      <c r="K854" s="100"/>
      <c r="L854" s="100"/>
      <c r="M854" s="100"/>
    </row>
    <row r="855">
      <c r="B855" s="75"/>
      <c r="C855" s="75"/>
      <c r="F855" s="94"/>
      <c r="H855" s="75"/>
      <c r="I855" s="100"/>
      <c r="J855" s="100"/>
      <c r="K855" s="100"/>
      <c r="L855" s="100"/>
      <c r="M855" s="100"/>
    </row>
    <row r="856">
      <c r="B856" s="75"/>
      <c r="C856" s="75"/>
      <c r="F856" s="94"/>
      <c r="H856" s="75"/>
      <c r="I856" s="100"/>
      <c r="J856" s="100"/>
      <c r="K856" s="100"/>
      <c r="L856" s="100"/>
      <c r="M856" s="100"/>
    </row>
    <row r="857">
      <c r="B857" s="75"/>
      <c r="C857" s="75"/>
      <c r="F857" s="94"/>
      <c r="H857" s="75"/>
      <c r="I857" s="100"/>
      <c r="J857" s="100"/>
      <c r="K857" s="100"/>
      <c r="L857" s="100"/>
      <c r="M857" s="100"/>
    </row>
    <row r="858">
      <c r="B858" s="75"/>
      <c r="C858" s="75"/>
      <c r="F858" s="94"/>
      <c r="H858" s="75"/>
      <c r="I858" s="100"/>
      <c r="J858" s="100"/>
      <c r="K858" s="100"/>
      <c r="L858" s="100"/>
      <c r="M858" s="100"/>
    </row>
    <row r="859">
      <c r="B859" s="75"/>
      <c r="C859" s="75"/>
      <c r="F859" s="94"/>
      <c r="H859" s="75"/>
      <c r="I859" s="100"/>
      <c r="J859" s="100"/>
      <c r="K859" s="100"/>
      <c r="L859" s="100"/>
      <c r="M859" s="100"/>
    </row>
    <row r="860">
      <c r="B860" s="75"/>
      <c r="C860" s="75"/>
      <c r="F860" s="94"/>
      <c r="H860" s="75"/>
      <c r="I860" s="100"/>
      <c r="J860" s="100"/>
      <c r="K860" s="100"/>
      <c r="L860" s="100"/>
      <c r="M860" s="100"/>
    </row>
    <row r="861">
      <c r="B861" s="75"/>
      <c r="C861" s="75"/>
      <c r="F861" s="94"/>
      <c r="H861" s="75"/>
      <c r="I861" s="100"/>
      <c r="J861" s="100"/>
      <c r="K861" s="100"/>
      <c r="L861" s="100"/>
      <c r="M861" s="100"/>
    </row>
    <row r="862">
      <c r="B862" s="75"/>
      <c r="C862" s="75"/>
      <c r="F862" s="94"/>
      <c r="H862" s="75"/>
      <c r="I862" s="100"/>
      <c r="J862" s="100"/>
      <c r="K862" s="100"/>
      <c r="L862" s="100"/>
      <c r="M862" s="100"/>
    </row>
    <row r="863">
      <c r="B863" s="75"/>
      <c r="C863" s="75"/>
      <c r="F863" s="94"/>
      <c r="H863" s="75"/>
      <c r="I863" s="100"/>
      <c r="J863" s="100"/>
      <c r="K863" s="100"/>
      <c r="L863" s="100"/>
      <c r="M863" s="100"/>
    </row>
    <row r="864">
      <c r="B864" s="75"/>
      <c r="C864" s="75"/>
      <c r="F864" s="94"/>
      <c r="H864" s="75"/>
      <c r="I864" s="100"/>
      <c r="J864" s="100"/>
      <c r="K864" s="100"/>
      <c r="L864" s="100"/>
      <c r="M864" s="100"/>
    </row>
    <row r="865">
      <c r="B865" s="75"/>
      <c r="C865" s="75"/>
      <c r="F865" s="94"/>
      <c r="H865" s="75"/>
      <c r="I865" s="100"/>
      <c r="J865" s="100"/>
      <c r="K865" s="100"/>
      <c r="L865" s="100"/>
      <c r="M865" s="100"/>
    </row>
    <row r="866">
      <c r="B866" s="75"/>
      <c r="C866" s="75"/>
      <c r="F866" s="94"/>
      <c r="H866" s="75"/>
      <c r="I866" s="100"/>
      <c r="J866" s="100"/>
      <c r="K866" s="100"/>
      <c r="L866" s="100"/>
      <c r="M866" s="100"/>
    </row>
    <row r="867">
      <c r="B867" s="75"/>
      <c r="C867" s="75"/>
      <c r="F867" s="94"/>
      <c r="H867" s="75"/>
      <c r="I867" s="100"/>
      <c r="J867" s="100"/>
      <c r="K867" s="100"/>
      <c r="L867" s="100"/>
      <c r="M867" s="100"/>
    </row>
    <row r="868">
      <c r="B868" s="75"/>
      <c r="C868" s="75"/>
      <c r="F868" s="94"/>
      <c r="H868" s="75"/>
      <c r="I868" s="100"/>
      <c r="J868" s="100"/>
      <c r="K868" s="100"/>
      <c r="L868" s="100"/>
      <c r="M868" s="100"/>
    </row>
    <row r="869">
      <c r="B869" s="75"/>
      <c r="C869" s="75"/>
      <c r="F869" s="94"/>
      <c r="H869" s="75"/>
      <c r="I869" s="100"/>
      <c r="J869" s="100"/>
      <c r="K869" s="100"/>
      <c r="L869" s="100"/>
      <c r="M869" s="100"/>
    </row>
    <row r="870">
      <c r="B870" s="75"/>
      <c r="C870" s="75"/>
      <c r="F870" s="94"/>
      <c r="H870" s="75"/>
      <c r="I870" s="100"/>
      <c r="J870" s="100"/>
      <c r="K870" s="100"/>
      <c r="L870" s="100"/>
      <c r="M870" s="100"/>
    </row>
    <row r="871">
      <c r="B871" s="75"/>
      <c r="C871" s="75"/>
      <c r="F871" s="94"/>
      <c r="H871" s="75"/>
      <c r="I871" s="100"/>
      <c r="J871" s="100"/>
      <c r="K871" s="100"/>
      <c r="L871" s="100"/>
      <c r="M871" s="100"/>
    </row>
    <row r="872">
      <c r="B872" s="75"/>
      <c r="C872" s="75"/>
      <c r="F872" s="94"/>
      <c r="H872" s="75"/>
      <c r="I872" s="100"/>
      <c r="J872" s="100"/>
      <c r="K872" s="100"/>
      <c r="L872" s="100"/>
      <c r="M872" s="100"/>
    </row>
    <row r="873">
      <c r="B873" s="75"/>
      <c r="C873" s="75"/>
      <c r="F873" s="94"/>
      <c r="H873" s="75"/>
      <c r="I873" s="100"/>
      <c r="J873" s="100"/>
      <c r="K873" s="100"/>
      <c r="L873" s="100"/>
      <c r="M873" s="100"/>
    </row>
    <row r="874">
      <c r="B874" s="75"/>
      <c r="C874" s="75"/>
      <c r="F874" s="94"/>
      <c r="H874" s="75"/>
      <c r="I874" s="100"/>
      <c r="J874" s="100"/>
      <c r="K874" s="100"/>
      <c r="L874" s="100"/>
      <c r="M874" s="100"/>
    </row>
    <row r="875">
      <c r="B875" s="75"/>
      <c r="C875" s="75"/>
      <c r="F875" s="94"/>
      <c r="H875" s="75"/>
      <c r="I875" s="100"/>
      <c r="J875" s="100"/>
      <c r="K875" s="100"/>
      <c r="L875" s="100"/>
      <c r="M875" s="100"/>
    </row>
    <row r="876">
      <c r="B876" s="75"/>
      <c r="C876" s="75"/>
      <c r="F876" s="94"/>
      <c r="H876" s="75"/>
      <c r="I876" s="100"/>
      <c r="J876" s="100"/>
      <c r="K876" s="100"/>
      <c r="L876" s="100"/>
      <c r="M876" s="100"/>
    </row>
    <row r="877">
      <c r="B877" s="75"/>
      <c r="C877" s="75"/>
      <c r="F877" s="94"/>
      <c r="H877" s="75"/>
      <c r="I877" s="100"/>
      <c r="J877" s="100"/>
      <c r="K877" s="100"/>
      <c r="L877" s="100"/>
      <c r="M877" s="100"/>
    </row>
    <row r="878">
      <c r="B878" s="75"/>
      <c r="C878" s="75"/>
      <c r="F878" s="94"/>
      <c r="H878" s="75"/>
      <c r="I878" s="100"/>
      <c r="J878" s="100"/>
      <c r="K878" s="100"/>
      <c r="L878" s="100"/>
      <c r="M878" s="100"/>
    </row>
    <row r="879">
      <c r="B879" s="75"/>
      <c r="C879" s="75"/>
      <c r="F879" s="94"/>
      <c r="H879" s="75"/>
      <c r="I879" s="100"/>
      <c r="J879" s="100"/>
      <c r="K879" s="100"/>
      <c r="L879" s="100"/>
      <c r="M879" s="100"/>
    </row>
    <row r="880">
      <c r="B880" s="75"/>
      <c r="C880" s="75"/>
      <c r="F880" s="94"/>
      <c r="H880" s="75"/>
      <c r="I880" s="100"/>
      <c r="J880" s="100"/>
      <c r="K880" s="100"/>
      <c r="L880" s="100"/>
      <c r="M880" s="100"/>
    </row>
    <row r="881">
      <c r="B881" s="75"/>
      <c r="C881" s="75"/>
      <c r="F881" s="94"/>
      <c r="H881" s="75"/>
      <c r="I881" s="100"/>
      <c r="J881" s="100"/>
      <c r="K881" s="100"/>
      <c r="L881" s="100"/>
      <c r="M881" s="100"/>
    </row>
    <row r="882">
      <c r="B882" s="75"/>
      <c r="C882" s="75"/>
      <c r="F882" s="94"/>
      <c r="H882" s="75"/>
      <c r="I882" s="100"/>
      <c r="J882" s="100"/>
      <c r="K882" s="100"/>
      <c r="L882" s="100"/>
      <c r="M882" s="100"/>
    </row>
    <row r="883">
      <c r="B883" s="75"/>
      <c r="C883" s="75"/>
      <c r="F883" s="94"/>
      <c r="H883" s="75"/>
      <c r="I883" s="100"/>
      <c r="J883" s="100"/>
      <c r="K883" s="100"/>
      <c r="L883" s="100"/>
      <c r="M883" s="100"/>
    </row>
    <row r="884">
      <c r="B884" s="75"/>
      <c r="C884" s="75"/>
      <c r="F884" s="94"/>
      <c r="H884" s="75"/>
      <c r="I884" s="100"/>
      <c r="J884" s="100"/>
      <c r="K884" s="100"/>
      <c r="L884" s="100"/>
      <c r="M884" s="100"/>
    </row>
    <row r="885">
      <c r="B885" s="75"/>
      <c r="C885" s="75"/>
      <c r="F885" s="94"/>
      <c r="H885" s="75"/>
      <c r="I885" s="100"/>
      <c r="J885" s="100"/>
      <c r="K885" s="100"/>
      <c r="L885" s="100"/>
      <c r="M885" s="100"/>
    </row>
    <row r="886">
      <c r="B886" s="75"/>
      <c r="C886" s="75"/>
      <c r="F886" s="94"/>
      <c r="H886" s="75"/>
      <c r="I886" s="100"/>
      <c r="J886" s="100"/>
      <c r="K886" s="100"/>
      <c r="L886" s="100"/>
      <c r="M886" s="100"/>
    </row>
    <row r="887">
      <c r="B887" s="75"/>
      <c r="C887" s="75"/>
      <c r="F887" s="94"/>
      <c r="H887" s="75"/>
      <c r="I887" s="100"/>
      <c r="J887" s="100"/>
      <c r="K887" s="100"/>
      <c r="L887" s="100"/>
      <c r="M887" s="100"/>
    </row>
    <row r="888">
      <c r="B888" s="75"/>
      <c r="C888" s="75"/>
      <c r="F888" s="94"/>
      <c r="H888" s="75"/>
      <c r="I888" s="100"/>
      <c r="J888" s="100"/>
      <c r="K888" s="100"/>
      <c r="L888" s="100"/>
      <c r="M888" s="100"/>
    </row>
    <row r="889">
      <c r="B889" s="75"/>
      <c r="C889" s="75"/>
      <c r="F889" s="94"/>
      <c r="H889" s="75"/>
      <c r="I889" s="100"/>
      <c r="J889" s="100"/>
      <c r="K889" s="100"/>
      <c r="L889" s="100"/>
      <c r="M889" s="100"/>
    </row>
    <row r="890">
      <c r="B890" s="75"/>
      <c r="C890" s="75"/>
      <c r="F890" s="94"/>
      <c r="H890" s="75"/>
      <c r="I890" s="100"/>
      <c r="J890" s="100"/>
      <c r="K890" s="100"/>
      <c r="L890" s="100"/>
      <c r="M890" s="100"/>
    </row>
    <row r="891">
      <c r="B891" s="75"/>
      <c r="C891" s="75"/>
      <c r="F891" s="94"/>
      <c r="H891" s="75"/>
      <c r="I891" s="100"/>
      <c r="J891" s="100"/>
      <c r="K891" s="100"/>
      <c r="L891" s="100"/>
      <c r="M891" s="100"/>
    </row>
    <row r="892">
      <c r="B892" s="75"/>
      <c r="C892" s="75"/>
      <c r="F892" s="94"/>
      <c r="H892" s="75"/>
      <c r="I892" s="100"/>
      <c r="J892" s="100"/>
      <c r="K892" s="100"/>
      <c r="L892" s="100"/>
      <c r="M892" s="100"/>
    </row>
    <row r="893">
      <c r="B893" s="75"/>
      <c r="C893" s="75"/>
      <c r="F893" s="94"/>
      <c r="H893" s="75"/>
      <c r="I893" s="100"/>
      <c r="J893" s="100"/>
      <c r="K893" s="100"/>
      <c r="L893" s="100"/>
      <c r="M893" s="100"/>
    </row>
    <row r="894">
      <c r="B894" s="75"/>
      <c r="C894" s="75"/>
      <c r="F894" s="94"/>
      <c r="H894" s="75"/>
      <c r="I894" s="100"/>
      <c r="J894" s="100"/>
      <c r="K894" s="100"/>
      <c r="L894" s="100"/>
      <c r="M894" s="100"/>
    </row>
    <row r="895">
      <c r="B895" s="75"/>
      <c r="C895" s="75"/>
      <c r="F895" s="94"/>
      <c r="H895" s="75"/>
      <c r="I895" s="100"/>
      <c r="J895" s="100"/>
      <c r="K895" s="100"/>
      <c r="L895" s="100"/>
      <c r="M895" s="100"/>
    </row>
    <row r="896">
      <c r="B896" s="75"/>
      <c r="C896" s="75"/>
      <c r="F896" s="94"/>
      <c r="H896" s="75"/>
      <c r="I896" s="100"/>
      <c r="J896" s="100"/>
      <c r="K896" s="100"/>
      <c r="L896" s="100"/>
      <c r="M896" s="100"/>
    </row>
    <row r="897">
      <c r="B897" s="75"/>
      <c r="C897" s="75"/>
      <c r="F897" s="94"/>
      <c r="H897" s="75"/>
      <c r="I897" s="100"/>
      <c r="J897" s="100"/>
      <c r="K897" s="100"/>
      <c r="L897" s="100"/>
      <c r="M897" s="100"/>
    </row>
    <row r="898">
      <c r="B898" s="75"/>
      <c r="C898" s="75"/>
      <c r="F898" s="94"/>
      <c r="H898" s="75"/>
      <c r="I898" s="100"/>
      <c r="J898" s="100"/>
      <c r="K898" s="100"/>
      <c r="L898" s="100"/>
      <c r="M898" s="100"/>
    </row>
    <row r="899">
      <c r="B899" s="75"/>
      <c r="C899" s="75"/>
      <c r="F899" s="94"/>
      <c r="H899" s="75"/>
      <c r="I899" s="100"/>
      <c r="J899" s="100"/>
      <c r="K899" s="100"/>
      <c r="L899" s="100"/>
      <c r="M899" s="100"/>
    </row>
    <row r="900">
      <c r="B900" s="75"/>
      <c r="C900" s="75"/>
      <c r="F900" s="94"/>
      <c r="H900" s="75"/>
      <c r="I900" s="100"/>
      <c r="J900" s="100"/>
      <c r="K900" s="100"/>
      <c r="L900" s="100"/>
      <c r="M900" s="100"/>
    </row>
    <row r="901">
      <c r="B901" s="75"/>
      <c r="C901" s="75"/>
      <c r="F901" s="94"/>
      <c r="H901" s="75"/>
      <c r="I901" s="100"/>
      <c r="J901" s="100"/>
      <c r="K901" s="100"/>
      <c r="L901" s="100"/>
      <c r="M901" s="100"/>
    </row>
    <row r="902">
      <c r="B902" s="75"/>
      <c r="C902" s="75"/>
      <c r="F902" s="94"/>
      <c r="H902" s="75"/>
      <c r="I902" s="100"/>
      <c r="J902" s="100"/>
      <c r="K902" s="100"/>
      <c r="L902" s="100"/>
      <c r="M902" s="100"/>
    </row>
    <row r="903">
      <c r="B903" s="75"/>
      <c r="C903" s="75"/>
      <c r="F903" s="94"/>
      <c r="H903" s="75"/>
      <c r="I903" s="100"/>
      <c r="J903" s="100"/>
      <c r="K903" s="100"/>
      <c r="L903" s="100"/>
      <c r="M903" s="100"/>
    </row>
    <row r="904">
      <c r="B904" s="75"/>
      <c r="C904" s="75"/>
      <c r="F904" s="94"/>
      <c r="H904" s="75"/>
      <c r="I904" s="100"/>
      <c r="J904" s="100"/>
      <c r="K904" s="100"/>
      <c r="L904" s="100"/>
      <c r="M904" s="100"/>
    </row>
    <row r="905">
      <c r="B905" s="75"/>
      <c r="C905" s="75"/>
      <c r="F905" s="94"/>
      <c r="H905" s="75"/>
      <c r="I905" s="100"/>
      <c r="J905" s="100"/>
      <c r="K905" s="100"/>
      <c r="L905" s="100"/>
      <c r="M905" s="100"/>
    </row>
    <row r="906">
      <c r="B906" s="75"/>
      <c r="C906" s="75"/>
      <c r="F906" s="94"/>
      <c r="H906" s="75"/>
      <c r="I906" s="100"/>
      <c r="J906" s="100"/>
      <c r="K906" s="100"/>
      <c r="L906" s="100"/>
      <c r="M906" s="100"/>
    </row>
    <row r="907">
      <c r="B907" s="75"/>
      <c r="C907" s="75"/>
      <c r="F907" s="94"/>
      <c r="H907" s="75"/>
      <c r="I907" s="100"/>
      <c r="J907" s="100"/>
      <c r="K907" s="100"/>
      <c r="L907" s="100"/>
      <c r="M907" s="100"/>
    </row>
    <row r="908">
      <c r="B908" s="75"/>
      <c r="C908" s="75"/>
      <c r="F908" s="94"/>
      <c r="H908" s="75"/>
      <c r="I908" s="100"/>
      <c r="J908" s="100"/>
      <c r="K908" s="100"/>
      <c r="L908" s="100"/>
      <c r="M908" s="100"/>
    </row>
    <row r="909">
      <c r="B909" s="75"/>
      <c r="C909" s="75"/>
      <c r="F909" s="94"/>
      <c r="H909" s="75"/>
      <c r="I909" s="100"/>
      <c r="J909" s="100"/>
      <c r="K909" s="100"/>
      <c r="L909" s="100"/>
      <c r="M909" s="100"/>
    </row>
    <row r="910">
      <c r="B910" s="75"/>
      <c r="C910" s="75"/>
      <c r="F910" s="94"/>
      <c r="H910" s="75"/>
      <c r="I910" s="100"/>
      <c r="J910" s="100"/>
      <c r="K910" s="100"/>
      <c r="L910" s="100"/>
      <c r="M910" s="100"/>
    </row>
    <row r="911">
      <c r="B911" s="75"/>
      <c r="C911" s="75"/>
      <c r="F911" s="94"/>
      <c r="H911" s="75"/>
      <c r="I911" s="100"/>
      <c r="J911" s="100"/>
      <c r="K911" s="100"/>
      <c r="L911" s="100"/>
      <c r="M911" s="100"/>
    </row>
    <row r="912">
      <c r="B912" s="75"/>
      <c r="C912" s="75"/>
      <c r="F912" s="94"/>
      <c r="H912" s="75"/>
      <c r="I912" s="100"/>
      <c r="J912" s="100"/>
      <c r="K912" s="100"/>
      <c r="L912" s="100"/>
      <c r="M912" s="100"/>
    </row>
    <row r="913">
      <c r="B913" s="75"/>
      <c r="C913" s="75"/>
      <c r="F913" s="94"/>
      <c r="H913" s="75"/>
      <c r="I913" s="100"/>
      <c r="J913" s="100"/>
      <c r="K913" s="100"/>
      <c r="L913" s="100"/>
      <c r="M913" s="100"/>
    </row>
    <row r="914">
      <c r="B914" s="75"/>
      <c r="C914" s="75"/>
      <c r="F914" s="94"/>
      <c r="H914" s="75"/>
      <c r="I914" s="100"/>
      <c r="J914" s="100"/>
      <c r="K914" s="100"/>
      <c r="L914" s="100"/>
      <c r="M914" s="100"/>
    </row>
    <row r="915">
      <c r="B915" s="75"/>
      <c r="C915" s="75"/>
      <c r="F915" s="94"/>
      <c r="H915" s="75"/>
      <c r="I915" s="100"/>
      <c r="J915" s="100"/>
      <c r="K915" s="100"/>
      <c r="L915" s="100"/>
      <c r="M915" s="100"/>
    </row>
    <row r="916">
      <c r="B916" s="75"/>
      <c r="C916" s="75"/>
      <c r="F916" s="94"/>
      <c r="H916" s="75"/>
      <c r="I916" s="100"/>
      <c r="J916" s="100"/>
      <c r="K916" s="100"/>
      <c r="L916" s="100"/>
      <c r="M916" s="100"/>
    </row>
    <row r="917">
      <c r="B917" s="75"/>
      <c r="C917" s="75"/>
      <c r="F917" s="94"/>
      <c r="H917" s="75"/>
      <c r="I917" s="100"/>
      <c r="J917" s="100"/>
      <c r="K917" s="100"/>
      <c r="L917" s="100"/>
      <c r="M917" s="100"/>
    </row>
    <row r="918">
      <c r="B918" s="75"/>
      <c r="C918" s="75"/>
      <c r="F918" s="94"/>
      <c r="H918" s="75"/>
      <c r="I918" s="100"/>
      <c r="J918" s="100"/>
      <c r="K918" s="100"/>
      <c r="L918" s="100"/>
      <c r="M918" s="100"/>
    </row>
    <row r="919">
      <c r="B919" s="75"/>
      <c r="C919" s="75"/>
      <c r="F919" s="94"/>
      <c r="H919" s="75"/>
      <c r="I919" s="100"/>
      <c r="J919" s="100"/>
      <c r="K919" s="100"/>
      <c r="L919" s="100"/>
      <c r="M919" s="100"/>
    </row>
    <row r="920">
      <c r="B920" s="75"/>
      <c r="C920" s="75"/>
      <c r="F920" s="94"/>
      <c r="H920" s="75"/>
      <c r="I920" s="100"/>
      <c r="J920" s="100"/>
      <c r="K920" s="100"/>
      <c r="L920" s="100"/>
      <c r="M920" s="100"/>
    </row>
    <row r="921">
      <c r="B921" s="75"/>
      <c r="C921" s="75"/>
      <c r="F921" s="94"/>
      <c r="H921" s="75"/>
      <c r="I921" s="100"/>
      <c r="J921" s="100"/>
      <c r="K921" s="100"/>
      <c r="L921" s="100"/>
      <c r="M921" s="100"/>
    </row>
    <row r="922">
      <c r="B922" s="75"/>
      <c r="C922" s="75"/>
      <c r="F922" s="94"/>
      <c r="H922" s="75"/>
      <c r="I922" s="100"/>
      <c r="J922" s="100"/>
      <c r="K922" s="100"/>
      <c r="L922" s="100"/>
      <c r="M922" s="100"/>
    </row>
    <row r="923">
      <c r="B923" s="75"/>
      <c r="C923" s="75"/>
      <c r="F923" s="94"/>
      <c r="H923" s="75"/>
      <c r="I923" s="100"/>
      <c r="J923" s="100"/>
      <c r="K923" s="100"/>
      <c r="L923" s="100"/>
      <c r="M923" s="100"/>
    </row>
    <row r="924">
      <c r="B924" s="75"/>
      <c r="C924" s="75"/>
      <c r="F924" s="94"/>
      <c r="H924" s="75"/>
      <c r="I924" s="100"/>
      <c r="J924" s="100"/>
      <c r="K924" s="100"/>
      <c r="L924" s="100"/>
      <c r="M924" s="100"/>
    </row>
    <row r="925">
      <c r="B925" s="75"/>
      <c r="C925" s="75"/>
      <c r="F925" s="94"/>
      <c r="H925" s="75"/>
      <c r="I925" s="100"/>
      <c r="J925" s="100"/>
      <c r="K925" s="100"/>
      <c r="L925" s="100"/>
      <c r="M925" s="100"/>
    </row>
    <row r="926">
      <c r="B926" s="75"/>
      <c r="C926" s="75"/>
      <c r="F926" s="94"/>
      <c r="H926" s="75"/>
      <c r="I926" s="100"/>
      <c r="J926" s="100"/>
      <c r="K926" s="100"/>
      <c r="L926" s="100"/>
      <c r="M926" s="100"/>
    </row>
    <row r="927">
      <c r="B927" s="75"/>
      <c r="C927" s="75"/>
      <c r="F927" s="94"/>
      <c r="H927" s="75"/>
      <c r="I927" s="100"/>
      <c r="J927" s="100"/>
      <c r="K927" s="100"/>
      <c r="L927" s="100"/>
      <c r="M927" s="100"/>
    </row>
    <row r="928">
      <c r="B928" s="75"/>
      <c r="C928" s="75"/>
      <c r="F928" s="94"/>
      <c r="H928" s="75"/>
      <c r="I928" s="100"/>
      <c r="J928" s="100"/>
      <c r="K928" s="100"/>
      <c r="L928" s="100"/>
      <c r="M928" s="100"/>
    </row>
    <row r="929">
      <c r="B929" s="75"/>
      <c r="C929" s="75"/>
      <c r="F929" s="94"/>
      <c r="H929" s="75"/>
      <c r="I929" s="100"/>
      <c r="J929" s="100"/>
      <c r="K929" s="100"/>
      <c r="L929" s="100"/>
      <c r="M929" s="100"/>
    </row>
    <row r="930">
      <c r="B930" s="75"/>
      <c r="C930" s="75"/>
      <c r="F930" s="94"/>
      <c r="H930" s="75"/>
      <c r="I930" s="100"/>
      <c r="J930" s="100"/>
      <c r="K930" s="100"/>
      <c r="L930" s="100"/>
      <c r="M930" s="100"/>
    </row>
    <row r="931">
      <c r="B931" s="75"/>
      <c r="C931" s="75"/>
      <c r="F931" s="94"/>
      <c r="H931" s="75"/>
      <c r="I931" s="100"/>
      <c r="J931" s="100"/>
      <c r="K931" s="100"/>
      <c r="L931" s="100"/>
      <c r="M931" s="100"/>
    </row>
    <row r="932">
      <c r="B932" s="75"/>
      <c r="C932" s="75"/>
      <c r="F932" s="94"/>
      <c r="H932" s="75"/>
      <c r="I932" s="100"/>
      <c r="J932" s="100"/>
      <c r="K932" s="100"/>
      <c r="L932" s="100"/>
      <c r="M932" s="100"/>
    </row>
    <row r="933">
      <c r="B933" s="75"/>
      <c r="C933" s="75"/>
      <c r="F933" s="94"/>
      <c r="H933" s="75"/>
      <c r="I933" s="100"/>
      <c r="J933" s="100"/>
      <c r="K933" s="100"/>
      <c r="L933" s="100"/>
      <c r="M933" s="100"/>
    </row>
    <row r="934">
      <c r="B934" s="75"/>
      <c r="C934" s="75"/>
      <c r="F934" s="94"/>
      <c r="H934" s="75"/>
      <c r="I934" s="100"/>
      <c r="J934" s="100"/>
      <c r="K934" s="100"/>
      <c r="L934" s="100"/>
      <c r="M934" s="100"/>
    </row>
    <row r="935">
      <c r="B935" s="75"/>
      <c r="C935" s="75"/>
      <c r="F935" s="94"/>
      <c r="H935" s="75"/>
      <c r="I935" s="100"/>
      <c r="J935" s="100"/>
      <c r="K935" s="100"/>
      <c r="L935" s="100"/>
      <c r="M935" s="100"/>
    </row>
    <row r="936">
      <c r="B936" s="75"/>
      <c r="C936" s="75"/>
      <c r="F936" s="94"/>
      <c r="H936" s="75"/>
      <c r="I936" s="100"/>
      <c r="J936" s="100"/>
      <c r="K936" s="100"/>
      <c r="L936" s="100"/>
      <c r="M936" s="100"/>
    </row>
    <row r="937">
      <c r="B937" s="75"/>
      <c r="C937" s="75"/>
      <c r="F937" s="94"/>
      <c r="H937" s="75"/>
      <c r="I937" s="100"/>
      <c r="J937" s="100"/>
      <c r="K937" s="100"/>
      <c r="L937" s="100"/>
      <c r="M937" s="100"/>
    </row>
    <row r="938">
      <c r="B938" s="75"/>
      <c r="C938" s="75"/>
      <c r="F938" s="94"/>
      <c r="H938" s="75"/>
      <c r="I938" s="100"/>
      <c r="J938" s="100"/>
      <c r="K938" s="100"/>
      <c r="L938" s="100"/>
      <c r="M938" s="100"/>
    </row>
    <row r="939">
      <c r="B939" s="75"/>
      <c r="C939" s="75"/>
      <c r="F939" s="94"/>
      <c r="H939" s="75"/>
      <c r="I939" s="100"/>
      <c r="J939" s="100"/>
      <c r="K939" s="100"/>
      <c r="L939" s="100"/>
      <c r="M939" s="100"/>
    </row>
    <row r="940">
      <c r="B940" s="75"/>
      <c r="C940" s="75"/>
      <c r="F940" s="94"/>
      <c r="H940" s="75"/>
      <c r="I940" s="100"/>
      <c r="J940" s="100"/>
      <c r="K940" s="100"/>
      <c r="L940" s="100"/>
      <c r="M940" s="100"/>
    </row>
    <row r="941">
      <c r="B941" s="75"/>
      <c r="C941" s="75"/>
      <c r="F941" s="94"/>
      <c r="H941" s="75"/>
      <c r="I941" s="100"/>
      <c r="J941" s="100"/>
      <c r="K941" s="100"/>
      <c r="L941" s="100"/>
      <c r="M941" s="100"/>
    </row>
    <row r="942">
      <c r="B942" s="75"/>
      <c r="C942" s="75"/>
      <c r="F942" s="94"/>
      <c r="H942" s="75"/>
      <c r="I942" s="100"/>
      <c r="J942" s="100"/>
      <c r="K942" s="100"/>
      <c r="L942" s="100"/>
      <c r="M942" s="100"/>
    </row>
    <row r="943">
      <c r="B943" s="75"/>
      <c r="C943" s="75"/>
      <c r="F943" s="94"/>
      <c r="H943" s="75"/>
      <c r="I943" s="100"/>
      <c r="J943" s="100"/>
      <c r="K943" s="100"/>
      <c r="L943" s="100"/>
      <c r="M943" s="100"/>
    </row>
    <row r="944">
      <c r="B944" s="75"/>
      <c r="C944" s="75"/>
      <c r="F944" s="94"/>
      <c r="H944" s="75"/>
      <c r="I944" s="100"/>
      <c r="J944" s="100"/>
      <c r="K944" s="100"/>
      <c r="L944" s="100"/>
      <c r="M944" s="100"/>
    </row>
    <row r="945">
      <c r="B945" s="75"/>
      <c r="C945" s="75"/>
      <c r="F945" s="94"/>
      <c r="H945" s="75"/>
      <c r="I945" s="100"/>
      <c r="J945" s="100"/>
      <c r="K945" s="100"/>
      <c r="L945" s="100"/>
      <c r="M945" s="100"/>
    </row>
    <row r="946">
      <c r="B946" s="75"/>
      <c r="C946" s="75"/>
      <c r="F946" s="94"/>
      <c r="H946" s="75"/>
      <c r="I946" s="100"/>
      <c r="J946" s="100"/>
      <c r="K946" s="100"/>
      <c r="L946" s="100"/>
      <c r="M946" s="100"/>
    </row>
    <row r="947">
      <c r="B947" s="75"/>
      <c r="C947" s="75"/>
      <c r="F947" s="94"/>
      <c r="H947" s="75"/>
      <c r="I947" s="100"/>
      <c r="J947" s="100"/>
      <c r="K947" s="100"/>
      <c r="L947" s="100"/>
      <c r="M947" s="100"/>
    </row>
    <row r="948">
      <c r="B948" s="75"/>
      <c r="C948" s="75"/>
      <c r="F948" s="94"/>
      <c r="H948" s="75"/>
      <c r="I948" s="100"/>
      <c r="J948" s="100"/>
      <c r="K948" s="100"/>
      <c r="L948" s="100"/>
      <c r="M948" s="100"/>
    </row>
    <row r="949">
      <c r="B949" s="75"/>
      <c r="C949" s="75"/>
      <c r="F949" s="94"/>
      <c r="H949" s="75"/>
      <c r="I949" s="100"/>
      <c r="J949" s="100"/>
      <c r="K949" s="100"/>
      <c r="L949" s="100"/>
      <c r="M949" s="100"/>
    </row>
    <row r="950">
      <c r="B950" s="75"/>
      <c r="C950" s="75"/>
      <c r="F950" s="94"/>
      <c r="H950" s="75"/>
      <c r="I950" s="100"/>
      <c r="J950" s="100"/>
      <c r="K950" s="100"/>
      <c r="L950" s="100"/>
      <c r="M950" s="100"/>
    </row>
    <row r="951">
      <c r="B951" s="75"/>
      <c r="C951" s="75"/>
      <c r="F951" s="94"/>
      <c r="H951" s="75"/>
      <c r="I951" s="100"/>
      <c r="J951" s="100"/>
      <c r="K951" s="100"/>
      <c r="L951" s="100"/>
      <c r="M951" s="100"/>
    </row>
    <row r="952">
      <c r="B952" s="75"/>
      <c r="C952" s="75"/>
      <c r="F952" s="94"/>
      <c r="H952" s="75"/>
      <c r="I952" s="100"/>
      <c r="J952" s="100"/>
      <c r="K952" s="100"/>
      <c r="L952" s="100"/>
      <c r="M952" s="100"/>
    </row>
    <row r="953">
      <c r="B953" s="75"/>
      <c r="C953" s="75"/>
      <c r="F953" s="94"/>
      <c r="H953" s="75"/>
      <c r="I953" s="100"/>
      <c r="J953" s="100"/>
      <c r="K953" s="100"/>
      <c r="L953" s="100"/>
      <c r="M953" s="100"/>
    </row>
    <row r="954">
      <c r="B954" s="75"/>
      <c r="C954" s="75"/>
      <c r="F954" s="94"/>
      <c r="H954" s="75"/>
      <c r="I954" s="100"/>
      <c r="J954" s="100"/>
      <c r="K954" s="100"/>
      <c r="L954" s="100"/>
      <c r="M954" s="100"/>
    </row>
    <row r="955">
      <c r="B955" s="75"/>
      <c r="C955" s="75"/>
      <c r="F955" s="94"/>
      <c r="H955" s="75"/>
      <c r="I955" s="100"/>
      <c r="J955" s="100"/>
      <c r="K955" s="100"/>
      <c r="L955" s="100"/>
      <c r="M955" s="100"/>
    </row>
    <row r="956">
      <c r="B956" s="75"/>
      <c r="C956" s="75"/>
      <c r="F956" s="94"/>
      <c r="H956" s="75"/>
      <c r="I956" s="100"/>
      <c r="J956" s="100"/>
      <c r="K956" s="100"/>
      <c r="L956" s="100"/>
      <c r="M956" s="100"/>
    </row>
    <row r="957">
      <c r="B957" s="75"/>
      <c r="C957" s="75"/>
      <c r="F957" s="94"/>
      <c r="H957" s="75"/>
      <c r="I957" s="100"/>
      <c r="J957" s="100"/>
      <c r="K957" s="100"/>
      <c r="L957" s="100"/>
      <c r="M957" s="100"/>
    </row>
    <row r="958">
      <c r="B958" s="75"/>
      <c r="C958" s="75"/>
      <c r="F958" s="94"/>
      <c r="H958" s="75"/>
      <c r="I958" s="100"/>
      <c r="J958" s="100"/>
      <c r="K958" s="100"/>
      <c r="L958" s="100"/>
      <c r="M958" s="100"/>
    </row>
    <row r="959">
      <c r="B959" s="75"/>
      <c r="C959" s="75"/>
      <c r="F959" s="94"/>
      <c r="H959" s="75"/>
      <c r="I959" s="100"/>
      <c r="J959" s="100"/>
      <c r="K959" s="100"/>
      <c r="L959" s="100"/>
      <c r="M959" s="100"/>
    </row>
    <row r="960">
      <c r="B960" s="75"/>
      <c r="C960" s="75"/>
      <c r="F960" s="94"/>
      <c r="H960" s="75"/>
      <c r="I960" s="100"/>
      <c r="J960" s="100"/>
      <c r="K960" s="100"/>
      <c r="L960" s="100"/>
      <c r="M960" s="100"/>
    </row>
    <row r="961">
      <c r="B961" s="75"/>
      <c r="C961" s="75"/>
      <c r="F961" s="94"/>
      <c r="H961" s="75"/>
      <c r="I961" s="100"/>
      <c r="J961" s="100"/>
      <c r="K961" s="100"/>
      <c r="L961" s="100"/>
      <c r="M961" s="100"/>
    </row>
    <row r="962">
      <c r="B962" s="75"/>
      <c r="C962" s="75"/>
      <c r="F962" s="94"/>
      <c r="H962" s="75"/>
      <c r="I962" s="100"/>
      <c r="J962" s="100"/>
      <c r="K962" s="100"/>
      <c r="L962" s="100"/>
      <c r="M962" s="100"/>
    </row>
    <row r="963">
      <c r="B963" s="75"/>
      <c r="C963" s="75"/>
      <c r="F963" s="94"/>
      <c r="H963" s="75"/>
      <c r="I963" s="100"/>
      <c r="J963" s="100"/>
      <c r="K963" s="100"/>
      <c r="L963" s="100"/>
      <c r="M963" s="100"/>
    </row>
    <row r="964">
      <c r="B964" s="75"/>
      <c r="C964" s="75"/>
      <c r="F964" s="94"/>
      <c r="H964" s="75"/>
      <c r="I964" s="100"/>
      <c r="J964" s="100"/>
      <c r="K964" s="100"/>
      <c r="L964" s="100"/>
      <c r="M964" s="100"/>
    </row>
    <row r="965">
      <c r="B965" s="75"/>
      <c r="C965" s="75"/>
      <c r="F965" s="94"/>
      <c r="H965" s="75"/>
      <c r="I965" s="100"/>
      <c r="J965" s="100"/>
      <c r="K965" s="100"/>
      <c r="L965" s="100"/>
      <c r="M965" s="100"/>
    </row>
    <row r="966">
      <c r="B966" s="75"/>
      <c r="C966" s="75"/>
      <c r="F966" s="94"/>
      <c r="H966" s="75"/>
      <c r="I966" s="100"/>
      <c r="J966" s="100"/>
      <c r="K966" s="100"/>
      <c r="L966" s="100"/>
      <c r="M966" s="100"/>
    </row>
    <row r="967">
      <c r="B967" s="75"/>
      <c r="C967" s="75"/>
      <c r="F967" s="94"/>
      <c r="H967" s="75"/>
      <c r="I967" s="100"/>
      <c r="J967" s="100"/>
      <c r="K967" s="100"/>
      <c r="L967" s="100"/>
      <c r="M967" s="100"/>
    </row>
  </sheetData>
  <mergeCells count="67">
    <mergeCell ref="B183:C183"/>
    <mergeCell ref="A185:A186"/>
    <mergeCell ref="B185:C186"/>
    <mergeCell ref="B188:C188"/>
    <mergeCell ref="B206:C206"/>
    <mergeCell ref="B208:C208"/>
    <mergeCell ref="A210:A211"/>
    <mergeCell ref="B283:C283"/>
    <mergeCell ref="B285:C285"/>
    <mergeCell ref="A287:A288"/>
    <mergeCell ref="B287:C288"/>
    <mergeCell ref="B290:C291"/>
    <mergeCell ref="B210:C211"/>
    <mergeCell ref="B213:C213"/>
    <mergeCell ref="B214:C214"/>
    <mergeCell ref="B232:C232"/>
    <mergeCell ref="B234:C234"/>
    <mergeCell ref="A236:A237"/>
    <mergeCell ref="B236:C237"/>
    <mergeCell ref="B3:C3"/>
    <mergeCell ref="B4:C4"/>
    <mergeCell ref="B5:C5"/>
    <mergeCell ref="A7:A8"/>
    <mergeCell ref="B7:C8"/>
    <mergeCell ref="B10:C10"/>
    <mergeCell ref="B28:C28"/>
    <mergeCell ref="B30:C30"/>
    <mergeCell ref="A32:A33"/>
    <mergeCell ref="B32:C33"/>
    <mergeCell ref="B35:C35"/>
    <mergeCell ref="B36:C36"/>
    <mergeCell ref="B53:C53"/>
    <mergeCell ref="B55:C55"/>
    <mergeCell ref="A57:A58"/>
    <mergeCell ref="B57:C58"/>
    <mergeCell ref="B60:C60"/>
    <mergeCell ref="B61:C61"/>
    <mergeCell ref="B80:C80"/>
    <mergeCell ref="B82:C82"/>
    <mergeCell ref="A84:A85"/>
    <mergeCell ref="B84:C85"/>
    <mergeCell ref="B87:C87"/>
    <mergeCell ref="B88:C88"/>
    <mergeCell ref="B105:C105"/>
    <mergeCell ref="B107:C107"/>
    <mergeCell ref="A109:A110"/>
    <mergeCell ref="B109:C110"/>
    <mergeCell ref="B112:C112"/>
    <mergeCell ref="B130:C130"/>
    <mergeCell ref="B132:C132"/>
    <mergeCell ref="A134:A135"/>
    <mergeCell ref="B134:C135"/>
    <mergeCell ref="B137:C137"/>
    <mergeCell ref="B155:C155"/>
    <mergeCell ref="B157:C157"/>
    <mergeCell ref="A159:A160"/>
    <mergeCell ref="B159:C160"/>
    <mergeCell ref="B162:C162"/>
    <mergeCell ref="B163:C163"/>
    <mergeCell ref="B181:C181"/>
    <mergeCell ref="I183:K183"/>
    <mergeCell ref="B239:C239"/>
    <mergeCell ref="B258:C258"/>
    <mergeCell ref="B260:C260"/>
    <mergeCell ref="A262:A263"/>
    <mergeCell ref="B262:C263"/>
    <mergeCell ref="B265:C265"/>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8.75"/>
    <col customWidth="1" min="4" max="4" width="1.13"/>
    <col customWidth="1" min="5" max="5" width="1.38"/>
    <col customWidth="1" min="6" max="6" width="16.63"/>
    <col customWidth="1" min="7" max="7" width="0.5"/>
    <col customWidth="1" min="8" max="8" width="3.75"/>
  </cols>
  <sheetData>
    <row r="1">
      <c r="A1" s="7" t="s">
        <v>267</v>
      </c>
      <c r="B1" s="120"/>
      <c r="C1" s="120"/>
      <c r="F1" s="94"/>
      <c r="H1" s="75"/>
      <c r="K1" s="120"/>
      <c r="L1" s="75"/>
      <c r="M1" s="75"/>
    </row>
    <row r="2">
      <c r="B2" s="120"/>
      <c r="C2" s="120"/>
      <c r="F2" s="94"/>
      <c r="H2" s="75"/>
      <c r="K2" s="120"/>
      <c r="L2" s="75"/>
      <c r="M2" s="75"/>
    </row>
    <row r="3">
      <c r="B3" s="120"/>
      <c r="C3" s="120"/>
      <c r="F3" s="94"/>
      <c r="H3" s="75"/>
      <c r="K3" s="120"/>
      <c r="L3" s="75"/>
      <c r="M3" s="75"/>
    </row>
    <row r="4">
      <c r="A4" s="73" t="s">
        <v>98</v>
      </c>
      <c r="B4" s="121"/>
      <c r="C4" s="120"/>
      <c r="D4" s="52"/>
      <c r="E4" s="52"/>
      <c r="F4" s="76"/>
      <c r="G4" s="44"/>
      <c r="H4" s="77"/>
      <c r="I4" s="44"/>
      <c r="J4" s="44"/>
      <c r="K4" s="121"/>
      <c r="L4" s="74"/>
      <c r="M4" s="74"/>
      <c r="N4" s="44"/>
      <c r="O4" s="44"/>
      <c r="P4" s="44"/>
      <c r="Q4" s="44"/>
      <c r="R4" s="44"/>
      <c r="S4" s="44"/>
      <c r="T4" s="44"/>
      <c r="U4" s="44"/>
      <c r="V4" s="44"/>
      <c r="W4" s="44"/>
      <c r="X4" s="44"/>
      <c r="Y4" s="44"/>
    </row>
    <row r="5">
      <c r="A5" s="52"/>
      <c r="B5" s="121"/>
      <c r="C5" s="121"/>
      <c r="D5" s="52"/>
      <c r="E5" s="52"/>
      <c r="F5" s="79" t="s">
        <v>0</v>
      </c>
      <c r="G5" s="44"/>
      <c r="H5" s="77"/>
      <c r="I5" s="44"/>
      <c r="J5" s="44"/>
      <c r="K5" s="121"/>
      <c r="L5" s="74"/>
      <c r="M5" s="74"/>
      <c r="N5" s="44"/>
      <c r="O5" s="44"/>
      <c r="P5" s="44"/>
      <c r="Q5" s="44"/>
      <c r="R5" s="44"/>
      <c r="S5" s="44"/>
      <c r="T5" s="44"/>
      <c r="U5" s="44"/>
      <c r="V5" s="44"/>
      <c r="W5" s="44"/>
      <c r="X5" s="44"/>
      <c r="Y5" s="44"/>
    </row>
    <row r="6">
      <c r="A6" s="80" t="s">
        <v>179</v>
      </c>
      <c r="B6" s="122" t="s">
        <v>268</v>
      </c>
      <c r="D6" s="52"/>
      <c r="E6" s="82"/>
      <c r="F6" s="76" t="s">
        <v>4</v>
      </c>
      <c r="G6" s="83"/>
      <c r="H6" s="85"/>
      <c r="I6" s="78"/>
      <c r="J6" s="78"/>
      <c r="K6" s="121"/>
      <c r="L6" s="74"/>
      <c r="M6" s="74"/>
      <c r="N6" s="44"/>
      <c r="O6" s="44"/>
      <c r="P6" s="44"/>
      <c r="Q6" s="44"/>
      <c r="R6" s="44"/>
      <c r="S6" s="44"/>
      <c r="T6" s="44"/>
      <c r="U6" s="44"/>
      <c r="V6" s="44"/>
      <c r="W6" s="44"/>
      <c r="X6" s="44"/>
      <c r="Y6" s="44"/>
    </row>
    <row r="7">
      <c r="A7" s="76"/>
      <c r="B7" s="121"/>
      <c r="C7" s="121"/>
      <c r="D7" s="44"/>
      <c r="E7" s="44"/>
      <c r="F7" s="84" t="s">
        <v>207</v>
      </c>
      <c r="G7" s="83"/>
      <c r="H7" s="85"/>
      <c r="I7" s="78"/>
      <c r="J7" s="78"/>
      <c r="K7" s="121"/>
      <c r="L7" s="74"/>
      <c r="M7" s="74"/>
      <c r="N7" s="44"/>
      <c r="O7" s="44"/>
      <c r="P7" s="44"/>
      <c r="Q7" s="44"/>
      <c r="R7" s="44"/>
      <c r="S7" s="44"/>
      <c r="T7" s="44"/>
      <c r="U7" s="44"/>
      <c r="V7" s="44"/>
      <c r="W7" s="44"/>
      <c r="X7" s="44"/>
      <c r="Y7" s="44"/>
    </row>
    <row r="8">
      <c r="A8" s="86" t="s">
        <v>201</v>
      </c>
      <c r="B8" s="114">
        <v>3347.0</v>
      </c>
      <c r="D8" s="44"/>
      <c r="E8" s="44"/>
      <c r="F8" s="76" t="s">
        <v>6</v>
      </c>
      <c r="G8" s="83"/>
      <c r="H8" s="85"/>
      <c r="I8" s="78"/>
      <c r="J8" s="78"/>
      <c r="K8" s="121"/>
      <c r="L8" s="74"/>
      <c r="M8" s="74"/>
      <c r="N8" s="44"/>
      <c r="O8" s="44"/>
      <c r="P8" s="44"/>
      <c r="Q8" s="44"/>
      <c r="R8" s="44"/>
      <c r="S8" s="44"/>
      <c r="T8" s="44"/>
      <c r="U8" s="44"/>
      <c r="V8" s="44"/>
      <c r="W8" s="44"/>
      <c r="X8" s="44"/>
      <c r="Y8" s="44"/>
    </row>
    <row r="9">
      <c r="A9" s="76"/>
      <c r="B9" s="121"/>
      <c r="C9" s="121"/>
      <c r="D9" s="44"/>
      <c r="E9" s="44"/>
      <c r="F9" s="87" t="s">
        <v>7</v>
      </c>
      <c r="G9" s="83"/>
      <c r="H9" s="79">
        <v>40.0</v>
      </c>
      <c r="I9" s="78"/>
      <c r="J9" s="78"/>
      <c r="K9" s="121"/>
      <c r="L9" s="74"/>
      <c r="M9" s="74"/>
      <c r="N9" s="44"/>
      <c r="O9" s="44"/>
      <c r="P9" s="44"/>
      <c r="Q9" s="44"/>
      <c r="R9" s="44"/>
      <c r="S9" s="44"/>
      <c r="T9" s="44"/>
      <c r="U9" s="44"/>
      <c r="V9" s="44"/>
      <c r="W9" s="44"/>
      <c r="X9" s="44"/>
      <c r="Y9" s="44"/>
    </row>
    <row r="10">
      <c r="A10" s="89" t="s">
        <v>269</v>
      </c>
      <c r="B10" s="123">
        <v>678.0</v>
      </c>
      <c r="C10" s="102"/>
      <c r="D10" s="44"/>
      <c r="E10" s="44"/>
      <c r="F10" s="84" t="s">
        <v>210</v>
      </c>
      <c r="G10" s="83"/>
      <c r="H10" s="79"/>
      <c r="I10" s="78"/>
      <c r="J10" s="78"/>
      <c r="K10" s="121"/>
      <c r="L10" s="74"/>
      <c r="M10" s="74"/>
      <c r="N10" s="44"/>
      <c r="O10" s="44"/>
      <c r="P10" s="44"/>
      <c r="Q10" s="44"/>
      <c r="R10" s="44"/>
      <c r="S10" s="44"/>
      <c r="T10" s="44"/>
      <c r="U10" s="44"/>
      <c r="V10" s="44"/>
      <c r="W10" s="44"/>
      <c r="X10" s="44"/>
      <c r="Y10" s="44"/>
    </row>
    <row r="11">
      <c r="B11" s="103"/>
      <c r="C11" s="50"/>
      <c r="D11" s="44"/>
      <c r="E11" s="44"/>
      <c r="F11" s="84" t="s">
        <v>270</v>
      </c>
      <c r="G11" s="83"/>
      <c r="H11" s="79">
        <v>114.0</v>
      </c>
      <c r="I11" s="88"/>
      <c r="J11" s="78"/>
      <c r="K11" s="121"/>
      <c r="L11" s="74"/>
      <c r="M11" s="74"/>
      <c r="N11" s="44"/>
      <c r="O11" s="44"/>
      <c r="P11" s="44"/>
      <c r="Q11" s="44"/>
      <c r="R11" s="44"/>
      <c r="S11" s="44"/>
      <c r="T11" s="44"/>
      <c r="U11" s="44"/>
      <c r="V11" s="44"/>
      <c r="W11" s="44"/>
      <c r="X11" s="44"/>
      <c r="Y11" s="44"/>
    </row>
    <row r="12">
      <c r="A12" s="94"/>
      <c r="B12" s="121"/>
      <c r="C12" s="121"/>
      <c r="D12" s="44"/>
      <c r="E12" s="44"/>
      <c r="F12" s="87" t="s">
        <v>213</v>
      </c>
      <c r="G12" s="83"/>
      <c r="H12" s="79"/>
      <c r="I12" s="78"/>
      <c r="J12" s="78"/>
      <c r="K12" s="121"/>
      <c r="L12" s="74"/>
      <c r="M12" s="74"/>
      <c r="N12" s="44"/>
      <c r="O12" s="44"/>
      <c r="P12" s="44"/>
      <c r="Q12" s="44"/>
      <c r="R12" s="44"/>
      <c r="S12" s="44"/>
      <c r="T12" s="44"/>
      <c r="U12" s="44"/>
      <c r="V12" s="44"/>
      <c r="W12" s="44"/>
      <c r="X12" s="44"/>
      <c r="Y12" s="44"/>
    </row>
    <row r="13">
      <c r="A13" s="96" t="s">
        <v>214</v>
      </c>
      <c r="B13" s="114" t="s">
        <v>243</v>
      </c>
      <c r="D13" s="52"/>
      <c r="E13" s="44"/>
      <c r="F13" s="76" t="s">
        <v>34</v>
      </c>
      <c r="G13" s="83"/>
      <c r="H13" s="79">
        <v>40.0</v>
      </c>
      <c r="I13" s="78"/>
      <c r="J13" s="78"/>
      <c r="K13" s="121"/>
      <c r="L13" s="74"/>
      <c r="M13" s="74"/>
      <c r="N13" s="44"/>
      <c r="O13" s="44"/>
      <c r="P13" s="44"/>
      <c r="Q13" s="44"/>
      <c r="R13" s="44"/>
      <c r="S13" s="44"/>
      <c r="T13" s="44"/>
      <c r="U13" s="44"/>
      <c r="V13" s="44"/>
      <c r="W13" s="44"/>
      <c r="X13" s="44"/>
      <c r="Y13" s="44"/>
    </row>
    <row r="14">
      <c r="A14" s="96" t="s">
        <v>215</v>
      </c>
      <c r="B14" s="121"/>
      <c r="C14" s="121"/>
      <c r="D14" s="44"/>
      <c r="E14" s="44"/>
      <c r="F14" s="87" t="s">
        <v>216</v>
      </c>
      <c r="G14" s="83"/>
      <c r="H14" s="79"/>
      <c r="I14" s="78"/>
      <c r="J14" s="78"/>
      <c r="K14" s="121"/>
      <c r="L14" s="74"/>
      <c r="M14" s="74"/>
      <c r="N14" s="44"/>
      <c r="O14" s="44"/>
      <c r="P14" s="44"/>
      <c r="Q14" s="44"/>
      <c r="R14" s="44"/>
      <c r="S14" s="44"/>
      <c r="T14" s="44"/>
      <c r="U14" s="44"/>
      <c r="V14" s="44"/>
      <c r="W14" s="44"/>
      <c r="X14" s="44"/>
      <c r="Y14" s="44"/>
    </row>
    <row r="15">
      <c r="A15" s="44"/>
      <c r="B15" s="121"/>
      <c r="C15" s="121"/>
      <c r="D15" s="44"/>
      <c r="E15" s="44"/>
      <c r="F15" s="76" t="s">
        <v>108</v>
      </c>
      <c r="G15" s="83"/>
      <c r="H15" s="79">
        <v>160.0</v>
      </c>
      <c r="I15" s="78"/>
      <c r="J15" s="78"/>
      <c r="K15" s="121"/>
      <c r="L15" s="74"/>
      <c r="M15" s="74"/>
      <c r="N15" s="44"/>
      <c r="O15" s="44"/>
      <c r="P15" s="44"/>
      <c r="Q15" s="44"/>
      <c r="R15" s="44"/>
      <c r="S15" s="44"/>
      <c r="T15" s="44"/>
      <c r="U15" s="44"/>
      <c r="V15" s="44"/>
      <c r="W15" s="44"/>
      <c r="X15" s="44"/>
      <c r="Y15" s="44"/>
    </row>
    <row r="16">
      <c r="A16" s="44"/>
      <c r="B16" s="121"/>
      <c r="C16" s="121"/>
      <c r="D16" s="44"/>
      <c r="E16" s="44"/>
      <c r="F16" s="97" t="s">
        <v>156</v>
      </c>
      <c r="G16" s="83"/>
      <c r="H16" s="79">
        <v>1250.0</v>
      </c>
      <c r="I16" s="88" t="s">
        <v>237</v>
      </c>
      <c r="J16" s="78"/>
      <c r="K16" s="121"/>
      <c r="L16" s="74"/>
      <c r="M16" s="74"/>
      <c r="N16" s="44"/>
      <c r="O16" s="44"/>
      <c r="P16" s="44"/>
      <c r="Q16" s="44"/>
      <c r="R16" s="44"/>
      <c r="S16" s="44"/>
      <c r="T16" s="44"/>
      <c r="U16" s="44"/>
      <c r="V16" s="44"/>
      <c r="W16" s="44"/>
      <c r="X16" s="44"/>
      <c r="Y16" s="44"/>
    </row>
    <row r="17">
      <c r="A17" s="44"/>
      <c r="B17" s="121"/>
      <c r="C17" s="121"/>
      <c r="D17" s="44"/>
      <c r="E17" s="44"/>
      <c r="F17" s="84" t="s">
        <v>217</v>
      </c>
      <c r="G17" s="83"/>
      <c r="H17" s="79"/>
      <c r="I17" s="78"/>
      <c r="J17" s="78"/>
      <c r="K17" s="121"/>
      <c r="L17" s="74"/>
      <c r="M17" s="74"/>
      <c r="N17" s="44"/>
      <c r="O17" s="44"/>
      <c r="P17" s="44"/>
      <c r="Q17" s="44"/>
      <c r="R17" s="44"/>
      <c r="S17" s="44"/>
      <c r="T17" s="44"/>
      <c r="U17" s="44"/>
      <c r="V17" s="44"/>
      <c r="W17" s="44"/>
      <c r="X17" s="44"/>
      <c r="Y17" s="44"/>
    </row>
    <row r="18">
      <c r="A18" s="44"/>
      <c r="B18" s="121"/>
      <c r="C18" s="121"/>
      <c r="D18" s="44"/>
      <c r="E18" s="44"/>
      <c r="F18" s="87" t="s">
        <v>218</v>
      </c>
      <c r="G18" s="83"/>
      <c r="H18" s="79">
        <v>87.0</v>
      </c>
      <c r="I18" s="78"/>
      <c r="J18" s="78"/>
      <c r="K18" s="121"/>
      <c r="L18" s="74"/>
      <c r="M18" s="74"/>
      <c r="N18" s="44"/>
      <c r="O18" s="44"/>
      <c r="P18" s="44"/>
      <c r="Q18" s="44"/>
      <c r="R18" s="44"/>
      <c r="S18" s="44"/>
      <c r="T18" s="44"/>
      <c r="U18" s="44"/>
      <c r="V18" s="44"/>
      <c r="W18" s="44"/>
      <c r="X18" s="44"/>
      <c r="Y18" s="44"/>
    </row>
    <row r="19">
      <c r="A19" s="44"/>
      <c r="B19" s="121"/>
      <c r="C19" s="121"/>
      <c r="D19" s="44"/>
      <c r="E19" s="44"/>
      <c r="F19" s="76" t="s">
        <v>131</v>
      </c>
      <c r="G19" s="83"/>
      <c r="H19" s="85"/>
      <c r="I19" s="78"/>
      <c r="J19" s="78"/>
      <c r="K19" s="121"/>
      <c r="L19" s="74"/>
      <c r="M19" s="74"/>
      <c r="N19" s="44"/>
      <c r="O19" s="44"/>
      <c r="P19" s="44"/>
      <c r="Q19" s="44"/>
      <c r="R19" s="44"/>
      <c r="S19" s="44"/>
      <c r="T19" s="44"/>
      <c r="U19" s="44"/>
      <c r="V19" s="44"/>
      <c r="W19" s="44"/>
      <c r="X19" s="44"/>
      <c r="Y19" s="44"/>
    </row>
    <row r="20">
      <c r="A20" s="44"/>
      <c r="B20" s="121"/>
      <c r="C20" s="121"/>
      <c r="D20" s="44"/>
      <c r="E20" s="44"/>
      <c r="F20" s="76" t="s">
        <v>18</v>
      </c>
      <c r="G20" s="83"/>
      <c r="H20" s="85"/>
      <c r="I20" s="78"/>
      <c r="J20" s="78"/>
      <c r="K20" s="121"/>
      <c r="L20" s="74"/>
      <c r="M20" s="74"/>
      <c r="N20" s="44"/>
      <c r="O20" s="44"/>
      <c r="P20" s="44"/>
      <c r="Q20" s="44"/>
      <c r="R20" s="44"/>
      <c r="S20" s="44"/>
      <c r="T20" s="44"/>
      <c r="U20" s="44"/>
      <c r="V20" s="44"/>
      <c r="W20" s="44"/>
      <c r="X20" s="44"/>
      <c r="Y20" s="44"/>
    </row>
    <row r="21">
      <c r="A21" s="44"/>
      <c r="B21" s="121"/>
      <c r="C21" s="121"/>
      <c r="D21" s="44"/>
      <c r="E21" s="44"/>
      <c r="F21" s="98" t="s">
        <v>19</v>
      </c>
      <c r="G21" s="83"/>
      <c r="H21" s="79">
        <v>50.0</v>
      </c>
      <c r="I21" s="78"/>
      <c r="J21" s="78"/>
      <c r="K21" s="121"/>
      <c r="L21" s="74"/>
      <c r="M21" s="74"/>
      <c r="N21" s="44"/>
      <c r="O21" s="44"/>
      <c r="P21" s="44"/>
      <c r="Q21" s="44"/>
      <c r="R21" s="44"/>
      <c r="S21" s="44"/>
      <c r="T21" s="44"/>
      <c r="U21" s="44"/>
      <c r="V21" s="44"/>
      <c r="W21" s="44"/>
      <c r="X21" s="44"/>
      <c r="Y21" s="44"/>
    </row>
    <row r="22">
      <c r="A22" s="44"/>
      <c r="B22" s="121"/>
      <c r="C22" s="121"/>
      <c r="D22" s="44"/>
      <c r="E22" s="44"/>
      <c r="F22" s="76" t="s">
        <v>20</v>
      </c>
      <c r="G22" s="83"/>
      <c r="H22" s="85"/>
      <c r="I22" s="78"/>
      <c r="J22" s="78"/>
      <c r="K22" s="121"/>
      <c r="L22" s="74"/>
      <c r="M22" s="74"/>
      <c r="N22" s="44"/>
      <c r="O22" s="44"/>
      <c r="P22" s="44"/>
      <c r="Q22" s="44"/>
      <c r="R22" s="44"/>
      <c r="S22" s="44"/>
      <c r="T22" s="44"/>
      <c r="U22" s="44"/>
      <c r="V22" s="44"/>
      <c r="W22" s="44"/>
      <c r="X22" s="44"/>
      <c r="Y22" s="44"/>
    </row>
    <row r="23">
      <c r="A23" s="44"/>
      <c r="B23" s="121"/>
      <c r="C23" s="121"/>
      <c r="D23" s="44"/>
      <c r="E23" s="44"/>
      <c r="F23" s="87" t="s">
        <v>232</v>
      </c>
      <c r="G23" s="83"/>
      <c r="H23" s="79">
        <v>890.0</v>
      </c>
      <c r="I23" s="78"/>
      <c r="J23" s="78"/>
      <c r="K23" s="121"/>
      <c r="L23" s="74"/>
      <c r="M23" s="74"/>
      <c r="N23" s="44"/>
      <c r="O23" s="44"/>
      <c r="P23" s="44"/>
      <c r="Q23" s="44"/>
      <c r="R23" s="44"/>
      <c r="S23" s="44"/>
      <c r="T23" s="44"/>
      <c r="U23" s="44"/>
      <c r="V23" s="44"/>
      <c r="W23" s="44"/>
      <c r="X23" s="44"/>
      <c r="Y23" s="44"/>
    </row>
    <row r="24">
      <c r="A24" s="44"/>
      <c r="B24" s="121"/>
      <c r="C24" s="121"/>
      <c r="D24" s="44"/>
      <c r="E24" s="44"/>
      <c r="F24" s="87" t="s">
        <v>244</v>
      </c>
      <c r="G24" s="99"/>
      <c r="H24" s="79">
        <v>190.0</v>
      </c>
      <c r="I24" s="78"/>
      <c r="J24" s="78"/>
      <c r="K24" s="121"/>
      <c r="L24" s="74"/>
      <c r="M24" s="74"/>
      <c r="N24" s="44"/>
      <c r="O24" s="44"/>
      <c r="P24" s="44"/>
      <c r="Q24" s="44"/>
      <c r="R24" s="44"/>
      <c r="S24" s="44"/>
      <c r="T24" s="44"/>
      <c r="U24" s="44"/>
      <c r="V24" s="44"/>
      <c r="W24" s="44"/>
      <c r="X24" s="44"/>
      <c r="Y24" s="44"/>
    </row>
    <row r="25">
      <c r="A25" s="65"/>
      <c r="B25" s="121"/>
      <c r="C25" s="124"/>
      <c r="D25" s="44"/>
      <c r="E25" s="44"/>
      <c r="F25" s="87" t="s">
        <v>202</v>
      </c>
      <c r="G25" s="99"/>
      <c r="H25" s="79">
        <v>274.0</v>
      </c>
      <c r="I25" s="78"/>
      <c r="J25" s="78"/>
      <c r="K25" s="121"/>
      <c r="L25" s="74"/>
      <c r="M25" s="74"/>
      <c r="N25" s="44"/>
      <c r="O25" s="44"/>
      <c r="P25" s="44"/>
      <c r="Q25" s="44"/>
      <c r="R25" s="44"/>
      <c r="S25" s="44"/>
      <c r="T25" s="44"/>
      <c r="U25" s="44"/>
      <c r="V25" s="44"/>
      <c r="W25" s="44"/>
      <c r="X25" s="44"/>
      <c r="Y25" s="44"/>
    </row>
    <row r="26">
      <c r="A26" s="65"/>
      <c r="B26" s="121"/>
      <c r="C26" s="124"/>
      <c r="D26" s="44"/>
      <c r="E26" s="44"/>
      <c r="F26" s="87" t="s">
        <v>219</v>
      </c>
      <c r="G26" s="83"/>
      <c r="H26" s="79">
        <v>22.0</v>
      </c>
      <c r="I26" s="78"/>
      <c r="J26" s="78"/>
      <c r="K26" s="121"/>
      <c r="L26" s="74"/>
      <c r="M26" s="74"/>
      <c r="N26" s="44"/>
      <c r="O26" s="44"/>
      <c r="P26" s="44"/>
      <c r="Q26" s="44"/>
      <c r="R26" s="44"/>
      <c r="S26" s="44"/>
      <c r="T26" s="44"/>
      <c r="U26" s="44"/>
      <c r="V26" s="44"/>
      <c r="W26" s="44"/>
      <c r="X26" s="44"/>
      <c r="Y26" s="44"/>
    </row>
    <row r="27">
      <c r="B27" s="120"/>
      <c r="C27" s="120"/>
      <c r="F27" s="87" t="s">
        <v>220</v>
      </c>
      <c r="G27" s="83"/>
      <c r="H27" s="79"/>
      <c r="I27" s="78"/>
      <c r="J27" s="78"/>
      <c r="K27" s="120"/>
      <c r="L27" s="75"/>
      <c r="M27" s="75"/>
    </row>
    <row r="28">
      <c r="B28" s="120"/>
      <c r="C28" s="120"/>
      <c r="F28" s="87" t="s">
        <v>225</v>
      </c>
      <c r="H28" s="110"/>
      <c r="I28" s="100"/>
      <c r="J28" s="100"/>
      <c r="K28" s="120"/>
      <c r="L28" s="75"/>
      <c r="M28" s="75"/>
    </row>
    <row r="29">
      <c r="B29" s="120"/>
      <c r="C29" s="120"/>
      <c r="F29" s="111" t="s">
        <v>261</v>
      </c>
      <c r="H29" s="6"/>
      <c r="I29" s="117"/>
      <c r="J29" s="100"/>
      <c r="K29" s="120"/>
      <c r="L29" s="75"/>
      <c r="M29" s="75"/>
    </row>
    <row r="30">
      <c r="B30" s="120"/>
      <c r="C30" s="120"/>
      <c r="F30" s="111" t="s">
        <v>238</v>
      </c>
      <c r="H30" s="6">
        <v>230.0</v>
      </c>
      <c r="I30" s="100"/>
      <c r="J30" s="100"/>
      <c r="K30" s="120"/>
      <c r="L30" s="75"/>
      <c r="M30" s="75"/>
    </row>
    <row r="31">
      <c r="B31" s="120"/>
      <c r="C31" s="120"/>
      <c r="F31" s="94"/>
      <c r="H31" s="75"/>
      <c r="K31" s="120"/>
      <c r="L31" s="75"/>
      <c r="M31" s="75"/>
    </row>
    <row r="32">
      <c r="B32" s="120"/>
      <c r="C32" s="120"/>
      <c r="F32" s="94"/>
      <c r="H32" s="75"/>
      <c r="K32" s="120"/>
      <c r="L32" s="75"/>
      <c r="M32" s="75"/>
    </row>
    <row r="33">
      <c r="A33" s="73" t="s">
        <v>104</v>
      </c>
      <c r="B33" s="121"/>
      <c r="C33" s="120"/>
      <c r="D33" s="52"/>
      <c r="E33" s="52"/>
      <c r="F33" s="76"/>
      <c r="G33" s="44"/>
      <c r="H33" s="77"/>
      <c r="I33" s="44"/>
      <c r="J33" s="44"/>
      <c r="K33" s="121"/>
      <c r="L33" s="74"/>
      <c r="M33" s="74"/>
      <c r="N33" s="44"/>
      <c r="O33" s="44"/>
      <c r="P33" s="44"/>
      <c r="Q33" s="44"/>
      <c r="R33" s="44"/>
      <c r="S33" s="44"/>
      <c r="T33" s="44"/>
      <c r="U33" s="44"/>
      <c r="V33" s="44"/>
      <c r="W33" s="44"/>
      <c r="X33" s="44"/>
      <c r="Y33" s="44"/>
    </row>
    <row r="34">
      <c r="A34" s="52"/>
      <c r="B34" s="121"/>
      <c r="C34" s="121"/>
      <c r="D34" s="52"/>
      <c r="E34" s="52"/>
      <c r="F34" s="79" t="s">
        <v>0</v>
      </c>
      <c r="G34" s="44"/>
      <c r="H34" s="77"/>
      <c r="I34" s="44"/>
      <c r="J34" s="44"/>
      <c r="K34" s="121"/>
      <c r="L34" s="74"/>
      <c r="M34" s="74"/>
      <c r="N34" s="44"/>
      <c r="O34" s="44"/>
      <c r="P34" s="44"/>
      <c r="Q34" s="44"/>
      <c r="R34" s="44"/>
      <c r="S34" s="44"/>
      <c r="T34" s="44"/>
      <c r="U34" s="44"/>
      <c r="V34" s="44"/>
      <c r="W34" s="44"/>
      <c r="X34" s="44"/>
      <c r="Y34" s="44"/>
    </row>
    <row r="35">
      <c r="A35" s="80" t="s">
        <v>179</v>
      </c>
      <c r="B35" s="81">
        <v>7514.0</v>
      </c>
      <c r="D35" s="52"/>
      <c r="E35" s="82"/>
      <c r="F35" s="76" t="s">
        <v>4</v>
      </c>
      <c r="G35" s="83"/>
      <c r="H35" s="79">
        <v>80.0</v>
      </c>
      <c r="I35" s="44"/>
      <c r="J35" s="44"/>
      <c r="K35" s="121"/>
      <c r="L35" s="74"/>
      <c r="M35" s="74"/>
      <c r="N35" s="44"/>
      <c r="O35" s="44"/>
      <c r="P35" s="44"/>
      <c r="Q35" s="44"/>
      <c r="R35" s="44"/>
      <c r="S35" s="44"/>
      <c r="T35" s="44"/>
      <c r="U35" s="44"/>
      <c r="V35" s="44"/>
      <c r="W35" s="44"/>
      <c r="X35" s="44"/>
      <c r="Y35" s="44"/>
    </row>
    <row r="36">
      <c r="A36" s="76"/>
      <c r="B36" s="121"/>
      <c r="C36" s="121"/>
      <c r="D36" s="44"/>
      <c r="E36" s="44"/>
      <c r="F36" s="84" t="s">
        <v>207</v>
      </c>
      <c r="G36" s="83"/>
      <c r="H36" s="85"/>
      <c r="I36" s="44"/>
      <c r="J36" s="44"/>
      <c r="K36" s="121"/>
      <c r="L36" s="74"/>
      <c r="M36" s="74"/>
      <c r="N36" s="44"/>
      <c r="O36" s="44"/>
      <c r="P36" s="44"/>
      <c r="Q36" s="44"/>
      <c r="R36" s="44"/>
      <c r="S36" s="44"/>
      <c r="T36" s="44"/>
      <c r="U36" s="44"/>
      <c r="V36" s="44"/>
      <c r="W36" s="44"/>
      <c r="X36" s="44"/>
      <c r="Y36" s="44"/>
    </row>
    <row r="37">
      <c r="A37" s="86" t="s">
        <v>201</v>
      </c>
      <c r="B37" s="81">
        <v>4381.0</v>
      </c>
      <c r="D37" s="44"/>
      <c r="E37" s="44"/>
      <c r="F37" s="76" t="s">
        <v>6</v>
      </c>
      <c r="G37" s="83"/>
      <c r="H37" s="85"/>
      <c r="I37" s="44"/>
      <c r="J37" s="44"/>
      <c r="K37" s="121"/>
      <c r="L37" s="74"/>
      <c r="M37" s="74"/>
      <c r="N37" s="44"/>
      <c r="O37" s="44"/>
      <c r="P37" s="44"/>
      <c r="Q37" s="44"/>
      <c r="R37" s="44"/>
      <c r="S37" s="44"/>
      <c r="T37" s="44"/>
      <c r="U37" s="44"/>
      <c r="V37" s="44"/>
      <c r="W37" s="44"/>
      <c r="X37" s="44"/>
      <c r="Y37" s="44"/>
    </row>
    <row r="38">
      <c r="A38" s="76"/>
      <c r="B38" s="121"/>
      <c r="C38" s="121"/>
      <c r="D38" s="44"/>
      <c r="E38" s="44"/>
      <c r="F38" s="87" t="s">
        <v>7</v>
      </c>
      <c r="G38" s="83"/>
      <c r="H38" s="79"/>
      <c r="I38" s="44"/>
      <c r="J38" s="44"/>
      <c r="K38" s="121"/>
      <c r="L38" s="74"/>
      <c r="M38" s="74"/>
      <c r="N38" s="44"/>
      <c r="O38" s="44"/>
      <c r="P38" s="44"/>
      <c r="Q38" s="44"/>
      <c r="R38" s="44"/>
      <c r="S38" s="44"/>
      <c r="T38" s="44"/>
      <c r="U38" s="44"/>
      <c r="V38" s="44"/>
      <c r="W38" s="44"/>
      <c r="X38" s="44"/>
      <c r="Y38" s="44"/>
    </row>
    <row r="39">
      <c r="A39" s="89" t="s">
        <v>271</v>
      </c>
      <c r="B39" s="123">
        <v>3133.0</v>
      </c>
      <c r="C39" s="102"/>
      <c r="D39" s="44"/>
      <c r="E39" s="44"/>
      <c r="F39" s="84" t="s">
        <v>210</v>
      </c>
      <c r="G39" s="83"/>
      <c r="H39" s="79">
        <v>500.0</v>
      </c>
      <c r="I39" s="44"/>
      <c r="J39" s="44"/>
      <c r="K39" s="121"/>
      <c r="L39" s="74"/>
      <c r="M39" s="74"/>
      <c r="N39" s="44"/>
      <c r="O39" s="44"/>
      <c r="P39" s="44"/>
      <c r="Q39" s="44"/>
      <c r="R39" s="44"/>
      <c r="S39" s="44"/>
      <c r="T39" s="44"/>
      <c r="U39" s="44"/>
      <c r="V39" s="44"/>
      <c r="W39" s="44"/>
      <c r="X39" s="44"/>
      <c r="Y39" s="44"/>
    </row>
    <row r="40">
      <c r="B40" s="103"/>
      <c r="C40" s="50"/>
      <c r="D40" s="44"/>
      <c r="E40" s="44"/>
      <c r="F40" s="84" t="s">
        <v>270</v>
      </c>
      <c r="G40" s="83"/>
      <c r="H40" s="79">
        <v>575.0</v>
      </c>
      <c r="I40" s="44"/>
      <c r="J40" s="44"/>
      <c r="K40" s="121"/>
      <c r="L40" s="74"/>
      <c r="M40" s="74"/>
      <c r="N40" s="44"/>
      <c r="O40" s="44"/>
      <c r="P40" s="44"/>
      <c r="Q40" s="44"/>
      <c r="R40" s="44"/>
      <c r="S40" s="44"/>
      <c r="T40" s="44"/>
      <c r="U40" s="44"/>
      <c r="V40" s="44"/>
      <c r="W40" s="44"/>
      <c r="X40" s="44"/>
      <c r="Y40" s="44"/>
    </row>
    <row r="41">
      <c r="A41" s="94"/>
      <c r="B41" s="121"/>
      <c r="C41" s="121"/>
      <c r="D41" s="44"/>
      <c r="E41" s="44"/>
      <c r="F41" s="87" t="s">
        <v>213</v>
      </c>
      <c r="G41" s="83"/>
      <c r="H41" s="79"/>
      <c r="I41" s="44"/>
      <c r="J41" s="44"/>
      <c r="K41" s="121"/>
      <c r="L41" s="74"/>
      <c r="M41" s="74"/>
      <c r="N41" s="44"/>
      <c r="O41" s="44"/>
      <c r="P41" s="44"/>
      <c r="Q41" s="44"/>
      <c r="R41" s="44"/>
      <c r="S41" s="44"/>
      <c r="T41" s="44"/>
      <c r="U41" s="44"/>
      <c r="V41" s="44"/>
      <c r="W41" s="44"/>
      <c r="X41" s="44"/>
      <c r="Y41" s="44"/>
    </row>
    <row r="42">
      <c r="A42" s="96" t="s">
        <v>214</v>
      </c>
      <c r="B42" s="114">
        <v>600.0</v>
      </c>
      <c r="D42" s="52"/>
      <c r="E42" s="44"/>
      <c r="F42" s="76" t="s">
        <v>34</v>
      </c>
      <c r="G42" s="83"/>
      <c r="H42" s="79">
        <v>70.0</v>
      </c>
      <c r="I42" s="44"/>
      <c r="J42" s="44"/>
      <c r="K42" s="121"/>
      <c r="L42" s="74"/>
      <c r="M42" s="74"/>
      <c r="N42" s="44"/>
      <c r="O42" s="44"/>
      <c r="P42" s="44"/>
      <c r="Q42" s="44"/>
      <c r="R42" s="44"/>
      <c r="S42" s="44"/>
      <c r="T42" s="44"/>
      <c r="U42" s="44"/>
      <c r="V42" s="44"/>
      <c r="W42" s="44"/>
      <c r="X42" s="44"/>
      <c r="Y42" s="44"/>
    </row>
    <row r="43">
      <c r="A43" s="125" t="s">
        <v>272</v>
      </c>
      <c r="B43" s="126">
        <v>120.39791666666666</v>
      </c>
      <c r="D43" s="44"/>
      <c r="E43" s="44"/>
      <c r="F43" s="87" t="s">
        <v>216</v>
      </c>
      <c r="G43" s="83"/>
      <c r="H43" s="79"/>
      <c r="I43" s="44"/>
      <c r="J43" s="44"/>
      <c r="K43" s="121"/>
      <c r="L43" s="74"/>
      <c r="M43" s="74"/>
      <c r="N43" s="44"/>
      <c r="O43" s="44"/>
      <c r="P43" s="44"/>
      <c r="Q43" s="44"/>
      <c r="R43" s="44"/>
      <c r="S43" s="44"/>
      <c r="T43" s="44"/>
      <c r="U43" s="44"/>
      <c r="V43" s="44"/>
      <c r="W43" s="44"/>
      <c r="X43" s="44"/>
      <c r="Y43" s="44"/>
    </row>
    <row r="44">
      <c r="A44" s="96" t="s">
        <v>215</v>
      </c>
      <c r="B44" s="121"/>
      <c r="D44" s="44"/>
      <c r="E44" s="44"/>
      <c r="F44" s="76" t="s">
        <v>108</v>
      </c>
      <c r="G44" s="83"/>
      <c r="H44" s="79">
        <v>200.0</v>
      </c>
      <c r="I44" s="44"/>
      <c r="J44" s="44"/>
      <c r="K44" s="121"/>
      <c r="L44" s="74"/>
      <c r="M44" s="74"/>
      <c r="N44" s="44"/>
      <c r="O44" s="44"/>
      <c r="P44" s="44"/>
      <c r="Q44" s="44"/>
      <c r="R44" s="44"/>
      <c r="S44" s="44"/>
      <c r="T44" s="44"/>
      <c r="U44" s="44"/>
      <c r="V44" s="44"/>
      <c r="W44" s="44"/>
      <c r="X44" s="44"/>
      <c r="Y44" s="44"/>
    </row>
    <row r="45">
      <c r="A45" s="44"/>
      <c r="B45" s="121"/>
      <c r="C45" s="121"/>
      <c r="D45" s="44"/>
      <c r="E45" s="44"/>
      <c r="F45" s="97" t="s">
        <v>156</v>
      </c>
      <c r="G45" s="83"/>
      <c r="H45" s="79">
        <v>1250.0</v>
      </c>
      <c r="I45" s="45" t="s">
        <v>273</v>
      </c>
      <c r="J45" s="44"/>
      <c r="K45" s="121"/>
      <c r="L45" s="74"/>
      <c r="M45" s="74"/>
      <c r="N45" s="44"/>
      <c r="O45" s="44"/>
      <c r="P45" s="44"/>
      <c r="Q45" s="44"/>
      <c r="R45" s="44"/>
      <c r="S45" s="44"/>
      <c r="T45" s="44"/>
      <c r="U45" s="44"/>
      <c r="V45" s="44"/>
      <c r="W45" s="44"/>
      <c r="X45" s="44"/>
      <c r="Y45" s="44"/>
    </row>
    <row r="46">
      <c r="A46" s="44"/>
      <c r="B46" s="121"/>
      <c r="C46" s="121"/>
      <c r="D46" s="44"/>
      <c r="E46" s="44"/>
      <c r="F46" s="84" t="s">
        <v>217</v>
      </c>
      <c r="G46" s="83"/>
      <c r="H46" s="79"/>
      <c r="I46" s="44"/>
      <c r="J46" s="44"/>
      <c r="K46" s="121"/>
      <c r="L46" s="74"/>
      <c r="M46" s="74"/>
      <c r="N46" s="44"/>
      <c r="O46" s="44"/>
      <c r="P46" s="44"/>
      <c r="Q46" s="44"/>
      <c r="R46" s="44"/>
      <c r="S46" s="44"/>
      <c r="T46" s="44"/>
      <c r="U46" s="44"/>
      <c r="V46" s="44"/>
      <c r="W46" s="44"/>
      <c r="X46" s="44"/>
      <c r="Y46" s="44"/>
    </row>
    <row r="47">
      <c r="A47" s="44"/>
      <c r="B47" s="121"/>
      <c r="C47" s="121"/>
      <c r="D47" s="44"/>
      <c r="E47" s="44"/>
      <c r="F47" s="87" t="s">
        <v>218</v>
      </c>
      <c r="G47" s="83"/>
      <c r="H47" s="79"/>
      <c r="I47" s="44"/>
      <c r="J47" s="44"/>
      <c r="K47" s="121"/>
      <c r="L47" s="74"/>
      <c r="M47" s="74"/>
      <c r="N47" s="44"/>
      <c r="O47" s="44"/>
      <c r="P47" s="44"/>
      <c r="Q47" s="44"/>
      <c r="R47" s="44"/>
      <c r="S47" s="44"/>
      <c r="T47" s="44"/>
      <c r="U47" s="44"/>
      <c r="V47" s="44"/>
      <c r="W47" s="44"/>
      <c r="X47" s="44"/>
      <c r="Y47" s="44"/>
    </row>
    <row r="48">
      <c r="A48" s="44"/>
      <c r="B48" s="121"/>
      <c r="C48" s="121"/>
      <c r="D48" s="44"/>
      <c r="E48" s="44"/>
      <c r="F48" s="76" t="s">
        <v>131</v>
      </c>
      <c r="G48" s="83"/>
      <c r="H48" s="85"/>
      <c r="I48" s="44"/>
      <c r="J48" s="44"/>
      <c r="K48" s="121"/>
      <c r="L48" s="74"/>
      <c r="M48" s="74"/>
      <c r="N48" s="44"/>
      <c r="O48" s="44"/>
      <c r="P48" s="44"/>
      <c r="Q48" s="44"/>
      <c r="R48" s="44"/>
      <c r="S48" s="44"/>
      <c r="T48" s="44"/>
      <c r="U48" s="44"/>
      <c r="V48" s="44"/>
      <c r="W48" s="44"/>
      <c r="X48" s="44"/>
      <c r="Y48" s="44"/>
    </row>
    <row r="49">
      <c r="A49" s="44"/>
      <c r="B49" s="121"/>
      <c r="C49" s="121"/>
      <c r="D49" s="44"/>
      <c r="E49" s="44"/>
      <c r="F49" s="76" t="s">
        <v>18</v>
      </c>
      <c r="G49" s="83"/>
      <c r="H49" s="85"/>
      <c r="I49" s="44"/>
      <c r="J49" s="44"/>
      <c r="K49" s="121"/>
      <c r="L49" s="74"/>
      <c r="M49" s="74"/>
      <c r="N49" s="44"/>
      <c r="O49" s="44"/>
      <c r="P49" s="44"/>
      <c r="Q49" s="44"/>
      <c r="R49" s="44"/>
      <c r="S49" s="44"/>
      <c r="T49" s="44"/>
      <c r="U49" s="44"/>
      <c r="V49" s="44"/>
      <c r="W49" s="44"/>
      <c r="X49" s="44"/>
      <c r="Y49" s="44"/>
    </row>
    <row r="50">
      <c r="A50" s="44"/>
      <c r="B50" s="121"/>
      <c r="C50" s="121"/>
      <c r="D50" s="44"/>
      <c r="E50" s="44"/>
      <c r="F50" s="98" t="s">
        <v>19</v>
      </c>
      <c r="G50" s="83"/>
      <c r="H50" s="79"/>
      <c r="I50" s="44"/>
      <c r="J50" s="44"/>
      <c r="K50" s="121"/>
      <c r="L50" s="74"/>
      <c r="M50" s="74"/>
      <c r="N50" s="44"/>
      <c r="O50" s="44"/>
      <c r="P50" s="44"/>
      <c r="Q50" s="44"/>
      <c r="R50" s="44"/>
      <c r="S50" s="44"/>
      <c r="T50" s="44"/>
      <c r="U50" s="44"/>
      <c r="V50" s="44"/>
      <c r="W50" s="44"/>
      <c r="X50" s="44"/>
      <c r="Y50" s="44"/>
    </row>
    <row r="51">
      <c r="A51" s="44"/>
      <c r="B51" s="121"/>
      <c r="C51" s="121"/>
      <c r="D51" s="44"/>
      <c r="E51" s="44"/>
      <c r="F51" s="76" t="s">
        <v>20</v>
      </c>
      <c r="G51" s="83"/>
      <c r="H51" s="85"/>
      <c r="I51" s="44"/>
      <c r="J51" s="44"/>
      <c r="K51" s="121"/>
      <c r="L51" s="74"/>
      <c r="M51" s="74"/>
      <c r="N51" s="44"/>
      <c r="O51" s="44"/>
      <c r="P51" s="44"/>
      <c r="Q51" s="44"/>
      <c r="R51" s="44"/>
      <c r="S51" s="44"/>
      <c r="T51" s="44"/>
      <c r="U51" s="44"/>
      <c r="V51" s="44"/>
      <c r="W51" s="44"/>
      <c r="X51" s="44"/>
      <c r="Y51" s="44"/>
    </row>
    <row r="52">
      <c r="A52" s="44"/>
      <c r="B52" s="121"/>
      <c r="C52" s="121"/>
      <c r="D52" s="44"/>
      <c r="E52" s="44"/>
      <c r="F52" s="87" t="s">
        <v>232</v>
      </c>
      <c r="G52" s="83"/>
      <c r="H52" s="79">
        <v>455.0</v>
      </c>
      <c r="I52" s="44"/>
      <c r="J52" s="44"/>
      <c r="K52" s="121"/>
      <c r="L52" s="74"/>
      <c r="M52" s="74"/>
      <c r="N52" s="44"/>
      <c r="O52" s="44"/>
      <c r="P52" s="44"/>
      <c r="Q52" s="44"/>
      <c r="R52" s="44"/>
      <c r="S52" s="44"/>
      <c r="T52" s="44"/>
      <c r="U52" s="44"/>
      <c r="V52" s="44"/>
      <c r="W52" s="44"/>
      <c r="X52" s="44"/>
      <c r="Y52" s="44"/>
    </row>
    <row r="53">
      <c r="A53" s="44"/>
      <c r="B53" s="121"/>
      <c r="C53" s="121"/>
      <c r="D53" s="44"/>
      <c r="E53" s="44"/>
      <c r="F53" s="87" t="s">
        <v>244</v>
      </c>
      <c r="G53" s="99"/>
      <c r="H53" s="79">
        <v>475.0</v>
      </c>
      <c r="I53" s="44"/>
      <c r="J53" s="44"/>
      <c r="K53" s="121"/>
      <c r="L53" s="74"/>
      <c r="M53" s="74"/>
      <c r="N53" s="44"/>
      <c r="O53" s="44"/>
      <c r="P53" s="44"/>
      <c r="Q53" s="44"/>
      <c r="R53" s="44"/>
      <c r="S53" s="44"/>
      <c r="T53" s="44"/>
      <c r="U53" s="44"/>
      <c r="V53" s="44"/>
      <c r="W53" s="44"/>
      <c r="X53" s="44"/>
      <c r="Y53" s="44"/>
    </row>
    <row r="54">
      <c r="A54" s="65"/>
      <c r="B54" s="121"/>
      <c r="C54" s="124"/>
      <c r="D54" s="44"/>
      <c r="E54" s="44"/>
      <c r="F54" s="87" t="s">
        <v>202</v>
      </c>
      <c r="G54" s="99"/>
      <c r="H54" s="79"/>
      <c r="I54" s="44"/>
      <c r="J54" s="44"/>
      <c r="K54" s="121"/>
      <c r="L54" s="74"/>
      <c r="M54" s="74"/>
      <c r="N54" s="44"/>
      <c r="O54" s="44"/>
      <c r="P54" s="44"/>
      <c r="Q54" s="44"/>
      <c r="R54" s="44"/>
      <c r="S54" s="44"/>
      <c r="T54" s="44"/>
      <c r="U54" s="44"/>
      <c r="V54" s="44"/>
      <c r="W54" s="44"/>
      <c r="X54" s="44"/>
      <c r="Y54" s="44"/>
    </row>
    <row r="55">
      <c r="A55" s="65"/>
      <c r="B55" s="121"/>
      <c r="C55" s="124"/>
      <c r="D55" s="44"/>
      <c r="E55" s="44"/>
      <c r="F55" s="87" t="s">
        <v>219</v>
      </c>
      <c r="G55" s="83"/>
      <c r="H55" s="79">
        <v>168.0</v>
      </c>
      <c r="I55" s="44"/>
      <c r="J55" s="44"/>
      <c r="K55" s="121"/>
      <c r="L55" s="74"/>
      <c r="M55" s="74"/>
      <c r="N55" s="44"/>
      <c r="O55" s="44"/>
      <c r="P55" s="44"/>
      <c r="Q55" s="44"/>
      <c r="R55" s="44"/>
      <c r="S55" s="44"/>
      <c r="T55" s="44"/>
      <c r="U55" s="44"/>
      <c r="V55" s="44"/>
      <c r="W55" s="44"/>
      <c r="X55" s="44"/>
      <c r="Y55" s="44"/>
    </row>
    <row r="56">
      <c r="B56" s="120"/>
      <c r="C56" s="120"/>
      <c r="F56" s="87" t="s">
        <v>220</v>
      </c>
      <c r="G56" s="83"/>
      <c r="H56" s="79"/>
      <c r="K56" s="120"/>
      <c r="L56" s="75"/>
      <c r="M56" s="75"/>
    </row>
    <row r="57">
      <c r="B57" s="120"/>
      <c r="C57" s="120"/>
      <c r="F57" s="87" t="s">
        <v>225</v>
      </c>
      <c r="H57" s="110"/>
      <c r="K57" s="120"/>
      <c r="L57" s="75"/>
      <c r="M57" s="75"/>
    </row>
    <row r="58">
      <c r="B58" s="120"/>
      <c r="C58" s="120"/>
      <c r="F58" s="111" t="s">
        <v>261</v>
      </c>
      <c r="H58" s="6"/>
      <c r="K58" s="120"/>
      <c r="L58" s="75"/>
      <c r="M58" s="75"/>
    </row>
    <row r="59">
      <c r="B59" s="120"/>
      <c r="C59" s="120"/>
      <c r="F59" s="111" t="s">
        <v>238</v>
      </c>
      <c r="H59" s="6">
        <v>230.0</v>
      </c>
      <c r="K59" s="120"/>
      <c r="L59" s="75"/>
      <c r="M59" s="75"/>
    </row>
    <row r="60">
      <c r="A60" s="73"/>
      <c r="B60" s="121"/>
      <c r="C60" s="120"/>
      <c r="D60" s="52"/>
      <c r="E60" s="52"/>
      <c r="F60" s="87" t="s">
        <v>274</v>
      </c>
      <c r="G60" s="44"/>
      <c r="H60" s="79">
        <v>216.0</v>
      </c>
      <c r="I60" s="61" t="s">
        <v>275</v>
      </c>
      <c r="J60" s="44"/>
      <c r="K60" s="121"/>
      <c r="L60" s="74"/>
      <c r="M60" s="74"/>
      <c r="N60" s="44"/>
      <c r="O60" s="44"/>
      <c r="P60" s="44"/>
      <c r="Q60" s="44"/>
      <c r="R60" s="44"/>
      <c r="S60" s="44"/>
      <c r="T60" s="44"/>
      <c r="U60" s="44"/>
      <c r="V60" s="44"/>
      <c r="W60" s="44"/>
      <c r="X60" s="44"/>
      <c r="Y60" s="44"/>
    </row>
    <row r="61">
      <c r="A61" s="73"/>
      <c r="B61" s="121"/>
      <c r="C61" s="120"/>
      <c r="D61" s="52"/>
      <c r="E61" s="52"/>
      <c r="F61" s="127" t="s">
        <v>276</v>
      </c>
      <c r="G61" s="44"/>
      <c r="H61" s="79">
        <v>162.0</v>
      </c>
      <c r="I61" s="45"/>
      <c r="J61" s="44"/>
      <c r="K61" s="121"/>
      <c r="L61" s="74"/>
      <c r="M61" s="74"/>
      <c r="N61" s="44"/>
      <c r="O61" s="44"/>
      <c r="P61" s="44"/>
      <c r="Q61" s="44"/>
      <c r="R61" s="44"/>
      <c r="S61" s="44"/>
      <c r="T61" s="44"/>
      <c r="U61" s="44"/>
      <c r="V61" s="44"/>
      <c r="W61" s="44"/>
      <c r="X61" s="44"/>
      <c r="Y61" s="44"/>
    </row>
    <row r="62">
      <c r="A62" s="73" t="s">
        <v>109</v>
      </c>
      <c r="B62" s="121"/>
      <c r="C62" s="120"/>
      <c r="D62" s="52"/>
      <c r="E62" s="52"/>
      <c r="F62" s="76"/>
      <c r="G62" s="44"/>
      <c r="H62" s="77"/>
      <c r="I62" s="44"/>
      <c r="J62" s="44"/>
      <c r="K62" s="121"/>
      <c r="L62" s="74"/>
      <c r="M62" s="74"/>
      <c r="N62" s="44"/>
      <c r="O62" s="44"/>
      <c r="P62" s="44"/>
      <c r="Q62" s="44"/>
      <c r="R62" s="44"/>
      <c r="S62" s="44"/>
      <c r="T62" s="44"/>
      <c r="U62" s="44"/>
      <c r="V62" s="44"/>
      <c r="W62" s="44"/>
      <c r="X62" s="44"/>
      <c r="Y62" s="44"/>
    </row>
    <row r="63">
      <c r="A63" s="52"/>
      <c r="B63" s="121"/>
      <c r="C63" s="121"/>
      <c r="D63" s="52"/>
      <c r="E63" s="52"/>
      <c r="F63" s="79" t="s">
        <v>0</v>
      </c>
      <c r="G63" s="44"/>
      <c r="H63" s="77"/>
      <c r="I63" s="44"/>
      <c r="J63" s="44"/>
      <c r="K63" s="121"/>
      <c r="L63" s="74"/>
      <c r="M63" s="74"/>
      <c r="N63" s="44"/>
      <c r="O63" s="44"/>
      <c r="P63" s="44"/>
      <c r="Q63" s="44"/>
      <c r="R63" s="44"/>
      <c r="S63" s="44"/>
      <c r="T63" s="44"/>
      <c r="U63" s="44"/>
      <c r="V63" s="44"/>
      <c r="W63" s="44"/>
      <c r="X63" s="44"/>
      <c r="Y63" s="44"/>
    </row>
    <row r="64">
      <c r="A64" s="80" t="s">
        <v>179</v>
      </c>
      <c r="B64" s="81">
        <v>8678.0</v>
      </c>
      <c r="D64" s="52"/>
      <c r="E64" s="82"/>
      <c r="F64" s="76" t="s">
        <v>4</v>
      </c>
      <c r="G64" s="83"/>
      <c r="H64" s="79">
        <v>80.0</v>
      </c>
      <c r="I64" s="44"/>
      <c r="J64" s="44"/>
      <c r="K64" s="121"/>
      <c r="L64" s="74"/>
      <c r="M64" s="74"/>
      <c r="N64" s="44"/>
      <c r="O64" s="44"/>
      <c r="P64" s="44"/>
      <c r="Q64" s="44"/>
      <c r="R64" s="44"/>
      <c r="S64" s="44"/>
      <c r="T64" s="44"/>
      <c r="U64" s="44"/>
      <c r="V64" s="44"/>
      <c r="W64" s="44"/>
      <c r="X64" s="44"/>
      <c r="Y64" s="44"/>
    </row>
    <row r="65">
      <c r="A65" s="76"/>
      <c r="B65" s="74"/>
      <c r="C65" s="74"/>
      <c r="D65" s="44"/>
      <c r="E65" s="44"/>
      <c r="F65" s="84" t="s">
        <v>277</v>
      </c>
      <c r="G65" s="83"/>
      <c r="H65" s="79">
        <v>710.0</v>
      </c>
      <c r="I65" s="44"/>
      <c r="J65" s="44"/>
      <c r="K65" s="121"/>
      <c r="L65" s="74"/>
      <c r="M65" s="74"/>
      <c r="N65" s="44"/>
      <c r="O65" s="44"/>
      <c r="P65" s="44"/>
      <c r="Q65" s="44"/>
      <c r="R65" s="44"/>
      <c r="S65" s="44"/>
      <c r="T65" s="44"/>
      <c r="U65" s="44"/>
      <c r="V65" s="44"/>
      <c r="W65" s="44"/>
      <c r="X65" s="44"/>
      <c r="Y65" s="44"/>
    </row>
    <row r="66">
      <c r="A66" s="86" t="s">
        <v>201</v>
      </c>
      <c r="B66" s="81">
        <v>4685.0</v>
      </c>
      <c r="D66" s="44"/>
      <c r="E66" s="44"/>
      <c r="F66" s="76" t="s">
        <v>6</v>
      </c>
      <c r="G66" s="83"/>
      <c r="H66" s="85"/>
      <c r="I66" s="44"/>
      <c r="J66" s="44"/>
      <c r="K66" s="121"/>
      <c r="L66" s="74"/>
      <c r="M66" s="74"/>
      <c r="N66" s="44"/>
      <c r="O66" s="44"/>
      <c r="P66" s="44"/>
      <c r="Q66" s="44"/>
      <c r="R66" s="44"/>
      <c r="S66" s="44"/>
      <c r="T66" s="44"/>
      <c r="U66" s="44"/>
      <c r="V66" s="44"/>
      <c r="W66" s="44"/>
      <c r="X66" s="44"/>
      <c r="Y66" s="44"/>
    </row>
    <row r="67">
      <c r="A67" s="76"/>
      <c r="B67" s="74"/>
      <c r="C67" s="74"/>
      <c r="D67" s="44"/>
      <c r="E67" s="44"/>
      <c r="F67" s="87" t="s">
        <v>7</v>
      </c>
      <c r="G67" s="83"/>
      <c r="H67" s="79"/>
      <c r="I67" s="44"/>
      <c r="J67" s="44"/>
      <c r="K67" s="121"/>
      <c r="L67" s="74"/>
      <c r="M67" s="74"/>
      <c r="N67" s="44"/>
      <c r="O67" s="44"/>
      <c r="P67" s="44"/>
      <c r="Q67" s="44"/>
      <c r="R67" s="44"/>
      <c r="S67" s="44"/>
      <c r="T67" s="44"/>
      <c r="U67" s="44"/>
      <c r="V67" s="44"/>
      <c r="W67" s="44"/>
      <c r="X67" s="44"/>
      <c r="Y67" s="44"/>
    </row>
    <row r="68">
      <c r="A68" s="89" t="s">
        <v>278</v>
      </c>
      <c r="B68" s="123">
        <v>3993.0</v>
      </c>
      <c r="C68" s="102"/>
      <c r="D68" s="44"/>
      <c r="E68" s="44"/>
      <c r="F68" s="84" t="s">
        <v>210</v>
      </c>
      <c r="G68" s="83"/>
      <c r="H68" s="79"/>
      <c r="I68" s="44"/>
      <c r="J68" s="44"/>
      <c r="K68" s="121"/>
      <c r="L68" s="74"/>
      <c r="M68" s="74"/>
      <c r="N68" s="44"/>
      <c r="O68" s="44"/>
      <c r="P68" s="44"/>
      <c r="Q68" s="44"/>
      <c r="R68" s="44"/>
      <c r="S68" s="44"/>
      <c r="T68" s="44"/>
      <c r="U68" s="44"/>
      <c r="V68" s="44"/>
      <c r="W68" s="44"/>
      <c r="X68" s="44"/>
      <c r="Y68" s="44"/>
    </row>
    <row r="69">
      <c r="B69" s="103"/>
      <c r="C69" s="50"/>
      <c r="D69" s="44"/>
      <c r="E69" s="44"/>
      <c r="F69" s="84" t="s">
        <v>270</v>
      </c>
      <c r="G69" s="83"/>
      <c r="H69" s="79">
        <v>400.0</v>
      </c>
      <c r="I69" s="44"/>
      <c r="J69" s="44"/>
      <c r="K69" s="121"/>
      <c r="L69" s="74"/>
      <c r="M69" s="74"/>
      <c r="N69" s="44"/>
      <c r="O69" s="44"/>
      <c r="P69" s="44"/>
      <c r="Q69" s="44"/>
      <c r="R69" s="44"/>
      <c r="S69" s="44"/>
      <c r="T69" s="44"/>
      <c r="U69" s="44"/>
      <c r="V69" s="44"/>
      <c r="W69" s="44"/>
      <c r="X69" s="44"/>
      <c r="Y69" s="44"/>
    </row>
    <row r="70">
      <c r="A70" s="94"/>
      <c r="B70" s="74"/>
      <c r="C70" s="74"/>
      <c r="D70" s="44"/>
      <c r="E70" s="44"/>
      <c r="F70" s="87" t="s">
        <v>213</v>
      </c>
      <c r="G70" s="83"/>
      <c r="H70" s="79"/>
      <c r="I70" s="44"/>
      <c r="J70" s="44"/>
      <c r="K70" s="121"/>
      <c r="L70" s="74"/>
      <c r="M70" s="74"/>
      <c r="N70" s="44"/>
      <c r="O70" s="44"/>
      <c r="P70" s="44"/>
      <c r="Q70" s="44"/>
      <c r="R70" s="44"/>
      <c r="S70" s="44"/>
      <c r="T70" s="44"/>
      <c r="U70" s="44"/>
      <c r="V70" s="44"/>
      <c r="W70" s="44"/>
      <c r="X70" s="44"/>
      <c r="Y70" s="44"/>
    </row>
    <row r="71">
      <c r="A71" s="96" t="s">
        <v>214</v>
      </c>
      <c r="B71" s="81" t="s">
        <v>279</v>
      </c>
      <c r="D71" s="52"/>
      <c r="E71" s="44"/>
      <c r="F71" s="76" t="s">
        <v>34</v>
      </c>
      <c r="G71" s="83"/>
      <c r="H71" s="79">
        <v>45.0</v>
      </c>
      <c r="I71" s="45"/>
      <c r="L71" s="74"/>
      <c r="M71" s="74"/>
      <c r="N71" s="44"/>
      <c r="O71" s="44"/>
      <c r="P71" s="44"/>
      <c r="Q71" s="44"/>
      <c r="R71" s="44"/>
      <c r="S71" s="44"/>
      <c r="T71" s="44"/>
      <c r="U71" s="44"/>
      <c r="V71" s="44"/>
      <c r="W71" s="44"/>
      <c r="X71" s="44"/>
      <c r="Y71" s="44"/>
    </row>
    <row r="72">
      <c r="A72" s="125" t="s">
        <v>272</v>
      </c>
      <c r="B72" s="128">
        <v>5030.0</v>
      </c>
      <c r="D72" s="44"/>
      <c r="E72" s="44"/>
      <c r="F72" s="87" t="s">
        <v>216</v>
      </c>
      <c r="G72" s="83"/>
      <c r="H72" s="79">
        <v>70.0</v>
      </c>
      <c r="I72" s="44"/>
      <c r="J72" s="44"/>
      <c r="K72" s="121"/>
      <c r="L72" s="74"/>
      <c r="M72" s="74"/>
      <c r="N72" s="44"/>
      <c r="O72" s="44"/>
      <c r="P72" s="44"/>
      <c r="Q72" s="44"/>
      <c r="R72" s="44"/>
      <c r="S72" s="44"/>
      <c r="T72" s="44"/>
      <c r="U72" s="44"/>
      <c r="V72" s="44"/>
      <c r="W72" s="44"/>
      <c r="X72" s="44"/>
      <c r="Y72" s="44"/>
    </row>
    <row r="73">
      <c r="A73" s="96" t="s">
        <v>215</v>
      </c>
      <c r="B73" s="121"/>
      <c r="C73" s="121"/>
      <c r="D73" s="44"/>
      <c r="E73" s="44"/>
      <c r="F73" s="76" t="s">
        <v>108</v>
      </c>
      <c r="G73" s="83"/>
      <c r="H73" s="79">
        <v>80.0</v>
      </c>
      <c r="I73" s="44"/>
      <c r="J73" s="44"/>
      <c r="K73" s="121"/>
      <c r="L73" s="74"/>
      <c r="M73" s="74"/>
      <c r="N73" s="44"/>
      <c r="O73" s="44"/>
      <c r="P73" s="44"/>
      <c r="Q73" s="44"/>
      <c r="R73" s="44"/>
      <c r="S73" s="44"/>
      <c r="T73" s="44"/>
      <c r="U73" s="44"/>
      <c r="V73" s="44"/>
      <c r="W73" s="44"/>
      <c r="X73" s="44"/>
      <c r="Y73" s="44"/>
    </row>
    <row r="74">
      <c r="A74" s="44"/>
      <c r="B74" s="121"/>
      <c r="C74" s="121"/>
      <c r="D74" s="44"/>
      <c r="E74" s="44"/>
      <c r="F74" s="97" t="s">
        <v>156</v>
      </c>
      <c r="G74" s="83"/>
      <c r="H74" s="79">
        <v>1250.0</v>
      </c>
      <c r="I74" s="45" t="s">
        <v>273</v>
      </c>
      <c r="J74" s="44"/>
      <c r="K74" s="121"/>
      <c r="L74" s="74"/>
      <c r="M74" s="74"/>
      <c r="N74" s="44"/>
      <c r="O74" s="44"/>
      <c r="P74" s="44"/>
      <c r="Q74" s="44"/>
      <c r="R74" s="44"/>
      <c r="S74" s="44"/>
      <c r="T74" s="44"/>
      <c r="U74" s="44"/>
      <c r="V74" s="44"/>
      <c r="W74" s="44"/>
      <c r="X74" s="44"/>
      <c r="Y74" s="44"/>
    </row>
    <row r="75">
      <c r="A75" s="44"/>
      <c r="B75" s="121"/>
      <c r="C75" s="121"/>
      <c r="D75" s="44"/>
      <c r="E75" s="44"/>
      <c r="F75" s="84" t="s">
        <v>217</v>
      </c>
      <c r="G75" s="83"/>
      <c r="H75" s="79"/>
      <c r="I75" s="44"/>
      <c r="J75" s="44"/>
      <c r="K75" s="121"/>
      <c r="L75" s="74"/>
      <c r="M75" s="74"/>
      <c r="N75" s="44"/>
      <c r="O75" s="44"/>
      <c r="P75" s="44"/>
      <c r="Q75" s="44"/>
      <c r="R75" s="44"/>
      <c r="S75" s="44"/>
      <c r="T75" s="44"/>
      <c r="U75" s="44"/>
      <c r="V75" s="44"/>
      <c r="W75" s="44"/>
      <c r="X75" s="44"/>
      <c r="Y75" s="44"/>
    </row>
    <row r="76">
      <c r="A76" s="44"/>
      <c r="B76" s="121"/>
      <c r="C76" s="121"/>
      <c r="D76" s="44"/>
      <c r="E76" s="44"/>
      <c r="F76" s="87" t="s">
        <v>218</v>
      </c>
      <c r="G76" s="83"/>
      <c r="H76" s="79"/>
      <c r="I76" s="44"/>
      <c r="J76" s="44"/>
      <c r="K76" s="121"/>
      <c r="L76" s="74"/>
      <c r="M76" s="74"/>
      <c r="N76" s="44"/>
      <c r="O76" s="44"/>
      <c r="P76" s="44"/>
      <c r="Q76" s="44"/>
      <c r="R76" s="44"/>
      <c r="S76" s="44"/>
      <c r="T76" s="44"/>
      <c r="U76" s="44"/>
      <c r="V76" s="44"/>
      <c r="W76" s="44"/>
      <c r="X76" s="44"/>
      <c r="Y76" s="44"/>
    </row>
    <row r="77">
      <c r="A77" s="44"/>
      <c r="B77" s="121"/>
      <c r="C77" s="121"/>
      <c r="D77" s="44"/>
      <c r="E77" s="44"/>
      <c r="F77" s="76" t="s">
        <v>131</v>
      </c>
      <c r="G77" s="83"/>
      <c r="H77" s="79">
        <v>300.0</v>
      </c>
      <c r="I77" s="44"/>
      <c r="J77" s="44"/>
      <c r="K77" s="121"/>
      <c r="L77" s="74"/>
      <c r="M77" s="74"/>
      <c r="N77" s="44"/>
      <c r="O77" s="44"/>
      <c r="P77" s="44"/>
      <c r="Q77" s="44"/>
      <c r="R77" s="44"/>
      <c r="S77" s="44"/>
      <c r="T77" s="44"/>
      <c r="U77" s="44"/>
      <c r="V77" s="44"/>
      <c r="W77" s="44"/>
      <c r="X77" s="44"/>
      <c r="Y77" s="44"/>
    </row>
    <row r="78">
      <c r="A78" s="44"/>
      <c r="B78" s="121"/>
      <c r="C78" s="121"/>
      <c r="D78" s="44"/>
      <c r="E78" s="44"/>
      <c r="F78" s="76" t="s">
        <v>18</v>
      </c>
      <c r="G78" s="83"/>
      <c r="H78" s="85"/>
      <c r="I78" s="44"/>
      <c r="J78" s="44"/>
      <c r="K78" s="121"/>
      <c r="L78" s="74"/>
      <c r="M78" s="74"/>
      <c r="N78" s="44"/>
      <c r="O78" s="44"/>
      <c r="P78" s="44"/>
      <c r="Q78" s="44"/>
      <c r="R78" s="44"/>
      <c r="S78" s="44"/>
      <c r="T78" s="44"/>
      <c r="U78" s="44"/>
      <c r="V78" s="44"/>
      <c r="W78" s="44"/>
      <c r="X78" s="44"/>
      <c r="Y78" s="44"/>
    </row>
    <row r="79">
      <c r="A79" s="44"/>
      <c r="B79" s="121"/>
      <c r="C79" s="121"/>
      <c r="D79" s="44"/>
      <c r="E79" s="44"/>
      <c r="F79" s="98" t="s">
        <v>19</v>
      </c>
      <c r="G79" s="83"/>
      <c r="H79" s="79"/>
      <c r="I79" s="44"/>
      <c r="J79" s="44"/>
      <c r="K79" s="121"/>
      <c r="L79" s="74"/>
      <c r="M79" s="74"/>
      <c r="N79" s="44"/>
      <c r="O79" s="44"/>
      <c r="P79" s="44"/>
      <c r="Q79" s="44"/>
      <c r="R79" s="44"/>
      <c r="S79" s="44"/>
      <c r="T79" s="44"/>
      <c r="U79" s="44"/>
      <c r="V79" s="44"/>
      <c r="W79" s="44"/>
      <c r="X79" s="44"/>
      <c r="Y79" s="44"/>
    </row>
    <row r="80">
      <c r="A80" s="44"/>
      <c r="B80" s="121"/>
      <c r="C80" s="121"/>
      <c r="D80" s="44"/>
      <c r="E80" s="44"/>
      <c r="F80" s="76" t="s">
        <v>20</v>
      </c>
      <c r="G80" s="83"/>
      <c r="H80" s="85"/>
      <c r="I80" s="44"/>
      <c r="J80" s="44"/>
      <c r="K80" s="121"/>
      <c r="L80" s="74"/>
      <c r="M80" s="74"/>
      <c r="N80" s="44"/>
      <c r="O80" s="44"/>
      <c r="P80" s="44"/>
      <c r="Q80" s="44"/>
      <c r="R80" s="44"/>
      <c r="S80" s="44"/>
      <c r="T80" s="44"/>
      <c r="U80" s="44"/>
      <c r="V80" s="44"/>
      <c r="W80" s="44"/>
      <c r="X80" s="44"/>
      <c r="Y80" s="44"/>
    </row>
    <row r="81">
      <c r="A81" s="44"/>
      <c r="B81" s="121"/>
      <c r="C81" s="121"/>
      <c r="D81" s="44"/>
      <c r="E81" s="44"/>
      <c r="F81" s="87" t="s">
        <v>232</v>
      </c>
      <c r="G81" s="83"/>
      <c r="H81" s="79">
        <v>185.0</v>
      </c>
      <c r="I81" s="45" t="s">
        <v>280</v>
      </c>
      <c r="J81" s="44"/>
      <c r="K81" s="121"/>
      <c r="L81" s="74"/>
      <c r="M81" s="74"/>
      <c r="N81" s="44"/>
      <c r="O81" s="44"/>
      <c r="P81" s="44"/>
      <c r="Q81" s="44"/>
      <c r="R81" s="44"/>
      <c r="S81" s="44"/>
      <c r="T81" s="44"/>
      <c r="U81" s="44"/>
      <c r="V81" s="44"/>
      <c r="W81" s="44"/>
      <c r="X81" s="44"/>
      <c r="Y81" s="44"/>
    </row>
    <row r="82">
      <c r="A82" s="44"/>
      <c r="B82" s="121"/>
      <c r="C82" s="121"/>
      <c r="D82" s="44"/>
      <c r="E82" s="44"/>
      <c r="F82" s="87" t="s">
        <v>244</v>
      </c>
      <c r="G82" s="99"/>
      <c r="H82" s="79">
        <v>470.0</v>
      </c>
      <c r="I82" s="45" t="s">
        <v>281</v>
      </c>
      <c r="J82" s="44"/>
      <c r="K82" s="121"/>
      <c r="L82" s="74"/>
      <c r="M82" s="74"/>
      <c r="N82" s="44"/>
      <c r="O82" s="44"/>
      <c r="P82" s="44"/>
      <c r="Q82" s="44"/>
      <c r="R82" s="44"/>
      <c r="S82" s="44"/>
      <c r="T82" s="44"/>
      <c r="U82" s="44"/>
      <c r="V82" s="44"/>
      <c r="W82" s="44"/>
      <c r="X82" s="44"/>
      <c r="Y82" s="44"/>
    </row>
    <row r="83">
      <c r="A83" s="65"/>
      <c r="B83" s="121"/>
      <c r="C83" s="124"/>
      <c r="D83" s="44"/>
      <c r="E83" s="44"/>
      <c r="F83" s="87" t="s">
        <v>202</v>
      </c>
      <c r="G83" s="99"/>
      <c r="H83" s="79"/>
      <c r="I83" s="44"/>
      <c r="J83" s="44"/>
      <c r="K83" s="121"/>
      <c r="L83" s="74"/>
      <c r="M83" s="74"/>
      <c r="N83" s="44"/>
      <c r="O83" s="44"/>
      <c r="P83" s="44"/>
      <c r="Q83" s="44"/>
      <c r="R83" s="44"/>
      <c r="S83" s="44"/>
      <c r="T83" s="44"/>
      <c r="U83" s="44"/>
      <c r="V83" s="44"/>
      <c r="W83" s="44"/>
      <c r="X83" s="44"/>
      <c r="Y83" s="44"/>
    </row>
    <row r="84">
      <c r="A84" s="65"/>
      <c r="B84" s="121"/>
      <c r="C84" s="124"/>
      <c r="D84" s="44"/>
      <c r="E84" s="44"/>
      <c r="F84" s="87" t="s">
        <v>219</v>
      </c>
      <c r="G84" s="83"/>
      <c r="H84" s="79">
        <v>400.0</v>
      </c>
      <c r="I84" s="44"/>
      <c r="J84" s="44"/>
      <c r="K84" s="121"/>
      <c r="L84" s="74"/>
      <c r="M84" s="74"/>
      <c r="N84" s="44"/>
      <c r="O84" s="44"/>
      <c r="P84" s="44"/>
      <c r="Q84" s="44"/>
      <c r="R84" s="44"/>
      <c r="S84" s="44"/>
      <c r="T84" s="44"/>
      <c r="U84" s="44"/>
      <c r="V84" s="44"/>
      <c r="W84" s="44"/>
      <c r="X84" s="44"/>
      <c r="Y84" s="44"/>
    </row>
    <row r="85">
      <c r="B85" s="120"/>
      <c r="C85" s="120"/>
      <c r="F85" s="87" t="s">
        <v>220</v>
      </c>
      <c r="G85" s="83"/>
      <c r="H85" s="79"/>
      <c r="K85" s="120"/>
      <c r="L85" s="75"/>
      <c r="M85" s="75"/>
    </row>
    <row r="86">
      <c r="B86" s="120"/>
      <c r="C86" s="120"/>
      <c r="F86" s="87" t="s">
        <v>225</v>
      </c>
      <c r="H86" s="110"/>
      <c r="K86" s="120"/>
      <c r="L86" s="75"/>
      <c r="M86" s="75"/>
    </row>
    <row r="87">
      <c r="B87" s="120"/>
      <c r="C87" s="120"/>
      <c r="F87" s="111" t="s">
        <v>261</v>
      </c>
      <c r="H87" s="6">
        <v>31.0</v>
      </c>
      <c r="K87" s="120"/>
      <c r="L87" s="75"/>
      <c r="M87" s="75"/>
    </row>
    <row r="88">
      <c r="B88" s="120"/>
      <c r="C88" s="120"/>
      <c r="F88" s="111" t="s">
        <v>238</v>
      </c>
      <c r="H88" s="6">
        <v>230.0</v>
      </c>
      <c r="K88" s="120"/>
      <c r="L88" s="75"/>
      <c r="M88" s="75"/>
    </row>
    <row r="89">
      <c r="B89" s="120"/>
      <c r="C89" s="120"/>
      <c r="F89" s="87" t="s">
        <v>274</v>
      </c>
      <c r="G89" s="44"/>
      <c r="H89" s="79">
        <v>214.0</v>
      </c>
      <c r="I89" s="45"/>
      <c r="K89" s="120"/>
      <c r="L89" s="75"/>
      <c r="M89" s="75"/>
    </row>
    <row r="90">
      <c r="B90" s="120"/>
      <c r="C90" s="120"/>
      <c r="F90" s="127" t="s">
        <v>276</v>
      </c>
      <c r="G90" s="44"/>
      <c r="H90" s="79"/>
      <c r="I90" s="45"/>
      <c r="K90" s="120"/>
      <c r="L90" s="75"/>
      <c r="M90" s="75"/>
    </row>
    <row r="91">
      <c r="A91" s="73"/>
      <c r="B91" s="121"/>
      <c r="C91" s="120"/>
      <c r="D91" s="52"/>
      <c r="E91" s="52"/>
      <c r="F91" s="87" t="s">
        <v>282</v>
      </c>
      <c r="G91" s="44"/>
      <c r="H91" s="81">
        <v>220.0</v>
      </c>
      <c r="I91" s="44"/>
      <c r="J91" s="44"/>
      <c r="K91" s="121"/>
      <c r="L91" s="74"/>
      <c r="M91" s="74"/>
      <c r="N91" s="44"/>
      <c r="O91" s="44"/>
      <c r="P91" s="44"/>
      <c r="Q91" s="44"/>
      <c r="R91" s="44"/>
      <c r="S91" s="44"/>
      <c r="T91" s="44"/>
      <c r="U91" s="44"/>
      <c r="V91" s="44"/>
      <c r="W91" s="44"/>
      <c r="X91" s="44"/>
      <c r="Y91" s="44"/>
    </row>
    <row r="92">
      <c r="A92" s="73"/>
      <c r="B92" s="121"/>
      <c r="C92" s="120"/>
      <c r="D92" s="52"/>
      <c r="E92" s="52"/>
      <c r="F92" s="87"/>
      <c r="G92" s="44"/>
      <c r="H92" s="81"/>
      <c r="I92" s="44"/>
      <c r="J92" s="44"/>
      <c r="K92" s="121"/>
      <c r="L92" s="74"/>
      <c r="M92" s="74"/>
      <c r="N92" s="44"/>
      <c r="O92" s="44"/>
      <c r="P92" s="44"/>
      <c r="Q92" s="44"/>
      <c r="R92" s="44"/>
      <c r="S92" s="44"/>
      <c r="T92" s="44"/>
      <c r="U92" s="44"/>
      <c r="V92" s="44"/>
      <c r="W92" s="44"/>
      <c r="X92" s="44"/>
      <c r="Y92" s="44"/>
    </row>
    <row r="93">
      <c r="A93" s="73"/>
      <c r="B93" s="121"/>
      <c r="C93" s="120"/>
      <c r="D93" s="52"/>
      <c r="E93" s="52"/>
      <c r="J93" s="44"/>
      <c r="K93" s="121"/>
      <c r="L93" s="74"/>
      <c r="M93" s="74"/>
      <c r="N93" s="44"/>
      <c r="O93" s="44"/>
      <c r="P93" s="44"/>
      <c r="Q93" s="44"/>
      <c r="R93" s="44"/>
      <c r="S93" s="44"/>
      <c r="T93" s="44"/>
      <c r="U93" s="44"/>
      <c r="V93" s="44"/>
      <c r="W93" s="44"/>
      <c r="X93" s="44"/>
      <c r="Y93" s="44"/>
    </row>
    <row r="94" ht="18.75" customHeight="1">
      <c r="A94" s="73" t="s">
        <v>113</v>
      </c>
      <c r="B94" s="121"/>
      <c r="C94" s="120"/>
      <c r="D94" s="52"/>
      <c r="E94" s="52"/>
      <c r="F94" s="79" t="s">
        <v>0</v>
      </c>
      <c r="J94" s="44"/>
      <c r="K94" s="121"/>
      <c r="L94" s="74"/>
      <c r="M94" s="74"/>
      <c r="N94" s="44"/>
      <c r="O94" s="44"/>
      <c r="P94" s="44"/>
      <c r="Q94" s="44"/>
      <c r="R94" s="44"/>
      <c r="S94" s="44"/>
      <c r="T94" s="44"/>
      <c r="U94" s="44"/>
      <c r="V94" s="44"/>
      <c r="W94" s="44"/>
      <c r="X94" s="44"/>
      <c r="Y94" s="44"/>
    </row>
    <row r="95">
      <c r="A95" s="52"/>
      <c r="B95" s="121"/>
      <c r="C95" s="121"/>
      <c r="D95" s="52"/>
      <c r="E95" s="52"/>
      <c r="G95" s="44"/>
      <c r="H95" s="77"/>
      <c r="I95" s="44"/>
      <c r="J95" s="44"/>
      <c r="K95" s="121"/>
      <c r="L95" s="74"/>
      <c r="M95" s="74"/>
      <c r="N95" s="44"/>
      <c r="O95" s="44"/>
      <c r="P95" s="44"/>
      <c r="Q95" s="44"/>
      <c r="R95" s="44"/>
      <c r="S95" s="44"/>
      <c r="T95" s="44"/>
      <c r="U95" s="44"/>
      <c r="V95" s="44"/>
      <c r="W95" s="44"/>
      <c r="X95" s="44"/>
      <c r="Y95" s="44"/>
    </row>
    <row r="96">
      <c r="A96" s="80" t="s">
        <v>179</v>
      </c>
      <c r="B96" s="81">
        <v>4280.0</v>
      </c>
      <c r="D96" s="52"/>
      <c r="E96" s="82"/>
      <c r="F96" s="76" t="s">
        <v>4</v>
      </c>
      <c r="G96" s="83"/>
      <c r="H96" s="79"/>
      <c r="I96" s="44"/>
      <c r="J96" s="44"/>
      <c r="K96" s="121"/>
      <c r="L96" s="74"/>
      <c r="M96" s="74"/>
      <c r="N96" s="44"/>
      <c r="O96" s="44"/>
      <c r="P96" s="44"/>
      <c r="Q96" s="44"/>
      <c r="R96" s="44"/>
      <c r="S96" s="44"/>
      <c r="T96" s="44"/>
      <c r="U96" s="44"/>
      <c r="V96" s="44"/>
      <c r="W96" s="44"/>
      <c r="X96" s="44"/>
      <c r="Y96" s="44"/>
    </row>
    <row r="97">
      <c r="A97" s="76"/>
      <c r="B97" s="74"/>
      <c r="C97" s="74"/>
      <c r="D97" s="44"/>
      <c r="E97" s="44"/>
      <c r="F97" s="84" t="s">
        <v>283</v>
      </c>
      <c r="G97" s="83"/>
      <c r="H97" s="79">
        <v>300.0</v>
      </c>
      <c r="I97" s="45" t="s">
        <v>284</v>
      </c>
      <c r="J97" s="44"/>
      <c r="K97" s="121"/>
      <c r="L97" s="74"/>
      <c r="M97" s="74"/>
      <c r="N97" s="44"/>
      <c r="O97" s="44"/>
      <c r="P97" s="44"/>
      <c r="Q97" s="44"/>
      <c r="R97" s="44"/>
      <c r="S97" s="44"/>
      <c r="T97" s="44"/>
      <c r="U97" s="44"/>
      <c r="V97" s="44"/>
      <c r="W97" s="44"/>
      <c r="X97" s="44"/>
      <c r="Y97" s="44"/>
    </row>
    <row r="98">
      <c r="A98" s="86" t="s">
        <v>201</v>
      </c>
      <c r="B98" s="79">
        <v>5096.0</v>
      </c>
      <c r="D98" s="44"/>
      <c r="E98" s="44"/>
      <c r="F98" s="76" t="s">
        <v>6</v>
      </c>
      <c r="G98" s="83"/>
      <c r="H98" s="85"/>
      <c r="I98" s="44"/>
      <c r="J98" s="44"/>
      <c r="K98" s="121"/>
      <c r="L98" s="74"/>
      <c r="M98" s="74"/>
      <c r="N98" s="44"/>
      <c r="O98" s="44"/>
      <c r="P98" s="44"/>
      <c r="Q98" s="44"/>
      <c r="R98" s="44"/>
      <c r="S98" s="44"/>
      <c r="T98" s="44"/>
      <c r="U98" s="44"/>
      <c r="V98" s="44"/>
      <c r="W98" s="44"/>
      <c r="X98" s="44"/>
      <c r="Y98" s="44"/>
    </row>
    <row r="99">
      <c r="A99" s="76"/>
      <c r="B99" s="74"/>
      <c r="C99" s="74"/>
      <c r="D99" s="44"/>
      <c r="E99" s="44"/>
      <c r="F99" s="87" t="s">
        <v>7</v>
      </c>
      <c r="G99" s="83"/>
      <c r="H99" s="79">
        <v>300.0</v>
      </c>
      <c r="I99" s="44"/>
      <c r="J99" s="44"/>
      <c r="K99" s="121"/>
      <c r="L99" s="74"/>
      <c r="M99" s="74"/>
      <c r="N99" s="44"/>
      <c r="O99" s="44"/>
      <c r="P99" s="44"/>
      <c r="Q99" s="44"/>
      <c r="R99" s="44"/>
      <c r="S99" s="44"/>
      <c r="T99" s="44"/>
      <c r="U99" s="44"/>
      <c r="V99" s="44"/>
      <c r="W99" s="44"/>
      <c r="X99" s="44"/>
      <c r="Y99" s="44"/>
    </row>
    <row r="100">
      <c r="A100" s="89" t="s">
        <v>285</v>
      </c>
      <c r="B100" s="129">
        <v>-816.0</v>
      </c>
      <c r="C100" s="102"/>
      <c r="D100" s="44"/>
      <c r="E100" s="44"/>
      <c r="F100" s="84" t="s">
        <v>210</v>
      </c>
      <c r="G100" s="83"/>
      <c r="H100" s="79">
        <v>361.0</v>
      </c>
      <c r="I100" s="44"/>
      <c r="J100" s="44"/>
      <c r="K100" s="121"/>
      <c r="L100" s="74"/>
      <c r="M100" s="74"/>
      <c r="N100" s="44"/>
      <c r="O100" s="44"/>
      <c r="P100" s="44"/>
      <c r="Q100" s="44"/>
      <c r="R100" s="44"/>
      <c r="S100" s="44"/>
      <c r="T100" s="44"/>
      <c r="U100" s="44"/>
      <c r="V100" s="44"/>
      <c r="W100" s="44"/>
      <c r="X100" s="44"/>
      <c r="Y100" s="44"/>
    </row>
    <row r="101">
      <c r="B101" s="103"/>
      <c r="C101" s="50"/>
      <c r="D101" s="44"/>
      <c r="E101" s="44"/>
      <c r="F101" s="84" t="s">
        <v>270</v>
      </c>
      <c r="G101" s="83"/>
      <c r="H101" s="79">
        <v>52.0</v>
      </c>
      <c r="I101" s="44"/>
      <c r="J101" s="44"/>
      <c r="K101" s="121"/>
      <c r="L101" s="74"/>
      <c r="M101" s="74"/>
      <c r="N101" s="44"/>
      <c r="O101" s="44"/>
      <c r="P101" s="44"/>
      <c r="Q101" s="44"/>
      <c r="R101" s="44"/>
      <c r="S101" s="44"/>
      <c r="T101" s="44"/>
      <c r="U101" s="44"/>
      <c r="V101" s="44"/>
      <c r="W101" s="44"/>
      <c r="X101" s="44"/>
      <c r="Y101" s="44"/>
    </row>
    <row r="102">
      <c r="A102" s="94"/>
      <c r="B102" s="74"/>
      <c r="C102" s="74"/>
      <c r="D102" s="44"/>
      <c r="E102" s="44"/>
      <c r="F102" s="87" t="s">
        <v>213</v>
      </c>
      <c r="G102" s="83"/>
      <c r="H102" s="79"/>
      <c r="I102" s="44"/>
      <c r="J102" s="44"/>
      <c r="K102" s="121"/>
      <c r="L102" s="74"/>
      <c r="M102" s="74"/>
      <c r="N102" s="44"/>
      <c r="O102" s="44"/>
      <c r="P102" s="44"/>
      <c r="Q102" s="44"/>
      <c r="R102" s="44"/>
      <c r="S102" s="44"/>
      <c r="T102" s="44"/>
      <c r="U102" s="44"/>
      <c r="V102" s="44"/>
      <c r="W102" s="44"/>
      <c r="X102" s="44"/>
      <c r="Y102" s="44"/>
    </row>
    <row r="103">
      <c r="A103" s="96" t="s">
        <v>214</v>
      </c>
      <c r="B103" s="81" t="s">
        <v>286</v>
      </c>
      <c r="D103" s="52"/>
      <c r="E103" s="44"/>
      <c r="F103" s="76" t="s">
        <v>34</v>
      </c>
      <c r="G103" s="83"/>
      <c r="H103" s="79"/>
      <c r="I103" s="45"/>
      <c r="L103" s="74"/>
      <c r="M103" s="74"/>
      <c r="N103" s="44"/>
      <c r="O103" s="44"/>
      <c r="P103" s="44"/>
      <c r="Q103" s="44"/>
      <c r="R103" s="44"/>
      <c r="S103" s="44"/>
      <c r="T103" s="44"/>
      <c r="U103" s="44"/>
      <c r="V103" s="44"/>
      <c r="W103" s="44"/>
      <c r="X103" s="44"/>
      <c r="Y103" s="44"/>
    </row>
    <row r="104">
      <c r="A104" s="125" t="s">
        <v>272</v>
      </c>
      <c r="B104" s="74"/>
      <c r="C104" s="74"/>
      <c r="D104" s="44"/>
      <c r="E104" s="44"/>
      <c r="F104" s="87" t="s">
        <v>216</v>
      </c>
      <c r="G104" s="83"/>
      <c r="H104" s="79"/>
      <c r="I104" s="44"/>
      <c r="J104" s="44"/>
      <c r="K104" s="121"/>
      <c r="L104" s="74"/>
      <c r="M104" s="74"/>
      <c r="N104" s="44"/>
      <c r="O104" s="44"/>
      <c r="P104" s="44"/>
      <c r="Q104" s="44"/>
      <c r="R104" s="44"/>
      <c r="S104" s="44"/>
      <c r="T104" s="44"/>
      <c r="U104" s="44"/>
      <c r="V104" s="44"/>
      <c r="W104" s="44"/>
      <c r="X104" s="44"/>
      <c r="Y104" s="44"/>
    </row>
    <row r="105">
      <c r="A105" s="96" t="s">
        <v>215</v>
      </c>
      <c r="B105" s="74"/>
      <c r="C105" s="74"/>
      <c r="D105" s="44"/>
      <c r="E105" s="44"/>
      <c r="F105" s="76" t="s">
        <v>108</v>
      </c>
      <c r="G105" s="83"/>
      <c r="H105" s="79">
        <v>320.0</v>
      </c>
      <c r="I105" s="44"/>
      <c r="J105" s="44"/>
      <c r="K105" s="121"/>
      <c r="L105" s="74"/>
      <c r="M105" s="74"/>
      <c r="N105" s="44"/>
      <c r="O105" s="44"/>
      <c r="P105" s="44"/>
      <c r="Q105" s="44"/>
      <c r="R105" s="44"/>
      <c r="S105" s="44"/>
      <c r="T105" s="44"/>
      <c r="U105" s="44"/>
      <c r="V105" s="44"/>
      <c r="W105" s="44"/>
      <c r="X105" s="44"/>
      <c r="Y105" s="44"/>
    </row>
    <row r="106">
      <c r="A106" s="44"/>
      <c r="B106" s="121"/>
      <c r="C106" s="121"/>
      <c r="D106" s="44"/>
      <c r="E106" s="44"/>
      <c r="F106" s="97" t="s">
        <v>156</v>
      </c>
      <c r="G106" s="83"/>
      <c r="H106" s="79">
        <v>1250.0</v>
      </c>
      <c r="I106" s="45" t="s">
        <v>237</v>
      </c>
      <c r="J106" s="44"/>
      <c r="K106" s="121"/>
      <c r="L106" s="74"/>
      <c r="M106" s="74"/>
      <c r="N106" s="44"/>
      <c r="O106" s="44"/>
      <c r="P106" s="44"/>
      <c r="Q106" s="44"/>
      <c r="R106" s="44"/>
      <c r="S106" s="44"/>
      <c r="T106" s="44"/>
      <c r="U106" s="44"/>
      <c r="V106" s="44"/>
      <c r="W106" s="44"/>
      <c r="X106" s="44"/>
      <c r="Y106" s="44"/>
    </row>
    <row r="107">
      <c r="A107" s="44"/>
      <c r="B107" s="121"/>
      <c r="C107" s="121"/>
      <c r="D107" s="44"/>
      <c r="E107" s="44"/>
      <c r="F107" s="84" t="s">
        <v>217</v>
      </c>
      <c r="G107" s="83"/>
      <c r="H107" s="79"/>
      <c r="I107" s="44"/>
      <c r="J107" s="44"/>
      <c r="K107" s="121"/>
      <c r="L107" s="74"/>
      <c r="M107" s="74"/>
      <c r="N107" s="44"/>
      <c r="O107" s="44"/>
      <c r="P107" s="44"/>
      <c r="Q107" s="44"/>
      <c r="R107" s="44"/>
      <c r="S107" s="44"/>
      <c r="T107" s="44"/>
      <c r="U107" s="44"/>
      <c r="V107" s="44"/>
      <c r="W107" s="44"/>
      <c r="X107" s="44"/>
      <c r="Y107" s="44"/>
    </row>
    <row r="108">
      <c r="A108" s="44"/>
      <c r="B108" s="121"/>
      <c r="C108" s="121"/>
      <c r="D108" s="44"/>
      <c r="E108" s="44"/>
      <c r="F108" s="87" t="s">
        <v>218</v>
      </c>
      <c r="G108" s="83"/>
      <c r="H108" s="79"/>
      <c r="I108" s="44"/>
      <c r="J108" s="44"/>
      <c r="K108" s="121"/>
      <c r="L108" s="74"/>
      <c r="M108" s="74"/>
      <c r="N108" s="44"/>
      <c r="O108" s="44"/>
      <c r="P108" s="44"/>
      <c r="Q108" s="44"/>
      <c r="R108" s="44"/>
      <c r="S108" s="44"/>
      <c r="T108" s="44"/>
      <c r="U108" s="44"/>
      <c r="V108" s="44"/>
      <c r="W108" s="44"/>
      <c r="X108" s="44"/>
      <c r="Y108" s="44"/>
    </row>
    <row r="109">
      <c r="A109" s="44"/>
      <c r="B109" s="121"/>
      <c r="C109" s="121"/>
      <c r="D109" s="44"/>
      <c r="E109" s="44"/>
      <c r="F109" s="76" t="s">
        <v>131</v>
      </c>
      <c r="G109" s="83"/>
      <c r="H109" s="79"/>
      <c r="I109" s="44"/>
      <c r="J109" s="44"/>
      <c r="K109" s="121"/>
      <c r="L109" s="74"/>
      <c r="M109" s="74"/>
      <c r="N109" s="44"/>
      <c r="O109" s="44"/>
      <c r="P109" s="44"/>
      <c r="Q109" s="44"/>
      <c r="R109" s="44"/>
      <c r="S109" s="44"/>
      <c r="T109" s="44"/>
      <c r="U109" s="44"/>
      <c r="V109" s="44"/>
      <c r="W109" s="44"/>
      <c r="X109" s="44"/>
      <c r="Y109" s="44"/>
    </row>
    <row r="110">
      <c r="A110" s="44"/>
      <c r="B110" s="121"/>
      <c r="C110" s="121"/>
      <c r="D110" s="44"/>
      <c r="E110" s="44"/>
      <c r="F110" s="76" t="s">
        <v>18</v>
      </c>
      <c r="G110" s="83"/>
      <c r="H110" s="85"/>
      <c r="I110" s="44"/>
      <c r="J110" s="44"/>
      <c r="K110" s="121"/>
      <c r="L110" s="74"/>
      <c r="M110" s="74"/>
      <c r="N110" s="44"/>
      <c r="O110" s="44"/>
      <c r="P110" s="44"/>
      <c r="Q110" s="44"/>
      <c r="R110" s="44"/>
      <c r="S110" s="44"/>
      <c r="T110" s="44"/>
      <c r="U110" s="44"/>
      <c r="V110" s="44"/>
      <c r="W110" s="44"/>
      <c r="X110" s="44"/>
      <c r="Y110" s="44"/>
    </row>
    <row r="111">
      <c r="A111" s="44"/>
      <c r="B111" s="121"/>
      <c r="C111" s="121"/>
      <c r="D111" s="44"/>
      <c r="E111" s="44"/>
      <c r="F111" s="98" t="s">
        <v>19</v>
      </c>
      <c r="G111" s="83"/>
      <c r="H111" s="79"/>
      <c r="I111" s="44"/>
      <c r="J111" s="44"/>
      <c r="K111" s="121"/>
      <c r="L111" s="74"/>
      <c r="M111" s="74"/>
      <c r="N111" s="44"/>
      <c r="O111" s="44"/>
      <c r="P111" s="44"/>
      <c r="Q111" s="44"/>
      <c r="R111" s="44"/>
      <c r="S111" s="44"/>
      <c r="T111" s="44"/>
      <c r="U111" s="44"/>
      <c r="V111" s="44"/>
      <c r="W111" s="44"/>
      <c r="X111" s="44"/>
      <c r="Y111" s="44"/>
    </row>
    <row r="112">
      <c r="A112" s="44"/>
      <c r="B112" s="121"/>
      <c r="C112" s="121"/>
      <c r="D112" s="44"/>
      <c r="E112" s="44"/>
      <c r="F112" s="76" t="s">
        <v>20</v>
      </c>
      <c r="G112" s="83"/>
      <c r="H112" s="85"/>
      <c r="I112" s="44"/>
      <c r="J112" s="44"/>
      <c r="K112" s="121"/>
      <c r="L112" s="74"/>
      <c r="M112" s="74"/>
      <c r="N112" s="44"/>
      <c r="O112" s="44"/>
      <c r="P112" s="44"/>
      <c r="Q112" s="44"/>
      <c r="R112" s="44"/>
      <c r="S112" s="44"/>
      <c r="T112" s="44"/>
      <c r="U112" s="44"/>
      <c r="V112" s="44"/>
      <c r="W112" s="44"/>
      <c r="X112" s="44"/>
      <c r="Y112" s="44"/>
    </row>
    <row r="113">
      <c r="A113" s="44"/>
      <c r="B113" s="121"/>
      <c r="C113" s="121"/>
      <c r="D113" s="44"/>
      <c r="E113" s="44"/>
      <c r="F113" s="87" t="s">
        <v>232</v>
      </c>
      <c r="G113" s="83"/>
      <c r="H113" s="79">
        <v>1275.0</v>
      </c>
      <c r="I113" s="45"/>
      <c r="J113" s="44"/>
      <c r="K113" s="121"/>
      <c r="L113" s="74"/>
      <c r="M113" s="74"/>
      <c r="N113" s="44"/>
      <c r="O113" s="44"/>
      <c r="P113" s="44"/>
      <c r="Q113" s="44"/>
      <c r="R113" s="44"/>
      <c r="S113" s="44"/>
      <c r="T113" s="44"/>
      <c r="U113" s="44"/>
      <c r="V113" s="44"/>
      <c r="W113" s="44"/>
      <c r="X113" s="44"/>
      <c r="Y113" s="44"/>
    </row>
    <row r="114">
      <c r="A114" s="44"/>
      <c r="B114" s="121"/>
      <c r="C114" s="121"/>
      <c r="D114" s="44"/>
      <c r="E114" s="44"/>
      <c r="F114" s="87" t="s">
        <v>244</v>
      </c>
      <c r="G114" s="99"/>
      <c r="H114" s="79">
        <v>405.0</v>
      </c>
      <c r="I114" s="45"/>
      <c r="J114" s="44"/>
      <c r="K114" s="121"/>
      <c r="L114" s="74"/>
      <c r="M114" s="74"/>
      <c r="N114" s="44"/>
      <c r="O114" s="44"/>
      <c r="P114" s="44"/>
      <c r="Q114" s="44"/>
      <c r="R114" s="44"/>
      <c r="S114" s="44"/>
      <c r="T114" s="44"/>
      <c r="U114" s="44"/>
      <c r="V114" s="44"/>
      <c r="W114" s="44"/>
      <c r="X114" s="44"/>
      <c r="Y114" s="44"/>
    </row>
    <row r="115">
      <c r="A115" s="65"/>
      <c r="B115" s="121"/>
      <c r="C115" s="124"/>
      <c r="D115" s="44"/>
      <c r="E115" s="44"/>
      <c r="F115" s="87" t="s">
        <v>202</v>
      </c>
      <c r="G115" s="99"/>
      <c r="H115" s="79">
        <v>404.0</v>
      </c>
      <c r="I115" s="44"/>
      <c r="J115" s="44"/>
      <c r="K115" s="121"/>
      <c r="L115" s="74"/>
      <c r="M115" s="74"/>
      <c r="N115" s="44"/>
      <c r="O115" s="44"/>
      <c r="P115" s="44"/>
      <c r="Q115" s="44"/>
      <c r="R115" s="44"/>
      <c r="S115" s="44"/>
      <c r="T115" s="44"/>
      <c r="U115" s="44"/>
      <c r="V115" s="44"/>
      <c r="W115" s="44"/>
      <c r="X115" s="44"/>
      <c r="Y115" s="44"/>
    </row>
    <row r="116">
      <c r="A116" s="65"/>
      <c r="B116" s="121"/>
      <c r="C116" s="124"/>
      <c r="D116" s="44"/>
      <c r="E116" s="44"/>
      <c r="F116" s="87" t="s">
        <v>219</v>
      </c>
      <c r="G116" s="83"/>
      <c r="H116" s="79">
        <v>199.0</v>
      </c>
      <c r="I116" s="44"/>
      <c r="J116" s="44"/>
      <c r="K116" s="121"/>
      <c r="L116" s="74"/>
      <c r="M116" s="74"/>
      <c r="N116" s="44"/>
      <c r="O116" s="44"/>
      <c r="P116" s="44"/>
      <c r="Q116" s="44"/>
      <c r="R116" s="44"/>
      <c r="S116" s="44"/>
      <c r="T116" s="44"/>
      <c r="U116" s="44"/>
      <c r="V116" s="44"/>
      <c r="W116" s="44"/>
      <c r="X116" s="44"/>
      <c r="Y116" s="44"/>
    </row>
    <row r="117">
      <c r="B117" s="120"/>
      <c r="C117" s="120"/>
      <c r="F117" s="87" t="s">
        <v>220</v>
      </c>
      <c r="G117" s="83"/>
      <c r="H117" s="79"/>
      <c r="K117" s="120"/>
      <c r="L117" s="75"/>
      <c r="M117" s="75"/>
    </row>
    <row r="118">
      <c r="B118" s="120"/>
      <c r="C118" s="120"/>
      <c r="F118" s="87" t="s">
        <v>225</v>
      </c>
      <c r="H118" s="110"/>
      <c r="K118" s="120"/>
      <c r="L118" s="75"/>
      <c r="M118" s="75"/>
    </row>
    <row r="119">
      <c r="B119" s="120"/>
      <c r="C119" s="120"/>
      <c r="F119" s="111" t="s">
        <v>261</v>
      </c>
      <c r="H119" s="6"/>
      <c r="K119" s="120"/>
      <c r="L119" s="75"/>
      <c r="M119" s="75"/>
    </row>
    <row r="120">
      <c r="B120" s="120"/>
      <c r="C120" s="120"/>
      <c r="F120" s="111" t="s">
        <v>238</v>
      </c>
      <c r="H120" s="6">
        <v>230.0</v>
      </c>
      <c r="K120" s="120"/>
      <c r="L120" s="75"/>
      <c r="M120" s="75"/>
    </row>
    <row r="121">
      <c r="B121" s="120"/>
      <c r="C121" s="120"/>
      <c r="F121" s="87" t="s">
        <v>274</v>
      </c>
      <c r="G121" s="44"/>
      <c r="H121" s="79"/>
      <c r="I121" s="45"/>
      <c r="K121" s="120"/>
      <c r="L121" s="75"/>
      <c r="M121" s="75"/>
    </row>
    <row r="122">
      <c r="B122" s="120"/>
      <c r="C122" s="120"/>
      <c r="F122" s="87" t="s">
        <v>276</v>
      </c>
      <c r="G122" s="44"/>
      <c r="H122" s="79"/>
      <c r="I122" s="45"/>
      <c r="K122" s="120"/>
      <c r="L122" s="75"/>
      <c r="M122" s="75"/>
    </row>
    <row r="123">
      <c r="B123" s="120"/>
      <c r="C123" s="120"/>
      <c r="F123" s="94"/>
      <c r="H123" s="75"/>
      <c r="K123" s="120"/>
      <c r="L123" s="75"/>
      <c r="M123" s="75"/>
    </row>
    <row r="124">
      <c r="B124" s="120"/>
      <c r="C124" s="120"/>
      <c r="F124" s="94"/>
      <c r="H124" s="75"/>
      <c r="K124" s="120"/>
      <c r="L124" s="75"/>
      <c r="M124" s="75"/>
    </row>
    <row r="125">
      <c r="B125" s="120"/>
      <c r="C125" s="120"/>
      <c r="F125" s="94"/>
      <c r="H125" s="75"/>
      <c r="K125" s="120"/>
      <c r="L125" s="75"/>
      <c r="M125" s="75"/>
    </row>
    <row r="126">
      <c r="B126" s="120"/>
      <c r="C126" s="120"/>
      <c r="F126" s="94"/>
      <c r="H126" s="75"/>
      <c r="K126" s="120"/>
      <c r="L126" s="75"/>
      <c r="M126" s="75"/>
    </row>
    <row r="127">
      <c r="B127" s="120"/>
      <c r="C127" s="120"/>
      <c r="F127" s="94"/>
      <c r="H127" s="75"/>
      <c r="K127" s="120"/>
      <c r="L127" s="75"/>
      <c r="M127" s="75"/>
    </row>
    <row r="128">
      <c r="B128" s="120"/>
      <c r="C128" s="120"/>
      <c r="F128" s="94"/>
      <c r="H128" s="75"/>
      <c r="K128" s="120"/>
      <c r="L128" s="75"/>
      <c r="M128" s="75"/>
    </row>
    <row r="129">
      <c r="B129" s="120"/>
      <c r="C129" s="120"/>
      <c r="F129" s="94"/>
      <c r="H129" s="75"/>
      <c r="K129" s="120"/>
      <c r="L129" s="75"/>
      <c r="M129" s="75"/>
    </row>
    <row r="130">
      <c r="A130" s="73" t="s">
        <v>117</v>
      </c>
      <c r="B130" s="121"/>
      <c r="C130" s="120"/>
      <c r="D130" s="52"/>
      <c r="E130" s="52"/>
      <c r="F130" s="76"/>
      <c r="G130" s="44"/>
      <c r="H130" s="77"/>
      <c r="I130" s="44"/>
      <c r="J130" s="44"/>
      <c r="K130" s="121"/>
      <c r="L130" s="74"/>
      <c r="M130" s="74"/>
      <c r="N130" s="44"/>
      <c r="O130" s="44"/>
      <c r="P130" s="44"/>
      <c r="Q130" s="44"/>
      <c r="R130" s="44"/>
      <c r="S130" s="44"/>
      <c r="T130" s="44"/>
      <c r="U130" s="44"/>
      <c r="V130" s="44"/>
      <c r="W130" s="44"/>
      <c r="X130" s="44"/>
      <c r="Y130" s="44"/>
    </row>
    <row r="131">
      <c r="A131" s="52"/>
      <c r="B131" s="121"/>
      <c r="C131" s="121"/>
      <c r="D131" s="52"/>
      <c r="E131" s="52"/>
      <c r="F131" s="79" t="s">
        <v>0</v>
      </c>
      <c r="G131" s="44"/>
      <c r="H131" s="77"/>
      <c r="I131" s="44"/>
      <c r="J131" s="44"/>
      <c r="K131" s="121"/>
      <c r="L131" s="74"/>
      <c r="M131" s="74"/>
      <c r="N131" s="44"/>
      <c r="O131" s="44"/>
      <c r="P131" s="44"/>
      <c r="Q131" s="44"/>
      <c r="R131" s="44"/>
      <c r="S131" s="44"/>
      <c r="T131" s="44"/>
      <c r="U131" s="44"/>
      <c r="V131" s="44"/>
      <c r="W131" s="44"/>
      <c r="X131" s="44"/>
      <c r="Y131" s="44"/>
    </row>
    <row r="132">
      <c r="A132" s="80" t="s">
        <v>179</v>
      </c>
      <c r="B132" s="81">
        <v>4412.0</v>
      </c>
      <c r="D132" s="52"/>
      <c r="E132" s="82"/>
      <c r="F132" s="76" t="s">
        <v>4</v>
      </c>
      <c r="G132" s="83"/>
      <c r="H132" s="85"/>
      <c r="I132" s="44"/>
      <c r="J132" s="44"/>
      <c r="K132" s="121"/>
      <c r="L132" s="74"/>
      <c r="M132" s="74"/>
      <c r="N132" s="44"/>
      <c r="O132" s="44"/>
      <c r="P132" s="44"/>
      <c r="Q132" s="44"/>
      <c r="R132" s="44"/>
      <c r="S132" s="44"/>
      <c r="T132" s="44"/>
      <c r="U132" s="44"/>
      <c r="V132" s="44"/>
      <c r="W132" s="44"/>
      <c r="X132" s="44"/>
      <c r="Y132" s="44"/>
    </row>
    <row r="133">
      <c r="A133" s="76"/>
      <c r="B133" s="114"/>
      <c r="C133" s="121"/>
      <c r="D133" s="44"/>
      <c r="E133" s="44"/>
      <c r="F133" s="84" t="s">
        <v>207</v>
      </c>
      <c r="G133" s="83"/>
      <c r="H133" s="85"/>
      <c r="I133" s="44"/>
      <c r="J133" s="44"/>
      <c r="K133" s="121"/>
      <c r="L133" s="74"/>
      <c r="M133" s="74"/>
      <c r="N133" s="44"/>
      <c r="O133" s="44"/>
      <c r="P133" s="44"/>
      <c r="Q133" s="44"/>
      <c r="R133" s="44"/>
      <c r="S133" s="44"/>
      <c r="T133" s="44"/>
      <c r="U133" s="44"/>
      <c r="V133" s="44"/>
      <c r="W133" s="44"/>
      <c r="X133" s="44"/>
      <c r="Y133" s="44"/>
    </row>
    <row r="134">
      <c r="A134" s="86" t="s">
        <v>201</v>
      </c>
      <c r="B134" s="114">
        <v>4765.0</v>
      </c>
      <c r="D134" s="44"/>
      <c r="E134" s="44"/>
      <c r="F134" s="76" t="s">
        <v>6</v>
      </c>
      <c r="G134" s="83"/>
      <c r="H134" s="85"/>
      <c r="I134" s="44"/>
      <c r="J134" s="44"/>
      <c r="K134" s="121"/>
      <c r="L134" s="74"/>
      <c r="M134" s="74"/>
      <c r="N134" s="44"/>
      <c r="O134" s="44"/>
      <c r="P134" s="44"/>
      <c r="Q134" s="44"/>
      <c r="R134" s="44"/>
      <c r="S134" s="44"/>
      <c r="T134" s="44"/>
      <c r="U134" s="44"/>
      <c r="V134" s="44"/>
      <c r="W134" s="44"/>
      <c r="X134" s="44"/>
      <c r="Y134" s="44"/>
    </row>
    <row r="135">
      <c r="A135" s="76"/>
      <c r="B135" s="121"/>
      <c r="C135" s="121"/>
      <c r="D135" s="44"/>
      <c r="E135" s="44"/>
      <c r="F135" s="127" t="s">
        <v>7</v>
      </c>
      <c r="G135" s="83"/>
      <c r="H135" s="79">
        <v>128.0</v>
      </c>
      <c r="I135" s="44"/>
      <c r="J135" s="44"/>
      <c r="K135" s="121"/>
      <c r="L135" s="74"/>
      <c r="M135" s="74"/>
      <c r="N135" s="44"/>
      <c r="O135" s="44"/>
      <c r="P135" s="44"/>
      <c r="Q135" s="44"/>
      <c r="R135" s="44"/>
      <c r="S135" s="44"/>
      <c r="T135" s="44"/>
      <c r="U135" s="44"/>
      <c r="V135" s="44"/>
      <c r="W135" s="44"/>
      <c r="X135" s="44"/>
      <c r="Y135" s="44"/>
    </row>
    <row r="136">
      <c r="A136" s="89" t="s">
        <v>287</v>
      </c>
      <c r="B136" s="129">
        <v>-353.0</v>
      </c>
      <c r="C136" s="102"/>
      <c r="D136" s="44"/>
      <c r="E136" s="44"/>
      <c r="F136" s="130" t="s">
        <v>210</v>
      </c>
      <c r="G136" s="83"/>
      <c r="H136" s="79">
        <v>400.0</v>
      </c>
      <c r="I136" s="44"/>
      <c r="J136" s="76"/>
      <c r="K136" s="121"/>
      <c r="L136" s="74"/>
      <c r="M136" s="74"/>
      <c r="N136" s="44"/>
      <c r="O136" s="44"/>
      <c r="P136" s="44"/>
      <c r="Q136" s="44"/>
      <c r="R136" s="44"/>
      <c r="S136" s="44"/>
      <c r="T136" s="44"/>
      <c r="U136" s="44"/>
      <c r="V136" s="44"/>
      <c r="W136" s="44"/>
      <c r="X136" s="44"/>
      <c r="Y136" s="44"/>
    </row>
    <row r="137">
      <c r="B137" s="103"/>
      <c r="C137" s="50"/>
      <c r="D137" s="44"/>
      <c r="E137" s="44"/>
      <c r="F137" s="84" t="s">
        <v>211</v>
      </c>
      <c r="G137" s="83"/>
      <c r="H137" s="85"/>
      <c r="I137" s="44"/>
      <c r="J137" s="44"/>
      <c r="K137" s="121"/>
      <c r="L137" s="74"/>
      <c r="M137" s="74"/>
      <c r="N137" s="44"/>
      <c r="O137" s="44"/>
      <c r="P137" s="44"/>
      <c r="Q137" s="44"/>
      <c r="R137" s="44"/>
      <c r="S137" s="44"/>
      <c r="T137" s="44"/>
      <c r="U137" s="44"/>
      <c r="V137" s="44"/>
      <c r="W137" s="44"/>
      <c r="X137" s="44"/>
      <c r="Y137" s="44"/>
    </row>
    <row r="138">
      <c r="A138" s="94"/>
      <c r="B138" s="121"/>
      <c r="C138" s="121"/>
      <c r="D138" s="44"/>
      <c r="E138" s="44"/>
      <c r="F138" s="87" t="s">
        <v>213</v>
      </c>
      <c r="G138" s="83"/>
      <c r="H138" s="79">
        <v>50.0</v>
      </c>
      <c r="I138" s="44"/>
      <c r="J138" s="44"/>
      <c r="K138" s="121"/>
      <c r="L138" s="74"/>
      <c r="M138" s="74"/>
      <c r="N138" s="44"/>
      <c r="O138" s="44"/>
      <c r="P138" s="44"/>
      <c r="Q138" s="44"/>
      <c r="R138" s="44"/>
      <c r="S138" s="44"/>
      <c r="T138" s="44"/>
      <c r="U138" s="44"/>
      <c r="V138" s="44"/>
      <c r="W138" s="44"/>
      <c r="X138" s="44"/>
      <c r="Y138" s="44"/>
    </row>
    <row r="139">
      <c r="A139" s="96" t="s">
        <v>214</v>
      </c>
      <c r="B139" s="114" t="s">
        <v>236</v>
      </c>
      <c r="D139" s="52"/>
      <c r="E139" s="44"/>
      <c r="F139" s="76" t="s">
        <v>34</v>
      </c>
      <c r="G139" s="83"/>
      <c r="H139" s="79">
        <v>20.0</v>
      </c>
      <c r="I139" s="44"/>
      <c r="J139" s="44"/>
      <c r="K139" s="121"/>
      <c r="L139" s="74"/>
      <c r="M139" s="74"/>
      <c r="N139" s="44"/>
      <c r="O139" s="44"/>
      <c r="P139" s="44"/>
      <c r="Q139" s="44"/>
      <c r="R139" s="44"/>
      <c r="S139" s="44"/>
      <c r="T139" s="44"/>
      <c r="U139" s="44"/>
      <c r="V139" s="44"/>
      <c r="W139" s="44"/>
      <c r="X139" s="44"/>
      <c r="Y139" s="44"/>
    </row>
    <row r="140">
      <c r="A140" s="125" t="s">
        <v>272</v>
      </c>
      <c r="B140" s="121"/>
      <c r="C140" s="121"/>
      <c r="D140" s="44"/>
      <c r="E140" s="44"/>
      <c r="F140" s="87" t="s">
        <v>216</v>
      </c>
      <c r="G140" s="83"/>
      <c r="H140" s="79">
        <v>97.0</v>
      </c>
      <c r="I140" s="44"/>
      <c r="J140" s="44"/>
      <c r="K140" s="121"/>
      <c r="L140" s="74"/>
      <c r="M140" s="74"/>
      <c r="N140" s="44"/>
      <c r="O140" s="44"/>
      <c r="P140" s="44"/>
      <c r="Q140" s="44"/>
      <c r="R140" s="44"/>
      <c r="S140" s="44"/>
      <c r="T140" s="44"/>
      <c r="U140" s="44"/>
      <c r="V140" s="44"/>
      <c r="W140" s="44"/>
      <c r="X140" s="44"/>
      <c r="Y140" s="44"/>
    </row>
    <row r="141">
      <c r="A141" s="96" t="s">
        <v>215</v>
      </c>
      <c r="B141" s="121"/>
      <c r="C141" s="121"/>
      <c r="D141" s="44"/>
      <c r="E141" s="44"/>
      <c r="F141" s="131" t="s">
        <v>108</v>
      </c>
      <c r="G141" s="83"/>
      <c r="H141" s="79">
        <v>320.0</v>
      </c>
      <c r="I141" s="44"/>
      <c r="J141" s="44"/>
      <c r="K141" s="121"/>
      <c r="L141" s="74"/>
      <c r="M141" s="74"/>
      <c r="N141" s="44"/>
      <c r="O141" s="44"/>
      <c r="P141" s="44"/>
      <c r="Q141" s="44"/>
      <c r="R141" s="44"/>
      <c r="S141" s="44"/>
      <c r="T141" s="44"/>
      <c r="U141" s="44"/>
      <c r="V141" s="44"/>
      <c r="W141" s="44"/>
      <c r="X141" s="44"/>
      <c r="Y141" s="44"/>
    </row>
    <row r="142">
      <c r="A142" s="44"/>
      <c r="B142" s="121"/>
      <c r="C142" s="121"/>
      <c r="D142" s="44"/>
      <c r="E142" s="44"/>
      <c r="F142" s="97" t="s">
        <v>156</v>
      </c>
      <c r="G142" s="83"/>
      <c r="H142" s="79">
        <v>1250.0</v>
      </c>
      <c r="I142" s="45" t="s">
        <v>237</v>
      </c>
      <c r="J142" s="44"/>
      <c r="K142" s="121"/>
      <c r="L142" s="74"/>
      <c r="M142" s="74"/>
      <c r="N142" s="44"/>
      <c r="O142" s="44"/>
      <c r="P142" s="44"/>
      <c r="Q142" s="44"/>
      <c r="R142" s="44"/>
      <c r="S142" s="44"/>
      <c r="T142" s="44"/>
      <c r="U142" s="44"/>
      <c r="V142" s="44"/>
      <c r="W142" s="44"/>
      <c r="X142" s="44"/>
      <c r="Y142" s="44"/>
    </row>
    <row r="143">
      <c r="A143" s="44"/>
      <c r="B143" s="121"/>
      <c r="C143" s="121"/>
      <c r="D143" s="44"/>
      <c r="E143" s="44"/>
      <c r="F143" s="84" t="s">
        <v>217</v>
      </c>
      <c r="G143" s="83"/>
      <c r="H143" s="79"/>
      <c r="I143" s="44"/>
      <c r="J143" s="44"/>
      <c r="K143" s="121"/>
      <c r="L143" s="74"/>
      <c r="M143" s="74"/>
      <c r="N143" s="44"/>
      <c r="O143" s="44"/>
      <c r="P143" s="44"/>
      <c r="Q143" s="44"/>
      <c r="R143" s="44"/>
      <c r="S143" s="44"/>
      <c r="T143" s="44"/>
      <c r="U143" s="44"/>
      <c r="V143" s="44"/>
      <c r="W143" s="44"/>
      <c r="X143" s="44"/>
      <c r="Y143" s="44"/>
    </row>
    <row r="144">
      <c r="A144" s="44"/>
      <c r="B144" s="121"/>
      <c r="C144" s="121"/>
      <c r="D144" s="44"/>
      <c r="E144" s="44"/>
      <c r="F144" s="87" t="s">
        <v>218</v>
      </c>
      <c r="G144" s="83"/>
      <c r="H144" s="85"/>
      <c r="I144" s="44"/>
      <c r="J144" s="44"/>
      <c r="K144" s="121"/>
      <c r="L144" s="74"/>
      <c r="M144" s="74"/>
      <c r="N144" s="44"/>
      <c r="O144" s="44"/>
      <c r="P144" s="44"/>
      <c r="Q144" s="44"/>
      <c r="R144" s="44"/>
      <c r="S144" s="44"/>
      <c r="T144" s="44"/>
      <c r="U144" s="44"/>
      <c r="V144" s="44"/>
      <c r="W144" s="44"/>
      <c r="X144" s="44"/>
      <c r="Y144" s="44"/>
    </row>
    <row r="145">
      <c r="A145" s="44"/>
      <c r="B145" s="121"/>
      <c r="C145" s="121"/>
      <c r="D145" s="44"/>
      <c r="E145" s="44"/>
      <c r="F145" s="131" t="s">
        <v>131</v>
      </c>
      <c r="G145" s="83"/>
      <c r="H145" s="79">
        <v>400.0</v>
      </c>
      <c r="I145" s="44"/>
      <c r="J145" s="44"/>
      <c r="K145" s="121"/>
      <c r="L145" s="74"/>
      <c r="M145" s="74"/>
      <c r="N145" s="44"/>
      <c r="O145" s="44"/>
      <c r="P145" s="44"/>
      <c r="Q145" s="44"/>
      <c r="R145" s="44"/>
      <c r="S145" s="44"/>
      <c r="T145" s="44"/>
      <c r="U145" s="44"/>
      <c r="V145" s="44"/>
      <c r="W145" s="44"/>
      <c r="X145" s="44"/>
      <c r="Y145" s="44"/>
    </row>
    <row r="146">
      <c r="A146" s="44"/>
      <c r="B146" s="121"/>
      <c r="C146" s="121"/>
      <c r="D146" s="44"/>
      <c r="E146" s="44"/>
      <c r="F146" s="76" t="s">
        <v>18</v>
      </c>
      <c r="G146" s="83"/>
      <c r="H146" s="85"/>
      <c r="I146" s="44"/>
      <c r="J146" s="44"/>
      <c r="K146" s="121"/>
      <c r="L146" s="74"/>
      <c r="M146" s="74"/>
      <c r="N146" s="44"/>
      <c r="O146" s="44"/>
      <c r="P146" s="44"/>
      <c r="Q146" s="44"/>
      <c r="R146" s="44"/>
      <c r="S146" s="44"/>
      <c r="T146" s="44"/>
      <c r="U146" s="44"/>
      <c r="V146" s="44"/>
      <c r="W146" s="44"/>
      <c r="X146" s="44"/>
      <c r="Y146" s="44"/>
    </row>
    <row r="147">
      <c r="A147" s="44"/>
      <c r="B147" s="121"/>
      <c r="C147" s="121"/>
      <c r="D147" s="44"/>
      <c r="E147" s="44"/>
      <c r="F147" s="98" t="s">
        <v>19</v>
      </c>
      <c r="G147" s="83"/>
      <c r="H147" s="79">
        <v>180.0</v>
      </c>
      <c r="I147" s="44"/>
      <c r="J147" s="44"/>
      <c r="K147" s="121"/>
      <c r="L147" s="74"/>
      <c r="M147" s="74"/>
      <c r="N147" s="44"/>
      <c r="O147" s="44"/>
      <c r="P147" s="44"/>
      <c r="Q147" s="44"/>
      <c r="R147" s="44"/>
      <c r="S147" s="44"/>
      <c r="T147" s="44"/>
      <c r="U147" s="44"/>
      <c r="V147" s="44"/>
      <c r="W147" s="44"/>
      <c r="X147" s="44"/>
      <c r="Y147" s="44"/>
    </row>
    <row r="148">
      <c r="A148" s="44"/>
      <c r="B148" s="121"/>
      <c r="C148" s="121"/>
      <c r="D148" s="44"/>
      <c r="E148" s="44"/>
      <c r="F148" s="76" t="s">
        <v>20</v>
      </c>
      <c r="G148" s="83"/>
      <c r="H148" s="85"/>
      <c r="I148" s="44"/>
      <c r="J148" s="44"/>
      <c r="K148" s="121"/>
      <c r="L148" s="74"/>
      <c r="M148" s="74"/>
      <c r="N148" s="44"/>
      <c r="O148" s="44"/>
      <c r="P148" s="44"/>
      <c r="Q148" s="44"/>
      <c r="R148" s="44"/>
      <c r="S148" s="44"/>
      <c r="T148" s="44"/>
      <c r="U148" s="44"/>
      <c r="V148" s="44"/>
      <c r="W148" s="44"/>
      <c r="X148" s="44"/>
      <c r="Y148" s="44"/>
    </row>
    <row r="149">
      <c r="A149" s="44"/>
      <c r="B149" s="121"/>
      <c r="C149" s="121"/>
      <c r="D149" s="44"/>
      <c r="E149" s="44"/>
      <c r="F149" s="127" t="s">
        <v>288</v>
      </c>
      <c r="G149" s="83"/>
      <c r="H149" s="79">
        <v>835.0</v>
      </c>
      <c r="I149" s="45"/>
      <c r="J149" s="44"/>
      <c r="K149" s="121"/>
      <c r="L149" s="74"/>
      <c r="M149" s="74"/>
      <c r="N149" s="44"/>
      <c r="O149" s="44"/>
      <c r="P149" s="44"/>
      <c r="Q149" s="44"/>
      <c r="R149" s="44"/>
      <c r="S149" s="44"/>
      <c r="T149" s="44"/>
      <c r="U149" s="44"/>
      <c r="V149" s="44"/>
      <c r="W149" s="44"/>
      <c r="X149" s="44"/>
      <c r="Y149" s="44"/>
    </row>
    <row r="150">
      <c r="A150" s="45"/>
      <c r="B150" s="121"/>
      <c r="C150" s="121"/>
      <c r="D150" s="44"/>
      <c r="E150" s="44"/>
      <c r="F150" s="127" t="s">
        <v>289</v>
      </c>
      <c r="G150" s="99"/>
      <c r="H150" s="79">
        <v>420.0</v>
      </c>
      <c r="I150" s="45"/>
      <c r="J150" s="44"/>
      <c r="K150" s="121"/>
      <c r="L150" s="74"/>
      <c r="M150" s="74"/>
      <c r="N150" s="44"/>
      <c r="O150" s="44"/>
      <c r="P150" s="44"/>
      <c r="Q150" s="44"/>
      <c r="R150" s="44"/>
      <c r="S150" s="44"/>
      <c r="T150" s="44"/>
      <c r="U150" s="44"/>
      <c r="V150" s="44"/>
      <c r="W150" s="44"/>
      <c r="X150" s="44"/>
      <c r="Y150" s="44"/>
    </row>
    <row r="151">
      <c r="A151" s="44"/>
      <c r="B151" s="121"/>
      <c r="C151" s="121"/>
      <c r="D151" s="44"/>
      <c r="E151" s="44"/>
      <c r="F151" s="87" t="s">
        <v>202</v>
      </c>
      <c r="G151" s="99"/>
      <c r="H151" s="79"/>
      <c r="I151" s="45" t="s">
        <v>290</v>
      </c>
      <c r="J151" s="44"/>
      <c r="K151" s="121"/>
      <c r="L151" s="74"/>
      <c r="M151" s="74"/>
      <c r="N151" s="44"/>
      <c r="O151" s="44"/>
      <c r="P151" s="44"/>
      <c r="Q151" s="44"/>
      <c r="R151" s="44"/>
      <c r="S151" s="44"/>
      <c r="T151" s="44"/>
      <c r="U151" s="44"/>
      <c r="V151" s="44"/>
      <c r="W151" s="44"/>
      <c r="X151" s="44"/>
      <c r="Y151" s="44"/>
    </row>
    <row r="152">
      <c r="A152" s="65"/>
      <c r="B152" s="121"/>
      <c r="C152" s="124"/>
      <c r="D152" s="44"/>
      <c r="E152" s="44"/>
      <c r="F152" s="87" t="s">
        <v>219</v>
      </c>
      <c r="G152" s="83"/>
      <c r="H152" s="79">
        <v>369.0</v>
      </c>
      <c r="I152" s="44"/>
      <c r="J152" s="44"/>
      <c r="K152" s="121"/>
      <c r="L152" s="74"/>
      <c r="M152" s="74"/>
      <c r="N152" s="44"/>
      <c r="O152" s="44"/>
      <c r="P152" s="44"/>
      <c r="Q152" s="44"/>
      <c r="R152" s="44"/>
      <c r="S152" s="44"/>
      <c r="T152" s="44"/>
      <c r="U152" s="44"/>
      <c r="V152" s="44"/>
      <c r="W152" s="44"/>
      <c r="X152" s="44"/>
      <c r="Y152" s="44"/>
    </row>
    <row r="153">
      <c r="A153" s="65"/>
      <c r="B153" s="121"/>
      <c r="C153" s="124"/>
      <c r="D153" s="44"/>
      <c r="E153" s="44"/>
      <c r="F153" s="87" t="s">
        <v>238</v>
      </c>
      <c r="G153" s="83"/>
      <c r="H153" s="79">
        <v>213.0</v>
      </c>
      <c r="I153" s="44"/>
      <c r="J153" s="44"/>
      <c r="K153" s="121"/>
      <c r="L153" s="74"/>
      <c r="M153" s="74"/>
      <c r="N153" s="44"/>
      <c r="O153" s="44"/>
      <c r="P153" s="44"/>
      <c r="Q153" s="44"/>
      <c r="R153" s="44"/>
      <c r="S153" s="44"/>
      <c r="T153" s="44"/>
      <c r="U153" s="44"/>
      <c r="V153" s="44"/>
      <c r="W153" s="44"/>
      <c r="X153" s="44"/>
      <c r="Y153" s="44"/>
    </row>
    <row r="154">
      <c r="B154" s="120"/>
      <c r="C154" s="120"/>
      <c r="F154" s="94"/>
      <c r="H154" s="132">
        <v>83.0</v>
      </c>
      <c r="I154" s="7" t="s">
        <v>291</v>
      </c>
      <c r="K154" s="120"/>
      <c r="L154" s="75"/>
      <c r="M154" s="75"/>
    </row>
    <row r="155">
      <c r="B155" s="120"/>
      <c r="C155" s="120"/>
      <c r="F155" s="94"/>
      <c r="H155" s="75"/>
      <c r="K155" s="120"/>
      <c r="L155" s="75"/>
      <c r="M155" s="75"/>
    </row>
    <row r="156">
      <c r="A156" s="73" t="s">
        <v>292</v>
      </c>
      <c r="B156" s="121"/>
      <c r="C156" s="120"/>
      <c r="D156" s="52"/>
      <c r="E156" s="52"/>
      <c r="F156" s="76"/>
      <c r="G156" s="44"/>
      <c r="H156" s="77"/>
      <c r="I156" s="44"/>
      <c r="J156" s="44"/>
      <c r="K156" s="121"/>
      <c r="L156" s="74"/>
      <c r="M156" s="74"/>
      <c r="N156" s="44"/>
      <c r="O156" s="44"/>
      <c r="P156" s="44"/>
      <c r="Q156" s="44"/>
      <c r="R156" s="44"/>
      <c r="S156" s="44"/>
      <c r="T156" s="44"/>
      <c r="U156" s="44"/>
      <c r="V156" s="44"/>
      <c r="W156" s="44"/>
      <c r="X156" s="44"/>
      <c r="Y156" s="44"/>
    </row>
    <row r="157">
      <c r="A157" s="52"/>
      <c r="B157" s="121"/>
      <c r="C157" s="121"/>
      <c r="D157" s="52"/>
      <c r="E157" s="52"/>
      <c r="F157" s="79" t="s">
        <v>0</v>
      </c>
      <c r="G157" s="44"/>
      <c r="H157" s="77"/>
      <c r="I157" s="44"/>
      <c r="J157" s="44"/>
      <c r="K157" s="121"/>
      <c r="L157" s="74"/>
      <c r="M157" s="74"/>
      <c r="N157" s="44"/>
      <c r="O157" s="44"/>
      <c r="P157" s="44"/>
      <c r="Q157" s="44"/>
      <c r="R157" s="44"/>
      <c r="S157" s="44"/>
      <c r="T157" s="44"/>
      <c r="U157" s="44"/>
      <c r="V157" s="44"/>
      <c r="W157" s="44"/>
      <c r="X157" s="44"/>
      <c r="Y157" s="44"/>
    </row>
    <row r="158">
      <c r="A158" s="80" t="s">
        <v>179</v>
      </c>
      <c r="B158" s="81">
        <v>1392.0</v>
      </c>
      <c r="D158" s="52"/>
      <c r="E158" s="82"/>
      <c r="F158" s="76" t="s">
        <v>4</v>
      </c>
      <c r="G158" s="83"/>
      <c r="H158" s="85"/>
      <c r="I158" s="44"/>
      <c r="J158" s="44"/>
      <c r="K158" s="121"/>
      <c r="L158" s="74"/>
      <c r="M158" s="74"/>
      <c r="N158" s="44"/>
      <c r="O158" s="44"/>
      <c r="P158" s="44"/>
      <c r="Q158" s="44"/>
      <c r="R158" s="44"/>
      <c r="S158" s="44"/>
      <c r="T158" s="44"/>
      <c r="U158" s="44"/>
      <c r="V158" s="44"/>
      <c r="W158" s="44"/>
      <c r="X158" s="44"/>
      <c r="Y158" s="44"/>
    </row>
    <row r="159">
      <c r="A159" s="76"/>
      <c r="B159" s="121"/>
      <c r="C159" s="121"/>
      <c r="D159" s="44"/>
      <c r="E159" s="44"/>
      <c r="F159" s="84" t="s">
        <v>207</v>
      </c>
      <c r="G159" s="83"/>
      <c r="H159" s="85"/>
      <c r="I159" s="44"/>
      <c r="J159" s="44"/>
      <c r="K159" s="121"/>
      <c r="L159" s="74"/>
      <c r="M159" s="74"/>
      <c r="N159" s="44"/>
      <c r="O159" s="44"/>
      <c r="P159" s="44"/>
      <c r="Q159" s="44"/>
      <c r="R159" s="44"/>
      <c r="S159" s="44"/>
      <c r="T159" s="44"/>
      <c r="U159" s="44"/>
      <c r="V159" s="44"/>
      <c r="W159" s="44"/>
      <c r="X159" s="44"/>
      <c r="Y159" s="44"/>
    </row>
    <row r="160">
      <c r="A160" s="86" t="s">
        <v>201</v>
      </c>
      <c r="B160" s="114">
        <v>2132.0</v>
      </c>
      <c r="D160" s="44"/>
      <c r="E160" s="44"/>
      <c r="F160" s="76" t="s">
        <v>6</v>
      </c>
      <c r="G160" s="83"/>
      <c r="H160" s="85"/>
      <c r="I160" s="44"/>
      <c r="J160" s="44"/>
      <c r="K160" s="121"/>
      <c r="L160" s="74"/>
      <c r="M160" s="74"/>
      <c r="N160" s="44"/>
      <c r="O160" s="44"/>
      <c r="P160" s="44"/>
      <c r="Q160" s="44"/>
      <c r="R160" s="44"/>
      <c r="S160" s="44"/>
      <c r="T160" s="44"/>
      <c r="U160" s="44"/>
      <c r="V160" s="44"/>
      <c r="W160" s="44"/>
      <c r="X160" s="44"/>
      <c r="Y160" s="44"/>
    </row>
    <row r="161">
      <c r="A161" s="76"/>
      <c r="B161" s="121"/>
      <c r="C161" s="121"/>
      <c r="D161" s="44"/>
      <c r="E161" s="44"/>
      <c r="F161" s="87" t="s">
        <v>7</v>
      </c>
      <c r="G161" s="83"/>
      <c r="H161" s="79">
        <v>50.0</v>
      </c>
      <c r="I161" s="44"/>
      <c r="J161" s="44"/>
      <c r="K161" s="121"/>
      <c r="L161" s="74"/>
      <c r="M161" s="74"/>
      <c r="N161" s="44"/>
      <c r="O161" s="44"/>
      <c r="P161" s="44"/>
      <c r="Q161" s="44"/>
      <c r="R161" s="44"/>
      <c r="S161" s="44"/>
      <c r="T161" s="44"/>
      <c r="U161" s="44"/>
      <c r="V161" s="44"/>
      <c r="W161" s="44"/>
      <c r="X161" s="44"/>
      <c r="Y161" s="44"/>
    </row>
    <row r="162">
      <c r="A162" s="89" t="s">
        <v>293</v>
      </c>
      <c r="B162" s="129">
        <v>-740.0</v>
      </c>
      <c r="C162" s="102"/>
      <c r="D162" s="44"/>
      <c r="E162" s="44"/>
      <c r="F162" s="84" t="s">
        <v>210</v>
      </c>
      <c r="G162" s="83"/>
      <c r="H162" s="95"/>
      <c r="I162" s="44"/>
      <c r="J162" s="44"/>
      <c r="K162" s="121"/>
      <c r="L162" s="74"/>
      <c r="M162" s="74"/>
      <c r="N162" s="44"/>
      <c r="O162" s="44"/>
      <c r="P162" s="44"/>
      <c r="Q162" s="44"/>
      <c r="R162" s="44"/>
      <c r="S162" s="44"/>
      <c r="T162" s="44"/>
      <c r="U162" s="44"/>
      <c r="V162" s="44"/>
      <c r="W162" s="44"/>
      <c r="X162" s="44"/>
      <c r="Y162" s="44"/>
    </row>
    <row r="163">
      <c r="B163" s="103"/>
      <c r="C163" s="50"/>
      <c r="D163" s="44"/>
      <c r="E163" s="44"/>
      <c r="F163" s="84" t="s">
        <v>211</v>
      </c>
      <c r="G163" s="83"/>
      <c r="H163" s="85"/>
      <c r="I163" s="44"/>
      <c r="J163" s="44"/>
      <c r="K163" s="121"/>
      <c r="L163" s="74"/>
      <c r="M163" s="74"/>
      <c r="N163" s="44"/>
      <c r="O163" s="44"/>
      <c r="P163" s="44"/>
      <c r="Q163" s="44"/>
      <c r="R163" s="44"/>
      <c r="S163" s="44"/>
      <c r="T163" s="44"/>
      <c r="U163" s="44"/>
      <c r="V163" s="44"/>
      <c r="W163" s="44"/>
      <c r="X163" s="44"/>
      <c r="Y163" s="44"/>
    </row>
    <row r="164">
      <c r="A164" s="94"/>
      <c r="B164" s="121"/>
      <c r="C164" s="121"/>
      <c r="D164" s="44"/>
      <c r="E164" s="44"/>
      <c r="F164" s="87" t="s">
        <v>213</v>
      </c>
      <c r="G164" s="83"/>
      <c r="H164" s="79">
        <v>69.0</v>
      </c>
      <c r="I164" s="44"/>
      <c r="J164" s="44"/>
      <c r="K164" s="121"/>
      <c r="L164" s="74"/>
      <c r="M164" s="74"/>
      <c r="N164" s="44"/>
      <c r="O164" s="44"/>
      <c r="P164" s="44"/>
      <c r="Q164" s="44"/>
      <c r="R164" s="44"/>
      <c r="S164" s="44"/>
      <c r="T164" s="44"/>
      <c r="U164" s="44"/>
      <c r="V164" s="44"/>
      <c r="W164" s="44"/>
      <c r="X164" s="44"/>
      <c r="Y164" s="44"/>
    </row>
    <row r="165">
      <c r="A165" s="96" t="s">
        <v>214</v>
      </c>
      <c r="B165" s="81" t="s">
        <v>294</v>
      </c>
      <c r="D165" s="52"/>
      <c r="E165" s="44"/>
      <c r="F165" s="76" t="s">
        <v>34</v>
      </c>
      <c r="G165" s="83"/>
      <c r="H165" s="79">
        <v>26.0</v>
      </c>
      <c r="I165" s="44"/>
      <c r="J165" s="44"/>
      <c r="K165" s="121"/>
      <c r="L165" s="74"/>
      <c r="M165" s="74"/>
      <c r="N165" s="44"/>
      <c r="O165" s="44"/>
      <c r="P165" s="44"/>
      <c r="Q165" s="44"/>
      <c r="R165" s="44"/>
      <c r="S165" s="44"/>
      <c r="T165" s="44"/>
      <c r="U165" s="44"/>
      <c r="V165" s="44"/>
      <c r="W165" s="44"/>
      <c r="X165" s="44"/>
      <c r="Y165" s="44"/>
    </row>
    <row r="166">
      <c r="A166" s="125" t="s">
        <v>272</v>
      </c>
      <c r="B166" s="133" t="s">
        <v>295</v>
      </c>
      <c r="D166" s="44"/>
      <c r="E166" s="44"/>
      <c r="F166" s="87" t="s">
        <v>216</v>
      </c>
      <c r="G166" s="83"/>
      <c r="H166" s="85"/>
      <c r="I166" s="44"/>
      <c r="J166" s="44"/>
      <c r="K166" s="121"/>
      <c r="L166" s="74"/>
      <c r="M166" s="74"/>
      <c r="N166" s="44"/>
      <c r="O166" s="44"/>
      <c r="P166" s="44"/>
      <c r="Q166" s="44"/>
      <c r="R166" s="44"/>
      <c r="S166" s="44"/>
      <c r="T166" s="44"/>
      <c r="U166" s="44"/>
      <c r="V166" s="44"/>
      <c r="W166" s="44"/>
      <c r="X166" s="44"/>
      <c r="Y166" s="44"/>
    </row>
    <row r="167">
      <c r="A167" s="96" t="s">
        <v>215</v>
      </c>
      <c r="B167" s="121"/>
      <c r="C167" s="121"/>
      <c r="D167" s="44"/>
      <c r="E167" s="44"/>
      <c r="F167" s="76" t="s">
        <v>108</v>
      </c>
      <c r="G167" s="83"/>
      <c r="H167" s="79">
        <v>50.0</v>
      </c>
      <c r="I167" s="44"/>
      <c r="J167" s="44"/>
      <c r="K167" s="121"/>
      <c r="L167" s="74"/>
      <c r="M167" s="74"/>
      <c r="N167" s="44"/>
      <c r="O167" s="44"/>
      <c r="P167" s="44"/>
      <c r="Q167" s="44"/>
      <c r="R167" s="44"/>
      <c r="S167" s="44"/>
      <c r="T167" s="44"/>
      <c r="U167" s="44"/>
      <c r="V167" s="44"/>
      <c r="W167" s="44"/>
      <c r="X167" s="44"/>
      <c r="Y167" s="44"/>
    </row>
    <row r="168">
      <c r="A168" s="44"/>
      <c r="B168" s="121"/>
      <c r="C168" s="121"/>
      <c r="D168" s="44"/>
      <c r="E168" s="44"/>
      <c r="F168" s="97" t="s">
        <v>156</v>
      </c>
      <c r="G168" s="83"/>
      <c r="H168" s="79">
        <v>1250.0</v>
      </c>
      <c r="I168" s="45" t="s">
        <v>237</v>
      </c>
      <c r="J168" s="44"/>
      <c r="K168" s="121"/>
      <c r="L168" s="74"/>
      <c r="M168" s="74"/>
      <c r="N168" s="44"/>
      <c r="O168" s="44"/>
      <c r="P168" s="44"/>
      <c r="Q168" s="44"/>
      <c r="R168" s="44"/>
      <c r="S168" s="44"/>
      <c r="T168" s="44"/>
      <c r="U168" s="44"/>
      <c r="V168" s="44"/>
      <c r="W168" s="44"/>
      <c r="X168" s="44"/>
      <c r="Y168" s="44"/>
    </row>
    <row r="169">
      <c r="A169" s="44"/>
      <c r="B169" s="121"/>
      <c r="C169" s="121"/>
      <c r="D169" s="44"/>
      <c r="E169" s="44"/>
      <c r="F169" s="84" t="s">
        <v>217</v>
      </c>
      <c r="G169" s="83"/>
      <c r="H169" s="79"/>
      <c r="I169" s="44"/>
      <c r="J169" s="44"/>
      <c r="K169" s="121"/>
      <c r="L169" s="74"/>
      <c r="M169" s="74"/>
      <c r="N169" s="44"/>
      <c r="O169" s="44"/>
      <c r="P169" s="44"/>
      <c r="Q169" s="44"/>
      <c r="R169" s="44"/>
      <c r="S169" s="44"/>
      <c r="T169" s="44"/>
      <c r="U169" s="44"/>
      <c r="V169" s="44"/>
      <c r="W169" s="44"/>
      <c r="X169" s="44"/>
      <c r="Y169" s="44"/>
    </row>
    <row r="170">
      <c r="A170" s="44"/>
      <c r="B170" s="121"/>
      <c r="C170" s="121"/>
      <c r="D170" s="44"/>
      <c r="E170" s="44"/>
      <c r="F170" s="87" t="s">
        <v>218</v>
      </c>
      <c r="G170" s="83"/>
      <c r="H170" s="85"/>
      <c r="I170" s="44"/>
      <c r="J170" s="44"/>
      <c r="K170" s="121"/>
      <c r="L170" s="74"/>
      <c r="M170" s="74"/>
      <c r="N170" s="44"/>
      <c r="O170" s="44"/>
      <c r="P170" s="44"/>
      <c r="Q170" s="44"/>
      <c r="R170" s="44"/>
      <c r="S170" s="44"/>
      <c r="T170" s="44"/>
      <c r="U170" s="44"/>
      <c r="V170" s="44"/>
      <c r="W170" s="44"/>
      <c r="X170" s="44"/>
      <c r="Y170" s="44"/>
    </row>
    <row r="171">
      <c r="A171" s="44"/>
      <c r="B171" s="121"/>
      <c r="C171" s="121"/>
      <c r="D171" s="44"/>
      <c r="E171" s="44"/>
      <c r="F171" s="76" t="s">
        <v>131</v>
      </c>
      <c r="G171" s="83"/>
      <c r="H171" s="79">
        <v>67.0</v>
      </c>
      <c r="I171" s="44"/>
      <c r="J171" s="44"/>
      <c r="K171" s="121"/>
      <c r="L171" s="74"/>
      <c r="M171" s="74"/>
      <c r="N171" s="44"/>
      <c r="O171" s="44"/>
      <c r="P171" s="44"/>
      <c r="Q171" s="44"/>
      <c r="R171" s="44"/>
      <c r="S171" s="44"/>
      <c r="T171" s="44"/>
      <c r="U171" s="44"/>
      <c r="V171" s="44"/>
      <c r="W171" s="44"/>
      <c r="X171" s="44"/>
      <c r="Y171" s="44"/>
    </row>
    <row r="172">
      <c r="A172" s="44"/>
      <c r="B172" s="121"/>
      <c r="C172" s="121"/>
      <c r="D172" s="44"/>
      <c r="E172" s="44"/>
      <c r="F172" s="76" t="s">
        <v>18</v>
      </c>
      <c r="G172" s="83"/>
      <c r="H172" s="79">
        <v>127.0</v>
      </c>
      <c r="I172" s="44"/>
      <c r="J172" s="44"/>
      <c r="K172" s="121"/>
      <c r="L172" s="74"/>
      <c r="M172" s="74"/>
      <c r="N172" s="44"/>
      <c r="O172" s="44"/>
      <c r="P172" s="44"/>
      <c r="Q172" s="44"/>
      <c r="R172" s="44"/>
      <c r="S172" s="44"/>
      <c r="T172" s="44"/>
      <c r="U172" s="44"/>
      <c r="V172" s="44"/>
      <c r="W172" s="44"/>
      <c r="X172" s="44"/>
      <c r="Y172" s="44"/>
    </row>
    <row r="173">
      <c r="A173" s="44"/>
      <c r="B173" s="121"/>
      <c r="C173" s="121"/>
      <c r="D173" s="44"/>
      <c r="E173" s="44"/>
      <c r="F173" s="98" t="s">
        <v>19</v>
      </c>
      <c r="G173" s="83"/>
      <c r="H173" s="85"/>
      <c r="I173" s="44"/>
      <c r="J173" s="44"/>
      <c r="K173" s="121"/>
      <c r="L173" s="74"/>
      <c r="M173" s="74"/>
      <c r="N173" s="44"/>
      <c r="O173" s="44"/>
      <c r="P173" s="44"/>
      <c r="Q173" s="44"/>
      <c r="R173" s="44"/>
      <c r="S173" s="44"/>
      <c r="T173" s="44"/>
      <c r="U173" s="44"/>
      <c r="V173" s="44"/>
      <c r="W173" s="44"/>
      <c r="X173" s="44"/>
      <c r="Y173" s="44"/>
    </row>
    <row r="174">
      <c r="A174" s="44"/>
      <c r="B174" s="121"/>
      <c r="C174" s="121"/>
      <c r="D174" s="44"/>
      <c r="E174" s="44"/>
      <c r="F174" s="76" t="s">
        <v>20</v>
      </c>
      <c r="G174" s="83"/>
      <c r="H174" s="85"/>
      <c r="I174" s="44"/>
      <c r="J174" s="44"/>
      <c r="K174" s="121"/>
      <c r="L174" s="74"/>
      <c r="M174" s="74"/>
      <c r="N174" s="44"/>
      <c r="O174" s="44"/>
      <c r="P174" s="44"/>
      <c r="Q174" s="44"/>
      <c r="R174" s="44"/>
      <c r="S174" s="44"/>
      <c r="T174" s="44"/>
      <c r="U174" s="44"/>
      <c r="V174" s="44"/>
      <c r="W174" s="44"/>
      <c r="X174" s="44"/>
      <c r="Y174" s="44"/>
    </row>
    <row r="175">
      <c r="A175" s="44"/>
      <c r="B175" s="121"/>
      <c r="C175" s="121"/>
      <c r="D175" s="44"/>
      <c r="E175" s="44"/>
      <c r="F175" s="87" t="s">
        <v>289</v>
      </c>
      <c r="G175" s="83"/>
      <c r="H175" s="79">
        <v>95.0</v>
      </c>
      <c r="I175" s="44"/>
      <c r="J175" s="44"/>
      <c r="K175" s="121"/>
      <c r="L175" s="74"/>
      <c r="M175" s="74"/>
      <c r="N175" s="44"/>
      <c r="O175" s="44"/>
      <c r="P175" s="44"/>
      <c r="Q175" s="44"/>
      <c r="R175" s="44"/>
      <c r="S175" s="44"/>
      <c r="T175" s="44"/>
      <c r="U175" s="44"/>
      <c r="V175" s="44"/>
      <c r="W175" s="44"/>
      <c r="X175" s="44"/>
      <c r="Y175" s="44"/>
    </row>
    <row r="176">
      <c r="A176" s="44"/>
      <c r="B176" s="121"/>
      <c r="C176" s="121"/>
      <c r="D176" s="44"/>
      <c r="E176" s="44"/>
      <c r="F176" s="87" t="s">
        <v>288</v>
      </c>
      <c r="G176" s="83"/>
      <c r="H176" s="79">
        <v>185.0</v>
      </c>
      <c r="I176" s="44"/>
      <c r="J176" s="44"/>
      <c r="K176" s="121"/>
      <c r="L176" s="74"/>
      <c r="M176" s="74"/>
      <c r="N176" s="44"/>
      <c r="O176" s="44"/>
      <c r="P176" s="44"/>
      <c r="Q176" s="44"/>
      <c r="R176" s="44"/>
      <c r="S176" s="44"/>
      <c r="T176" s="44"/>
      <c r="U176" s="44"/>
      <c r="V176" s="44"/>
      <c r="W176" s="44"/>
      <c r="X176" s="44"/>
      <c r="Y176" s="44"/>
    </row>
    <row r="177">
      <c r="A177" s="44"/>
      <c r="B177" s="121"/>
      <c r="C177" s="121"/>
      <c r="D177" s="44"/>
      <c r="E177" s="44"/>
      <c r="F177" s="87" t="s">
        <v>202</v>
      </c>
      <c r="G177" s="99"/>
      <c r="H177" s="79"/>
      <c r="I177" s="45" t="s">
        <v>290</v>
      </c>
      <c r="J177" s="44"/>
      <c r="K177" s="121"/>
      <c r="L177" s="74"/>
      <c r="M177" s="74"/>
      <c r="N177" s="44"/>
      <c r="O177" s="44"/>
      <c r="P177" s="44"/>
      <c r="Q177" s="44"/>
      <c r="R177" s="44"/>
      <c r="S177" s="44"/>
      <c r="T177" s="44"/>
      <c r="U177" s="44"/>
      <c r="V177" s="44"/>
      <c r="W177" s="44"/>
      <c r="X177" s="44"/>
      <c r="Y177" s="44"/>
    </row>
    <row r="178">
      <c r="A178" s="65"/>
      <c r="B178" s="121"/>
      <c r="C178" s="124"/>
      <c r="D178" s="44"/>
      <c r="E178" s="44"/>
      <c r="F178" s="87" t="s">
        <v>219</v>
      </c>
      <c r="G178" s="83"/>
      <c r="H178" s="95"/>
      <c r="I178" s="44"/>
      <c r="J178" s="44"/>
      <c r="K178" s="121"/>
      <c r="L178" s="74"/>
      <c r="M178" s="74"/>
      <c r="N178" s="44"/>
      <c r="O178" s="44"/>
      <c r="P178" s="44"/>
      <c r="Q178" s="44"/>
      <c r="R178" s="44"/>
      <c r="S178" s="44"/>
      <c r="T178" s="44"/>
      <c r="U178" s="44"/>
      <c r="V178" s="44"/>
      <c r="W178" s="44"/>
      <c r="X178" s="44"/>
      <c r="Y178" s="44"/>
    </row>
    <row r="179">
      <c r="A179" s="65"/>
      <c r="B179" s="121"/>
      <c r="C179" s="124"/>
      <c r="D179" s="44"/>
      <c r="E179" s="44"/>
      <c r="F179" s="87" t="s">
        <v>220</v>
      </c>
      <c r="G179" s="83"/>
      <c r="H179" s="95"/>
      <c r="I179" s="44"/>
      <c r="J179" s="44"/>
      <c r="K179" s="121"/>
      <c r="L179" s="74"/>
      <c r="M179" s="74"/>
      <c r="N179" s="44"/>
      <c r="O179" s="44"/>
      <c r="P179" s="44"/>
      <c r="Q179" s="44"/>
      <c r="R179" s="44"/>
      <c r="S179" s="44"/>
      <c r="T179" s="44"/>
      <c r="U179" s="44"/>
      <c r="V179" s="44"/>
      <c r="W179" s="44"/>
      <c r="X179" s="44"/>
      <c r="Y179" s="44"/>
    </row>
    <row r="180">
      <c r="B180" s="120"/>
      <c r="C180" s="120"/>
      <c r="F180" s="87" t="s">
        <v>296</v>
      </c>
      <c r="G180" s="83"/>
      <c r="H180" s="79">
        <v>213.0</v>
      </c>
      <c r="K180" s="120"/>
      <c r="L180" s="75"/>
      <c r="M180" s="75"/>
    </row>
    <row r="181">
      <c r="B181" s="120"/>
      <c r="C181" s="120"/>
      <c r="F181" s="94"/>
      <c r="H181" s="75"/>
      <c r="K181" s="120"/>
      <c r="L181" s="75"/>
      <c r="M181" s="75"/>
    </row>
    <row r="182">
      <c r="A182" s="73" t="s">
        <v>297</v>
      </c>
      <c r="B182" s="121"/>
      <c r="C182" s="120"/>
      <c r="D182" s="52"/>
      <c r="E182" s="52"/>
      <c r="F182" s="76"/>
      <c r="G182" s="44"/>
      <c r="H182" s="77"/>
      <c r="I182" s="44"/>
      <c r="J182" s="44"/>
      <c r="K182" s="121"/>
      <c r="L182" s="74"/>
      <c r="M182" s="74"/>
      <c r="N182" s="44"/>
      <c r="O182" s="44"/>
      <c r="P182" s="44"/>
      <c r="Q182" s="44"/>
      <c r="R182" s="44"/>
      <c r="S182" s="44"/>
      <c r="T182" s="44"/>
      <c r="U182" s="44"/>
      <c r="V182" s="44"/>
      <c r="W182" s="44"/>
      <c r="X182" s="44"/>
      <c r="Y182" s="44"/>
    </row>
    <row r="183">
      <c r="A183" s="52"/>
      <c r="B183" s="121"/>
      <c r="C183" s="121"/>
      <c r="D183" s="52"/>
      <c r="E183" s="52"/>
      <c r="F183" s="79" t="s">
        <v>0</v>
      </c>
      <c r="G183" s="44"/>
      <c r="H183" s="77"/>
      <c r="I183" s="44"/>
      <c r="J183" s="44"/>
      <c r="K183" s="121"/>
      <c r="L183" s="74"/>
      <c r="M183" s="74"/>
      <c r="N183" s="44"/>
      <c r="O183" s="44"/>
      <c r="P183" s="44"/>
      <c r="Q183" s="44"/>
      <c r="R183" s="44"/>
      <c r="S183" s="44"/>
      <c r="T183" s="44"/>
      <c r="U183" s="44"/>
      <c r="V183" s="44"/>
      <c r="W183" s="44"/>
      <c r="X183" s="44"/>
      <c r="Y183" s="44"/>
    </row>
    <row r="184">
      <c r="A184" s="80" t="s">
        <v>179</v>
      </c>
      <c r="B184" s="81">
        <v>1054.0</v>
      </c>
      <c r="D184" s="52"/>
      <c r="E184" s="82"/>
      <c r="F184" s="76" t="s">
        <v>4</v>
      </c>
      <c r="G184" s="83"/>
      <c r="H184" s="85"/>
      <c r="I184" s="44"/>
      <c r="J184" s="44"/>
      <c r="K184" s="121"/>
      <c r="L184" s="74"/>
      <c r="M184" s="74"/>
      <c r="N184" s="44"/>
      <c r="O184" s="44"/>
      <c r="P184" s="44"/>
      <c r="Q184" s="44"/>
      <c r="R184" s="44"/>
      <c r="S184" s="44"/>
      <c r="T184" s="44"/>
      <c r="U184" s="44"/>
      <c r="V184" s="44"/>
      <c r="W184" s="44"/>
      <c r="X184" s="44"/>
      <c r="Y184" s="44"/>
    </row>
    <row r="185">
      <c r="A185" s="76"/>
      <c r="B185" s="121"/>
      <c r="C185" s="121"/>
      <c r="D185" s="44"/>
      <c r="E185" s="44"/>
      <c r="F185" s="84" t="s">
        <v>207</v>
      </c>
      <c r="G185" s="83"/>
      <c r="H185" s="85"/>
      <c r="I185" s="44"/>
      <c r="J185" s="44"/>
      <c r="K185" s="121"/>
      <c r="L185" s="74"/>
      <c r="M185" s="74"/>
      <c r="N185" s="44"/>
      <c r="O185" s="44"/>
      <c r="P185" s="44"/>
      <c r="Q185" s="44"/>
      <c r="R185" s="44"/>
      <c r="S185" s="44"/>
      <c r="T185" s="44"/>
      <c r="U185" s="44"/>
      <c r="V185" s="44"/>
      <c r="W185" s="44"/>
      <c r="X185" s="44"/>
      <c r="Y185" s="44"/>
    </row>
    <row r="186">
      <c r="A186" s="86" t="s">
        <v>201</v>
      </c>
      <c r="B186" s="121"/>
      <c r="C186" s="121"/>
      <c r="D186" s="44"/>
      <c r="E186" s="44"/>
      <c r="F186" s="76" t="s">
        <v>6</v>
      </c>
      <c r="G186" s="83"/>
      <c r="H186" s="85"/>
      <c r="I186" s="44"/>
      <c r="J186" s="44"/>
      <c r="K186" s="121"/>
      <c r="L186" s="74"/>
      <c r="M186" s="74"/>
      <c r="N186" s="44"/>
      <c r="O186" s="44"/>
      <c r="P186" s="44"/>
      <c r="Q186" s="44"/>
      <c r="R186" s="44"/>
      <c r="S186" s="44"/>
      <c r="T186" s="44"/>
      <c r="U186" s="44"/>
      <c r="V186" s="44"/>
      <c r="W186" s="44"/>
      <c r="X186" s="44"/>
      <c r="Y186" s="44"/>
    </row>
    <row r="187">
      <c r="A187" s="76"/>
      <c r="B187" s="121"/>
      <c r="C187" s="121"/>
      <c r="D187" s="44"/>
      <c r="E187" s="44"/>
      <c r="F187" s="87" t="s">
        <v>7</v>
      </c>
      <c r="G187" s="83"/>
      <c r="H187" s="79"/>
      <c r="I187" s="44"/>
      <c r="J187" s="44"/>
      <c r="K187" s="121"/>
      <c r="L187" s="74"/>
      <c r="M187" s="74"/>
      <c r="N187" s="44"/>
      <c r="O187" s="44"/>
      <c r="P187" s="44"/>
      <c r="Q187" s="44"/>
      <c r="R187" s="44"/>
      <c r="S187" s="44"/>
      <c r="T187" s="44"/>
      <c r="U187" s="44"/>
      <c r="V187" s="44"/>
      <c r="W187" s="44"/>
      <c r="X187" s="44"/>
      <c r="Y187" s="44"/>
    </row>
    <row r="188">
      <c r="A188" s="89" t="s">
        <v>298</v>
      </c>
      <c r="B188" s="134"/>
      <c r="C188" s="102"/>
      <c r="D188" s="44"/>
      <c r="E188" s="44"/>
      <c r="F188" s="84" t="s">
        <v>210</v>
      </c>
      <c r="G188" s="83"/>
      <c r="H188" s="95"/>
      <c r="I188" s="44"/>
      <c r="J188" s="44"/>
      <c r="K188" s="121"/>
      <c r="L188" s="74"/>
      <c r="M188" s="74"/>
      <c r="N188" s="44"/>
      <c r="O188" s="44"/>
      <c r="P188" s="44"/>
      <c r="Q188" s="44"/>
      <c r="R188" s="44"/>
      <c r="S188" s="44"/>
      <c r="T188" s="44"/>
      <c r="U188" s="44"/>
      <c r="V188" s="44"/>
      <c r="W188" s="44"/>
      <c r="X188" s="44"/>
      <c r="Y188" s="44"/>
    </row>
    <row r="189">
      <c r="B189" s="103"/>
      <c r="C189" s="50"/>
      <c r="D189" s="44"/>
      <c r="E189" s="44"/>
      <c r="F189" s="84" t="s">
        <v>211</v>
      </c>
      <c r="G189" s="83"/>
      <c r="H189" s="85"/>
      <c r="I189" s="44"/>
      <c r="J189" s="44"/>
      <c r="K189" s="121"/>
      <c r="L189" s="74"/>
      <c r="M189" s="74"/>
      <c r="N189" s="44"/>
      <c r="O189" s="44"/>
      <c r="P189" s="44"/>
      <c r="Q189" s="44"/>
      <c r="R189" s="44"/>
      <c r="S189" s="44"/>
      <c r="T189" s="44"/>
      <c r="U189" s="44"/>
      <c r="V189" s="44"/>
      <c r="W189" s="44"/>
      <c r="X189" s="44"/>
      <c r="Y189" s="44"/>
    </row>
    <row r="190">
      <c r="A190" s="94"/>
      <c r="B190" s="121"/>
      <c r="C190" s="121"/>
      <c r="D190" s="44"/>
      <c r="E190" s="44"/>
      <c r="F190" s="87" t="s">
        <v>213</v>
      </c>
      <c r="G190" s="83"/>
      <c r="H190" s="95"/>
      <c r="I190" s="44"/>
      <c r="J190" s="44"/>
      <c r="K190" s="121"/>
      <c r="L190" s="74"/>
      <c r="M190" s="74"/>
      <c r="N190" s="44"/>
      <c r="O190" s="44"/>
      <c r="P190" s="44"/>
      <c r="Q190" s="44"/>
      <c r="R190" s="44"/>
      <c r="S190" s="44"/>
      <c r="T190" s="44"/>
      <c r="U190" s="44"/>
      <c r="V190" s="44"/>
      <c r="W190" s="44"/>
      <c r="X190" s="44"/>
      <c r="Y190" s="44"/>
    </row>
    <row r="191">
      <c r="A191" s="96" t="s">
        <v>214</v>
      </c>
      <c r="B191" s="124"/>
      <c r="C191" s="135"/>
      <c r="D191" s="52"/>
      <c r="E191" s="44"/>
      <c r="F191" s="76" t="s">
        <v>34</v>
      </c>
      <c r="G191" s="83"/>
      <c r="H191" s="79">
        <v>17.0</v>
      </c>
      <c r="I191" s="44"/>
      <c r="J191" s="44"/>
      <c r="K191" s="121"/>
      <c r="L191" s="74"/>
      <c r="M191" s="74"/>
      <c r="N191" s="44"/>
      <c r="O191" s="44"/>
      <c r="P191" s="44"/>
      <c r="Q191" s="44"/>
      <c r="R191" s="44"/>
      <c r="S191" s="44"/>
      <c r="T191" s="44"/>
      <c r="U191" s="44"/>
      <c r="V191" s="44"/>
      <c r="W191" s="44"/>
      <c r="X191" s="44"/>
      <c r="Y191" s="44"/>
    </row>
    <row r="192">
      <c r="A192" s="125" t="s">
        <v>272</v>
      </c>
      <c r="B192" s="121"/>
      <c r="C192" s="121"/>
      <c r="D192" s="44"/>
      <c r="E192" s="44"/>
      <c r="F192" s="87" t="s">
        <v>216</v>
      </c>
      <c r="G192" s="83"/>
      <c r="H192" s="85"/>
      <c r="I192" s="44"/>
      <c r="J192" s="44"/>
      <c r="K192" s="121"/>
      <c r="L192" s="74"/>
      <c r="M192" s="74"/>
      <c r="N192" s="44"/>
      <c r="O192" s="44"/>
      <c r="P192" s="44"/>
      <c r="Q192" s="44"/>
      <c r="R192" s="44"/>
      <c r="S192" s="44"/>
      <c r="T192" s="44"/>
      <c r="U192" s="44"/>
      <c r="V192" s="44"/>
      <c r="W192" s="44"/>
      <c r="X192" s="44"/>
      <c r="Y192" s="44"/>
    </row>
    <row r="193">
      <c r="A193" s="96" t="s">
        <v>215</v>
      </c>
      <c r="B193" s="121"/>
      <c r="C193" s="121"/>
      <c r="D193" s="44"/>
      <c r="E193" s="44"/>
      <c r="F193" s="76" t="s">
        <v>108</v>
      </c>
      <c r="G193" s="83"/>
      <c r="H193" s="95"/>
      <c r="I193" s="44"/>
      <c r="J193" s="44"/>
      <c r="K193" s="121"/>
      <c r="L193" s="74"/>
      <c r="M193" s="74"/>
      <c r="N193" s="44"/>
      <c r="O193" s="44"/>
      <c r="P193" s="44"/>
      <c r="Q193" s="44"/>
      <c r="R193" s="44"/>
      <c r="S193" s="44"/>
      <c r="T193" s="44"/>
      <c r="U193" s="44"/>
      <c r="V193" s="44"/>
      <c r="W193" s="44"/>
      <c r="X193" s="44"/>
      <c r="Y193" s="44"/>
    </row>
    <row r="194">
      <c r="A194" s="44"/>
      <c r="B194" s="121"/>
      <c r="C194" s="121"/>
      <c r="D194" s="44"/>
      <c r="E194" s="44"/>
      <c r="F194" s="97" t="s">
        <v>156</v>
      </c>
      <c r="G194" s="83"/>
      <c r="H194" s="79">
        <v>875.0</v>
      </c>
      <c r="I194" s="45" t="s">
        <v>299</v>
      </c>
      <c r="J194" s="44"/>
      <c r="K194" s="121"/>
      <c r="L194" s="74"/>
      <c r="M194" s="74"/>
      <c r="N194" s="44"/>
      <c r="O194" s="44"/>
      <c r="P194" s="44"/>
      <c r="Q194" s="44"/>
      <c r="R194" s="44"/>
      <c r="S194" s="44"/>
      <c r="T194" s="44"/>
      <c r="U194" s="44"/>
      <c r="V194" s="44"/>
      <c r="W194" s="44"/>
      <c r="X194" s="44"/>
      <c r="Y194" s="44"/>
    </row>
    <row r="195">
      <c r="A195" s="44"/>
      <c r="B195" s="121"/>
      <c r="C195" s="121"/>
      <c r="D195" s="44"/>
      <c r="E195" s="44"/>
      <c r="F195" s="84" t="s">
        <v>217</v>
      </c>
      <c r="G195" s="83"/>
      <c r="H195" s="79"/>
      <c r="I195" s="44"/>
      <c r="J195" s="44"/>
      <c r="K195" s="121"/>
      <c r="L195" s="74"/>
      <c r="M195" s="74"/>
      <c r="N195" s="44"/>
      <c r="O195" s="44"/>
      <c r="P195" s="44"/>
      <c r="Q195" s="44"/>
      <c r="R195" s="44"/>
      <c r="S195" s="44"/>
      <c r="T195" s="44"/>
      <c r="U195" s="44"/>
      <c r="V195" s="44"/>
      <c r="W195" s="44"/>
      <c r="X195" s="44"/>
      <c r="Y195" s="44"/>
    </row>
    <row r="196">
      <c r="A196" s="44"/>
      <c r="B196" s="121"/>
      <c r="C196" s="121"/>
      <c r="D196" s="44"/>
      <c r="E196" s="44"/>
      <c r="F196" s="87" t="s">
        <v>218</v>
      </c>
      <c r="G196" s="83"/>
      <c r="H196" s="85"/>
      <c r="I196" s="44"/>
      <c r="J196" s="44"/>
      <c r="K196" s="121"/>
      <c r="L196" s="74"/>
      <c r="M196" s="74"/>
      <c r="N196" s="44"/>
      <c r="O196" s="44"/>
      <c r="P196" s="44"/>
      <c r="Q196" s="44"/>
      <c r="R196" s="44"/>
      <c r="S196" s="44"/>
      <c r="T196" s="44"/>
      <c r="U196" s="44"/>
      <c r="V196" s="44"/>
      <c r="W196" s="44"/>
      <c r="X196" s="44"/>
      <c r="Y196" s="44"/>
    </row>
    <row r="197">
      <c r="A197" s="44"/>
      <c r="B197" s="121"/>
      <c r="C197" s="121"/>
      <c r="D197" s="44"/>
      <c r="E197" s="44"/>
      <c r="F197" s="76" t="s">
        <v>131</v>
      </c>
      <c r="G197" s="83"/>
      <c r="H197" s="85"/>
      <c r="I197" s="44"/>
      <c r="J197" s="44"/>
      <c r="K197" s="121"/>
      <c r="L197" s="74"/>
      <c r="M197" s="74"/>
      <c r="N197" s="44"/>
      <c r="O197" s="44"/>
      <c r="P197" s="44"/>
      <c r="Q197" s="44"/>
      <c r="R197" s="44"/>
      <c r="S197" s="44"/>
      <c r="T197" s="44"/>
      <c r="U197" s="44"/>
      <c r="V197" s="44"/>
      <c r="W197" s="44"/>
      <c r="X197" s="44"/>
      <c r="Y197" s="44"/>
    </row>
    <row r="198">
      <c r="A198" s="44"/>
      <c r="B198" s="121"/>
      <c r="C198" s="121"/>
      <c r="D198" s="44"/>
      <c r="E198" s="44"/>
      <c r="F198" s="76" t="s">
        <v>18</v>
      </c>
      <c r="G198" s="83"/>
      <c r="H198" s="85"/>
      <c r="I198" s="44"/>
      <c r="J198" s="44"/>
      <c r="K198" s="121"/>
      <c r="L198" s="74"/>
      <c r="M198" s="74"/>
      <c r="N198" s="44"/>
      <c r="O198" s="44"/>
      <c r="P198" s="44"/>
      <c r="Q198" s="44"/>
      <c r="R198" s="44"/>
      <c r="S198" s="44"/>
      <c r="T198" s="44"/>
      <c r="U198" s="44"/>
      <c r="V198" s="44"/>
      <c r="W198" s="44"/>
      <c r="X198" s="44"/>
      <c r="Y198" s="44"/>
    </row>
    <row r="199">
      <c r="A199" s="44"/>
      <c r="B199" s="121"/>
      <c r="C199" s="121"/>
      <c r="D199" s="44"/>
      <c r="E199" s="44"/>
      <c r="F199" s="98" t="s">
        <v>19</v>
      </c>
      <c r="G199" s="83"/>
      <c r="H199" s="85"/>
      <c r="I199" s="44"/>
      <c r="J199" s="44"/>
      <c r="K199" s="121"/>
      <c r="L199" s="74"/>
      <c r="M199" s="74"/>
      <c r="N199" s="44"/>
      <c r="O199" s="44"/>
      <c r="P199" s="44"/>
      <c r="Q199" s="44"/>
      <c r="R199" s="44"/>
      <c r="S199" s="44"/>
      <c r="T199" s="44"/>
      <c r="U199" s="44"/>
      <c r="V199" s="44"/>
      <c r="W199" s="44"/>
      <c r="X199" s="44"/>
      <c r="Y199" s="44"/>
    </row>
    <row r="200">
      <c r="A200" s="44"/>
      <c r="B200" s="121"/>
      <c r="C200" s="121"/>
      <c r="D200" s="44"/>
      <c r="E200" s="44"/>
      <c r="F200" s="76" t="s">
        <v>20</v>
      </c>
      <c r="G200" s="83"/>
      <c r="H200" s="85"/>
      <c r="I200" s="44"/>
      <c r="J200" s="44"/>
      <c r="K200" s="121"/>
      <c r="L200" s="74"/>
      <c r="M200" s="74"/>
      <c r="N200" s="44"/>
      <c r="O200" s="44"/>
      <c r="P200" s="44"/>
      <c r="Q200" s="44"/>
      <c r="R200" s="44"/>
      <c r="S200" s="44"/>
      <c r="T200" s="44"/>
      <c r="U200" s="44"/>
      <c r="V200" s="44"/>
      <c r="W200" s="44"/>
      <c r="X200" s="44"/>
      <c r="Y200" s="44"/>
    </row>
    <row r="201">
      <c r="A201" s="44"/>
      <c r="B201" s="121"/>
      <c r="C201" s="121"/>
      <c r="D201" s="44"/>
      <c r="E201" s="44"/>
      <c r="F201" s="87" t="s">
        <v>192</v>
      </c>
      <c r="G201" s="83"/>
      <c r="H201" s="79">
        <v>365.0</v>
      </c>
      <c r="I201" s="45" t="s">
        <v>300</v>
      </c>
      <c r="J201" s="45" t="s">
        <v>301</v>
      </c>
      <c r="K201" s="121"/>
      <c r="L201" s="74"/>
      <c r="M201" s="74"/>
      <c r="N201" s="44"/>
      <c r="O201" s="44"/>
      <c r="P201" s="44"/>
      <c r="Q201" s="44"/>
      <c r="R201" s="44"/>
      <c r="S201" s="44"/>
      <c r="T201" s="44"/>
      <c r="U201" s="44"/>
      <c r="V201" s="44"/>
      <c r="W201" s="44"/>
      <c r="X201" s="44"/>
      <c r="Y201" s="44"/>
    </row>
    <row r="202">
      <c r="A202" s="44"/>
      <c r="B202" s="121"/>
      <c r="C202" s="121"/>
      <c r="D202" s="44"/>
      <c r="E202" s="44"/>
      <c r="F202" s="87" t="s">
        <v>202</v>
      </c>
      <c r="G202" s="99"/>
      <c r="H202" s="79"/>
      <c r="I202" s="45" t="s">
        <v>290</v>
      </c>
      <c r="J202" s="44"/>
      <c r="K202" s="121"/>
      <c r="L202" s="74"/>
      <c r="M202" s="74"/>
      <c r="N202" s="44"/>
      <c r="O202" s="44"/>
      <c r="P202" s="44"/>
      <c r="Q202" s="44"/>
      <c r="R202" s="44"/>
      <c r="S202" s="44"/>
      <c r="T202" s="44"/>
      <c r="U202" s="44"/>
      <c r="V202" s="44"/>
      <c r="W202" s="44"/>
      <c r="X202" s="44"/>
      <c r="Y202" s="44"/>
    </row>
    <row r="203">
      <c r="A203" s="65"/>
      <c r="B203" s="121"/>
      <c r="C203" s="124"/>
      <c r="D203" s="44"/>
      <c r="E203" s="44"/>
      <c r="F203" s="87" t="s">
        <v>219</v>
      </c>
      <c r="G203" s="83"/>
      <c r="H203" s="79">
        <v>126.0</v>
      </c>
      <c r="I203" s="44"/>
      <c r="J203" s="44"/>
      <c r="K203" s="121"/>
      <c r="L203" s="74"/>
      <c r="M203" s="74"/>
      <c r="N203" s="44"/>
      <c r="O203" s="44"/>
      <c r="P203" s="44"/>
      <c r="Q203" s="44"/>
      <c r="R203" s="44"/>
      <c r="S203" s="44"/>
      <c r="T203" s="44"/>
      <c r="U203" s="44"/>
      <c r="V203" s="44"/>
      <c r="W203" s="44"/>
      <c r="X203" s="44"/>
      <c r="Y203" s="44"/>
    </row>
    <row r="204">
      <c r="A204" s="65"/>
      <c r="B204" s="121"/>
      <c r="C204" s="124"/>
      <c r="D204" s="44"/>
      <c r="E204" s="44"/>
      <c r="F204" s="87" t="s">
        <v>238</v>
      </c>
      <c r="G204" s="83"/>
      <c r="H204" s="95"/>
      <c r="I204" s="44"/>
      <c r="J204" s="44"/>
      <c r="K204" s="121"/>
      <c r="L204" s="74"/>
      <c r="M204" s="74"/>
      <c r="N204" s="44"/>
      <c r="O204" s="44"/>
      <c r="P204" s="44"/>
      <c r="Q204" s="44"/>
      <c r="R204" s="44"/>
      <c r="S204" s="44"/>
      <c r="T204" s="44"/>
      <c r="U204" s="44"/>
      <c r="V204" s="44"/>
      <c r="W204" s="44"/>
      <c r="X204" s="44"/>
      <c r="Y204" s="44"/>
    </row>
    <row r="205">
      <c r="B205" s="120"/>
      <c r="C205" s="120"/>
      <c r="F205" s="94"/>
      <c r="H205" s="75"/>
      <c r="K205" s="120"/>
      <c r="L205" s="75"/>
      <c r="M205" s="75"/>
    </row>
    <row r="206">
      <c r="B206" s="120"/>
      <c r="C206" s="120"/>
      <c r="F206" s="94"/>
      <c r="H206" s="75"/>
      <c r="K206" s="120"/>
      <c r="L206" s="75"/>
      <c r="M206" s="75"/>
    </row>
    <row r="207">
      <c r="A207" s="73" t="s">
        <v>302</v>
      </c>
      <c r="B207" s="120"/>
      <c r="C207" s="120"/>
      <c r="D207" s="52"/>
      <c r="E207" s="52"/>
      <c r="F207" s="76"/>
      <c r="G207" s="44"/>
      <c r="H207" s="77"/>
      <c r="I207" s="44"/>
      <c r="J207" s="44"/>
      <c r="K207" s="121"/>
      <c r="L207" s="74"/>
      <c r="M207" s="74"/>
      <c r="N207" s="44"/>
      <c r="O207" s="44"/>
      <c r="P207" s="44"/>
      <c r="Q207" s="44"/>
      <c r="R207" s="44"/>
      <c r="S207" s="44"/>
      <c r="T207" s="44"/>
      <c r="U207" s="44"/>
      <c r="V207" s="44"/>
      <c r="W207" s="44"/>
      <c r="X207" s="44"/>
      <c r="Y207" s="44"/>
    </row>
    <row r="208">
      <c r="A208" s="52"/>
      <c r="B208" s="121"/>
      <c r="C208" s="121"/>
      <c r="D208" s="52"/>
      <c r="E208" s="52"/>
      <c r="F208" s="79" t="s">
        <v>0</v>
      </c>
      <c r="G208" s="44"/>
      <c r="H208" s="77"/>
      <c r="I208" s="44"/>
      <c r="J208" s="44"/>
      <c r="K208" s="121"/>
      <c r="L208" s="74"/>
      <c r="M208" s="74"/>
      <c r="N208" s="44"/>
      <c r="O208" s="44"/>
      <c r="P208" s="44"/>
      <c r="Q208" s="44"/>
      <c r="R208" s="44"/>
      <c r="S208" s="44"/>
      <c r="T208" s="44"/>
      <c r="U208" s="44"/>
      <c r="V208" s="44"/>
      <c r="W208" s="44"/>
      <c r="X208" s="44"/>
      <c r="Y208" s="44"/>
    </row>
    <row r="209">
      <c r="A209" s="80" t="s">
        <v>179</v>
      </c>
      <c r="B209" s="81">
        <v>3624.0</v>
      </c>
      <c r="D209" s="52"/>
      <c r="E209" s="82"/>
      <c r="F209" s="76" t="s">
        <v>4</v>
      </c>
      <c r="G209" s="83"/>
      <c r="H209" s="85"/>
      <c r="I209" s="44"/>
      <c r="J209" s="44"/>
      <c r="K209" s="121"/>
      <c r="L209" s="74"/>
      <c r="M209" s="74"/>
      <c r="N209" s="44"/>
      <c r="O209" s="44"/>
      <c r="P209" s="44"/>
      <c r="Q209" s="44"/>
      <c r="R209" s="44"/>
      <c r="S209" s="44"/>
      <c r="T209" s="44"/>
      <c r="U209" s="44"/>
      <c r="V209" s="44"/>
      <c r="W209" s="44"/>
      <c r="X209" s="44"/>
      <c r="Y209" s="44"/>
    </row>
    <row r="210">
      <c r="A210" s="76"/>
      <c r="B210" s="121"/>
      <c r="C210" s="121"/>
      <c r="D210" s="44"/>
      <c r="E210" s="44"/>
      <c r="F210" s="84" t="s">
        <v>207</v>
      </c>
      <c r="G210" s="83"/>
      <c r="H210" s="85"/>
      <c r="I210" s="44"/>
      <c r="J210" s="44"/>
      <c r="K210" s="121"/>
      <c r="L210" s="74"/>
      <c r="M210" s="74"/>
      <c r="N210" s="44"/>
      <c r="O210" s="44"/>
      <c r="P210" s="44"/>
      <c r="Q210" s="44"/>
      <c r="R210" s="44"/>
      <c r="S210" s="44"/>
      <c r="T210" s="44"/>
      <c r="U210" s="44"/>
      <c r="V210" s="44"/>
      <c r="W210" s="44"/>
      <c r="X210" s="44"/>
      <c r="Y210" s="44"/>
    </row>
    <row r="211">
      <c r="A211" s="86" t="s">
        <v>201</v>
      </c>
      <c r="B211" s="114">
        <v>2532.0</v>
      </c>
      <c r="D211" s="44"/>
      <c r="E211" s="44"/>
      <c r="F211" s="76" t="s">
        <v>6</v>
      </c>
      <c r="G211" s="83"/>
      <c r="H211" s="85"/>
      <c r="I211" s="44"/>
      <c r="J211" s="44"/>
      <c r="K211" s="121"/>
      <c r="L211" s="74"/>
      <c r="M211" s="74"/>
      <c r="N211" s="44"/>
      <c r="O211" s="44"/>
      <c r="P211" s="44"/>
      <c r="Q211" s="44"/>
      <c r="R211" s="44"/>
      <c r="S211" s="44"/>
      <c r="T211" s="44"/>
      <c r="U211" s="44"/>
      <c r="V211" s="44"/>
      <c r="W211" s="44"/>
      <c r="X211" s="44"/>
      <c r="Y211" s="44"/>
    </row>
    <row r="212">
      <c r="A212" s="76"/>
      <c r="B212" s="121"/>
      <c r="C212" s="121"/>
      <c r="D212" s="44"/>
      <c r="E212" s="44"/>
      <c r="F212" s="87" t="s">
        <v>7</v>
      </c>
      <c r="G212" s="83"/>
      <c r="H212" s="79">
        <v>120.0</v>
      </c>
      <c r="I212" s="44"/>
      <c r="J212" s="44"/>
      <c r="K212" s="121"/>
      <c r="L212" s="74"/>
      <c r="M212" s="74"/>
      <c r="N212" s="44"/>
      <c r="O212" s="44"/>
      <c r="P212" s="44"/>
      <c r="Q212" s="44"/>
      <c r="R212" s="44"/>
      <c r="S212" s="44"/>
      <c r="T212" s="44"/>
      <c r="U212" s="44"/>
      <c r="V212" s="44"/>
      <c r="W212" s="44"/>
      <c r="X212" s="44"/>
      <c r="Y212" s="44"/>
    </row>
    <row r="213">
      <c r="A213" s="89" t="s">
        <v>303</v>
      </c>
      <c r="B213" s="136">
        <v>732.0</v>
      </c>
      <c r="C213" s="102"/>
      <c r="D213" s="44"/>
      <c r="E213" s="44"/>
      <c r="F213" s="84" t="s">
        <v>210</v>
      </c>
      <c r="G213" s="83"/>
      <c r="H213" s="95"/>
      <c r="I213" s="44"/>
      <c r="J213" s="44"/>
      <c r="K213" s="121"/>
      <c r="L213" s="74"/>
      <c r="M213" s="74"/>
      <c r="N213" s="44"/>
      <c r="O213" s="44"/>
      <c r="P213" s="44"/>
      <c r="Q213" s="44"/>
      <c r="R213" s="44"/>
      <c r="S213" s="44"/>
      <c r="T213" s="44"/>
      <c r="U213" s="44"/>
      <c r="V213" s="44"/>
      <c r="W213" s="44"/>
      <c r="X213" s="44"/>
      <c r="Y213" s="44"/>
    </row>
    <row r="214">
      <c r="B214" s="103"/>
      <c r="C214" s="50"/>
      <c r="D214" s="44"/>
      <c r="E214" s="44"/>
      <c r="F214" s="84" t="s">
        <v>211</v>
      </c>
      <c r="G214" s="83"/>
      <c r="H214" s="79">
        <v>250.0</v>
      </c>
      <c r="I214" s="44"/>
      <c r="J214" s="44"/>
      <c r="K214" s="121"/>
      <c r="L214" s="74"/>
      <c r="M214" s="74"/>
      <c r="N214" s="44"/>
      <c r="O214" s="44"/>
      <c r="P214" s="44"/>
      <c r="Q214" s="44"/>
      <c r="R214" s="44"/>
      <c r="S214" s="44"/>
      <c r="T214" s="44"/>
      <c r="U214" s="44"/>
      <c r="V214" s="44"/>
      <c r="W214" s="44"/>
      <c r="X214" s="44"/>
      <c r="Y214" s="44"/>
    </row>
    <row r="215">
      <c r="A215" s="94"/>
      <c r="B215" s="121"/>
      <c r="C215" s="121"/>
      <c r="D215" s="44"/>
      <c r="E215" s="44"/>
      <c r="F215" s="87" t="s">
        <v>213</v>
      </c>
      <c r="G215" s="83"/>
      <c r="H215" s="95"/>
      <c r="I215" s="44"/>
      <c r="J215" s="44"/>
      <c r="K215" s="121"/>
      <c r="L215" s="74"/>
      <c r="M215" s="74"/>
      <c r="N215" s="44"/>
      <c r="O215" s="44"/>
      <c r="P215" s="44"/>
      <c r="Q215" s="44"/>
      <c r="R215" s="44"/>
      <c r="S215" s="44"/>
      <c r="T215" s="44"/>
      <c r="U215" s="44"/>
      <c r="V215" s="44"/>
      <c r="W215" s="44"/>
      <c r="X215" s="44"/>
      <c r="Y215" s="44"/>
    </row>
    <row r="216">
      <c r="A216" s="96" t="s">
        <v>214</v>
      </c>
      <c r="B216" s="124"/>
      <c r="C216" s="135"/>
      <c r="D216" s="52"/>
      <c r="E216" s="44"/>
      <c r="F216" s="76" t="s">
        <v>34</v>
      </c>
      <c r="G216" s="83"/>
      <c r="H216" s="79">
        <v>20.0</v>
      </c>
      <c r="I216" s="44"/>
      <c r="J216" s="44"/>
      <c r="K216" s="121"/>
      <c r="L216" s="74"/>
      <c r="M216" s="74"/>
      <c r="N216" s="44"/>
      <c r="O216" s="44"/>
      <c r="P216" s="44"/>
      <c r="Q216" s="44"/>
      <c r="R216" s="44"/>
      <c r="S216" s="44"/>
      <c r="T216" s="44"/>
      <c r="U216" s="44"/>
      <c r="V216" s="44"/>
      <c r="W216" s="44"/>
      <c r="X216" s="44"/>
      <c r="Y216" s="44"/>
    </row>
    <row r="217">
      <c r="A217" s="125" t="s">
        <v>272</v>
      </c>
      <c r="B217" s="121"/>
      <c r="C217" s="121"/>
      <c r="D217" s="44"/>
      <c r="E217" s="44"/>
      <c r="F217" s="87" t="s">
        <v>216</v>
      </c>
      <c r="G217" s="83"/>
      <c r="H217" s="85"/>
      <c r="I217" s="44"/>
      <c r="J217" s="44"/>
      <c r="K217" s="121"/>
      <c r="L217" s="74"/>
      <c r="M217" s="74"/>
      <c r="N217" s="44"/>
      <c r="O217" s="44"/>
      <c r="P217" s="44"/>
      <c r="Q217" s="44"/>
      <c r="R217" s="44"/>
      <c r="S217" s="44"/>
      <c r="T217" s="44"/>
      <c r="U217" s="44"/>
      <c r="V217" s="44"/>
      <c r="W217" s="44"/>
      <c r="X217" s="44"/>
      <c r="Y217" s="44"/>
    </row>
    <row r="218">
      <c r="A218" s="96" t="s">
        <v>215</v>
      </c>
      <c r="B218" s="121"/>
      <c r="C218" s="121"/>
      <c r="D218" s="44"/>
      <c r="E218" s="44"/>
      <c r="F218" s="76" t="s">
        <v>108</v>
      </c>
      <c r="G218" s="83"/>
      <c r="H218" s="79">
        <v>150.0</v>
      </c>
      <c r="I218" s="44"/>
      <c r="J218" s="44"/>
      <c r="K218" s="121"/>
      <c r="L218" s="74"/>
      <c r="M218" s="74"/>
      <c r="N218" s="44"/>
      <c r="O218" s="44"/>
      <c r="P218" s="44"/>
      <c r="Q218" s="44"/>
      <c r="R218" s="44"/>
      <c r="S218" s="44"/>
      <c r="T218" s="44"/>
      <c r="U218" s="44"/>
      <c r="V218" s="44"/>
      <c r="W218" s="44"/>
      <c r="X218" s="44"/>
      <c r="Y218" s="44"/>
    </row>
    <row r="219">
      <c r="A219" s="44"/>
      <c r="B219" s="121"/>
      <c r="C219" s="121"/>
      <c r="D219" s="44"/>
      <c r="E219" s="44"/>
      <c r="F219" s="97" t="s">
        <v>156</v>
      </c>
      <c r="G219" s="83"/>
      <c r="H219" s="85"/>
      <c r="I219" s="44"/>
      <c r="J219" s="44"/>
      <c r="K219" s="121"/>
      <c r="L219" s="74"/>
      <c r="M219" s="74"/>
      <c r="N219" s="44"/>
      <c r="O219" s="44"/>
      <c r="P219" s="44"/>
      <c r="Q219" s="44"/>
      <c r="R219" s="44"/>
      <c r="S219" s="44"/>
      <c r="T219" s="44"/>
      <c r="U219" s="44"/>
      <c r="V219" s="44"/>
      <c r="W219" s="44"/>
      <c r="X219" s="44"/>
      <c r="Y219" s="44"/>
    </row>
    <row r="220">
      <c r="A220" s="44"/>
      <c r="B220" s="121"/>
      <c r="C220" s="121"/>
      <c r="D220" s="44"/>
      <c r="E220" s="44"/>
      <c r="F220" s="84" t="s">
        <v>217</v>
      </c>
      <c r="G220" s="83"/>
      <c r="H220" s="79"/>
      <c r="I220" s="44"/>
      <c r="J220" s="44"/>
      <c r="K220" s="121"/>
      <c r="L220" s="74"/>
      <c r="M220" s="74"/>
      <c r="N220" s="44"/>
      <c r="O220" s="44"/>
      <c r="P220" s="44"/>
      <c r="Q220" s="44"/>
      <c r="R220" s="44"/>
      <c r="S220" s="44"/>
      <c r="T220" s="44"/>
      <c r="U220" s="44"/>
      <c r="V220" s="44"/>
      <c r="W220" s="44"/>
      <c r="X220" s="44"/>
      <c r="Y220" s="44"/>
    </row>
    <row r="221">
      <c r="A221" s="44"/>
      <c r="B221" s="121"/>
      <c r="C221" s="121"/>
      <c r="D221" s="44"/>
      <c r="E221" s="44"/>
      <c r="F221" s="87" t="s">
        <v>218</v>
      </c>
      <c r="G221" s="83"/>
      <c r="H221" s="79">
        <v>87.0</v>
      </c>
      <c r="I221" s="45" t="s">
        <v>304</v>
      </c>
      <c r="J221" s="44"/>
      <c r="K221" s="121"/>
      <c r="L221" s="74"/>
      <c r="M221" s="74"/>
      <c r="N221" s="44"/>
      <c r="O221" s="44"/>
      <c r="P221" s="44"/>
      <c r="Q221" s="44"/>
      <c r="R221" s="44"/>
      <c r="S221" s="44"/>
      <c r="T221" s="44"/>
      <c r="U221" s="44"/>
      <c r="V221" s="44"/>
      <c r="W221" s="44"/>
      <c r="X221" s="44"/>
      <c r="Y221" s="44"/>
    </row>
    <row r="222">
      <c r="A222" s="44"/>
      <c r="B222" s="121"/>
      <c r="C222" s="121"/>
      <c r="D222" s="44"/>
      <c r="E222" s="44"/>
      <c r="F222" s="76" t="s">
        <v>131</v>
      </c>
      <c r="G222" s="83"/>
      <c r="H222" s="85"/>
      <c r="I222" s="44"/>
      <c r="J222" s="44"/>
      <c r="K222" s="121"/>
      <c r="L222" s="74"/>
      <c r="M222" s="74"/>
      <c r="N222" s="44"/>
      <c r="O222" s="44"/>
      <c r="P222" s="44"/>
      <c r="Q222" s="44"/>
      <c r="R222" s="44"/>
      <c r="S222" s="44"/>
      <c r="T222" s="44"/>
      <c r="U222" s="44"/>
      <c r="V222" s="44"/>
      <c r="W222" s="44"/>
      <c r="X222" s="44"/>
      <c r="Y222" s="44"/>
    </row>
    <row r="223">
      <c r="A223" s="44"/>
      <c r="B223" s="121"/>
      <c r="C223" s="121"/>
      <c r="D223" s="44"/>
      <c r="E223" s="44"/>
      <c r="F223" s="76" t="s">
        <v>18</v>
      </c>
      <c r="G223" s="83"/>
      <c r="H223" s="85"/>
      <c r="I223" s="44"/>
      <c r="J223" s="44"/>
      <c r="K223" s="121"/>
      <c r="L223" s="74"/>
      <c r="M223" s="74"/>
      <c r="N223" s="44"/>
      <c r="O223" s="44"/>
      <c r="P223" s="44"/>
      <c r="Q223" s="44"/>
      <c r="R223" s="44"/>
      <c r="S223" s="44"/>
      <c r="T223" s="44"/>
      <c r="U223" s="44"/>
      <c r="V223" s="44"/>
      <c r="W223" s="44"/>
      <c r="X223" s="44"/>
      <c r="Y223" s="44"/>
    </row>
    <row r="224">
      <c r="A224" s="44"/>
      <c r="B224" s="121"/>
      <c r="C224" s="121"/>
      <c r="D224" s="44"/>
      <c r="E224" s="44"/>
      <c r="F224" s="98" t="s">
        <v>19</v>
      </c>
      <c r="G224" s="83"/>
      <c r="H224" s="85"/>
      <c r="I224" s="44"/>
      <c r="J224" s="44"/>
      <c r="K224" s="121"/>
      <c r="L224" s="74"/>
      <c r="M224" s="74"/>
      <c r="N224" s="44"/>
      <c r="O224" s="44"/>
      <c r="P224" s="44"/>
      <c r="Q224" s="44"/>
      <c r="R224" s="44"/>
      <c r="S224" s="44"/>
      <c r="T224" s="44"/>
      <c r="U224" s="44"/>
      <c r="V224" s="44"/>
      <c r="W224" s="44"/>
      <c r="X224" s="44"/>
      <c r="Y224" s="44"/>
    </row>
    <row r="225">
      <c r="A225" s="44"/>
      <c r="B225" s="121"/>
      <c r="C225" s="121"/>
      <c r="D225" s="44"/>
      <c r="E225" s="44"/>
      <c r="F225" s="76" t="s">
        <v>20</v>
      </c>
      <c r="G225" s="83"/>
      <c r="H225" s="85"/>
      <c r="I225" s="44"/>
      <c r="J225" s="44"/>
      <c r="K225" s="121"/>
      <c r="L225" s="74"/>
      <c r="M225" s="74"/>
      <c r="N225" s="44"/>
      <c r="O225" s="44"/>
      <c r="P225" s="44"/>
      <c r="Q225" s="44"/>
      <c r="R225" s="44"/>
      <c r="S225" s="44"/>
      <c r="T225" s="44"/>
      <c r="U225" s="44"/>
      <c r="V225" s="44"/>
      <c r="W225" s="44"/>
      <c r="X225" s="44"/>
      <c r="Y225" s="44"/>
    </row>
    <row r="226">
      <c r="A226" s="44"/>
      <c r="B226" s="121"/>
      <c r="C226" s="121"/>
      <c r="D226" s="44"/>
      <c r="E226" s="44"/>
      <c r="F226" s="87" t="s">
        <v>192</v>
      </c>
      <c r="G226" s="83"/>
      <c r="H226" s="79">
        <v>1565.0</v>
      </c>
      <c r="I226" s="45" t="s">
        <v>305</v>
      </c>
      <c r="J226" s="44"/>
      <c r="K226" s="121"/>
      <c r="L226" s="74"/>
      <c r="M226" s="74"/>
      <c r="N226" s="44"/>
      <c r="O226" s="44"/>
      <c r="P226" s="44"/>
      <c r="Q226" s="44"/>
      <c r="R226" s="44"/>
      <c r="S226" s="44"/>
      <c r="T226" s="44"/>
      <c r="U226" s="44"/>
      <c r="V226" s="44"/>
      <c r="W226" s="44"/>
      <c r="X226" s="44"/>
      <c r="Y226" s="44"/>
    </row>
    <row r="227">
      <c r="A227" s="44"/>
      <c r="B227" s="121"/>
      <c r="C227" s="121"/>
      <c r="D227" s="44"/>
      <c r="E227" s="44"/>
      <c r="F227" s="87" t="s">
        <v>202</v>
      </c>
      <c r="G227" s="99"/>
      <c r="H227" s="79"/>
      <c r="I227" s="45" t="s">
        <v>290</v>
      </c>
      <c r="J227" s="44"/>
      <c r="K227" s="121"/>
      <c r="L227" s="74"/>
      <c r="M227" s="74"/>
      <c r="N227" s="44"/>
      <c r="O227" s="44"/>
      <c r="P227" s="44"/>
      <c r="Q227" s="44"/>
      <c r="R227" s="44"/>
      <c r="S227" s="44"/>
      <c r="T227" s="44"/>
      <c r="U227" s="44"/>
      <c r="V227" s="44"/>
      <c r="W227" s="44"/>
      <c r="X227" s="44"/>
      <c r="Y227" s="44"/>
    </row>
    <row r="228">
      <c r="A228" s="65"/>
      <c r="B228" s="121"/>
      <c r="C228" s="124"/>
      <c r="D228" s="44"/>
      <c r="E228" s="44"/>
      <c r="F228" s="87" t="s">
        <v>219</v>
      </c>
      <c r="G228" s="83"/>
      <c r="H228" s="79">
        <v>340.0</v>
      </c>
      <c r="I228" s="44"/>
      <c r="J228" s="44"/>
      <c r="K228" s="121"/>
      <c r="L228" s="74"/>
      <c r="M228" s="74"/>
      <c r="N228" s="44"/>
      <c r="O228" s="44"/>
      <c r="P228" s="44"/>
      <c r="Q228" s="44"/>
      <c r="R228" s="44"/>
      <c r="S228" s="44"/>
      <c r="T228" s="44"/>
      <c r="U228" s="44"/>
      <c r="V228" s="44"/>
      <c r="W228" s="44"/>
      <c r="X228" s="44"/>
      <c r="Y228" s="44"/>
    </row>
    <row r="229">
      <c r="A229" s="65"/>
      <c r="B229" s="121"/>
      <c r="C229" s="124"/>
      <c r="D229" s="44"/>
      <c r="E229" s="44"/>
      <c r="F229" s="87" t="s">
        <v>220</v>
      </c>
      <c r="G229" s="83"/>
      <c r="H229" s="95"/>
      <c r="I229" s="44"/>
      <c r="J229" s="44"/>
      <c r="K229" s="121"/>
      <c r="L229" s="74"/>
      <c r="M229" s="74"/>
      <c r="N229" s="44"/>
      <c r="O229" s="44"/>
      <c r="P229" s="44"/>
      <c r="Q229" s="44"/>
      <c r="R229" s="44"/>
      <c r="S229" s="44"/>
      <c r="T229" s="44"/>
      <c r="U229" s="44"/>
      <c r="V229" s="44"/>
      <c r="W229" s="44"/>
      <c r="X229" s="44"/>
      <c r="Y229" s="44"/>
    </row>
    <row r="230">
      <c r="B230" s="120"/>
      <c r="C230" s="120"/>
      <c r="F230" s="94"/>
      <c r="H230" s="75"/>
      <c r="K230" s="120"/>
      <c r="L230" s="75"/>
      <c r="M230" s="75"/>
    </row>
    <row r="231">
      <c r="B231" s="120"/>
      <c r="C231" s="120"/>
      <c r="F231" s="94"/>
      <c r="H231" s="75"/>
      <c r="K231" s="120"/>
      <c r="L231" s="75"/>
      <c r="M231" s="75"/>
    </row>
    <row r="232">
      <c r="A232" s="73" t="s">
        <v>79</v>
      </c>
      <c r="B232" s="120"/>
      <c r="C232" s="120"/>
      <c r="D232" s="52"/>
      <c r="E232" s="52"/>
      <c r="F232" s="76"/>
      <c r="G232" s="44"/>
      <c r="H232" s="77"/>
      <c r="I232" s="44"/>
      <c r="J232" s="44"/>
      <c r="K232" s="121"/>
      <c r="L232" s="74"/>
      <c r="M232" s="74"/>
      <c r="N232" s="44"/>
      <c r="O232" s="44"/>
      <c r="P232" s="44"/>
      <c r="Q232" s="44"/>
      <c r="R232" s="44"/>
      <c r="S232" s="44"/>
      <c r="T232" s="44"/>
      <c r="U232" s="44"/>
      <c r="V232" s="44"/>
      <c r="W232" s="44"/>
      <c r="X232" s="44"/>
      <c r="Y232" s="44"/>
    </row>
    <row r="233">
      <c r="A233" s="52"/>
      <c r="B233" s="121"/>
      <c r="C233" s="121"/>
      <c r="D233" s="52"/>
      <c r="E233" s="52"/>
      <c r="F233" s="79" t="s">
        <v>0</v>
      </c>
      <c r="G233" s="44"/>
      <c r="H233" s="77"/>
      <c r="I233" s="44"/>
      <c r="J233" s="44"/>
      <c r="K233" s="121"/>
      <c r="L233" s="74"/>
      <c r="M233" s="74"/>
      <c r="N233" s="44"/>
      <c r="O233" s="44"/>
      <c r="P233" s="44"/>
      <c r="Q233" s="44"/>
      <c r="R233" s="44"/>
      <c r="S233" s="44"/>
      <c r="T233" s="44"/>
      <c r="U233" s="44"/>
      <c r="V233" s="44"/>
      <c r="W233" s="44"/>
      <c r="X233" s="44"/>
      <c r="Y233" s="44"/>
    </row>
    <row r="234">
      <c r="A234" s="80" t="s">
        <v>179</v>
      </c>
      <c r="B234" s="114">
        <v>4586.0</v>
      </c>
      <c r="D234" s="52"/>
      <c r="E234" s="82"/>
      <c r="F234" s="76" t="s">
        <v>4</v>
      </c>
      <c r="G234" s="83"/>
      <c r="H234" s="79">
        <v>30.0</v>
      </c>
      <c r="I234" s="44"/>
      <c r="J234" s="45" t="s">
        <v>306</v>
      </c>
      <c r="K234" s="121"/>
      <c r="L234" s="74"/>
      <c r="M234" s="74"/>
      <c r="N234" s="44"/>
      <c r="O234" s="44"/>
      <c r="P234" s="44"/>
      <c r="Q234" s="44"/>
      <c r="R234" s="44"/>
      <c r="S234" s="44"/>
      <c r="T234" s="44"/>
      <c r="U234" s="44"/>
      <c r="V234" s="44"/>
      <c r="W234" s="44"/>
      <c r="X234" s="44"/>
      <c r="Y234" s="44"/>
    </row>
    <row r="235">
      <c r="A235" s="76"/>
      <c r="B235" s="121"/>
      <c r="C235" s="121"/>
      <c r="D235" s="44"/>
      <c r="E235" s="44"/>
      <c r="F235" s="84" t="s">
        <v>207</v>
      </c>
      <c r="G235" s="83"/>
      <c r="H235" s="85"/>
      <c r="I235" s="44"/>
      <c r="J235" s="44"/>
      <c r="K235" s="121"/>
      <c r="L235" s="74"/>
      <c r="M235" s="74"/>
      <c r="N235" s="44"/>
      <c r="O235" s="44"/>
      <c r="P235" s="44"/>
      <c r="Q235" s="44"/>
      <c r="R235" s="44"/>
      <c r="S235" s="44"/>
      <c r="T235" s="44"/>
      <c r="U235" s="44"/>
      <c r="V235" s="44"/>
      <c r="W235" s="44"/>
      <c r="X235" s="44"/>
      <c r="Y235" s="44"/>
    </row>
    <row r="236">
      <c r="A236" s="86" t="s">
        <v>201</v>
      </c>
      <c r="B236" s="114">
        <v>2934.0</v>
      </c>
      <c r="D236" s="44"/>
      <c r="E236" s="44"/>
      <c r="F236" s="76" t="s">
        <v>6</v>
      </c>
      <c r="G236" s="83"/>
      <c r="H236" s="85"/>
      <c r="I236" s="44"/>
      <c r="J236" s="44"/>
      <c r="K236" s="121"/>
      <c r="L236" s="74"/>
      <c r="M236" s="74"/>
      <c r="N236" s="44"/>
      <c r="O236" s="44"/>
      <c r="P236" s="44"/>
      <c r="Q236" s="44"/>
      <c r="R236" s="44"/>
      <c r="S236" s="44"/>
      <c r="T236" s="44"/>
      <c r="U236" s="44"/>
      <c r="V236" s="44"/>
      <c r="W236" s="44"/>
      <c r="X236" s="44"/>
      <c r="Y236" s="44"/>
    </row>
    <row r="237">
      <c r="A237" s="76"/>
      <c r="B237" s="121"/>
      <c r="C237" s="121"/>
      <c r="D237" s="44"/>
      <c r="E237" s="44"/>
      <c r="F237" s="87" t="s">
        <v>7</v>
      </c>
      <c r="G237" s="83"/>
      <c r="H237" s="79"/>
      <c r="I237" s="44"/>
      <c r="J237" s="44"/>
      <c r="K237" s="121"/>
      <c r="L237" s="74"/>
      <c r="M237" s="74"/>
      <c r="N237" s="44"/>
      <c r="O237" s="44"/>
      <c r="P237" s="44"/>
      <c r="Q237" s="44"/>
      <c r="R237" s="44"/>
      <c r="S237" s="44"/>
      <c r="T237" s="44"/>
      <c r="U237" s="44"/>
      <c r="V237" s="44"/>
      <c r="W237" s="44"/>
      <c r="X237" s="44"/>
      <c r="Y237" s="44"/>
    </row>
    <row r="238">
      <c r="A238" s="89" t="s">
        <v>307</v>
      </c>
      <c r="B238" s="136">
        <v>1652.0</v>
      </c>
      <c r="C238" s="102"/>
      <c r="D238" s="44"/>
      <c r="E238" s="44"/>
      <c r="F238" s="84" t="s">
        <v>210</v>
      </c>
      <c r="G238" s="83"/>
      <c r="H238" s="95"/>
      <c r="I238" s="44"/>
      <c r="J238" s="44"/>
      <c r="K238" s="121"/>
      <c r="L238" s="74"/>
      <c r="M238" s="74"/>
      <c r="N238" s="44"/>
      <c r="O238" s="44"/>
      <c r="P238" s="44"/>
      <c r="Q238" s="44"/>
      <c r="R238" s="44"/>
      <c r="S238" s="44"/>
      <c r="T238" s="44"/>
      <c r="U238" s="44"/>
      <c r="V238" s="44"/>
      <c r="W238" s="44"/>
      <c r="X238" s="44"/>
      <c r="Y238" s="44"/>
    </row>
    <row r="239">
      <c r="B239" s="103"/>
      <c r="C239" s="50"/>
      <c r="D239" s="44"/>
      <c r="E239" s="44"/>
      <c r="F239" s="84" t="s">
        <v>211</v>
      </c>
      <c r="G239" s="83"/>
      <c r="H239" s="85"/>
      <c r="I239" s="44"/>
      <c r="J239" s="44"/>
      <c r="K239" s="121"/>
      <c r="L239" s="74"/>
      <c r="M239" s="74"/>
      <c r="N239" s="44"/>
      <c r="O239" s="44"/>
      <c r="P239" s="44"/>
      <c r="Q239" s="44"/>
      <c r="R239" s="44"/>
      <c r="S239" s="44"/>
      <c r="T239" s="44"/>
      <c r="U239" s="44"/>
      <c r="V239" s="44"/>
      <c r="W239" s="44"/>
      <c r="X239" s="44"/>
      <c r="Y239" s="44"/>
    </row>
    <row r="240">
      <c r="A240" s="94"/>
      <c r="B240" s="121"/>
      <c r="C240" s="121"/>
      <c r="D240" s="44"/>
      <c r="E240" s="44"/>
      <c r="F240" s="87" t="s">
        <v>308</v>
      </c>
      <c r="G240" s="83"/>
      <c r="H240" s="79">
        <v>414.0</v>
      </c>
      <c r="I240" s="44"/>
      <c r="J240" s="45" t="s">
        <v>309</v>
      </c>
      <c r="K240" s="121"/>
      <c r="L240" s="74"/>
      <c r="M240" s="74"/>
      <c r="N240" s="44"/>
      <c r="O240" s="44"/>
      <c r="P240" s="44"/>
      <c r="Q240" s="44"/>
      <c r="R240" s="44"/>
      <c r="S240" s="44"/>
      <c r="T240" s="44"/>
      <c r="U240" s="44"/>
      <c r="V240" s="44"/>
      <c r="W240" s="44"/>
      <c r="X240" s="44"/>
      <c r="Y240" s="44"/>
    </row>
    <row r="241">
      <c r="A241" s="94"/>
      <c r="B241" s="121"/>
      <c r="C241" s="121"/>
      <c r="D241" s="44"/>
      <c r="E241" s="44"/>
      <c r="F241" s="87" t="s">
        <v>213</v>
      </c>
      <c r="G241" s="83"/>
      <c r="H241" s="95"/>
      <c r="I241" s="44"/>
      <c r="J241" s="44"/>
      <c r="K241" s="121"/>
      <c r="L241" s="74"/>
      <c r="M241" s="74"/>
      <c r="N241" s="44"/>
      <c r="O241" s="44"/>
      <c r="P241" s="44"/>
      <c r="Q241" s="44"/>
      <c r="R241" s="44"/>
      <c r="S241" s="44"/>
      <c r="T241" s="44"/>
      <c r="U241" s="44"/>
      <c r="V241" s="44"/>
      <c r="W241" s="44"/>
      <c r="X241" s="44"/>
      <c r="Y241" s="44"/>
    </row>
    <row r="242">
      <c r="A242" s="96" t="s">
        <v>214</v>
      </c>
      <c r="B242" s="137">
        <v>0.0</v>
      </c>
      <c r="C242" s="135"/>
      <c r="D242" s="52"/>
      <c r="E242" s="44"/>
      <c r="F242" s="76" t="s">
        <v>34</v>
      </c>
      <c r="G242" s="83"/>
      <c r="H242" s="79">
        <v>20.0</v>
      </c>
      <c r="I242" s="44"/>
      <c r="J242" s="44"/>
      <c r="K242" s="121"/>
      <c r="L242" s="74"/>
      <c r="M242" s="74"/>
      <c r="N242" s="44"/>
      <c r="O242" s="44"/>
      <c r="P242" s="44"/>
      <c r="Q242" s="44"/>
      <c r="R242" s="44"/>
      <c r="S242" s="44"/>
      <c r="T242" s="44"/>
      <c r="U242" s="44"/>
      <c r="V242" s="44"/>
      <c r="W242" s="44"/>
      <c r="X242" s="44"/>
      <c r="Y242" s="44"/>
    </row>
    <row r="243">
      <c r="A243" s="125" t="s">
        <v>272</v>
      </c>
      <c r="B243" s="133">
        <v>5748.0</v>
      </c>
      <c r="D243" s="44"/>
      <c r="E243" s="44"/>
      <c r="F243" s="87" t="s">
        <v>216</v>
      </c>
      <c r="G243" s="83"/>
      <c r="H243" s="85"/>
      <c r="I243" s="44"/>
      <c r="J243" s="44"/>
      <c r="K243" s="121"/>
      <c r="L243" s="74"/>
      <c r="M243" s="74"/>
      <c r="N243" s="44"/>
      <c r="O243" s="44"/>
      <c r="P243" s="44"/>
      <c r="Q243" s="44"/>
      <c r="R243" s="44"/>
      <c r="S243" s="44"/>
      <c r="T243" s="44"/>
      <c r="U243" s="44"/>
      <c r="V243" s="44"/>
      <c r="W243" s="44"/>
      <c r="X243" s="44"/>
      <c r="Y243" s="44"/>
    </row>
    <row r="244">
      <c r="A244" s="96" t="s">
        <v>215</v>
      </c>
      <c r="B244" s="121"/>
      <c r="C244" s="121"/>
      <c r="D244" s="44"/>
      <c r="E244" s="44"/>
      <c r="F244" s="76" t="s">
        <v>108</v>
      </c>
      <c r="G244" s="83"/>
      <c r="H244" s="79">
        <v>40.0</v>
      </c>
      <c r="I244" s="45" t="s">
        <v>310</v>
      </c>
      <c r="J244" s="44"/>
      <c r="K244" s="121"/>
      <c r="L244" s="74"/>
      <c r="M244" s="74"/>
      <c r="N244" s="44"/>
      <c r="O244" s="44"/>
      <c r="P244" s="44"/>
      <c r="Q244" s="44"/>
      <c r="R244" s="44"/>
      <c r="S244" s="44"/>
      <c r="T244" s="44"/>
      <c r="U244" s="44"/>
      <c r="V244" s="44"/>
      <c r="W244" s="44"/>
      <c r="X244" s="44"/>
      <c r="Y244" s="44"/>
    </row>
    <row r="245">
      <c r="A245" s="44"/>
      <c r="B245" s="121"/>
      <c r="C245" s="121"/>
      <c r="D245" s="44"/>
      <c r="E245" s="44"/>
      <c r="F245" s="97" t="s">
        <v>156</v>
      </c>
      <c r="G245" s="83"/>
      <c r="H245" s="85"/>
      <c r="I245" s="44"/>
      <c r="J245" s="44"/>
      <c r="K245" s="121"/>
      <c r="L245" s="74"/>
      <c r="M245" s="74"/>
      <c r="N245" s="44"/>
      <c r="O245" s="44"/>
      <c r="P245" s="44"/>
      <c r="Q245" s="44"/>
      <c r="R245" s="44"/>
      <c r="S245" s="44"/>
      <c r="T245" s="44"/>
      <c r="U245" s="44"/>
      <c r="V245" s="44"/>
      <c r="W245" s="44"/>
      <c r="X245" s="44"/>
      <c r="Y245" s="44"/>
    </row>
    <row r="246">
      <c r="A246" s="44"/>
      <c r="B246" s="121"/>
      <c r="C246" s="121"/>
      <c r="D246" s="44"/>
      <c r="E246" s="44"/>
      <c r="F246" s="84" t="s">
        <v>217</v>
      </c>
      <c r="G246" s="83"/>
      <c r="H246" s="79">
        <v>151.0</v>
      </c>
      <c r="I246" s="45" t="s">
        <v>311</v>
      </c>
      <c r="J246" s="44"/>
      <c r="K246" s="121"/>
      <c r="L246" s="74"/>
      <c r="M246" s="74"/>
      <c r="N246" s="44"/>
      <c r="O246" s="44"/>
      <c r="P246" s="44"/>
      <c r="Q246" s="44"/>
      <c r="R246" s="44"/>
      <c r="S246" s="44"/>
      <c r="T246" s="44"/>
      <c r="U246" s="44"/>
      <c r="V246" s="44"/>
      <c r="W246" s="44"/>
      <c r="X246" s="44"/>
      <c r="Y246" s="44"/>
    </row>
    <row r="247">
      <c r="A247" s="44"/>
      <c r="B247" s="121"/>
      <c r="C247" s="121"/>
      <c r="D247" s="44"/>
      <c r="E247" s="44"/>
      <c r="F247" s="87" t="s">
        <v>218</v>
      </c>
      <c r="G247" s="83"/>
      <c r="H247" s="85"/>
      <c r="I247" s="44"/>
      <c r="J247" s="44"/>
      <c r="K247" s="121"/>
      <c r="L247" s="74"/>
      <c r="M247" s="74"/>
      <c r="N247" s="44"/>
      <c r="O247" s="44"/>
      <c r="P247" s="44"/>
      <c r="Q247" s="44"/>
      <c r="R247" s="44"/>
      <c r="S247" s="44"/>
      <c r="T247" s="44"/>
      <c r="U247" s="44"/>
      <c r="V247" s="44"/>
      <c r="W247" s="44"/>
      <c r="X247" s="44"/>
      <c r="Y247" s="44"/>
    </row>
    <row r="248">
      <c r="A248" s="44"/>
      <c r="B248" s="121"/>
      <c r="C248" s="121"/>
      <c r="D248" s="44"/>
      <c r="E248" s="44"/>
      <c r="F248" s="76" t="s">
        <v>131</v>
      </c>
      <c r="G248" s="83"/>
      <c r="H248" s="85"/>
      <c r="I248" s="44"/>
      <c r="J248" s="44"/>
      <c r="K248" s="121"/>
      <c r="L248" s="74"/>
      <c r="M248" s="74"/>
      <c r="N248" s="44"/>
      <c r="O248" s="44"/>
      <c r="P248" s="44"/>
      <c r="Q248" s="44"/>
      <c r="R248" s="44"/>
      <c r="S248" s="44"/>
      <c r="T248" s="44"/>
      <c r="U248" s="44"/>
      <c r="V248" s="44"/>
      <c r="W248" s="44"/>
      <c r="X248" s="44"/>
      <c r="Y248" s="44"/>
    </row>
    <row r="249">
      <c r="A249" s="44"/>
      <c r="B249" s="121"/>
      <c r="C249" s="121"/>
      <c r="D249" s="44"/>
      <c r="E249" s="44"/>
      <c r="F249" s="76" t="s">
        <v>18</v>
      </c>
      <c r="G249" s="83"/>
      <c r="H249" s="79">
        <v>252.0</v>
      </c>
      <c r="I249" s="45" t="s">
        <v>312</v>
      </c>
      <c r="J249" s="44"/>
      <c r="K249" s="121"/>
      <c r="L249" s="74"/>
      <c r="M249" s="74"/>
      <c r="N249" s="44"/>
      <c r="O249" s="44"/>
      <c r="P249" s="44"/>
      <c r="Q249" s="44"/>
      <c r="R249" s="44"/>
      <c r="S249" s="44"/>
      <c r="T249" s="44"/>
      <c r="U249" s="44"/>
      <c r="V249" s="44"/>
      <c r="W249" s="44"/>
      <c r="X249" s="44"/>
      <c r="Y249" s="44"/>
    </row>
    <row r="250">
      <c r="A250" s="44"/>
      <c r="B250" s="121"/>
      <c r="C250" s="121"/>
      <c r="D250" s="44"/>
      <c r="E250" s="44"/>
      <c r="F250" s="98" t="s">
        <v>19</v>
      </c>
      <c r="G250" s="83"/>
      <c r="H250" s="79">
        <v>50.0</v>
      </c>
      <c r="I250" s="45" t="s">
        <v>313</v>
      </c>
      <c r="J250" s="44"/>
      <c r="K250" s="121"/>
      <c r="L250" s="74"/>
      <c r="M250" s="74"/>
      <c r="N250" s="44"/>
      <c r="O250" s="44"/>
      <c r="P250" s="44"/>
      <c r="Q250" s="44"/>
      <c r="R250" s="44"/>
      <c r="S250" s="44"/>
      <c r="T250" s="44"/>
      <c r="U250" s="44"/>
      <c r="V250" s="44"/>
      <c r="W250" s="44"/>
      <c r="X250" s="44"/>
      <c r="Y250" s="44"/>
    </row>
    <row r="251">
      <c r="A251" s="44"/>
      <c r="B251" s="121"/>
      <c r="C251" s="121"/>
      <c r="D251" s="44"/>
      <c r="E251" s="44"/>
      <c r="F251" s="76" t="s">
        <v>20</v>
      </c>
      <c r="G251" s="83"/>
      <c r="H251" s="85"/>
      <c r="I251" s="44"/>
      <c r="J251" s="44"/>
      <c r="K251" s="121"/>
      <c r="L251" s="74"/>
      <c r="M251" s="74"/>
      <c r="N251" s="44"/>
      <c r="O251" s="44"/>
      <c r="P251" s="44"/>
      <c r="Q251" s="44"/>
      <c r="R251" s="44"/>
      <c r="S251" s="44"/>
      <c r="T251" s="44"/>
      <c r="U251" s="44"/>
      <c r="V251" s="44"/>
      <c r="W251" s="44"/>
      <c r="X251" s="44"/>
      <c r="Y251" s="44"/>
    </row>
    <row r="252">
      <c r="A252" s="44"/>
      <c r="B252" s="121"/>
      <c r="C252" s="121"/>
      <c r="D252" s="44"/>
      <c r="E252" s="44"/>
      <c r="F252" s="87" t="s">
        <v>192</v>
      </c>
      <c r="G252" s="83"/>
      <c r="H252" s="79">
        <v>1604.0</v>
      </c>
      <c r="I252" s="45"/>
      <c r="J252" s="44"/>
      <c r="K252" s="121"/>
      <c r="L252" s="74"/>
      <c r="M252" s="74"/>
      <c r="N252" s="44"/>
      <c r="O252" s="44"/>
      <c r="P252" s="44"/>
      <c r="Q252" s="44"/>
      <c r="R252" s="44"/>
      <c r="S252" s="44"/>
      <c r="T252" s="44"/>
      <c r="U252" s="44"/>
      <c r="V252" s="44"/>
      <c r="W252" s="44"/>
      <c r="X252" s="44"/>
      <c r="Y252" s="44"/>
    </row>
    <row r="253">
      <c r="A253" s="44"/>
      <c r="B253" s="121"/>
      <c r="C253" s="121"/>
      <c r="D253" s="44"/>
      <c r="E253" s="44"/>
      <c r="F253" s="87" t="s">
        <v>202</v>
      </c>
      <c r="G253" s="99"/>
      <c r="H253" s="79"/>
      <c r="I253" s="45" t="s">
        <v>290</v>
      </c>
      <c r="J253" s="44"/>
      <c r="K253" s="121"/>
      <c r="L253" s="74"/>
      <c r="M253" s="74"/>
      <c r="N253" s="44"/>
      <c r="O253" s="44"/>
      <c r="P253" s="44"/>
      <c r="Q253" s="44"/>
      <c r="R253" s="44"/>
      <c r="S253" s="44"/>
      <c r="T253" s="44"/>
      <c r="U253" s="44"/>
      <c r="V253" s="44"/>
      <c r="W253" s="44"/>
      <c r="X253" s="44"/>
      <c r="Y253" s="44"/>
    </row>
    <row r="254">
      <c r="A254" s="65"/>
      <c r="B254" s="121"/>
      <c r="C254" s="124"/>
      <c r="D254" s="44"/>
      <c r="E254" s="44"/>
      <c r="F254" s="87" t="s">
        <v>219</v>
      </c>
      <c r="G254" s="83"/>
      <c r="H254" s="95"/>
      <c r="I254" s="44"/>
      <c r="J254" s="44"/>
      <c r="K254" s="121"/>
      <c r="L254" s="74"/>
      <c r="M254" s="74"/>
      <c r="N254" s="44"/>
      <c r="O254" s="44"/>
      <c r="P254" s="44"/>
      <c r="Q254" s="44"/>
      <c r="R254" s="44"/>
      <c r="S254" s="44"/>
      <c r="T254" s="44"/>
      <c r="U254" s="44"/>
      <c r="V254" s="44"/>
      <c r="W254" s="44"/>
      <c r="X254" s="44"/>
      <c r="Y254" s="44"/>
    </row>
    <row r="255">
      <c r="A255" s="65"/>
      <c r="B255" s="121"/>
      <c r="C255" s="124"/>
      <c r="D255" s="44"/>
      <c r="E255" s="44"/>
      <c r="F255" s="87" t="s">
        <v>220</v>
      </c>
      <c r="G255" s="83"/>
      <c r="H255" s="95"/>
      <c r="I255" s="44"/>
      <c r="J255" s="44"/>
      <c r="K255" s="121"/>
      <c r="L255" s="74"/>
      <c r="M255" s="74"/>
      <c r="N255" s="44"/>
      <c r="O255" s="44"/>
      <c r="P255" s="44"/>
      <c r="Q255" s="44"/>
      <c r="R255" s="44"/>
      <c r="S255" s="44"/>
      <c r="T255" s="44"/>
      <c r="U255" s="44"/>
      <c r="V255" s="44"/>
      <c r="W255" s="44"/>
      <c r="X255" s="44"/>
      <c r="Y255" s="44"/>
    </row>
    <row r="256">
      <c r="B256" s="120"/>
      <c r="C256" s="120"/>
      <c r="F256" s="111" t="s">
        <v>225</v>
      </c>
      <c r="H256" s="132">
        <v>373.0</v>
      </c>
      <c r="I256" s="7" t="s">
        <v>314</v>
      </c>
      <c r="K256" s="120"/>
      <c r="L256" s="75"/>
      <c r="M256" s="75"/>
    </row>
    <row r="257">
      <c r="B257" s="120"/>
      <c r="C257" s="120"/>
      <c r="F257" s="94"/>
      <c r="H257" s="75"/>
      <c r="K257" s="120"/>
      <c r="L257" s="75"/>
      <c r="M257" s="75"/>
    </row>
    <row r="258">
      <c r="A258" s="73" t="s">
        <v>85</v>
      </c>
      <c r="B258" s="121"/>
      <c r="C258" s="120"/>
      <c r="D258" s="52"/>
      <c r="E258" s="52"/>
      <c r="F258" s="76"/>
      <c r="G258" s="44"/>
      <c r="H258" s="77"/>
      <c r="I258" s="44"/>
      <c r="J258" s="44"/>
      <c r="K258" s="121"/>
      <c r="L258" s="74"/>
      <c r="M258" s="74"/>
      <c r="N258" s="44"/>
      <c r="O258" s="44"/>
      <c r="P258" s="44"/>
      <c r="Q258" s="44"/>
      <c r="R258" s="44"/>
      <c r="S258" s="44"/>
      <c r="T258" s="44"/>
      <c r="U258" s="44"/>
      <c r="V258" s="44"/>
      <c r="W258" s="44"/>
      <c r="X258" s="44"/>
      <c r="Y258" s="44"/>
    </row>
    <row r="259">
      <c r="A259" s="52"/>
      <c r="B259" s="121"/>
      <c r="C259" s="121"/>
      <c r="D259" s="52"/>
      <c r="E259" s="52"/>
      <c r="F259" s="79" t="s">
        <v>0</v>
      </c>
      <c r="G259" s="44"/>
      <c r="H259" s="77"/>
      <c r="I259" s="44"/>
      <c r="J259" s="44"/>
      <c r="K259" s="138" t="s">
        <v>309</v>
      </c>
      <c r="L259" s="139"/>
      <c r="M259" s="140"/>
      <c r="N259" s="44"/>
      <c r="O259" s="44"/>
      <c r="P259" s="44"/>
      <c r="Q259" s="44"/>
      <c r="R259" s="44"/>
      <c r="S259" s="44"/>
      <c r="T259" s="44"/>
      <c r="U259" s="44"/>
      <c r="V259" s="44"/>
      <c r="W259" s="44"/>
      <c r="X259" s="44"/>
      <c r="Y259" s="44"/>
    </row>
    <row r="260">
      <c r="A260" s="80" t="s">
        <v>179</v>
      </c>
      <c r="B260" s="114">
        <v>6180.0</v>
      </c>
      <c r="D260" s="52"/>
      <c r="E260" s="82"/>
      <c r="F260" s="76" t="s">
        <v>4</v>
      </c>
      <c r="G260" s="83"/>
      <c r="H260" s="85"/>
      <c r="I260" s="44"/>
      <c r="J260" s="44"/>
      <c r="K260" s="141"/>
      <c r="L260" s="142" t="s">
        <v>315</v>
      </c>
      <c r="M260" s="143" t="s">
        <v>316</v>
      </c>
      <c r="N260" s="44"/>
      <c r="O260" s="44"/>
      <c r="P260" s="44"/>
      <c r="Q260" s="44"/>
      <c r="R260" s="44"/>
      <c r="S260" s="44"/>
      <c r="T260" s="44"/>
      <c r="U260" s="44"/>
      <c r="V260" s="44"/>
      <c r="W260" s="44"/>
      <c r="X260" s="44"/>
      <c r="Y260" s="44"/>
    </row>
    <row r="261">
      <c r="A261" s="76"/>
      <c r="B261" s="121"/>
      <c r="C261" s="121"/>
      <c r="D261" s="44"/>
      <c r="E261" s="44"/>
      <c r="F261" s="84" t="s">
        <v>207</v>
      </c>
      <c r="G261" s="83"/>
      <c r="H261" s="85"/>
      <c r="I261" s="44"/>
      <c r="J261" s="44"/>
      <c r="K261" s="121"/>
      <c r="L261" s="81">
        <v>19.0</v>
      </c>
      <c r="M261" s="74"/>
      <c r="N261" s="44"/>
      <c r="O261" s="44"/>
      <c r="P261" s="44"/>
      <c r="Q261" s="44"/>
      <c r="R261" s="44"/>
      <c r="S261" s="44"/>
      <c r="T261" s="44"/>
      <c r="U261" s="44"/>
      <c r="V261" s="44"/>
      <c r="W261" s="44"/>
      <c r="X261" s="44"/>
      <c r="Y261" s="44"/>
    </row>
    <row r="262">
      <c r="A262" s="86" t="s">
        <v>201</v>
      </c>
      <c r="B262" s="114">
        <v>4126.0</v>
      </c>
      <c r="D262" s="44"/>
      <c r="E262" s="44"/>
      <c r="F262" s="76" t="s">
        <v>6</v>
      </c>
      <c r="G262" s="83"/>
      <c r="H262" s="85"/>
      <c r="I262" s="44"/>
      <c r="J262" s="44"/>
      <c r="K262" s="121"/>
      <c r="L262" s="81">
        <v>19.0</v>
      </c>
      <c r="M262" s="74"/>
      <c r="N262" s="44"/>
      <c r="O262" s="44"/>
      <c r="P262" s="44"/>
      <c r="Q262" s="44"/>
      <c r="R262" s="44"/>
      <c r="S262" s="44"/>
      <c r="T262" s="44"/>
      <c r="U262" s="44"/>
      <c r="V262" s="44"/>
      <c r="W262" s="44"/>
      <c r="X262" s="44"/>
      <c r="Y262" s="44"/>
    </row>
    <row r="263">
      <c r="A263" s="76"/>
      <c r="B263" s="121"/>
      <c r="C263" s="121"/>
      <c r="D263" s="44"/>
      <c r="E263" s="44"/>
      <c r="F263" s="87" t="s">
        <v>7</v>
      </c>
      <c r="G263" s="83"/>
      <c r="H263" s="79"/>
      <c r="I263" s="44"/>
      <c r="J263" s="44"/>
      <c r="K263" s="121"/>
      <c r="L263" s="81">
        <v>19.0</v>
      </c>
      <c r="M263" s="74"/>
      <c r="N263" s="44"/>
      <c r="O263" s="44"/>
      <c r="P263" s="44"/>
      <c r="Q263" s="44"/>
      <c r="R263" s="44"/>
      <c r="S263" s="44"/>
      <c r="T263" s="44"/>
      <c r="U263" s="44"/>
      <c r="V263" s="44"/>
      <c r="W263" s="44"/>
      <c r="X263" s="44"/>
      <c r="Y263" s="44"/>
    </row>
    <row r="264">
      <c r="A264" s="89" t="s">
        <v>317</v>
      </c>
      <c r="B264" s="134"/>
      <c r="C264" s="102"/>
      <c r="D264" s="44"/>
      <c r="E264" s="44"/>
      <c r="F264" s="84" t="s">
        <v>210</v>
      </c>
      <c r="G264" s="83"/>
      <c r="H264" s="95"/>
      <c r="I264" s="44"/>
      <c r="J264" s="44"/>
      <c r="K264" s="121"/>
      <c r="L264" s="74"/>
      <c r="M264" s="74"/>
      <c r="N264" s="44"/>
      <c r="O264" s="44"/>
      <c r="P264" s="44"/>
      <c r="Q264" s="44"/>
      <c r="R264" s="44"/>
      <c r="S264" s="44"/>
      <c r="T264" s="44"/>
      <c r="U264" s="44"/>
      <c r="V264" s="44"/>
      <c r="W264" s="44"/>
      <c r="X264" s="44"/>
      <c r="Y264" s="44"/>
    </row>
    <row r="265">
      <c r="B265" s="103"/>
      <c r="C265" s="50"/>
      <c r="D265" s="44"/>
      <c r="E265" s="44"/>
      <c r="F265" s="84" t="s">
        <v>211</v>
      </c>
      <c r="G265" s="83"/>
      <c r="H265" s="85"/>
      <c r="I265" s="44"/>
      <c r="J265" s="44"/>
      <c r="K265" s="121"/>
      <c r="L265" s="74"/>
      <c r="M265" s="74"/>
      <c r="N265" s="44"/>
      <c r="O265" s="44"/>
      <c r="P265" s="44"/>
      <c r="Q265" s="44"/>
      <c r="R265" s="44"/>
      <c r="S265" s="44"/>
      <c r="T265" s="44"/>
      <c r="U265" s="44"/>
      <c r="V265" s="44"/>
      <c r="W265" s="44"/>
      <c r="X265" s="44"/>
      <c r="Y265" s="44"/>
    </row>
    <row r="266">
      <c r="A266" s="94"/>
      <c r="B266" s="121"/>
      <c r="C266" s="121"/>
      <c r="D266" s="44"/>
      <c r="E266" s="44"/>
      <c r="F266" s="87" t="s">
        <v>213</v>
      </c>
      <c r="G266" s="83"/>
      <c r="H266" s="95"/>
      <c r="I266" s="44"/>
      <c r="J266" s="44"/>
      <c r="K266" s="121"/>
      <c r="L266" s="74"/>
      <c r="M266" s="74"/>
      <c r="N266" s="44"/>
      <c r="O266" s="44"/>
      <c r="P266" s="44"/>
      <c r="Q266" s="44"/>
      <c r="R266" s="44"/>
      <c r="S266" s="44"/>
      <c r="T266" s="44"/>
      <c r="U266" s="44"/>
      <c r="V266" s="44"/>
      <c r="W266" s="44"/>
      <c r="X266" s="44"/>
      <c r="Y266" s="44"/>
    </row>
    <row r="267">
      <c r="A267" s="96" t="s">
        <v>214</v>
      </c>
      <c r="B267" s="124"/>
      <c r="C267" s="135"/>
      <c r="D267" s="52"/>
      <c r="E267" s="44"/>
      <c r="F267" s="76" t="s">
        <v>34</v>
      </c>
      <c r="G267" s="83"/>
      <c r="H267" s="79">
        <v>20.0</v>
      </c>
      <c r="I267" s="44"/>
      <c r="J267" s="44"/>
      <c r="K267" s="121"/>
      <c r="L267" s="74"/>
      <c r="M267" s="74"/>
      <c r="N267" s="44"/>
      <c r="O267" s="44"/>
      <c r="P267" s="44"/>
      <c r="Q267" s="44"/>
      <c r="R267" s="44"/>
      <c r="S267" s="44"/>
      <c r="T267" s="44"/>
      <c r="U267" s="44"/>
      <c r="V267" s="44"/>
      <c r="W267" s="44"/>
      <c r="X267" s="44"/>
      <c r="Y267" s="44"/>
    </row>
    <row r="268">
      <c r="A268" s="125" t="s">
        <v>272</v>
      </c>
      <c r="B268" s="121"/>
      <c r="C268" s="121"/>
      <c r="D268" s="44"/>
      <c r="E268" s="44"/>
      <c r="F268" s="87" t="s">
        <v>216</v>
      </c>
      <c r="G268" s="83"/>
      <c r="H268" s="79">
        <v>79.0</v>
      </c>
      <c r="I268" s="45" t="s">
        <v>318</v>
      </c>
      <c r="J268" s="44"/>
      <c r="K268" s="121"/>
      <c r="L268" s="74"/>
      <c r="M268" s="74"/>
      <c r="N268" s="44"/>
      <c r="O268" s="44"/>
      <c r="P268" s="44"/>
      <c r="Q268" s="44"/>
      <c r="R268" s="44"/>
      <c r="S268" s="44"/>
      <c r="T268" s="44"/>
      <c r="U268" s="44"/>
      <c r="V268" s="44"/>
      <c r="W268" s="44"/>
      <c r="X268" s="44"/>
      <c r="Y268" s="44"/>
    </row>
    <row r="269">
      <c r="A269" s="96" t="s">
        <v>215</v>
      </c>
      <c r="B269" s="121"/>
      <c r="C269" s="121"/>
      <c r="D269" s="44"/>
      <c r="E269" s="44"/>
      <c r="F269" s="76" t="s">
        <v>108</v>
      </c>
      <c r="G269" s="83"/>
      <c r="H269" s="79">
        <v>50.0</v>
      </c>
      <c r="I269" s="144">
        <v>44016.0</v>
      </c>
      <c r="J269" s="44"/>
      <c r="K269" s="121"/>
      <c r="L269" s="74"/>
      <c r="M269" s="74"/>
      <c r="N269" s="44"/>
      <c r="O269" s="44"/>
      <c r="P269" s="44"/>
      <c r="Q269" s="44"/>
      <c r="R269" s="44"/>
      <c r="S269" s="44"/>
      <c r="T269" s="44"/>
      <c r="U269" s="44"/>
      <c r="V269" s="44"/>
      <c r="W269" s="44"/>
      <c r="X269" s="44"/>
      <c r="Y269" s="44"/>
    </row>
    <row r="270">
      <c r="A270" s="44"/>
      <c r="B270" s="121"/>
      <c r="C270" s="114"/>
      <c r="D270" s="44"/>
      <c r="E270" s="44"/>
      <c r="F270" s="97" t="s">
        <v>156</v>
      </c>
      <c r="G270" s="83"/>
      <c r="H270" s="85"/>
      <c r="I270" s="44"/>
      <c r="J270" s="44"/>
      <c r="K270" s="121"/>
      <c r="L270" s="74"/>
      <c r="M270" s="74"/>
      <c r="N270" s="44"/>
      <c r="O270" s="44"/>
      <c r="P270" s="44"/>
      <c r="Q270" s="44"/>
      <c r="R270" s="44"/>
      <c r="S270" s="44"/>
      <c r="T270" s="44"/>
      <c r="U270" s="44"/>
      <c r="V270" s="44"/>
      <c r="W270" s="44"/>
      <c r="X270" s="44"/>
      <c r="Y270" s="44"/>
    </row>
    <row r="271">
      <c r="A271" s="44"/>
      <c r="B271" s="121"/>
      <c r="C271" s="121"/>
      <c r="D271" s="44"/>
      <c r="E271" s="44"/>
      <c r="F271" s="84" t="s">
        <v>217</v>
      </c>
      <c r="G271" s="83"/>
      <c r="H271" s="79"/>
      <c r="I271" s="44"/>
      <c r="J271" s="44"/>
      <c r="K271" s="121"/>
      <c r="L271" s="74"/>
      <c r="M271" s="74"/>
      <c r="N271" s="44"/>
      <c r="O271" s="44"/>
      <c r="P271" s="44"/>
      <c r="Q271" s="44"/>
      <c r="R271" s="44"/>
      <c r="S271" s="44"/>
      <c r="T271" s="44"/>
      <c r="U271" s="44"/>
      <c r="V271" s="44"/>
      <c r="W271" s="44"/>
      <c r="X271" s="44"/>
      <c r="Y271" s="44"/>
    </row>
    <row r="272">
      <c r="A272" s="44"/>
      <c r="B272" s="121"/>
      <c r="C272" s="121"/>
      <c r="D272" s="44"/>
      <c r="E272" s="44"/>
      <c r="F272" s="87" t="s">
        <v>218</v>
      </c>
      <c r="G272" s="83"/>
      <c r="H272" s="85"/>
      <c r="I272" s="44"/>
      <c r="J272" s="44"/>
      <c r="K272" s="121"/>
      <c r="L272" s="74"/>
      <c r="M272" s="74"/>
      <c r="N272" s="44"/>
      <c r="O272" s="44"/>
      <c r="P272" s="44"/>
      <c r="Q272" s="44"/>
      <c r="R272" s="44"/>
      <c r="S272" s="44"/>
      <c r="T272" s="44"/>
      <c r="U272" s="44"/>
      <c r="V272" s="44"/>
      <c r="W272" s="44"/>
      <c r="X272" s="44"/>
      <c r="Y272" s="44"/>
    </row>
    <row r="273">
      <c r="A273" s="44"/>
      <c r="B273" s="121"/>
      <c r="C273" s="121"/>
      <c r="D273" s="44"/>
      <c r="E273" s="44"/>
      <c r="F273" s="76" t="s">
        <v>131</v>
      </c>
      <c r="G273" s="83"/>
      <c r="H273" s="85"/>
      <c r="I273" s="44"/>
      <c r="J273" s="44"/>
      <c r="K273" s="121"/>
      <c r="L273" s="74"/>
      <c r="M273" s="74"/>
      <c r="N273" s="44"/>
      <c r="O273" s="44"/>
      <c r="P273" s="44"/>
      <c r="Q273" s="44"/>
      <c r="R273" s="44"/>
      <c r="S273" s="44"/>
      <c r="T273" s="44"/>
      <c r="U273" s="44"/>
      <c r="V273" s="44"/>
      <c r="W273" s="44"/>
      <c r="X273" s="44"/>
      <c r="Y273" s="44"/>
    </row>
    <row r="274">
      <c r="A274" s="44"/>
      <c r="B274" s="121"/>
      <c r="C274" s="121"/>
      <c r="D274" s="44"/>
      <c r="E274" s="44"/>
      <c r="F274" s="76" t="s">
        <v>18</v>
      </c>
      <c r="G274" s="83"/>
      <c r="H274" s="85"/>
      <c r="I274" s="44"/>
      <c r="J274" s="44"/>
      <c r="K274" s="121"/>
      <c r="L274" s="74"/>
      <c r="M274" s="74"/>
      <c r="N274" s="44"/>
      <c r="O274" s="44"/>
      <c r="P274" s="44"/>
      <c r="Q274" s="44"/>
      <c r="R274" s="44"/>
      <c r="S274" s="44"/>
      <c r="T274" s="44"/>
      <c r="U274" s="44"/>
      <c r="V274" s="44"/>
      <c r="W274" s="44"/>
      <c r="X274" s="44"/>
      <c r="Y274" s="44"/>
    </row>
    <row r="275">
      <c r="A275" s="44"/>
      <c r="B275" s="121"/>
      <c r="C275" s="121"/>
      <c r="D275" s="44"/>
      <c r="E275" s="44"/>
      <c r="F275" s="98" t="s">
        <v>19</v>
      </c>
      <c r="G275" s="83"/>
      <c r="H275" s="85"/>
      <c r="I275" s="44"/>
      <c r="J275" s="44"/>
      <c r="K275" s="121"/>
      <c r="L275" s="74"/>
      <c r="M275" s="74"/>
      <c r="N275" s="44"/>
      <c r="O275" s="44"/>
      <c r="P275" s="44"/>
      <c r="Q275" s="44"/>
      <c r="R275" s="44"/>
      <c r="S275" s="44"/>
      <c r="T275" s="44"/>
      <c r="U275" s="44"/>
      <c r="V275" s="44"/>
      <c r="W275" s="44"/>
      <c r="X275" s="44"/>
      <c r="Y275" s="44"/>
    </row>
    <row r="276">
      <c r="A276" s="44"/>
      <c r="B276" s="121"/>
      <c r="C276" s="121"/>
      <c r="D276" s="44"/>
      <c r="E276" s="44"/>
      <c r="F276" s="76" t="s">
        <v>20</v>
      </c>
      <c r="G276" s="83"/>
      <c r="H276" s="79">
        <v>100.0</v>
      </c>
      <c r="I276" s="44"/>
      <c r="J276" s="44"/>
      <c r="K276" s="121"/>
      <c r="L276" s="74"/>
      <c r="M276" s="74"/>
      <c r="N276" s="44"/>
      <c r="O276" s="44"/>
      <c r="P276" s="44"/>
      <c r="Q276" s="44"/>
      <c r="R276" s="44"/>
      <c r="S276" s="44"/>
      <c r="T276" s="44"/>
      <c r="U276" s="44"/>
      <c r="V276" s="44"/>
      <c r="W276" s="44"/>
      <c r="X276" s="44"/>
      <c r="Y276" s="44"/>
    </row>
    <row r="277">
      <c r="A277" s="44"/>
      <c r="B277" s="121"/>
      <c r="C277" s="121"/>
      <c r="D277" s="44"/>
      <c r="E277" s="44"/>
      <c r="F277" s="87" t="s">
        <v>192</v>
      </c>
      <c r="G277" s="83"/>
      <c r="H277" s="79">
        <v>1535.0</v>
      </c>
      <c r="I277" s="45" t="s">
        <v>319</v>
      </c>
      <c r="J277" s="45">
        <v>950.0</v>
      </c>
      <c r="K277" s="121"/>
      <c r="L277" s="74"/>
      <c r="M277" s="74"/>
      <c r="N277" s="44"/>
      <c r="O277" s="44"/>
      <c r="P277" s="44"/>
      <c r="Q277" s="44"/>
      <c r="R277" s="44"/>
      <c r="S277" s="44"/>
      <c r="T277" s="44"/>
      <c r="U277" s="44"/>
      <c r="V277" s="44"/>
      <c r="W277" s="44"/>
      <c r="X277" s="44"/>
      <c r="Y277" s="44"/>
    </row>
    <row r="278">
      <c r="A278" s="44"/>
      <c r="B278" s="121"/>
      <c r="C278" s="121"/>
      <c r="D278" s="44"/>
      <c r="E278" s="44"/>
      <c r="F278" s="87" t="s">
        <v>202</v>
      </c>
      <c r="G278" s="99"/>
      <c r="H278" s="79">
        <v>270.0</v>
      </c>
      <c r="I278" s="45" t="s">
        <v>290</v>
      </c>
      <c r="J278" s="44"/>
      <c r="K278" s="121"/>
      <c r="L278" s="74"/>
      <c r="M278" s="74"/>
      <c r="N278" s="44"/>
      <c r="O278" s="44"/>
      <c r="P278" s="44"/>
      <c r="Q278" s="44"/>
      <c r="R278" s="44"/>
      <c r="S278" s="44"/>
      <c r="T278" s="44"/>
      <c r="U278" s="44"/>
      <c r="V278" s="44"/>
      <c r="W278" s="44"/>
      <c r="X278" s="44"/>
      <c r="Y278" s="44"/>
    </row>
    <row r="279">
      <c r="A279" s="65"/>
      <c r="B279" s="121"/>
      <c r="C279" s="124"/>
      <c r="D279" s="44"/>
      <c r="E279" s="44"/>
      <c r="F279" s="87" t="s">
        <v>219</v>
      </c>
      <c r="G279" s="83"/>
      <c r="H279" s="95"/>
      <c r="I279" s="44"/>
      <c r="J279" s="44"/>
      <c r="K279" s="121"/>
      <c r="L279" s="74"/>
      <c r="M279" s="74"/>
      <c r="N279" s="44"/>
      <c r="O279" s="44"/>
      <c r="P279" s="44"/>
      <c r="Q279" s="44"/>
      <c r="R279" s="44"/>
      <c r="S279" s="44"/>
      <c r="T279" s="44"/>
      <c r="U279" s="44"/>
      <c r="V279" s="44"/>
      <c r="W279" s="44"/>
      <c r="X279" s="44"/>
      <c r="Y279" s="44"/>
    </row>
    <row r="280">
      <c r="A280" s="65"/>
      <c r="B280" s="121"/>
      <c r="C280" s="124"/>
      <c r="D280" s="44"/>
      <c r="E280" s="44"/>
      <c r="F280" s="87" t="s">
        <v>220</v>
      </c>
      <c r="G280" s="83"/>
      <c r="H280" s="95"/>
      <c r="I280" s="44"/>
      <c r="J280" s="44"/>
      <c r="K280" s="121"/>
      <c r="L280" s="74"/>
      <c r="M280" s="74"/>
      <c r="N280" s="44"/>
      <c r="O280" s="44"/>
      <c r="P280" s="44"/>
      <c r="Q280" s="44"/>
      <c r="R280" s="44"/>
      <c r="S280" s="44"/>
      <c r="T280" s="44"/>
      <c r="U280" s="44"/>
      <c r="V280" s="44"/>
      <c r="W280" s="44"/>
      <c r="X280" s="44"/>
      <c r="Y280" s="44"/>
    </row>
    <row r="281">
      <c r="B281" s="120"/>
      <c r="C281" s="120"/>
      <c r="F281" s="94"/>
      <c r="H281" s="75"/>
      <c r="K281" s="120"/>
      <c r="L281" s="75"/>
      <c r="M281" s="75"/>
    </row>
    <row r="282">
      <c r="B282" s="120"/>
      <c r="C282" s="120"/>
      <c r="F282" s="94"/>
      <c r="H282" s="75"/>
      <c r="K282" s="120"/>
      <c r="L282" s="75"/>
      <c r="M282" s="75"/>
    </row>
    <row r="283">
      <c r="A283" s="73" t="s">
        <v>257</v>
      </c>
      <c r="B283" s="120"/>
      <c r="C283" s="120"/>
      <c r="D283" s="52"/>
      <c r="E283" s="52"/>
      <c r="F283" s="76"/>
      <c r="G283" s="44"/>
      <c r="H283" s="77"/>
      <c r="I283" s="44"/>
      <c r="J283" s="44"/>
      <c r="K283" s="121"/>
      <c r="L283" s="74"/>
      <c r="M283" s="74"/>
      <c r="N283" s="44"/>
      <c r="O283" s="44"/>
      <c r="P283" s="44"/>
      <c r="Q283" s="44"/>
      <c r="R283" s="44"/>
      <c r="S283" s="44"/>
      <c r="T283" s="44"/>
      <c r="U283" s="44"/>
      <c r="V283" s="44"/>
      <c r="W283" s="44"/>
      <c r="X283" s="44"/>
      <c r="Y283" s="44"/>
    </row>
    <row r="284">
      <c r="A284" s="52"/>
      <c r="B284" s="121"/>
      <c r="C284" s="121"/>
      <c r="D284" s="52"/>
      <c r="E284" s="52"/>
      <c r="F284" s="79" t="s">
        <v>0</v>
      </c>
      <c r="G284" s="44"/>
      <c r="H284" s="77"/>
      <c r="I284" s="44"/>
      <c r="J284" s="44"/>
      <c r="K284" s="138" t="s">
        <v>309</v>
      </c>
      <c r="L284" s="139"/>
      <c r="M284" s="140"/>
      <c r="N284" s="44"/>
      <c r="O284" s="44"/>
      <c r="P284" s="44"/>
      <c r="Q284" s="44"/>
      <c r="R284" s="44"/>
      <c r="S284" s="44"/>
      <c r="T284" s="44"/>
      <c r="U284" s="44"/>
      <c r="V284" s="44"/>
      <c r="W284" s="44"/>
      <c r="X284" s="44"/>
      <c r="Y284" s="44"/>
    </row>
    <row r="285">
      <c r="A285" s="80" t="s">
        <v>179</v>
      </c>
      <c r="B285" s="145">
        <v>14494.0</v>
      </c>
      <c r="D285" s="52"/>
      <c r="E285" s="82"/>
      <c r="F285" s="87" t="s">
        <v>320</v>
      </c>
      <c r="G285" s="83"/>
      <c r="H285" s="79">
        <v>213.0</v>
      </c>
      <c r="I285" s="44"/>
      <c r="J285" s="44"/>
      <c r="K285" s="141"/>
      <c r="L285" s="142" t="s">
        <v>315</v>
      </c>
      <c r="M285" s="143" t="s">
        <v>316</v>
      </c>
      <c r="N285" s="44"/>
      <c r="O285" s="44"/>
      <c r="P285" s="44"/>
      <c r="Q285" s="44"/>
      <c r="R285" s="44"/>
      <c r="S285" s="44"/>
      <c r="T285" s="44"/>
      <c r="U285" s="44"/>
      <c r="V285" s="44"/>
      <c r="W285" s="44"/>
      <c r="X285" s="44"/>
      <c r="Y285" s="44"/>
    </row>
    <row r="286">
      <c r="A286" s="76"/>
      <c r="B286" s="114" t="s">
        <v>321</v>
      </c>
      <c r="C286" s="114">
        <v>5278.0</v>
      </c>
      <c r="D286" s="44"/>
      <c r="E286" s="44"/>
      <c r="F286" s="84" t="s">
        <v>207</v>
      </c>
      <c r="G286" s="83"/>
      <c r="H286" s="85"/>
      <c r="I286" s="44"/>
      <c r="J286" s="44"/>
      <c r="K286" s="121"/>
      <c r="L286" s="74"/>
      <c r="M286" s="74"/>
      <c r="N286" s="44"/>
      <c r="O286" s="44"/>
      <c r="P286" s="44"/>
      <c r="Q286" s="44"/>
      <c r="R286" s="44"/>
      <c r="S286" s="44"/>
      <c r="T286" s="44"/>
      <c r="U286" s="44"/>
      <c r="V286" s="44"/>
      <c r="W286" s="44"/>
      <c r="X286" s="44"/>
      <c r="Y286" s="44"/>
    </row>
    <row r="287">
      <c r="A287" s="86" t="s">
        <v>201</v>
      </c>
      <c r="B287" s="121"/>
      <c r="C287" s="121"/>
      <c r="D287" s="44"/>
      <c r="E287" s="44"/>
      <c r="F287" s="76" t="s">
        <v>6</v>
      </c>
      <c r="G287" s="83"/>
      <c r="H287" s="85"/>
      <c r="I287" s="44"/>
      <c r="J287" s="44"/>
      <c r="K287" s="121"/>
      <c r="L287" s="74"/>
      <c r="M287" s="74"/>
      <c r="N287" s="44"/>
      <c r="O287" s="44"/>
      <c r="P287" s="44"/>
      <c r="Q287" s="44"/>
      <c r="R287" s="44"/>
      <c r="S287" s="44"/>
      <c r="T287" s="44"/>
      <c r="U287" s="44"/>
      <c r="V287" s="44"/>
      <c r="W287" s="44"/>
      <c r="X287" s="44"/>
      <c r="Y287" s="44"/>
    </row>
    <row r="288">
      <c r="A288" s="76"/>
      <c r="B288" s="121"/>
      <c r="C288" s="121"/>
      <c r="D288" s="44"/>
      <c r="E288" s="44"/>
      <c r="F288" s="87" t="s">
        <v>7</v>
      </c>
      <c r="G288" s="83"/>
      <c r="H288" s="79"/>
      <c r="I288" s="44"/>
      <c r="J288" s="44"/>
      <c r="K288" s="121"/>
      <c r="L288" s="74"/>
      <c r="M288" s="74"/>
      <c r="N288" s="44"/>
      <c r="O288" s="44"/>
      <c r="P288" s="44"/>
      <c r="Q288" s="44"/>
      <c r="R288" s="44"/>
      <c r="S288" s="44"/>
      <c r="T288" s="44"/>
      <c r="U288" s="44"/>
      <c r="V288" s="44"/>
      <c r="W288" s="44"/>
      <c r="X288" s="44"/>
      <c r="Y288" s="44"/>
    </row>
    <row r="289">
      <c r="A289" s="89" t="s">
        <v>322</v>
      </c>
      <c r="B289" s="134"/>
      <c r="C289" s="102"/>
      <c r="D289" s="44"/>
      <c r="E289" s="44"/>
      <c r="F289" s="84" t="s">
        <v>210</v>
      </c>
      <c r="G289" s="83"/>
      <c r="H289" s="95"/>
      <c r="I289" s="44"/>
      <c r="J289" s="44"/>
      <c r="K289" s="121"/>
      <c r="L289" s="74"/>
      <c r="M289" s="74"/>
      <c r="N289" s="44"/>
      <c r="O289" s="44"/>
      <c r="P289" s="44"/>
      <c r="Q289" s="44"/>
      <c r="R289" s="44"/>
      <c r="S289" s="44"/>
      <c r="T289" s="44"/>
      <c r="U289" s="44"/>
      <c r="V289" s="44"/>
      <c r="W289" s="44"/>
      <c r="X289" s="44"/>
      <c r="Y289" s="44"/>
    </row>
    <row r="290">
      <c r="B290" s="103"/>
      <c r="C290" s="50"/>
      <c r="D290" s="44"/>
      <c r="E290" s="44"/>
      <c r="F290" s="84" t="s">
        <v>211</v>
      </c>
      <c r="G290" s="83"/>
      <c r="H290" s="79">
        <v>563.0</v>
      </c>
      <c r="I290" s="45" t="s">
        <v>323</v>
      </c>
      <c r="J290" s="44"/>
      <c r="K290" s="121"/>
      <c r="L290" s="74"/>
      <c r="M290" s="74"/>
      <c r="N290" s="44"/>
      <c r="O290" s="44"/>
      <c r="P290" s="44"/>
      <c r="Q290" s="44"/>
      <c r="R290" s="44"/>
      <c r="S290" s="44"/>
      <c r="T290" s="44"/>
      <c r="U290" s="44"/>
      <c r="V290" s="44"/>
      <c r="W290" s="44"/>
      <c r="X290" s="44"/>
      <c r="Y290" s="44"/>
    </row>
    <row r="291">
      <c r="A291" s="94"/>
      <c r="B291" s="121"/>
      <c r="C291" s="121"/>
      <c r="D291" s="44"/>
      <c r="E291" s="44"/>
      <c r="F291" s="87" t="s">
        <v>26</v>
      </c>
      <c r="G291" s="83"/>
      <c r="H291" s="79">
        <v>153.0</v>
      </c>
      <c r="I291" s="45" t="s">
        <v>324</v>
      </c>
      <c r="J291" s="44"/>
      <c r="K291" s="121"/>
      <c r="L291" s="74"/>
      <c r="M291" s="74"/>
      <c r="N291" s="44"/>
      <c r="O291" s="44"/>
      <c r="P291" s="44"/>
      <c r="Q291" s="44"/>
      <c r="R291" s="44"/>
      <c r="S291" s="44"/>
      <c r="T291" s="44"/>
      <c r="U291" s="44"/>
      <c r="V291" s="44"/>
      <c r="W291" s="44"/>
      <c r="X291" s="44"/>
      <c r="Y291" s="44"/>
    </row>
    <row r="292">
      <c r="A292" s="96" t="s">
        <v>214</v>
      </c>
      <c r="B292" s="114">
        <v>1200.0</v>
      </c>
      <c r="D292" s="52"/>
      <c r="E292" s="44"/>
      <c r="F292" s="76" t="s">
        <v>34</v>
      </c>
      <c r="G292" s="83"/>
      <c r="H292" s="79">
        <v>40.0</v>
      </c>
      <c r="I292" s="44"/>
      <c r="J292" s="44"/>
      <c r="K292" s="121"/>
      <c r="L292" s="74"/>
      <c r="M292" s="74"/>
      <c r="N292" s="44"/>
      <c r="O292" s="44"/>
      <c r="P292" s="44"/>
      <c r="Q292" s="44"/>
      <c r="R292" s="44"/>
      <c r="S292" s="44"/>
      <c r="T292" s="44"/>
      <c r="U292" s="44"/>
      <c r="V292" s="44"/>
      <c r="W292" s="44"/>
      <c r="X292" s="44"/>
      <c r="Y292" s="44"/>
    </row>
    <row r="293">
      <c r="A293" s="125" t="s">
        <v>272</v>
      </c>
      <c r="B293" s="146">
        <v>8970.0</v>
      </c>
      <c r="C293" s="26"/>
      <c r="D293" s="44"/>
      <c r="E293" s="44"/>
      <c r="F293" s="87" t="s">
        <v>216</v>
      </c>
      <c r="G293" s="83"/>
      <c r="H293" s="85"/>
      <c r="I293" s="44"/>
      <c r="J293" s="44"/>
      <c r="K293" s="121"/>
      <c r="L293" s="74"/>
      <c r="M293" s="74"/>
      <c r="N293" s="44"/>
      <c r="O293" s="44"/>
      <c r="P293" s="44"/>
      <c r="Q293" s="44"/>
      <c r="R293" s="44"/>
      <c r="S293" s="44"/>
      <c r="T293" s="44"/>
      <c r="U293" s="44"/>
      <c r="V293" s="44"/>
      <c r="W293" s="44"/>
      <c r="X293" s="44"/>
      <c r="Y293" s="44"/>
    </row>
    <row r="294">
      <c r="A294" s="96" t="s">
        <v>215</v>
      </c>
      <c r="B294" s="114">
        <v>4400.0</v>
      </c>
      <c r="D294" s="44"/>
      <c r="E294" s="44"/>
      <c r="F294" s="76" t="s">
        <v>108</v>
      </c>
      <c r="G294" s="83"/>
      <c r="H294" s="79">
        <v>313.0</v>
      </c>
      <c r="I294" s="45" t="s">
        <v>325</v>
      </c>
      <c r="L294" s="74"/>
      <c r="M294" s="74"/>
      <c r="N294" s="44"/>
      <c r="O294" s="44"/>
      <c r="P294" s="44"/>
      <c r="Q294" s="44"/>
      <c r="R294" s="44"/>
      <c r="S294" s="44"/>
      <c r="T294" s="44"/>
      <c r="U294" s="44"/>
      <c r="V294" s="44"/>
      <c r="W294" s="44"/>
      <c r="X294" s="44"/>
      <c r="Y294" s="44"/>
    </row>
    <row r="295">
      <c r="A295" s="44"/>
      <c r="B295" s="121"/>
      <c r="C295" s="121"/>
      <c r="D295" s="44"/>
      <c r="E295" s="44"/>
      <c r="F295" s="97" t="s">
        <v>156</v>
      </c>
      <c r="G295" s="83"/>
      <c r="H295" s="79">
        <v>1250.0</v>
      </c>
      <c r="I295" s="44"/>
      <c r="J295" s="44"/>
      <c r="K295" s="121"/>
      <c r="L295" s="74"/>
      <c r="M295" s="74"/>
      <c r="N295" s="44"/>
      <c r="O295" s="44"/>
      <c r="P295" s="44"/>
      <c r="Q295" s="44"/>
      <c r="R295" s="44"/>
      <c r="S295" s="44"/>
      <c r="T295" s="44"/>
      <c r="U295" s="44"/>
      <c r="V295" s="44"/>
      <c r="W295" s="44"/>
      <c r="X295" s="44"/>
      <c r="Y295" s="44"/>
    </row>
    <row r="296">
      <c r="A296" s="45" t="s">
        <v>326</v>
      </c>
      <c r="B296" s="121"/>
      <c r="C296" s="121"/>
      <c r="D296" s="44"/>
      <c r="E296" s="44"/>
      <c r="F296" s="84" t="s">
        <v>217</v>
      </c>
      <c r="G296" s="83"/>
      <c r="H296" s="79"/>
      <c r="I296" s="44"/>
      <c r="J296" s="44"/>
      <c r="K296" s="121"/>
      <c r="L296" s="74"/>
      <c r="M296" s="74"/>
      <c r="N296" s="44"/>
      <c r="O296" s="44"/>
      <c r="P296" s="44"/>
      <c r="Q296" s="44"/>
      <c r="R296" s="44"/>
      <c r="S296" s="44"/>
      <c r="T296" s="44"/>
      <c r="U296" s="44"/>
      <c r="V296" s="44"/>
      <c r="W296" s="44"/>
      <c r="X296" s="44"/>
      <c r="Y296" s="44"/>
    </row>
    <row r="297">
      <c r="A297" s="44"/>
      <c r="B297" s="121"/>
      <c r="C297" s="121"/>
      <c r="D297" s="44"/>
      <c r="E297" s="44"/>
      <c r="F297" s="87" t="s">
        <v>218</v>
      </c>
      <c r="G297" s="83"/>
      <c r="H297" s="85"/>
      <c r="I297" s="44"/>
      <c r="J297" s="44"/>
      <c r="K297" s="121"/>
      <c r="L297" s="74"/>
      <c r="M297" s="74"/>
      <c r="N297" s="44"/>
      <c r="O297" s="44"/>
      <c r="P297" s="44"/>
      <c r="Q297" s="44"/>
      <c r="R297" s="44"/>
      <c r="S297" s="44"/>
      <c r="T297" s="44"/>
      <c r="U297" s="44"/>
      <c r="V297" s="44"/>
      <c r="W297" s="44"/>
      <c r="X297" s="44"/>
      <c r="Y297" s="44"/>
    </row>
    <row r="298">
      <c r="A298" s="44"/>
      <c r="B298" s="121"/>
      <c r="C298" s="121"/>
      <c r="D298" s="44"/>
      <c r="E298" s="44"/>
      <c r="F298" s="76" t="s">
        <v>131</v>
      </c>
      <c r="G298" s="83"/>
      <c r="H298" s="79">
        <v>250.0</v>
      </c>
      <c r="I298" s="45" t="s">
        <v>327</v>
      </c>
      <c r="J298" s="44"/>
      <c r="K298" s="121"/>
      <c r="L298" s="74"/>
      <c r="M298" s="74"/>
      <c r="N298" s="44"/>
      <c r="O298" s="44"/>
      <c r="P298" s="44"/>
      <c r="Q298" s="44"/>
      <c r="R298" s="44"/>
      <c r="S298" s="44"/>
      <c r="T298" s="44"/>
      <c r="U298" s="44"/>
      <c r="V298" s="44"/>
      <c r="W298" s="44"/>
      <c r="X298" s="44"/>
      <c r="Y298" s="44"/>
    </row>
    <row r="299">
      <c r="A299" s="44"/>
      <c r="B299" s="121"/>
      <c r="C299" s="121"/>
      <c r="D299" s="44"/>
      <c r="E299" s="44"/>
      <c r="F299" s="76" t="s">
        <v>18</v>
      </c>
      <c r="G299" s="83"/>
      <c r="H299" s="79">
        <v>80.0</v>
      </c>
      <c r="I299" s="45" t="s">
        <v>328</v>
      </c>
      <c r="J299" s="44"/>
      <c r="K299" s="121"/>
      <c r="L299" s="74"/>
      <c r="M299" s="74"/>
      <c r="N299" s="44"/>
      <c r="O299" s="44"/>
      <c r="P299" s="44"/>
      <c r="Q299" s="44"/>
      <c r="R299" s="44"/>
      <c r="S299" s="44"/>
      <c r="T299" s="44"/>
      <c r="U299" s="44"/>
      <c r="V299" s="44"/>
      <c r="W299" s="44"/>
      <c r="X299" s="44"/>
      <c r="Y299" s="44"/>
    </row>
    <row r="300">
      <c r="A300" s="44"/>
      <c r="B300" s="121"/>
      <c r="C300" s="121"/>
      <c r="D300" s="44"/>
      <c r="E300" s="44"/>
      <c r="F300" s="98" t="s">
        <v>19</v>
      </c>
      <c r="G300" s="83"/>
      <c r="H300" s="85"/>
      <c r="I300" s="44"/>
      <c r="J300" s="44"/>
      <c r="K300" s="121"/>
      <c r="L300" s="74"/>
      <c r="M300" s="74"/>
      <c r="N300" s="44"/>
      <c r="O300" s="44"/>
      <c r="P300" s="44"/>
      <c r="Q300" s="44"/>
      <c r="R300" s="44"/>
      <c r="S300" s="44"/>
      <c r="T300" s="44"/>
      <c r="U300" s="44"/>
      <c r="V300" s="44"/>
      <c r="W300" s="44"/>
      <c r="X300" s="44"/>
      <c r="Y300" s="44"/>
    </row>
    <row r="301">
      <c r="A301" s="44"/>
      <c r="B301" s="121"/>
      <c r="C301" s="121"/>
      <c r="D301" s="44"/>
      <c r="E301" s="44"/>
      <c r="F301" s="76" t="s">
        <v>20</v>
      </c>
      <c r="G301" s="83"/>
      <c r="H301" s="79">
        <v>50.0</v>
      </c>
      <c r="I301" s="44"/>
      <c r="J301" s="44"/>
      <c r="K301" s="121"/>
      <c r="L301" s="74"/>
      <c r="M301" s="74"/>
      <c r="N301" s="44"/>
      <c r="O301" s="44"/>
      <c r="P301" s="44"/>
      <c r="Q301" s="44"/>
      <c r="R301" s="44"/>
      <c r="S301" s="44"/>
      <c r="T301" s="44"/>
      <c r="U301" s="44"/>
      <c r="V301" s="44"/>
      <c r="W301" s="44"/>
      <c r="X301" s="44"/>
      <c r="Y301" s="44"/>
    </row>
    <row r="302">
      <c r="A302" s="44"/>
      <c r="B302" s="121"/>
      <c r="C302" s="121"/>
      <c r="D302" s="44"/>
      <c r="E302" s="44"/>
      <c r="F302" s="87" t="s">
        <v>192</v>
      </c>
      <c r="G302" s="83"/>
      <c r="H302" s="79">
        <v>1930.0</v>
      </c>
      <c r="I302" s="45" t="s">
        <v>329</v>
      </c>
      <c r="N302" s="44"/>
      <c r="O302" s="44"/>
      <c r="P302" s="44"/>
      <c r="Q302" s="44"/>
      <c r="R302" s="44"/>
      <c r="S302" s="44"/>
      <c r="T302" s="44"/>
      <c r="U302" s="44"/>
      <c r="V302" s="44"/>
      <c r="W302" s="44"/>
      <c r="X302" s="44"/>
      <c r="Y302" s="44"/>
    </row>
    <row r="303">
      <c r="A303" s="44"/>
      <c r="B303" s="121"/>
      <c r="C303" s="121"/>
      <c r="D303" s="44"/>
      <c r="E303" s="44"/>
      <c r="F303" s="87" t="s">
        <v>202</v>
      </c>
      <c r="G303" s="99"/>
      <c r="H303" s="79">
        <v>90.0</v>
      </c>
      <c r="I303" s="45" t="s">
        <v>290</v>
      </c>
      <c r="J303" s="44"/>
      <c r="K303" s="121"/>
      <c r="L303" s="74"/>
      <c r="M303" s="74"/>
      <c r="N303" s="44"/>
      <c r="O303" s="44"/>
      <c r="P303" s="44"/>
      <c r="Q303" s="44"/>
      <c r="R303" s="44"/>
      <c r="S303" s="44"/>
      <c r="T303" s="44"/>
      <c r="U303" s="44"/>
      <c r="V303" s="44"/>
      <c r="W303" s="44"/>
      <c r="X303" s="44"/>
      <c r="Y303" s="44"/>
    </row>
    <row r="304">
      <c r="A304" s="65"/>
      <c r="B304" s="121"/>
      <c r="C304" s="124"/>
      <c r="D304" s="44"/>
      <c r="E304" s="44"/>
      <c r="F304" s="87" t="s">
        <v>219</v>
      </c>
      <c r="G304" s="83"/>
      <c r="H304" s="79">
        <v>24.0</v>
      </c>
      <c r="I304" s="45" t="s">
        <v>330</v>
      </c>
      <c r="J304" s="44"/>
      <c r="K304" s="121"/>
      <c r="L304" s="74"/>
      <c r="M304" s="74"/>
      <c r="N304" s="44"/>
      <c r="O304" s="44"/>
      <c r="P304" s="44"/>
      <c r="Q304" s="44"/>
      <c r="R304" s="44"/>
      <c r="S304" s="44"/>
      <c r="T304" s="44"/>
      <c r="U304" s="44"/>
      <c r="V304" s="44"/>
      <c r="W304" s="44"/>
      <c r="X304" s="44"/>
      <c r="Y304" s="44"/>
    </row>
    <row r="305">
      <c r="A305" s="65"/>
      <c r="B305" s="121"/>
      <c r="C305" s="124"/>
      <c r="D305" s="44"/>
      <c r="E305" s="44"/>
      <c r="F305" s="87" t="s">
        <v>220</v>
      </c>
      <c r="G305" s="83"/>
      <c r="H305" s="79">
        <v>320.0</v>
      </c>
      <c r="I305" s="45" t="s">
        <v>331</v>
      </c>
      <c r="J305" s="44"/>
      <c r="K305" s="121"/>
      <c r="L305" s="74"/>
      <c r="M305" s="74"/>
      <c r="N305" s="44"/>
      <c r="O305" s="44"/>
      <c r="P305" s="44"/>
      <c r="Q305" s="44"/>
      <c r="R305" s="44"/>
      <c r="S305" s="44"/>
      <c r="T305" s="44"/>
      <c r="U305" s="44"/>
      <c r="V305" s="44"/>
      <c r="W305" s="44"/>
      <c r="X305" s="44"/>
      <c r="Y305" s="44"/>
    </row>
    <row r="306">
      <c r="B306" s="120"/>
      <c r="C306" s="120"/>
      <c r="F306" s="87" t="s">
        <v>30</v>
      </c>
      <c r="G306" s="83"/>
      <c r="H306" s="79">
        <v>600.0</v>
      </c>
      <c r="K306" s="120"/>
      <c r="L306" s="75"/>
      <c r="M306" s="75"/>
    </row>
    <row r="307">
      <c r="B307" s="120"/>
      <c r="C307" s="120"/>
      <c r="F307" s="94"/>
      <c r="H307" s="75"/>
      <c r="K307" s="120"/>
      <c r="L307" s="75"/>
      <c r="M307" s="75"/>
    </row>
    <row r="308">
      <c r="B308" s="120"/>
      <c r="C308" s="120"/>
      <c r="F308" s="94"/>
      <c r="H308" s="75"/>
      <c r="K308" s="120"/>
      <c r="L308" s="75"/>
      <c r="M308" s="75"/>
    </row>
    <row r="309">
      <c r="B309" s="120"/>
      <c r="C309" s="120"/>
      <c r="F309" s="94"/>
      <c r="H309" s="75"/>
      <c r="K309" s="120"/>
      <c r="L309" s="75"/>
      <c r="M309" s="75"/>
    </row>
    <row r="310">
      <c r="B310" s="120"/>
      <c r="C310" s="120"/>
      <c r="F310" s="94"/>
      <c r="H310" s="75"/>
      <c r="K310" s="120"/>
      <c r="L310" s="75"/>
      <c r="M310" s="75"/>
    </row>
    <row r="311">
      <c r="B311" s="120"/>
      <c r="C311" s="120"/>
      <c r="F311" s="94"/>
      <c r="H311" s="75"/>
      <c r="K311" s="120"/>
      <c r="L311" s="75"/>
      <c r="M311" s="75"/>
    </row>
    <row r="312">
      <c r="B312" s="120"/>
      <c r="C312" s="120"/>
      <c r="F312" s="94"/>
      <c r="H312" s="75"/>
      <c r="K312" s="120"/>
      <c r="L312" s="75"/>
      <c r="M312" s="75"/>
    </row>
    <row r="313">
      <c r="B313" s="120"/>
      <c r="C313" s="120"/>
      <c r="F313" s="94"/>
      <c r="H313" s="75"/>
      <c r="K313" s="120"/>
      <c r="L313" s="75"/>
      <c r="M313" s="75"/>
    </row>
    <row r="314">
      <c r="B314" s="120"/>
      <c r="C314" s="120"/>
      <c r="F314" s="94"/>
      <c r="H314" s="75"/>
      <c r="K314" s="120"/>
      <c r="L314" s="75"/>
      <c r="M314" s="75"/>
    </row>
    <row r="315">
      <c r="B315" s="120"/>
      <c r="C315" s="120"/>
      <c r="F315" s="94"/>
      <c r="H315" s="75"/>
      <c r="K315" s="120"/>
      <c r="L315" s="75"/>
      <c r="M315" s="75"/>
    </row>
    <row r="316">
      <c r="B316" s="120"/>
      <c r="C316" s="120"/>
      <c r="F316" s="94"/>
      <c r="H316" s="75"/>
      <c r="K316" s="120"/>
      <c r="L316" s="75"/>
      <c r="M316" s="75"/>
    </row>
    <row r="317">
      <c r="B317" s="120"/>
      <c r="C317" s="120"/>
      <c r="F317" s="94"/>
      <c r="H317" s="75"/>
      <c r="K317" s="120"/>
      <c r="L317" s="75"/>
      <c r="M317" s="75"/>
    </row>
    <row r="318">
      <c r="B318" s="120"/>
      <c r="C318" s="120"/>
      <c r="F318" s="94"/>
      <c r="H318" s="75"/>
      <c r="K318" s="120"/>
      <c r="L318" s="75"/>
      <c r="M318" s="75"/>
    </row>
    <row r="319">
      <c r="B319" s="120"/>
      <c r="C319" s="120"/>
      <c r="F319" s="94"/>
      <c r="H319" s="75"/>
      <c r="K319" s="120"/>
      <c r="L319" s="75"/>
      <c r="M319" s="75"/>
    </row>
    <row r="320">
      <c r="B320" s="120"/>
      <c r="C320" s="120"/>
      <c r="F320" s="94"/>
      <c r="H320" s="75"/>
      <c r="K320" s="120"/>
      <c r="L320" s="75"/>
      <c r="M320" s="75"/>
    </row>
    <row r="321">
      <c r="B321" s="120"/>
      <c r="C321" s="120"/>
      <c r="F321" s="94"/>
      <c r="H321" s="75"/>
      <c r="K321" s="120"/>
      <c r="L321" s="75"/>
      <c r="M321" s="75"/>
    </row>
    <row r="322">
      <c r="B322" s="120"/>
      <c r="C322" s="120"/>
      <c r="F322" s="94"/>
      <c r="H322" s="75"/>
      <c r="K322" s="120"/>
      <c r="L322" s="75"/>
      <c r="M322" s="75"/>
    </row>
    <row r="323">
      <c r="B323" s="120"/>
      <c r="C323" s="120"/>
      <c r="F323" s="94"/>
      <c r="H323" s="75"/>
      <c r="K323" s="120"/>
      <c r="L323" s="75"/>
      <c r="M323" s="75"/>
    </row>
    <row r="324">
      <c r="B324" s="120"/>
      <c r="C324" s="120"/>
      <c r="F324" s="94"/>
      <c r="H324" s="75"/>
      <c r="K324" s="120"/>
      <c r="L324" s="75"/>
      <c r="M324" s="75"/>
    </row>
    <row r="325">
      <c r="B325" s="120"/>
      <c r="C325" s="120"/>
      <c r="F325" s="94"/>
      <c r="H325" s="75"/>
      <c r="K325" s="120"/>
      <c r="L325" s="75"/>
      <c r="M325" s="75"/>
    </row>
    <row r="326">
      <c r="B326" s="120"/>
      <c r="C326" s="120"/>
      <c r="F326" s="94"/>
      <c r="H326" s="75"/>
      <c r="K326" s="120"/>
      <c r="L326" s="75"/>
      <c r="M326" s="75"/>
    </row>
    <row r="327">
      <c r="B327" s="120"/>
      <c r="C327" s="120"/>
      <c r="F327" s="94"/>
      <c r="H327" s="75"/>
      <c r="K327" s="120"/>
      <c r="L327" s="75"/>
      <c r="M327" s="75"/>
    </row>
    <row r="328">
      <c r="B328" s="120"/>
      <c r="C328" s="120"/>
      <c r="F328" s="94"/>
      <c r="H328" s="75"/>
      <c r="K328" s="120"/>
      <c r="L328" s="75"/>
      <c r="M328" s="75"/>
    </row>
    <row r="329">
      <c r="B329" s="120"/>
      <c r="C329" s="120"/>
      <c r="F329" s="94"/>
      <c r="H329" s="75"/>
      <c r="K329" s="120"/>
      <c r="L329" s="75"/>
      <c r="M329" s="75"/>
    </row>
    <row r="330">
      <c r="B330" s="120"/>
      <c r="C330" s="120"/>
      <c r="F330" s="94"/>
      <c r="H330" s="75"/>
      <c r="K330" s="120"/>
      <c r="L330" s="75"/>
      <c r="M330" s="75"/>
    </row>
    <row r="331">
      <c r="B331" s="120"/>
      <c r="C331" s="120"/>
      <c r="F331" s="94"/>
      <c r="H331" s="75"/>
      <c r="K331" s="120"/>
      <c r="L331" s="75"/>
      <c r="M331" s="75"/>
    </row>
    <row r="332">
      <c r="B332" s="120"/>
      <c r="C332" s="120"/>
      <c r="F332" s="94"/>
      <c r="H332" s="75"/>
      <c r="K332" s="120"/>
      <c r="L332" s="75"/>
      <c r="M332" s="75"/>
    </row>
    <row r="333">
      <c r="B333" s="120"/>
      <c r="C333" s="120"/>
      <c r="F333" s="94"/>
      <c r="H333" s="75"/>
      <c r="K333" s="120"/>
      <c r="L333" s="75"/>
      <c r="M333" s="75"/>
    </row>
    <row r="334">
      <c r="B334" s="120"/>
      <c r="C334" s="120"/>
      <c r="F334" s="94"/>
      <c r="H334" s="75"/>
      <c r="K334" s="120"/>
      <c r="L334" s="75"/>
      <c r="M334" s="75"/>
    </row>
    <row r="335">
      <c r="B335" s="120"/>
      <c r="C335" s="120"/>
      <c r="F335" s="94"/>
      <c r="H335" s="75"/>
      <c r="K335" s="120"/>
      <c r="L335" s="75"/>
      <c r="M335" s="75"/>
    </row>
    <row r="336">
      <c r="B336" s="120"/>
      <c r="C336" s="120"/>
      <c r="F336" s="94"/>
      <c r="H336" s="75"/>
      <c r="K336" s="120"/>
      <c r="L336" s="75"/>
      <c r="M336" s="75"/>
    </row>
    <row r="337">
      <c r="B337" s="120"/>
      <c r="C337" s="120"/>
      <c r="F337" s="94"/>
      <c r="H337" s="75"/>
      <c r="K337" s="120"/>
      <c r="L337" s="75"/>
      <c r="M337" s="75"/>
    </row>
    <row r="338">
      <c r="B338" s="120"/>
      <c r="C338" s="120"/>
      <c r="F338" s="94"/>
      <c r="H338" s="75"/>
      <c r="K338" s="120"/>
      <c r="L338" s="75"/>
      <c r="M338" s="75"/>
    </row>
    <row r="339">
      <c r="B339" s="120"/>
      <c r="C339" s="120"/>
      <c r="F339" s="94"/>
      <c r="H339" s="75"/>
      <c r="K339" s="120"/>
      <c r="L339" s="75"/>
      <c r="M339" s="75"/>
    </row>
    <row r="340">
      <c r="B340" s="120"/>
      <c r="C340" s="120"/>
      <c r="F340" s="94"/>
      <c r="H340" s="75"/>
      <c r="K340" s="120"/>
      <c r="L340" s="75"/>
      <c r="M340" s="75"/>
    </row>
    <row r="341">
      <c r="B341" s="120"/>
      <c r="C341" s="120"/>
      <c r="F341" s="94"/>
      <c r="H341" s="75"/>
      <c r="K341" s="120"/>
      <c r="L341" s="75"/>
      <c r="M341" s="75"/>
    </row>
    <row r="342">
      <c r="B342" s="120"/>
      <c r="C342" s="120"/>
      <c r="F342" s="94"/>
      <c r="H342" s="75"/>
      <c r="K342" s="120"/>
      <c r="L342" s="75"/>
      <c r="M342" s="75"/>
    </row>
    <row r="343">
      <c r="B343" s="120"/>
      <c r="C343" s="120"/>
      <c r="F343" s="94"/>
      <c r="H343" s="75"/>
      <c r="K343" s="120"/>
      <c r="L343" s="75"/>
      <c r="M343" s="75"/>
    </row>
    <row r="344">
      <c r="B344" s="120"/>
      <c r="C344" s="120"/>
      <c r="F344" s="94"/>
      <c r="H344" s="75"/>
      <c r="K344" s="120"/>
      <c r="L344" s="75"/>
      <c r="M344" s="75"/>
    </row>
    <row r="345">
      <c r="B345" s="120"/>
      <c r="C345" s="120"/>
      <c r="F345" s="94"/>
      <c r="H345" s="75"/>
      <c r="K345" s="120"/>
      <c r="L345" s="75"/>
      <c r="M345" s="75"/>
    </row>
    <row r="346">
      <c r="B346" s="120"/>
      <c r="C346" s="120"/>
      <c r="F346" s="94"/>
      <c r="H346" s="75"/>
      <c r="K346" s="120"/>
      <c r="L346" s="75"/>
      <c r="M346" s="75"/>
    </row>
    <row r="347">
      <c r="B347" s="120"/>
      <c r="C347" s="120"/>
      <c r="F347" s="94"/>
      <c r="H347" s="75"/>
      <c r="K347" s="120"/>
      <c r="L347" s="75"/>
      <c r="M347" s="75"/>
    </row>
    <row r="348">
      <c r="B348" s="120"/>
      <c r="C348" s="120"/>
      <c r="F348" s="94"/>
      <c r="H348" s="75"/>
      <c r="K348" s="120"/>
      <c r="L348" s="75"/>
      <c r="M348" s="75"/>
    </row>
    <row r="349">
      <c r="B349" s="120"/>
      <c r="C349" s="120"/>
      <c r="F349" s="94"/>
      <c r="H349" s="75"/>
      <c r="K349" s="120"/>
      <c r="L349" s="75"/>
      <c r="M349" s="75"/>
    </row>
    <row r="350">
      <c r="B350" s="120"/>
      <c r="C350" s="120"/>
      <c r="F350" s="94"/>
      <c r="H350" s="75"/>
      <c r="K350" s="120"/>
      <c r="L350" s="75"/>
      <c r="M350" s="75"/>
    </row>
    <row r="351">
      <c r="B351" s="120"/>
      <c r="C351" s="120"/>
      <c r="F351" s="94"/>
      <c r="H351" s="75"/>
      <c r="K351" s="120"/>
      <c r="L351" s="75"/>
      <c r="M351" s="75"/>
    </row>
    <row r="352">
      <c r="B352" s="120"/>
      <c r="C352" s="120"/>
      <c r="F352" s="94"/>
      <c r="H352" s="75"/>
      <c r="K352" s="120"/>
      <c r="L352" s="75"/>
      <c r="M352" s="75"/>
    </row>
    <row r="353">
      <c r="B353" s="120"/>
      <c r="C353" s="120"/>
      <c r="F353" s="94"/>
      <c r="H353" s="75"/>
      <c r="K353" s="120"/>
      <c r="L353" s="75"/>
      <c r="M353" s="75"/>
    </row>
    <row r="354">
      <c r="B354" s="120"/>
      <c r="C354" s="120"/>
      <c r="F354" s="94"/>
      <c r="H354" s="75"/>
      <c r="K354" s="120"/>
      <c r="L354" s="75"/>
      <c r="M354" s="75"/>
    </row>
    <row r="355">
      <c r="B355" s="120"/>
      <c r="C355" s="120"/>
      <c r="F355" s="94"/>
      <c r="H355" s="75"/>
      <c r="K355" s="120"/>
      <c r="L355" s="75"/>
      <c r="M355" s="75"/>
    </row>
    <row r="356">
      <c r="B356" s="120"/>
      <c r="C356" s="120"/>
      <c r="F356" s="94"/>
      <c r="H356" s="75"/>
      <c r="K356" s="120"/>
      <c r="L356" s="75"/>
      <c r="M356" s="75"/>
    </row>
    <row r="357">
      <c r="B357" s="120"/>
      <c r="C357" s="120"/>
      <c r="F357" s="94"/>
      <c r="H357" s="75"/>
      <c r="K357" s="120"/>
      <c r="L357" s="75"/>
      <c r="M357" s="75"/>
    </row>
    <row r="358">
      <c r="B358" s="120"/>
      <c r="C358" s="120"/>
      <c r="F358" s="94"/>
      <c r="H358" s="75"/>
      <c r="K358" s="120"/>
      <c r="L358" s="75"/>
      <c r="M358" s="75"/>
    </row>
    <row r="359">
      <c r="B359" s="120"/>
      <c r="C359" s="120"/>
      <c r="F359" s="94"/>
      <c r="H359" s="75"/>
      <c r="K359" s="120"/>
      <c r="L359" s="75"/>
      <c r="M359" s="75"/>
    </row>
    <row r="360">
      <c r="B360" s="120"/>
      <c r="C360" s="120"/>
      <c r="F360" s="94"/>
      <c r="H360" s="75"/>
      <c r="K360" s="120"/>
      <c r="L360" s="75"/>
      <c r="M360" s="75"/>
    </row>
    <row r="361">
      <c r="B361" s="120"/>
      <c r="C361" s="120"/>
      <c r="F361" s="94"/>
      <c r="H361" s="75"/>
      <c r="K361" s="120"/>
      <c r="L361" s="75"/>
      <c r="M361" s="75"/>
    </row>
    <row r="362">
      <c r="B362" s="120"/>
      <c r="C362" s="120"/>
      <c r="F362" s="94"/>
      <c r="H362" s="75"/>
      <c r="K362" s="120"/>
      <c r="L362" s="75"/>
      <c r="M362" s="75"/>
    </row>
    <row r="363">
      <c r="B363" s="120"/>
      <c r="C363" s="120"/>
      <c r="F363" s="94"/>
      <c r="H363" s="75"/>
      <c r="K363" s="120"/>
      <c r="L363" s="75"/>
      <c r="M363" s="75"/>
    </row>
    <row r="364">
      <c r="B364" s="120"/>
      <c r="C364" s="120"/>
      <c r="F364" s="94"/>
      <c r="H364" s="75"/>
      <c r="K364" s="120"/>
      <c r="L364" s="75"/>
      <c r="M364" s="75"/>
    </row>
    <row r="365">
      <c r="B365" s="120"/>
      <c r="C365" s="120"/>
      <c r="F365" s="94"/>
      <c r="H365" s="75"/>
      <c r="K365" s="120"/>
      <c r="L365" s="75"/>
      <c r="M365" s="75"/>
    </row>
    <row r="366">
      <c r="B366" s="120"/>
      <c r="C366" s="120"/>
      <c r="F366" s="94"/>
      <c r="H366" s="75"/>
      <c r="K366" s="120"/>
      <c r="L366" s="75"/>
      <c r="M366" s="75"/>
    </row>
    <row r="367">
      <c r="B367" s="120"/>
      <c r="C367" s="120"/>
      <c r="F367" s="94"/>
      <c r="H367" s="75"/>
      <c r="K367" s="120"/>
      <c r="L367" s="75"/>
      <c r="M367" s="75"/>
    </row>
    <row r="368">
      <c r="B368" s="120"/>
      <c r="C368" s="120"/>
      <c r="F368" s="94"/>
      <c r="H368" s="75"/>
      <c r="K368" s="120"/>
      <c r="L368" s="75"/>
      <c r="M368" s="75"/>
    </row>
    <row r="369">
      <c r="B369" s="120"/>
      <c r="C369" s="120"/>
      <c r="F369" s="94"/>
      <c r="H369" s="75"/>
      <c r="K369" s="120"/>
      <c r="L369" s="75"/>
      <c r="M369" s="75"/>
    </row>
    <row r="370">
      <c r="B370" s="120"/>
      <c r="C370" s="120"/>
      <c r="F370" s="94"/>
      <c r="H370" s="75"/>
      <c r="K370" s="120"/>
      <c r="L370" s="75"/>
      <c r="M370" s="75"/>
    </row>
    <row r="371">
      <c r="B371" s="120"/>
      <c r="C371" s="120"/>
      <c r="F371" s="94"/>
      <c r="H371" s="75"/>
      <c r="K371" s="120"/>
      <c r="L371" s="75"/>
      <c r="M371" s="75"/>
    </row>
    <row r="372">
      <c r="B372" s="120"/>
      <c r="C372" s="120"/>
      <c r="F372" s="94"/>
      <c r="H372" s="75"/>
      <c r="K372" s="120"/>
      <c r="L372" s="75"/>
      <c r="M372" s="75"/>
    </row>
    <row r="373">
      <c r="B373" s="120"/>
      <c r="C373" s="120"/>
      <c r="F373" s="94"/>
      <c r="H373" s="75"/>
      <c r="K373" s="120"/>
      <c r="L373" s="75"/>
      <c r="M373" s="75"/>
    </row>
    <row r="374">
      <c r="B374" s="120"/>
      <c r="C374" s="120"/>
      <c r="F374" s="94"/>
      <c r="H374" s="75"/>
      <c r="K374" s="120"/>
      <c r="L374" s="75"/>
      <c r="M374" s="75"/>
    </row>
    <row r="375">
      <c r="B375" s="120"/>
      <c r="C375" s="120"/>
      <c r="F375" s="94"/>
      <c r="H375" s="75"/>
      <c r="K375" s="120"/>
      <c r="L375" s="75"/>
      <c r="M375" s="75"/>
    </row>
    <row r="376">
      <c r="B376" s="120"/>
      <c r="C376" s="120"/>
      <c r="F376" s="94"/>
      <c r="H376" s="75"/>
      <c r="K376" s="120"/>
      <c r="L376" s="75"/>
      <c r="M376" s="75"/>
    </row>
    <row r="377">
      <c r="B377" s="120"/>
      <c r="C377" s="120"/>
      <c r="F377" s="94"/>
      <c r="H377" s="75"/>
      <c r="K377" s="120"/>
      <c r="L377" s="75"/>
      <c r="M377" s="75"/>
    </row>
    <row r="378">
      <c r="B378" s="120"/>
      <c r="C378" s="120"/>
      <c r="F378" s="94"/>
      <c r="H378" s="75"/>
      <c r="K378" s="120"/>
      <c r="L378" s="75"/>
      <c r="M378" s="75"/>
    </row>
    <row r="379">
      <c r="B379" s="120"/>
      <c r="C379" s="120"/>
      <c r="F379" s="94"/>
      <c r="H379" s="75"/>
      <c r="K379" s="120"/>
      <c r="L379" s="75"/>
      <c r="M379" s="75"/>
    </row>
    <row r="380">
      <c r="B380" s="120"/>
      <c r="C380" s="120"/>
      <c r="F380" s="94"/>
      <c r="H380" s="75"/>
      <c r="K380" s="120"/>
      <c r="L380" s="75"/>
      <c r="M380" s="75"/>
    </row>
    <row r="381">
      <c r="B381" s="120"/>
      <c r="C381" s="120"/>
      <c r="F381" s="94"/>
      <c r="H381" s="75"/>
      <c r="K381" s="120"/>
      <c r="L381" s="75"/>
      <c r="M381" s="75"/>
    </row>
    <row r="382">
      <c r="B382" s="120"/>
      <c r="C382" s="120"/>
      <c r="F382" s="94"/>
      <c r="H382" s="75"/>
      <c r="K382" s="120"/>
      <c r="L382" s="75"/>
      <c r="M382" s="75"/>
    </row>
    <row r="383">
      <c r="B383" s="120"/>
      <c r="C383" s="120"/>
      <c r="F383" s="94"/>
      <c r="H383" s="75"/>
      <c r="K383" s="120"/>
      <c r="L383" s="75"/>
      <c r="M383" s="75"/>
    </row>
    <row r="384">
      <c r="B384" s="120"/>
      <c r="C384" s="120"/>
      <c r="F384" s="94"/>
      <c r="H384" s="75"/>
      <c r="K384" s="120"/>
      <c r="L384" s="75"/>
      <c r="M384" s="75"/>
    </row>
    <row r="385">
      <c r="B385" s="120"/>
      <c r="C385" s="120"/>
      <c r="F385" s="94"/>
      <c r="H385" s="75"/>
      <c r="K385" s="120"/>
      <c r="L385" s="75"/>
      <c r="M385" s="75"/>
    </row>
    <row r="386">
      <c r="B386" s="120"/>
      <c r="C386" s="120"/>
      <c r="F386" s="94"/>
      <c r="H386" s="75"/>
      <c r="K386" s="120"/>
      <c r="L386" s="75"/>
      <c r="M386" s="75"/>
    </row>
    <row r="387">
      <c r="B387" s="120"/>
      <c r="C387" s="120"/>
      <c r="F387" s="94"/>
      <c r="H387" s="75"/>
      <c r="K387" s="120"/>
      <c r="L387" s="75"/>
      <c r="M387" s="75"/>
    </row>
    <row r="388">
      <c r="B388" s="120"/>
      <c r="C388" s="120"/>
      <c r="F388" s="94"/>
      <c r="H388" s="75"/>
      <c r="K388" s="120"/>
      <c r="L388" s="75"/>
      <c r="M388" s="75"/>
    </row>
    <row r="389">
      <c r="B389" s="120"/>
      <c r="C389" s="120"/>
      <c r="F389" s="94"/>
      <c r="H389" s="75"/>
      <c r="K389" s="120"/>
      <c r="L389" s="75"/>
      <c r="M389" s="75"/>
    </row>
    <row r="390">
      <c r="B390" s="120"/>
      <c r="C390" s="120"/>
      <c r="F390" s="94"/>
      <c r="H390" s="75"/>
      <c r="K390" s="120"/>
      <c r="L390" s="75"/>
      <c r="M390" s="75"/>
    </row>
    <row r="391">
      <c r="B391" s="120"/>
      <c r="C391" s="120"/>
      <c r="F391" s="94"/>
      <c r="H391" s="75"/>
      <c r="K391" s="120"/>
      <c r="L391" s="75"/>
      <c r="M391" s="75"/>
    </row>
    <row r="392">
      <c r="B392" s="120"/>
      <c r="C392" s="120"/>
      <c r="F392" s="94"/>
      <c r="H392" s="75"/>
      <c r="K392" s="120"/>
      <c r="L392" s="75"/>
      <c r="M392" s="75"/>
    </row>
    <row r="393">
      <c r="B393" s="120"/>
      <c r="C393" s="120"/>
      <c r="F393" s="94"/>
      <c r="H393" s="75"/>
      <c r="K393" s="120"/>
      <c r="L393" s="75"/>
      <c r="M393" s="75"/>
    </row>
    <row r="394">
      <c r="B394" s="120"/>
      <c r="C394" s="120"/>
      <c r="F394" s="94"/>
      <c r="H394" s="75"/>
      <c r="K394" s="120"/>
      <c r="L394" s="75"/>
      <c r="M394" s="75"/>
    </row>
    <row r="395">
      <c r="B395" s="120"/>
      <c r="C395" s="120"/>
      <c r="F395" s="94"/>
      <c r="H395" s="75"/>
      <c r="K395" s="120"/>
      <c r="L395" s="75"/>
      <c r="M395" s="75"/>
    </row>
    <row r="396">
      <c r="B396" s="120"/>
      <c r="C396" s="120"/>
      <c r="F396" s="94"/>
      <c r="H396" s="75"/>
      <c r="K396" s="120"/>
      <c r="L396" s="75"/>
      <c r="M396" s="75"/>
    </row>
    <row r="397">
      <c r="B397" s="120"/>
      <c r="C397" s="120"/>
      <c r="F397" s="94"/>
      <c r="H397" s="75"/>
      <c r="K397" s="120"/>
      <c r="L397" s="75"/>
      <c r="M397" s="75"/>
    </row>
    <row r="398">
      <c r="B398" s="120"/>
      <c r="C398" s="120"/>
      <c r="F398" s="94"/>
      <c r="H398" s="75"/>
      <c r="K398" s="120"/>
      <c r="L398" s="75"/>
      <c r="M398" s="75"/>
    </row>
    <row r="399">
      <c r="B399" s="120"/>
      <c r="C399" s="120"/>
      <c r="F399" s="94"/>
      <c r="H399" s="75"/>
      <c r="K399" s="120"/>
      <c r="L399" s="75"/>
      <c r="M399" s="75"/>
    </row>
    <row r="400">
      <c r="B400" s="120"/>
      <c r="C400" s="120"/>
      <c r="F400" s="94"/>
      <c r="H400" s="75"/>
      <c r="K400" s="120"/>
      <c r="L400" s="75"/>
      <c r="M400" s="75"/>
    </row>
    <row r="401">
      <c r="B401" s="120"/>
      <c r="C401" s="120"/>
      <c r="F401" s="94"/>
      <c r="H401" s="75"/>
      <c r="K401" s="120"/>
      <c r="L401" s="75"/>
      <c r="M401" s="75"/>
    </row>
    <row r="402">
      <c r="B402" s="120"/>
      <c r="C402" s="120"/>
      <c r="F402" s="94"/>
      <c r="H402" s="75"/>
      <c r="K402" s="120"/>
      <c r="L402" s="75"/>
      <c r="M402" s="75"/>
    </row>
    <row r="403">
      <c r="B403" s="120"/>
      <c r="C403" s="120"/>
      <c r="F403" s="94"/>
      <c r="H403" s="75"/>
      <c r="K403" s="120"/>
      <c r="L403" s="75"/>
      <c r="M403" s="75"/>
    </row>
    <row r="404">
      <c r="B404" s="120"/>
      <c r="C404" s="120"/>
      <c r="F404" s="94"/>
      <c r="H404" s="75"/>
      <c r="K404" s="120"/>
      <c r="L404" s="75"/>
      <c r="M404" s="75"/>
    </row>
    <row r="405">
      <c r="B405" s="120"/>
      <c r="C405" s="120"/>
      <c r="F405" s="94"/>
      <c r="H405" s="75"/>
      <c r="K405" s="120"/>
      <c r="L405" s="75"/>
      <c r="M405" s="75"/>
    </row>
    <row r="406">
      <c r="B406" s="120"/>
      <c r="C406" s="120"/>
      <c r="F406" s="94"/>
      <c r="H406" s="75"/>
      <c r="K406" s="120"/>
      <c r="L406" s="75"/>
      <c r="M406" s="75"/>
    </row>
    <row r="407">
      <c r="B407" s="120"/>
      <c r="C407" s="120"/>
      <c r="F407" s="94"/>
      <c r="H407" s="75"/>
      <c r="K407" s="120"/>
      <c r="L407" s="75"/>
      <c r="M407" s="75"/>
    </row>
    <row r="408">
      <c r="B408" s="120"/>
      <c r="C408" s="120"/>
      <c r="F408" s="94"/>
      <c r="H408" s="75"/>
      <c r="K408" s="120"/>
      <c r="L408" s="75"/>
      <c r="M408" s="75"/>
    </row>
    <row r="409">
      <c r="B409" s="120"/>
      <c r="C409" s="120"/>
      <c r="F409" s="94"/>
      <c r="H409" s="75"/>
      <c r="K409" s="120"/>
      <c r="L409" s="75"/>
      <c r="M409" s="75"/>
    </row>
    <row r="410">
      <c r="B410" s="120"/>
      <c r="C410" s="120"/>
      <c r="F410" s="94"/>
      <c r="H410" s="75"/>
      <c r="K410" s="120"/>
      <c r="L410" s="75"/>
      <c r="M410" s="75"/>
    </row>
    <row r="411">
      <c r="B411" s="120"/>
      <c r="C411" s="120"/>
      <c r="F411" s="94"/>
      <c r="H411" s="75"/>
      <c r="K411" s="120"/>
      <c r="L411" s="75"/>
      <c r="M411" s="75"/>
    </row>
    <row r="412">
      <c r="B412" s="120"/>
      <c r="C412" s="120"/>
      <c r="F412" s="94"/>
      <c r="H412" s="75"/>
      <c r="K412" s="120"/>
      <c r="L412" s="75"/>
      <c r="M412" s="75"/>
    </row>
    <row r="413">
      <c r="B413" s="120"/>
      <c r="C413" s="120"/>
      <c r="F413" s="94"/>
      <c r="H413" s="75"/>
      <c r="K413" s="120"/>
      <c r="L413" s="75"/>
      <c r="M413" s="75"/>
    </row>
    <row r="414">
      <c r="B414" s="120"/>
      <c r="C414" s="120"/>
      <c r="F414" s="94"/>
      <c r="H414" s="75"/>
      <c r="K414" s="120"/>
      <c r="L414" s="75"/>
      <c r="M414" s="75"/>
    </row>
    <row r="415">
      <c r="B415" s="120"/>
      <c r="C415" s="120"/>
      <c r="F415" s="94"/>
      <c r="H415" s="75"/>
      <c r="K415" s="120"/>
      <c r="L415" s="75"/>
      <c r="M415" s="75"/>
    </row>
    <row r="416">
      <c r="B416" s="120"/>
      <c r="C416" s="120"/>
      <c r="F416" s="94"/>
      <c r="H416" s="75"/>
      <c r="K416" s="120"/>
      <c r="L416" s="75"/>
      <c r="M416" s="75"/>
    </row>
    <row r="417">
      <c r="B417" s="120"/>
      <c r="C417" s="120"/>
      <c r="F417" s="94"/>
      <c r="H417" s="75"/>
      <c r="K417" s="120"/>
      <c r="L417" s="75"/>
      <c r="M417" s="75"/>
    </row>
    <row r="418">
      <c r="B418" s="120"/>
      <c r="C418" s="120"/>
      <c r="F418" s="94"/>
      <c r="H418" s="75"/>
      <c r="K418" s="120"/>
      <c r="L418" s="75"/>
      <c r="M418" s="75"/>
    </row>
    <row r="419">
      <c r="B419" s="120"/>
      <c r="C419" s="120"/>
      <c r="F419" s="94"/>
      <c r="H419" s="75"/>
      <c r="K419" s="120"/>
      <c r="L419" s="75"/>
      <c r="M419" s="75"/>
    </row>
    <row r="420">
      <c r="B420" s="120"/>
      <c r="C420" s="120"/>
      <c r="F420" s="94"/>
      <c r="H420" s="75"/>
      <c r="K420" s="120"/>
      <c r="L420" s="75"/>
      <c r="M420" s="75"/>
    </row>
    <row r="421">
      <c r="B421" s="120"/>
      <c r="C421" s="120"/>
      <c r="F421" s="94"/>
      <c r="H421" s="75"/>
      <c r="K421" s="120"/>
      <c r="L421" s="75"/>
      <c r="M421" s="75"/>
    </row>
    <row r="422">
      <c r="B422" s="120"/>
      <c r="C422" s="120"/>
      <c r="F422" s="94"/>
      <c r="H422" s="75"/>
      <c r="K422" s="120"/>
      <c r="L422" s="75"/>
      <c r="M422" s="75"/>
    </row>
    <row r="423">
      <c r="B423" s="120"/>
      <c r="C423" s="120"/>
      <c r="F423" s="94"/>
      <c r="H423" s="75"/>
      <c r="K423" s="120"/>
      <c r="L423" s="75"/>
      <c r="M423" s="75"/>
    </row>
    <row r="424">
      <c r="B424" s="120"/>
      <c r="C424" s="120"/>
      <c r="F424" s="94"/>
      <c r="H424" s="75"/>
      <c r="K424" s="120"/>
      <c r="L424" s="75"/>
      <c r="M424" s="75"/>
    </row>
    <row r="425">
      <c r="B425" s="120"/>
      <c r="C425" s="120"/>
      <c r="F425" s="94"/>
      <c r="H425" s="75"/>
      <c r="K425" s="120"/>
      <c r="L425" s="75"/>
      <c r="M425" s="75"/>
    </row>
    <row r="426">
      <c r="B426" s="120"/>
      <c r="C426" s="120"/>
      <c r="F426" s="94"/>
      <c r="H426" s="75"/>
      <c r="K426" s="120"/>
      <c r="L426" s="75"/>
      <c r="M426" s="75"/>
    </row>
    <row r="427">
      <c r="B427" s="120"/>
      <c r="C427" s="120"/>
      <c r="F427" s="94"/>
      <c r="H427" s="75"/>
      <c r="K427" s="120"/>
      <c r="L427" s="75"/>
      <c r="M427" s="75"/>
    </row>
    <row r="428">
      <c r="B428" s="120"/>
      <c r="C428" s="120"/>
      <c r="F428" s="94"/>
      <c r="H428" s="75"/>
      <c r="K428" s="120"/>
      <c r="L428" s="75"/>
      <c r="M428" s="75"/>
    </row>
    <row r="429">
      <c r="B429" s="120"/>
      <c r="C429" s="120"/>
      <c r="F429" s="94"/>
      <c r="H429" s="75"/>
      <c r="K429" s="120"/>
      <c r="L429" s="75"/>
      <c r="M429" s="75"/>
    </row>
    <row r="430">
      <c r="B430" s="120"/>
      <c r="C430" s="120"/>
      <c r="F430" s="94"/>
      <c r="H430" s="75"/>
      <c r="K430" s="120"/>
      <c r="L430" s="75"/>
      <c r="M430" s="75"/>
    </row>
    <row r="431">
      <c r="B431" s="120"/>
      <c r="C431" s="120"/>
      <c r="F431" s="94"/>
      <c r="H431" s="75"/>
      <c r="K431" s="120"/>
      <c r="L431" s="75"/>
      <c r="M431" s="75"/>
    </row>
    <row r="432">
      <c r="B432" s="120"/>
      <c r="C432" s="120"/>
      <c r="F432" s="94"/>
      <c r="H432" s="75"/>
      <c r="K432" s="120"/>
      <c r="L432" s="75"/>
      <c r="M432" s="75"/>
    </row>
    <row r="433">
      <c r="B433" s="120"/>
      <c r="C433" s="120"/>
      <c r="F433" s="94"/>
      <c r="H433" s="75"/>
      <c r="K433" s="120"/>
      <c r="L433" s="75"/>
      <c r="M433" s="75"/>
    </row>
    <row r="434">
      <c r="B434" s="120"/>
      <c r="C434" s="120"/>
      <c r="F434" s="94"/>
      <c r="H434" s="75"/>
      <c r="K434" s="120"/>
      <c r="L434" s="75"/>
      <c r="M434" s="75"/>
    </row>
    <row r="435">
      <c r="B435" s="120"/>
      <c r="C435" s="120"/>
      <c r="F435" s="94"/>
      <c r="H435" s="75"/>
      <c r="K435" s="120"/>
      <c r="L435" s="75"/>
      <c r="M435" s="75"/>
    </row>
    <row r="436">
      <c r="B436" s="120"/>
      <c r="C436" s="120"/>
      <c r="F436" s="94"/>
      <c r="H436" s="75"/>
      <c r="K436" s="120"/>
      <c r="L436" s="75"/>
      <c r="M436" s="75"/>
    </row>
    <row r="437">
      <c r="B437" s="120"/>
      <c r="C437" s="120"/>
      <c r="F437" s="94"/>
      <c r="H437" s="75"/>
      <c r="K437" s="120"/>
      <c r="L437" s="75"/>
      <c r="M437" s="75"/>
    </row>
    <row r="438">
      <c r="B438" s="120"/>
      <c r="C438" s="120"/>
      <c r="F438" s="94"/>
      <c r="H438" s="75"/>
      <c r="K438" s="120"/>
      <c r="L438" s="75"/>
      <c r="M438" s="75"/>
    </row>
    <row r="439">
      <c r="B439" s="120"/>
      <c r="C439" s="120"/>
      <c r="F439" s="94"/>
      <c r="H439" s="75"/>
      <c r="K439" s="120"/>
      <c r="L439" s="75"/>
      <c r="M439" s="75"/>
    </row>
    <row r="440">
      <c r="B440" s="120"/>
      <c r="C440" s="120"/>
      <c r="F440" s="94"/>
      <c r="H440" s="75"/>
      <c r="K440" s="120"/>
      <c r="L440" s="75"/>
      <c r="M440" s="75"/>
    </row>
    <row r="441">
      <c r="B441" s="120"/>
      <c r="C441" s="120"/>
      <c r="F441" s="94"/>
      <c r="H441" s="75"/>
      <c r="K441" s="120"/>
      <c r="L441" s="75"/>
      <c r="M441" s="75"/>
    </row>
    <row r="442">
      <c r="B442" s="120"/>
      <c r="C442" s="120"/>
      <c r="F442" s="94"/>
      <c r="H442" s="75"/>
      <c r="K442" s="120"/>
      <c r="L442" s="75"/>
      <c r="M442" s="75"/>
    </row>
    <row r="443">
      <c r="B443" s="120"/>
      <c r="C443" s="120"/>
      <c r="F443" s="94"/>
      <c r="H443" s="75"/>
      <c r="K443" s="120"/>
      <c r="L443" s="75"/>
      <c r="M443" s="75"/>
    </row>
    <row r="444">
      <c r="B444" s="120"/>
      <c r="C444" s="120"/>
      <c r="F444" s="94"/>
      <c r="H444" s="75"/>
      <c r="K444" s="120"/>
      <c r="L444" s="75"/>
      <c r="M444" s="75"/>
    </row>
    <row r="445">
      <c r="B445" s="120"/>
      <c r="C445" s="120"/>
      <c r="F445" s="94"/>
      <c r="H445" s="75"/>
      <c r="K445" s="120"/>
      <c r="L445" s="75"/>
      <c r="M445" s="75"/>
    </row>
    <row r="446">
      <c r="B446" s="120"/>
      <c r="C446" s="120"/>
      <c r="F446" s="94"/>
      <c r="H446" s="75"/>
      <c r="K446" s="120"/>
      <c r="L446" s="75"/>
      <c r="M446" s="75"/>
    </row>
    <row r="447">
      <c r="B447" s="120"/>
      <c r="C447" s="120"/>
      <c r="F447" s="94"/>
      <c r="H447" s="75"/>
      <c r="K447" s="120"/>
      <c r="L447" s="75"/>
      <c r="M447" s="75"/>
    </row>
    <row r="448">
      <c r="B448" s="120"/>
      <c r="C448" s="120"/>
      <c r="F448" s="94"/>
      <c r="H448" s="75"/>
      <c r="K448" s="120"/>
      <c r="L448" s="75"/>
      <c r="M448" s="75"/>
    </row>
    <row r="449">
      <c r="B449" s="120"/>
      <c r="C449" s="120"/>
      <c r="F449" s="94"/>
      <c r="H449" s="75"/>
      <c r="K449" s="120"/>
      <c r="L449" s="75"/>
      <c r="M449" s="75"/>
    </row>
    <row r="450">
      <c r="B450" s="120"/>
      <c r="C450" s="120"/>
      <c r="F450" s="94"/>
      <c r="H450" s="75"/>
      <c r="K450" s="120"/>
      <c r="L450" s="75"/>
      <c r="M450" s="75"/>
    </row>
    <row r="451">
      <c r="B451" s="120"/>
      <c r="C451" s="120"/>
      <c r="F451" s="94"/>
      <c r="H451" s="75"/>
      <c r="K451" s="120"/>
      <c r="L451" s="75"/>
      <c r="M451" s="75"/>
    </row>
    <row r="452">
      <c r="B452" s="120"/>
      <c r="C452" s="120"/>
      <c r="F452" s="94"/>
      <c r="H452" s="75"/>
      <c r="K452" s="120"/>
      <c r="L452" s="75"/>
      <c r="M452" s="75"/>
    </row>
    <row r="453">
      <c r="B453" s="120"/>
      <c r="C453" s="120"/>
      <c r="F453" s="94"/>
      <c r="H453" s="75"/>
      <c r="K453" s="120"/>
      <c r="L453" s="75"/>
      <c r="M453" s="75"/>
    </row>
    <row r="454">
      <c r="B454" s="120"/>
      <c r="C454" s="120"/>
      <c r="F454" s="94"/>
      <c r="H454" s="75"/>
      <c r="K454" s="120"/>
      <c r="L454" s="75"/>
      <c r="M454" s="75"/>
    </row>
    <row r="455">
      <c r="B455" s="120"/>
      <c r="C455" s="120"/>
      <c r="F455" s="94"/>
      <c r="H455" s="75"/>
      <c r="K455" s="120"/>
      <c r="L455" s="75"/>
      <c r="M455" s="75"/>
    </row>
    <row r="456">
      <c r="B456" s="120"/>
      <c r="C456" s="120"/>
      <c r="F456" s="94"/>
      <c r="H456" s="75"/>
      <c r="K456" s="120"/>
      <c r="L456" s="75"/>
      <c r="M456" s="75"/>
    </row>
    <row r="457">
      <c r="B457" s="120"/>
      <c r="C457" s="120"/>
      <c r="F457" s="94"/>
      <c r="H457" s="75"/>
      <c r="K457" s="120"/>
      <c r="L457" s="75"/>
      <c r="M457" s="75"/>
    </row>
    <row r="458">
      <c r="B458" s="120"/>
      <c r="C458" s="120"/>
      <c r="F458" s="94"/>
      <c r="H458" s="75"/>
      <c r="K458" s="120"/>
      <c r="L458" s="75"/>
      <c r="M458" s="75"/>
    </row>
    <row r="459">
      <c r="B459" s="120"/>
      <c r="C459" s="120"/>
      <c r="F459" s="94"/>
      <c r="H459" s="75"/>
      <c r="K459" s="120"/>
      <c r="L459" s="75"/>
      <c r="M459" s="75"/>
    </row>
    <row r="460">
      <c r="B460" s="120"/>
      <c r="C460" s="120"/>
      <c r="F460" s="94"/>
      <c r="H460" s="75"/>
      <c r="K460" s="120"/>
      <c r="L460" s="75"/>
      <c r="M460" s="75"/>
    </row>
    <row r="461">
      <c r="B461" s="120"/>
      <c r="C461" s="120"/>
      <c r="F461" s="94"/>
      <c r="H461" s="75"/>
      <c r="K461" s="120"/>
      <c r="L461" s="75"/>
      <c r="M461" s="75"/>
    </row>
    <row r="462">
      <c r="B462" s="120"/>
      <c r="C462" s="120"/>
      <c r="F462" s="94"/>
      <c r="H462" s="75"/>
      <c r="K462" s="120"/>
      <c r="L462" s="75"/>
      <c r="M462" s="75"/>
    </row>
    <row r="463">
      <c r="B463" s="120"/>
      <c r="C463" s="120"/>
      <c r="F463" s="94"/>
      <c r="H463" s="75"/>
      <c r="K463" s="120"/>
      <c r="L463" s="75"/>
      <c r="M463" s="75"/>
    </row>
    <row r="464">
      <c r="B464" s="120"/>
      <c r="C464" s="120"/>
      <c r="F464" s="94"/>
      <c r="H464" s="75"/>
      <c r="K464" s="120"/>
      <c r="L464" s="75"/>
      <c r="M464" s="75"/>
    </row>
    <row r="465">
      <c r="B465" s="120"/>
      <c r="C465" s="120"/>
      <c r="F465" s="94"/>
      <c r="H465" s="75"/>
      <c r="K465" s="120"/>
      <c r="L465" s="75"/>
      <c r="M465" s="75"/>
    </row>
    <row r="466">
      <c r="B466" s="120"/>
      <c r="C466" s="120"/>
      <c r="F466" s="94"/>
      <c r="H466" s="75"/>
      <c r="K466" s="120"/>
      <c r="L466" s="75"/>
      <c r="M466" s="75"/>
    </row>
    <row r="467">
      <c r="B467" s="120"/>
      <c r="C467" s="120"/>
      <c r="F467" s="94"/>
      <c r="H467" s="75"/>
      <c r="K467" s="120"/>
      <c r="L467" s="75"/>
      <c r="M467" s="75"/>
    </row>
    <row r="468">
      <c r="B468" s="120"/>
      <c r="C468" s="120"/>
      <c r="F468" s="94"/>
      <c r="H468" s="75"/>
      <c r="K468" s="120"/>
      <c r="L468" s="75"/>
      <c r="M468" s="75"/>
    </row>
    <row r="469">
      <c r="B469" s="120"/>
      <c r="C469" s="120"/>
      <c r="F469" s="94"/>
      <c r="H469" s="75"/>
      <c r="K469" s="120"/>
      <c r="L469" s="75"/>
      <c r="M469" s="75"/>
    </row>
    <row r="470">
      <c r="B470" s="120"/>
      <c r="C470" s="120"/>
      <c r="F470" s="94"/>
      <c r="H470" s="75"/>
      <c r="K470" s="120"/>
      <c r="L470" s="75"/>
      <c r="M470" s="75"/>
    </row>
    <row r="471">
      <c r="B471" s="120"/>
      <c r="C471" s="120"/>
      <c r="F471" s="94"/>
      <c r="H471" s="75"/>
      <c r="K471" s="120"/>
      <c r="L471" s="75"/>
      <c r="M471" s="75"/>
    </row>
    <row r="472">
      <c r="B472" s="120"/>
      <c r="C472" s="120"/>
      <c r="F472" s="94"/>
      <c r="H472" s="75"/>
      <c r="K472" s="120"/>
      <c r="L472" s="75"/>
      <c r="M472" s="75"/>
    </row>
    <row r="473">
      <c r="B473" s="120"/>
      <c r="C473" s="120"/>
      <c r="F473" s="94"/>
      <c r="H473" s="75"/>
      <c r="K473" s="120"/>
      <c r="L473" s="75"/>
      <c r="M473" s="75"/>
    </row>
    <row r="474">
      <c r="B474" s="120"/>
      <c r="C474" s="120"/>
      <c r="F474" s="94"/>
      <c r="H474" s="75"/>
      <c r="K474" s="120"/>
      <c r="L474" s="75"/>
      <c r="M474" s="75"/>
    </row>
    <row r="475">
      <c r="B475" s="120"/>
      <c r="C475" s="120"/>
      <c r="F475" s="94"/>
      <c r="H475" s="75"/>
      <c r="K475" s="120"/>
      <c r="L475" s="75"/>
      <c r="M475" s="75"/>
    </row>
    <row r="476">
      <c r="B476" s="120"/>
      <c r="C476" s="120"/>
      <c r="F476" s="94"/>
      <c r="H476" s="75"/>
      <c r="K476" s="120"/>
      <c r="L476" s="75"/>
      <c r="M476" s="75"/>
    </row>
    <row r="477">
      <c r="B477" s="120"/>
      <c r="C477" s="120"/>
      <c r="F477" s="94"/>
      <c r="H477" s="75"/>
      <c r="K477" s="120"/>
      <c r="L477" s="75"/>
      <c r="M477" s="75"/>
    </row>
    <row r="478">
      <c r="B478" s="120"/>
      <c r="C478" s="120"/>
      <c r="F478" s="94"/>
      <c r="H478" s="75"/>
      <c r="K478" s="120"/>
      <c r="L478" s="75"/>
      <c r="M478" s="75"/>
    </row>
    <row r="479">
      <c r="B479" s="120"/>
      <c r="C479" s="120"/>
      <c r="F479" s="94"/>
      <c r="H479" s="75"/>
      <c r="K479" s="120"/>
      <c r="L479" s="75"/>
      <c r="M479" s="75"/>
    </row>
    <row r="480">
      <c r="B480" s="120"/>
      <c r="C480" s="120"/>
      <c r="F480" s="94"/>
      <c r="H480" s="75"/>
      <c r="K480" s="120"/>
      <c r="L480" s="75"/>
      <c r="M480" s="75"/>
    </row>
    <row r="481">
      <c r="B481" s="120"/>
      <c r="C481" s="120"/>
      <c r="F481" s="94"/>
      <c r="H481" s="75"/>
      <c r="K481" s="120"/>
      <c r="L481" s="75"/>
      <c r="M481" s="75"/>
    </row>
    <row r="482">
      <c r="B482" s="120"/>
      <c r="C482" s="120"/>
      <c r="F482" s="94"/>
      <c r="H482" s="75"/>
      <c r="K482" s="120"/>
      <c r="L482" s="75"/>
      <c r="M482" s="75"/>
    </row>
    <row r="483">
      <c r="B483" s="120"/>
      <c r="C483" s="120"/>
      <c r="F483" s="94"/>
      <c r="H483" s="75"/>
      <c r="K483" s="120"/>
      <c r="L483" s="75"/>
      <c r="M483" s="75"/>
    </row>
    <row r="484">
      <c r="B484" s="120"/>
      <c r="C484" s="120"/>
      <c r="F484" s="94"/>
      <c r="H484" s="75"/>
      <c r="K484" s="120"/>
      <c r="L484" s="75"/>
      <c r="M484" s="75"/>
    </row>
    <row r="485">
      <c r="B485" s="120"/>
      <c r="C485" s="120"/>
      <c r="F485" s="94"/>
      <c r="H485" s="75"/>
      <c r="K485" s="120"/>
      <c r="L485" s="75"/>
      <c r="M485" s="75"/>
    </row>
    <row r="486">
      <c r="B486" s="120"/>
      <c r="C486" s="120"/>
      <c r="F486" s="94"/>
      <c r="H486" s="75"/>
      <c r="K486" s="120"/>
      <c r="L486" s="75"/>
      <c r="M486" s="75"/>
    </row>
    <row r="487">
      <c r="B487" s="120"/>
      <c r="C487" s="120"/>
      <c r="F487" s="94"/>
      <c r="H487" s="75"/>
      <c r="K487" s="120"/>
      <c r="L487" s="75"/>
      <c r="M487" s="75"/>
    </row>
    <row r="488">
      <c r="B488" s="120"/>
      <c r="C488" s="120"/>
      <c r="F488" s="94"/>
      <c r="H488" s="75"/>
      <c r="K488" s="120"/>
      <c r="L488" s="75"/>
      <c r="M488" s="75"/>
    </row>
    <row r="489">
      <c r="B489" s="120"/>
      <c r="C489" s="120"/>
      <c r="F489" s="94"/>
      <c r="H489" s="75"/>
      <c r="K489" s="120"/>
      <c r="L489" s="75"/>
      <c r="M489" s="75"/>
    </row>
    <row r="490">
      <c r="B490" s="120"/>
      <c r="C490" s="120"/>
      <c r="F490" s="94"/>
      <c r="H490" s="75"/>
      <c r="K490" s="120"/>
      <c r="L490" s="75"/>
      <c r="M490" s="75"/>
    </row>
    <row r="491">
      <c r="B491" s="120"/>
      <c r="C491" s="120"/>
      <c r="F491" s="94"/>
      <c r="H491" s="75"/>
      <c r="K491" s="120"/>
      <c r="L491" s="75"/>
      <c r="M491" s="75"/>
    </row>
    <row r="492">
      <c r="B492" s="120"/>
      <c r="C492" s="120"/>
      <c r="F492" s="94"/>
      <c r="H492" s="75"/>
      <c r="K492" s="120"/>
      <c r="L492" s="75"/>
      <c r="M492" s="75"/>
    </row>
    <row r="493">
      <c r="B493" s="120"/>
      <c r="C493" s="120"/>
      <c r="F493" s="94"/>
      <c r="H493" s="75"/>
      <c r="K493" s="120"/>
      <c r="L493" s="75"/>
      <c r="M493" s="75"/>
    </row>
    <row r="494">
      <c r="B494" s="120"/>
      <c r="C494" s="120"/>
      <c r="F494" s="94"/>
      <c r="H494" s="75"/>
      <c r="K494" s="120"/>
      <c r="L494" s="75"/>
      <c r="M494" s="75"/>
    </row>
    <row r="495">
      <c r="B495" s="120"/>
      <c r="C495" s="120"/>
      <c r="F495" s="94"/>
      <c r="H495" s="75"/>
      <c r="K495" s="120"/>
      <c r="L495" s="75"/>
      <c r="M495" s="75"/>
    </row>
    <row r="496">
      <c r="B496" s="120"/>
      <c r="C496" s="120"/>
      <c r="F496" s="94"/>
      <c r="H496" s="75"/>
      <c r="K496" s="120"/>
      <c r="L496" s="75"/>
      <c r="M496" s="75"/>
    </row>
    <row r="497">
      <c r="B497" s="120"/>
      <c r="C497" s="120"/>
      <c r="F497" s="94"/>
      <c r="H497" s="75"/>
      <c r="K497" s="120"/>
      <c r="L497" s="75"/>
      <c r="M497" s="75"/>
    </row>
    <row r="498">
      <c r="B498" s="120"/>
      <c r="C498" s="120"/>
      <c r="F498" s="94"/>
      <c r="H498" s="75"/>
      <c r="K498" s="120"/>
      <c r="L498" s="75"/>
      <c r="M498" s="75"/>
    </row>
    <row r="499">
      <c r="B499" s="120"/>
      <c r="C499" s="120"/>
      <c r="F499" s="94"/>
      <c r="H499" s="75"/>
      <c r="K499" s="120"/>
      <c r="L499" s="75"/>
      <c r="M499" s="75"/>
    </row>
    <row r="500">
      <c r="B500" s="120"/>
      <c r="C500" s="120"/>
      <c r="F500" s="94"/>
      <c r="H500" s="75"/>
      <c r="K500" s="120"/>
      <c r="L500" s="75"/>
      <c r="M500" s="75"/>
    </row>
    <row r="501">
      <c r="B501" s="120"/>
      <c r="C501" s="120"/>
      <c r="F501" s="94"/>
      <c r="H501" s="75"/>
      <c r="K501" s="120"/>
      <c r="L501" s="75"/>
      <c r="M501" s="75"/>
    </row>
    <row r="502">
      <c r="B502" s="120"/>
      <c r="C502" s="120"/>
      <c r="F502" s="94"/>
      <c r="H502" s="75"/>
      <c r="K502" s="120"/>
      <c r="L502" s="75"/>
      <c r="M502" s="75"/>
    </row>
    <row r="503">
      <c r="B503" s="120"/>
      <c r="C503" s="120"/>
      <c r="F503" s="94"/>
      <c r="H503" s="75"/>
      <c r="K503" s="120"/>
      <c r="L503" s="75"/>
      <c r="M503" s="75"/>
    </row>
    <row r="504">
      <c r="B504" s="120"/>
      <c r="C504" s="120"/>
      <c r="F504" s="94"/>
      <c r="H504" s="75"/>
      <c r="K504" s="120"/>
      <c r="L504" s="75"/>
      <c r="M504" s="75"/>
    </row>
    <row r="505">
      <c r="B505" s="120"/>
      <c r="C505" s="120"/>
      <c r="F505" s="94"/>
      <c r="H505" s="75"/>
      <c r="K505" s="120"/>
      <c r="L505" s="75"/>
      <c r="M505" s="75"/>
    </row>
    <row r="506">
      <c r="B506" s="120"/>
      <c r="C506" s="120"/>
      <c r="F506" s="94"/>
      <c r="H506" s="75"/>
      <c r="K506" s="120"/>
      <c r="L506" s="75"/>
      <c r="M506" s="75"/>
    </row>
    <row r="507">
      <c r="B507" s="120"/>
      <c r="C507" s="120"/>
      <c r="F507" s="94"/>
      <c r="H507" s="75"/>
      <c r="K507" s="120"/>
      <c r="L507" s="75"/>
      <c r="M507" s="75"/>
    </row>
    <row r="508">
      <c r="B508" s="120"/>
      <c r="C508" s="120"/>
      <c r="F508" s="94"/>
      <c r="H508" s="75"/>
      <c r="K508" s="120"/>
      <c r="L508" s="75"/>
      <c r="M508" s="75"/>
    </row>
    <row r="509">
      <c r="B509" s="120"/>
      <c r="C509" s="120"/>
      <c r="F509" s="94"/>
      <c r="H509" s="75"/>
      <c r="K509" s="120"/>
      <c r="L509" s="75"/>
      <c r="M509" s="75"/>
    </row>
    <row r="510">
      <c r="B510" s="120"/>
      <c r="C510" s="120"/>
      <c r="F510" s="94"/>
      <c r="H510" s="75"/>
      <c r="K510" s="120"/>
      <c r="L510" s="75"/>
      <c r="M510" s="75"/>
    </row>
    <row r="511">
      <c r="B511" s="120"/>
      <c r="C511" s="120"/>
      <c r="F511" s="94"/>
      <c r="H511" s="75"/>
      <c r="K511" s="120"/>
      <c r="L511" s="75"/>
      <c r="M511" s="75"/>
    </row>
    <row r="512">
      <c r="B512" s="120"/>
      <c r="C512" s="120"/>
      <c r="F512" s="94"/>
      <c r="H512" s="75"/>
      <c r="K512" s="120"/>
      <c r="L512" s="75"/>
      <c r="M512" s="75"/>
    </row>
    <row r="513">
      <c r="B513" s="120"/>
      <c r="C513" s="120"/>
      <c r="F513" s="94"/>
      <c r="H513" s="75"/>
      <c r="K513" s="120"/>
      <c r="L513" s="75"/>
      <c r="M513" s="75"/>
    </row>
    <row r="514">
      <c r="B514" s="120"/>
      <c r="C514" s="120"/>
      <c r="F514" s="94"/>
      <c r="H514" s="75"/>
      <c r="K514" s="120"/>
      <c r="L514" s="75"/>
      <c r="M514" s="75"/>
    </row>
    <row r="515">
      <c r="B515" s="120"/>
      <c r="C515" s="120"/>
      <c r="F515" s="94"/>
      <c r="H515" s="75"/>
      <c r="K515" s="120"/>
      <c r="L515" s="75"/>
      <c r="M515" s="75"/>
    </row>
    <row r="516">
      <c r="B516" s="120"/>
      <c r="C516" s="120"/>
      <c r="F516" s="94"/>
      <c r="H516" s="75"/>
      <c r="K516" s="120"/>
      <c r="L516" s="75"/>
      <c r="M516" s="75"/>
    </row>
    <row r="517">
      <c r="B517" s="120"/>
      <c r="C517" s="120"/>
      <c r="F517" s="94"/>
      <c r="H517" s="75"/>
      <c r="K517" s="120"/>
      <c r="L517" s="75"/>
      <c r="M517" s="75"/>
    </row>
    <row r="518">
      <c r="B518" s="120"/>
      <c r="C518" s="120"/>
      <c r="F518" s="94"/>
      <c r="H518" s="75"/>
      <c r="K518" s="120"/>
      <c r="L518" s="75"/>
      <c r="M518" s="75"/>
    </row>
    <row r="519">
      <c r="B519" s="120"/>
      <c r="C519" s="120"/>
      <c r="F519" s="94"/>
      <c r="H519" s="75"/>
      <c r="K519" s="120"/>
      <c r="L519" s="75"/>
      <c r="M519" s="75"/>
    </row>
    <row r="520">
      <c r="B520" s="120"/>
      <c r="C520" s="120"/>
      <c r="F520" s="94"/>
      <c r="H520" s="75"/>
      <c r="K520" s="120"/>
      <c r="L520" s="75"/>
      <c r="M520" s="75"/>
    </row>
    <row r="521">
      <c r="B521" s="120"/>
      <c r="C521" s="120"/>
      <c r="F521" s="94"/>
      <c r="H521" s="75"/>
      <c r="K521" s="120"/>
      <c r="L521" s="75"/>
      <c r="M521" s="75"/>
    </row>
    <row r="522">
      <c r="B522" s="120"/>
      <c r="C522" s="120"/>
      <c r="F522" s="94"/>
      <c r="H522" s="75"/>
      <c r="K522" s="120"/>
      <c r="L522" s="75"/>
      <c r="M522" s="75"/>
    </row>
    <row r="523">
      <c r="B523" s="120"/>
      <c r="C523" s="120"/>
      <c r="F523" s="94"/>
      <c r="H523" s="75"/>
      <c r="K523" s="120"/>
      <c r="L523" s="75"/>
      <c r="M523" s="75"/>
    </row>
    <row r="524">
      <c r="B524" s="120"/>
      <c r="C524" s="120"/>
      <c r="F524" s="94"/>
      <c r="H524" s="75"/>
      <c r="K524" s="120"/>
      <c r="L524" s="75"/>
      <c r="M524" s="75"/>
    </row>
    <row r="525">
      <c r="B525" s="120"/>
      <c r="C525" s="120"/>
      <c r="F525" s="94"/>
      <c r="H525" s="75"/>
      <c r="K525" s="120"/>
      <c r="L525" s="75"/>
      <c r="M525" s="75"/>
    </row>
    <row r="526">
      <c r="B526" s="120"/>
      <c r="C526" s="120"/>
      <c r="F526" s="94"/>
      <c r="H526" s="75"/>
      <c r="K526" s="120"/>
      <c r="L526" s="75"/>
      <c r="M526" s="75"/>
    </row>
    <row r="527">
      <c r="B527" s="120"/>
      <c r="C527" s="120"/>
      <c r="F527" s="94"/>
      <c r="H527" s="75"/>
      <c r="K527" s="120"/>
      <c r="L527" s="75"/>
      <c r="M527" s="75"/>
    </row>
    <row r="528">
      <c r="B528" s="120"/>
      <c r="C528" s="120"/>
      <c r="F528" s="94"/>
      <c r="H528" s="75"/>
      <c r="K528" s="120"/>
      <c r="L528" s="75"/>
      <c r="M528" s="75"/>
    </row>
    <row r="529">
      <c r="B529" s="120"/>
      <c r="C529" s="120"/>
      <c r="F529" s="94"/>
      <c r="H529" s="75"/>
      <c r="K529" s="120"/>
      <c r="L529" s="75"/>
      <c r="M529" s="75"/>
    </row>
    <row r="530">
      <c r="B530" s="120"/>
      <c r="C530" s="120"/>
      <c r="F530" s="94"/>
      <c r="H530" s="75"/>
      <c r="K530" s="120"/>
      <c r="L530" s="75"/>
      <c r="M530" s="75"/>
    </row>
    <row r="531">
      <c r="B531" s="120"/>
      <c r="C531" s="120"/>
      <c r="F531" s="94"/>
      <c r="H531" s="75"/>
      <c r="K531" s="120"/>
      <c r="L531" s="75"/>
      <c r="M531" s="75"/>
    </row>
    <row r="532">
      <c r="B532" s="120"/>
      <c r="C532" s="120"/>
      <c r="F532" s="94"/>
      <c r="H532" s="75"/>
      <c r="K532" s="120"/>
      <c r="L532" s="75"/>
      <c r="M532" s="75"/>
    </row>
    <row r="533">
      <c r="B533" s="120"/>
      <c r="C533" s="120"/>
      <c r="F533" s="94"/>
      <c r="H533" s="75"/>
      <c r="K533" s="120"/>
      <c r="L533" s="75"/>
      <c r="M533" s="75"/>
    </row>
    <row r="534">
      <c r="B534" s="120"/>
      <c r="C534" s="120"/>
      <c r="F534" s="94"/>
      <c r="H534" s="75"/>
      <c r="K534" s="120"/>
      <c r="L534" s="75"/>
      <c r="M534" s="75"/>
    </row>
    <row r="535">
      <c r="B535" s="120"/>
      <c r="C535" s="120"/>
      <c r="F535" s="94"/>
      <c r="H535" s="75"/>
      <c r="K535" s="120"/>
      <c r="L535" s="75"/>
      <c r="M535" s="75"/>
    </row>
    <row r="536">
      <c r="B536" s="120"/>
      <c r="C536" s="120"/>
      <c r="F536" s="94"/>
      <c r="H536" s="75"/>
      <c r="K536" s="120"/>
      <c r="L536" s="75"/>
      <c r="M536" s="75"/>
    </row>
    <row r="537">
      <c r="B537" s="120"/>
      <c r="C537" s="120"/>
      <c r="F537" s="94"/>
      <c r="H537" s="75"/>
      <c r="K537" s="120"/>
      <c r="L537" s="75"/>
      <c r="M537" s="75"/>
    </row>
    <row r="538">
      <c r="B538" s="120"/>
      <c r="C538" s="120"/>
      <c r="F538" s="94"/>
      <c r="H538" s="75"/>
      <c r="K538" s="120"/>
      <c r="L538" s="75"/>
      <c r="M538" s="75"/>
    </row>
    <row r="539">
      <c r="B539" s="120"/>
      <c r="C539" s="120"/>
      <c r="F539" s="94"/>
      <c r="H539" s="75"/>
      <c r="K539" s="120"/>
      <c r="L539" s="75"/>
      <c r="M539" s="75"/>
    </row>
    <row r="540">
      <c r="B540" s="120"/>
      <c r="C540" s="120"/>
      <c r="F540" s="94"/>
      <c r="H540" s="75"/>
      <c r="K540" s="120"/>
      <c r="L540" s="75"/>
      <c r="M540" s="75"/>
    </row>
    <row r="541">
      <c r="B541" s="120"/>
      <c r="C541" s="120"/>
      <c r="F541" s="94"/>
      <c r="H541" s="75"/>
      <c r="K541" s="120"/>
      <c r="L541" s="75"/>
      <c r="M541" s="75"/>
    </row>
    <row r="542">
      <c r="B542" s="120"/>
      <c r="C542" s="120"/>
      <c r="F542" s="94"/>
      <c r="H542" s="75"/>
      <c r="K542" s="120"/>
      <c r="L542" s="75"/>
      <c r="M542" s="75"/>
    </row>
    <row r="543">
      <c r="B543" s="120"/>
      <c r="C543" s="120"/>
      <c r="F543" s="94"/>
      <c r="H543" s="75"/>
      <c r="K543" s="120"/>
      <c r="L543" s="75"/>
      <c r="M543" s="75"/>
    </row>
    <row r="544">
      <c r="B544" s="120"/>
      <c r="C544" s="120"/>
      <c r="F544" s="94"/>
      <c r="H544" s="75"/>
      <c r="K544" s="120"/>
      <c r="L544" s="75"/>
      <c r="M544" s="75"/>
    </row>
    <row r="545">
      <c r="B545" s="120"/>
      <c r="C545" s="120"/>
      <c r="F545" s="94"/>
      <c r="H545" s="75"/>
      <c r="K545" s="120"/>
      <c r="L545" s="75"/>
      <c r="M545" s="75"/>
    </row>
    <row r="546">
      <c r="B546" s="120"/>
      <c r="C546" s="120"/>
      <c r="F546" s="94"/>
      <c r="H546" s="75"/>
      <c r="K546" s="120"/>
      <c r="L546" s="75"/>
      <c r="M546" s="75"/>
    </row>
    <row r="547">
      <c r="B547" s="120"/>
      <c r="C547" s="120"/>
      <c r="F547" s="94"/>
      <c r="H547" s="75"/>
      <c r="K547" s="120"/>
      <c r="L547" s="75"/>
      <c r="M547" s="75"/>
    </row>
    <row r="548">
      <c r="B548" s="120"/>
      <c r="C548" s="120"/>
      <c r="F548" s="94"/>
      <c r="H548" s="75"/>
      <c r="K548" s="120"/>
      <c r="L548" s="75"/>
      <c r="M548" s="75"/>
    </row>
    <row r="549">
      <c r="B549" s="120"/>
      <c r="C549" s="120"/>
      <c r="F549" s="94"/>
      <c r="H549" s="75"/>
      <c r="K549" s="120"/>
      <c r="L549" s="75"/>
      <c r="M549" s="75"/>
    </row>
    <row r="550">
      <c r="B550" s="120"/>
      <c r="C550" s="120"/>
      <c r="F550" s="94"/>
      <c r="H550" s="75"/>
      <c r="K550" s="120"/>
      <c r="L550" s="75"/>
      <c r="M550" s="75"/>
    </row>
    <row r="551">
      <c r="B551" s="120"/>
      <c r="C551" s="120"/>
      <c r="F551" s="94"/>
      <c r="H551" s="75"/>
      <c r="K551" s="120"/>
      <c r="L551" s="75"/>
      <c r="M551" s="75"/>
    </row>
    <row r="552">
      <c r="B552" s="120"/>
      <c r="C552" s="120"/>
      <c r="F552" s="94"/>
      <c r="H552" s="75"/>
      <c r="K552" s="120"/>
      <c r="L552" s="75"/>
      <c r="M552" s="75"/>
    </row>
    <row r="553">
      <c r="B553" s="120"/>
      <c r="C553" s="120"/>
      <c r="F553" s="94"/>
      <c r="H553" s="75"/>
      <c r="K553" s="120"/>
      <c r="L553" s="75"/>
      <c r="M553" s="75"/>
    </row>
    <row r="554">
      <c r="B554" s="120"/>
      <c r="C554" s="120"/>
      <c r="F554" s="94"/>
      <c r="H554" s="75"/>
      <c r="K554" s="120"/>
      <c r="L554" s="75"/>
      <c r="M554" s="75"/>
    </row>
    <row r="555">
      <c r="B555" s="120"/>
      <c r="C555" s="120"/>
      <c r="F555" s="94"/>
      <c r="H555" s="75"/>
      <c r="K555" s="120"/>
      <c r="L555" s="75"/>
      <c r="M555" s="75"/>
    </row>
    <row r="556">
      <c r="B556" s="120"/>
      <c r="C556" s="120"/>
      <c r="F556" s="94"/>
      <c r="H556" s="75"/>
      <c r="K556" s="120"/>
      <c r="L556" s="75"/>
      <c r="M556" s="75"/>
    </row>
    <row r="557">
      <c r="B557" s="120"/>
      <c r="C557" s="120"/>
      <c r="F557" s="94"/>
      <c r="H557" s="75"/>
      <c r="K557" s="120"/>
      <c r="L557" s="75"/>
      <c r="M557" s="75"/>
    </row>
    <row r="558">
      <c r="B558" s="120"/>
      <c r="C558" s="120"/>
      <c r="F558" s="94"/>
      <c r="H558" s="75"/>
      <c r="K558" s="120"/>
      <c r="L558" s="75"/>
      <c r="M558" s="75"/>
    </row>
    <row r="559">
      <c r="B559" s="120"/>
      <c r="C559" s="120"/>
      <c r="F559" s="94"/>
      <c r="H559" s="75"/>
      <c r="K559" s="120"/>
      <c r="L559" s="75"/>
      <c r="M559" s="75"/>
    </row>
    <row r="560">
      <c r="B560" s="120"/>
      <c r="C560" s="120"/>
      <c r="F560" s="94"/>
      <c r="H560" s="75"/>
      <c r="K560" s="120"/>
      <c r="L560" s="75"/>
      <c r="M560" s="75"/>
    </row>
    <row r="561">
      <c r="B561" s="120"/>
      <c r="C561" s="120"/>
      <c r="F561" s="94"/>
      <c r="H561" s="75"/>
      <c r="K561" s="120"/>
      <c r="L561" s="75"/>
      <c r="M561" s="75"/>
    </row>
    <row r="562">
      <c r="B562" s="120"/>
      <c r="C562" s="120"/>
      <c r="F562" s="94"/>
      <c r="H562" s="75"/>
      <c r="K562" s="120"/>
      <c r="L562" s="75"/>
      <c r="M562" s="75"/>
    </row>
    <row r="563">
      <c r="B563" s="120"/>
      <c r="C563" s="120"/>
      <c r="F563" s="94"/>
      <c r="H563" s="75"/>
      <c r="K563" s="120"/>
      <c r="L563" s="75"/>
      <c r="M563" s="75"/>
    </row>
    <row r="564">
      <c r="B564" s="120"/>
      <c r="C564" s="120"/>
      <c r="F564" s="94"/>
      <c r="H564" s="75"/>
      <c r="K564" s="120"/>
      <c r="L564" s="75"/>
      <c r="M564" s="75"/>
    </row>
    <row r="565">
      <c r="B565" s="120"/>
      <c r="C565" s="120"/>
      <c r="F565" s="94"/>
      <c r="H565" s="75"/>
      <c r="K565" s="120"/>
      <c r="L565" s="75"/>
      <c r="M565" s="75"/>
    </row>
    <row r="566">
      <c r="B566" s="120"/>
      <c r="C566" s="120"/>
      <c r="F566" s="94"/>
      <c r="H566" s="75"/>
      <c r="K566" s="120"/>
      <c r="L566" s="75"/>
      <c r="M566" s="75"/>
    </row>
    <row r="567">
      <c r="B567" s="120"/>
      <c r="C567" s="120"/>
      <c r="F567" s="94"/>
      <c r="H567" s="75"/>
      <c r="K567" s="120"/>
      <c r="L567" s="75"/>
      <c r="M567" s="75"/>
    </row>
    <row r="568">
      <c r="B568" s="120"/>
      <c r="C568" s="120"/>
      <c r="F568" s="94"/>
      <c r="H568" s="75"/>
      <c r="K568" s="120"/>
      <c r="L568" s="75"/>
      <c r="M568" s="75"/>
    </row>
    <row r="569">
      <c r="B569" s="120"/>
      <c r="C569" s="120"/>
      <c r="F569" s="94"/>
      <c r="H569" s="75"/>
      <c r="K569" s="120"/>
      <c r="L569" s="75"/>
      <c r="M569" s="75"/>
    </row>
    <row r="570">
      <c r="B570" s="120"/>
      <c r="C570" s="120"/>
      <c r="F570" s="94"/>
      <c r="H570" s="75"/>
      <c r="K570" s="120"/>
      <c r="L570" s="75"/>
      <c r="M570" s="75"/>
    </row>
    <row r="571">
      <c r="B571" s="120"/>
      <c r="C571" s="120"/>
      <c r="F571" s="94"/>
      <c r="H571" s="75"/>
      <c r="K571" s="120"/>
      <c r="L571" s="75"/>
      <c r="M571" s="75"/>
    </row>
    <row r="572">
      <c r="B572" s="120"/>
      <c r="C572" s="120"/>
      <c r="F572" s="94"/>
      <c r="H572" s="75"/>
      <c r="K572" s="120"/>
      <c r="L572" s="75"/>
      <c r="M572" s="75"/>
    </row>
    <row r="573">
      <c r="B573" s="120"/>
      <c r="C573" s="120"/>
      <c r="F573" s="94"/>
      <c r="H573" s="75"/>
      <c r="K573" s="120"/>
      <c r="L573" s="75"/>
      <c r="M573" s="75"/>
    </row>
    <row r="574">
      <c r="B574" s="120"/>
      <c r="C574" s="120"/>
      <c r="F574" s="94"/>
      <c r="H574" s="75"/>
      <c r="K574" s="120"/>
      <c r="L574" s="75"/>
      <c r="M574" s="75"/>
    </row>
    <row r="575">
      <c r="B575" s="120"/>
      <c r="C575" s="120"/>
      <c r="F575" s="94"/>
      <c r="H575" s="75"/>
      <c r="K575" s="120"/>
      <c r="L575" s="75"/>
      <c r="M575" s="75"/>
    </row>
    <row r="576">
      <c r="B576" s="120"/>
      <c r="C576" s="120"/>
      <c r="F576" s="94"/>
      <c r="H576" s="75"/>
      <c r="K576" s="120"/>
      <c r="L576" s="75"/>
      <c r="M576" s="75"/>
    </row>
    <row r="577">
      <c r="B577" s="120"/>
      <c r="C577" s="120"/>
      <c r="F577" s="94"/>
      <c r="H577" s="75"/>
      <c r="K577" s="120"/>
      <c r="L577" s="75"/>
      <c r="M577" s="75"/>
    </row>
    <row r="578">
      <c r="B578" s="120"/>
      <c r="C578" s="120"/>
      <c r="F578" s="94"/>
      <c r="H578" s="75"/>
      <c r="K578" s="120"/>
      <c r="L578" s="75"/>
      <c r="M578" s="75"/>
    </row>
    <row r="579">
      <c r="B579" s="120"/>
      <c r="C579" s="120"/>
      <c r="F579" s="94"/>
      <c r="H579" s="75"/>
      <c r="K579" s="120"/>
      <c r="L579" s="75"/>
      <c r="M579" s="75"/>
    </row>
    <row r="580">
      <c r="B580" s="120"/>
      <c r="C580" s="120"/>
      <c r="F580" s="94"/>
      <c r="H580" s="75"/>
      <c r="K580" s="120"/>
      <c r="L580" s="75"/>
      <c r="M580" s="75"/>
    </row>
    <row r="581">
      <c r="B581" s="120"/>
      <c r="C581" s="120"/>
      <c r="F581" s="94"/>
      <c r="H581" s="75"/>
      <c r="K581" s="120"/>
      <c r="L581" s="75"/>
      <c r="M581" s="75"/>
    </row>
    <row r="582">
      <c r="B582" s="120"/>
      <c r="C582" s="120"/>
      <c r="F582" s="94"/>
      <c r="H582" s="75"/>
      <c r="K582" s="120"/>
      <c r="L582" s="75"/>
      <c r="M582" s="75"/>
    </row>
    <row r="583">
      <c r="B583" s="120"/>
      <c r="C583" s="120"/>
      <c r="F583" s="94"/>
      <c r="H583" s="75"/>
      <c r="K583" s="120"/>
      <c r="L583" s="75"/>
      <c r="M583" s="75"/>
    </row>
    <row r="584">
      <c r="B584" s="120"/>
      <c r="C584" s="120"/>
      <c r="F584" s="94"/>
      <c r="H584" s="75"/>
      <c r="K584" s="120"/>
      <c r="L584" s="75"/>
      <c r="M584" s="75"/>
    </row>
    <row r="585">
      <c r="B585" s="120"/>
      <c r="C585" s="120"/>
      <c r="F585" s="94"/>
      <c r="H585" s="75"/>
      <c r="K585" s="120"/>
      <c r="L585" s="75"/>
      <c r="M585" s="75"/>
    </row>
    <row r="586">
      <c r="B586" s="120"/>
      <c r="C586" s="120"/>
      <c r="F586" s="94"/>
      <c r="H586" s="75"/>
      <c r="K586" s="120"/>
      <c r="L586" s="75"/>
      <c r="M586" s="75"/>
    </row>
    <row r="587">
      <c r="B587" s="120"/>
      <c r="C587" s="120"/>
      <c r="F587" s="94"/>
      <c r="H587" s="75"/>
      <c r="K587" s="120"/>
      <c r="L587" s="75"/>
      <c r="M587" s="75"/>
    </row>
    <row r="588">
      <c r="B588" s="120"/>
      <c r="C588" s="120"/>
      <c r="F588" s="94"/>
      <c r="H588" s="75"/>
      <c r="K588" s="120"/>
      <c r="L588" s="75"/>
      <c r="M588" s="75"/>
    </row>
    <row r="589">
      <c r="B589" s="120"/>
      <c r="C589" s="120"/>
      <c r="F589" s="94"/>
      <c r="H589" s="75"/>
      <c r="K589" s="120"/>
      <c r="L589" s="75"/>
      <c r="M589" s="75"/>
    </row>
    <row r="590">
      <c r="B590" s="120"/>
      <c r="C590" s="120"/>
      <c r="F590" s="94"/>
      <c r="H590" s="75"/>
      <c r="K590" s="120"/>
      <c r="L590" s="75"/>
      <c r="M590" s="75"/>
    </row>
    <row r="591">
      <c r="B591" s="120"/>
      <c r="C591" s="120"/>
      <c r="F591" s="94"/>
      <c r="H591" s="75"/>
      <c r="K591" s="120"/>
      <c r="L591" s="75"/>
      <c r="M591" s="75"/>
    </row>
    <row r="592">
      <c r="B592" s="120"/>
      <c r="C592" s="120"/>
      <c r="F592" s="94"/>
      <c r="H592" s="75"/>
      <c r="K592" s="120"/>
      <c r="L592" s="75"/>
      <c r="M592" s="75"/>
    </row>
    <row r="593">
      <c r="B593" s="120"/>
      <c r="C593" s="120"/>
      <c r="F593" s="94"/>
      <c r="H593" s="75"/>
      <c r="K593" s="120"/>
      <c r="L593" s="75"/>
      <c r="M593" s="75"/>
    </row>
    <row r="594">
      <c r="B594" s="120"/>
      <c r="C594" s="120"/>
      <c r="F594" s="94"/>
      <c r="H594" s="75"/>
      <c r="K594" s="120"/>
      <c r="L594" s="75"/>
      <c r="M594" s="75"/>
    </row>
    <row r="595">
      <c r="B595" s="120"/>
      <c r="C595" s="120"/>
      <c r="F595" s="94"/>
      <c r="H595" s="75"/>
      <c r="K595" s="120"/>
      <c r="L595" s="75"/>
      <c r="M595" s="75"/>
    </row>
    <row r="596">
      <c r="B596" s="120"/>
      <c r="C596" s="120"/>
      <c r="F596" s="94"/>
      <c r="H596" s="75"/>
      <c r="K596" s="120"/>
      <c r="L596" s="75"/>
      <c r="M596" s="75"/>
    </row>
    <row r="597">
      <c r="B597" s="120"/>
      <c r="C597" s="120"/>
      <c r="F597" s="94"/>
      <c r="H597" s="75"/>
      <c r="K597" s="120"/>
      <c r="L597" s="75"/>
      <c r="M597" s="75"/>
    </row>
    <row r="598">
      <c r="B598" s="120"/>
      <c r="C598" s="120"/>
      <c r="F598" s="94"/>
      <c r="H598" s="75"/>
      <c r="K598" s="120"/>
      <c r="L598" s="75"/>
      <c r="M598" s="75"/>
    </row>
    <row r="599">
      <c r="B599" s="120"/>
      <c r="C599" s="120"/>
      <c r="F599" s="94"/>
      <c r="H599" s="75"/>
      <c r="K599" s="120"/>
      <c r="L599" s="75"/>
      <c r="M599" s="75"/>
    </row>
    <row r="600">
      <c r="B600" s="120"/>
      <c r="C600" s="120"/>
      <c r="F600" s="94"/>
      <c r="H600" s="75"/>
      <c r="K600" s="120"/>
      <c r="L600" s="75"/>
      <c r="M600" s="75"/>
    </row>
    <row r="601">
      <c r="B601" s="120"/>
      <c r="C601" s="120"/>
      <c r="F601" s="94"/>
      <c r="H601" s="75"/>
      <c r="K601" s="120"/>
      <c r="L601" s="75"/>
      <c r="M601" s="75"/>
    </row>
    <row r="602">
      <c r="B602" s="120"/>
      <c r="C602" s="120"/>
      <c r="F602" s="94"/>
      <c r="H602" s="75"/>
      <c r="K602" s="120"/>
      <c r="L602" s="75"/>
      <c r="M602" s="75"/>
    </row>
    <row r="603">
      <c r="B603" s="120"/>
      <c r="C603" s="120"/>
      <c r="F603" s="94"/>
      <c r="H603" s="75"/>
      <c r="K603" s="120"/>
      <c r="L603" s="75"/>
      <c r="M603" s="75"/>
    </row>
    <row r="604">
      <c r="B604" s="120"/>
      <c r="C604" s="120"/>
      <c r="F604" s="94"/>
      <c r="H604" s="75"/>
      <c r="K604" s="120"/>
      <c r="L604" s="75"/>
      <c r="M604" s="75"/>
    </row>
    <row r="605">
      <c r="B605" s="120"/>
      <c r="C605" s="120"/>
      <c r="F605" s="94"/>
      <c r="H605" s="75"/>
      <c r="K605" s="120"/>
      <c r="L605" s="75"/>
      <c r="M605" s="75"/>
    </row>
    <row r="606">
      <c r="B606" s="120"/>
      <c r="C606" s="120"/>
      <c r="F606" s="94"/>
      <c r="H606" s="75"/>
      <c r="K606" s="120"/>
      <c r="L606" s="75"/>
      <c r="M606" s="75"/>
    </row>
    <row r="607">
      <c r="B607" s="120"/>
      <c r="C607" s="120"/>
      <c r="F607" s="94"/>
      <c r="H607" s="75"/>
      <c r="K607" s="120"/>
      <c r="L607" s="75"/>
      <c r="M607" s="75"/>
    </row>
    <row r="608">
      <c r="B608" s="120"/>
      <c r="C608" s="120"/>
      <c r="F608" s="94"/>
      <c r="H608" s="75"/>
      <c r="K608" s="120"/>
      <c r="L608" s="75"/>
      <c r="M608" s="75"/>
    </row>
    <row r="609">
      <c r="B609" s="120"/>
      <c r="C609" s="120"/>
      <c r="F609" s="94"/>
      <c r="H609" s="75"/>
      <c r="K609" s="120"/>
      <c r="L609" s="75"/>
      <c r="M609" s="75"/>
    </row>
    <row r="610">
      <c r="B610" s="120"/>
      <c r="C610" s="120"/>
      <c r="F610" s="94"/>
      <c r="H610" s="75"/>
      <c r="K610" s="120"/>
      <c r="L610" s="75"/>
      <c r="M610" s="75"/>
    </row>
    <row r="611">
      <c r="B611" s="120"/>
      <c r="C611" s="120"/>
      <c r="F611" s="94"/>
      <c r="H611" s="75"/>
      <c r="K611" s="120"/>
      <c r="L611" s="75"/>
      <c r="M611" s="75"/>
    </row>
    <row r="612">
      <c r="B612" s="120"/>
      <c r="C612" s="120"/>
      <c r="F612" s="94"/>
      <c r="H612" s="75"/>
      <c r="K612" s="120"/>
      <c r="L612" s="75"/>
      <c r="M612" s="75"/>
    </row>
    <row r="613">
      <c r="B613" s="120"/>
      <c r="C613" s="120"/>
      <c r="F613" s="94"/>
      <c r="H613" s="75"/>
      <c r="K613" s="120"/>
      <c r="L613" s="75"/>
      <c r="M613" s="75"/>
    </row>
    <row r="614">
      <c r="B614" s="120"/>
      <c r="C614" s="120"/>
      <c r="F614" s="94"/>
      <c r="H614" s="75"/>
      <c r="K614" s="120"/>
      <c r="L614" s="75"/>
      <c r="M614" s="75"/>
    </row>
    <row r="615">
      <c r="B615" s="120"/>
      <c r="C615" s="120"/>
      <c r="F615" s="94"/>
      <c r="H615" s="75"/>
      <c r="K615" s="120"/>
      <c r="L615" s="75"/>
      <c r="M615" s="75"/>
    </row>
    <row r="616">
      <c r="B616" s="120"/>
      <c r="C616" s="120"/>
      <c r="F616" s="94"/>
      <c r="H616" s="75"/>
      <c r="K616" s="120"/>
      <c r="L616" s="75"/>
      <c r="M616" s="75"/>
    </row>
    <row r="617">
      <c r="B617" s="120"/>
      <c r="C617" s="120"/>
      <c r="F617" s="94"/>
      <c r="H617" s="75"/>
      <c r="K617" s="120"/>
      <c r="L617" s="75"/>
      <c r="M617" s="75"/>
    </row>
    <row r="618">
      <c r="B618" s="120"/>
      <c r="C618" s="120"/>
      <c r="F618" s="94"/>
      <c r="H618" s="75"/>
      <c r="K618" s="120"/>
      <c r="L618" s="75"/>
      <c r="M618" s="75"/>
    </row>
    <row r="619">
      <c r="B619" s="120"/>
      <c r="C619" s="120"/>
      <c r="F619" s="94"/>
      <c r="H619" s="75"/>
      <c r="K619" s="120"/>
      <c r="L619" s="75"/>
      <c r="M619" s="75"/>
    </row>
    <row r="620">
      <c r="B620" s="120"/>
      <c r="C620" s="120"/>
      <c r="F620" s="94"/>
      <c r="H620" s="75"/>
      <c r="K620" s="120"/>
      <c r="L620" s="75"/>
      <c r="M620" s="75"/>
    </row>
    <row r="621">
      <c r="B621" s="120"/>
      <c r="C621" s="120"/>
      <c r="F621" s="94"/>
      <c r="H621" s="75"/>
      <c r="K621" s="120"/>
      <c r="L621" s="75"/>
      <c r="M621" s="75"/>
    </row>
    <row r="622">
      <c r="B622" s="120"/>
      <c r="C622" s="120"/>
      <c r="F622" s="94"/>
      <c r="H622" s="75"/>
      <c r="K622" s="120"/>
      <c r="L622" s="75"/>
      <c r="M622" s="75"/>
    </row>
    <row r="623">
      <c r="B623" s="120"/>
      <c r="C623" s="120"/>
      <c r="F623" s="94"/>
      <c r="H623" s="75"/>
      <c r="K623" s="120"/>
      <c r="L623" s="75"/>
      <c r="M623" s="75"/>
    </row>
    <row r="624">
      <c r="B624" s="120"/>
      <c r="C624" s="120"/>
      <c r="F624" s="94"/>
      <c r="H624" s="75"/>
      <c r="K624" s="120"/>
      <c r="L624" s="75"/>
      <c r="M624" s="75"/>
    </row>
    <row r="625">
      <c r="B625" s="120"/>
      <c r="C625" s="120"/>
      <c r="F625" s="94"/>
      <c r="H625" s="75"/>
      <c r="K625" s="120"/>
      <c r="L625" s="75"/>
      <c r="M625" s="75"/>
    </row>
    <row r="626">
      <c r="B626" s="120"/>
      <c r="C626" s="120"/>
      <c r="F626" s="94"/>
      <c r="H626" s="75"/>
      <c r="K626" s="120"/>
      <c r="L626" s="75"/>
      <c r="M626" s="75"/>
    </row>
    <row r="627">
      <c r="B627" s="120"/>
      <c r="C627" s="120"/>
      <c r="F627" s="94"/>
      <c r="H627" s="75"/>
      <c r="K627" s="120"/>
      <c r="L627" s="75"/>
      <c r="M627" s="75"/>
    </row>
    <row r="628">
      <c r="B628" s="120"/>
      <c r="C628" s="120"/>
      <c r="F628" s="94"/>
      <c r="H628" s="75"/>
      <c r="K628" s="120"/>
      <c r="L628" s="75"/>
      <c r="M628" s="75"/>
    </row>
    <row r="629">
      <c r="B629" s="120"/>
      <c r="C629" s="120"/>
      <c r="F629" s="94"/>
      <c r="H629" s="75"/>
      <c r="K629" s="120"/>
      <c r="L629" s="75"/>
      <c r="M629" s="75"/>
    </row>
    <row r="630">
      <c r="B630" s="120"/>
      <c r="C630" s="120"/>
      <c r="F630" s="94"/>
      <c r="H630" s="75"/>
      <c r="K630" s="120"/>
      <c r="L630" s="75"/>
      <c r="M630" s="75"/>
    </row>
    <row r="631">
      <c r="B631" s="120"/>
      <c r="C631" s="120"/>
      <c r="F631" s="94"/>
      <c r="H631" s="75"/>
      <c r="K631" s="120"/>
      <c r="L631" s="75"/>
      <c r="M631" s="75"/>
    </row>
    <row r="632">
      <c r="B632" s="120"/>
      <c r="C632" s="120"/>
      <c r="F632" s="94"/>
      <c r="H632" s="75"/>
      <c r="K632" s="120"/>
      <c r="L632" s="75"/>
      <c r="M632" s="75"/>
    </row>
    <row r="633">
      <c r="B633" s="120"/>
      <c r="C633" s="120"/>
      <c r="F633" s="94"/>
      <c r="H633" s="75"/>
      <c r="K633" s="120"/>
      <c r="L633" s="75"/>
      <c r="M633" s="75"/>
    </row>
    <row r="634">
      <c r="B634" s="120"/>
      <c r="C634" s="120"/>
      <c r="F634" s="94"/>
      <c r="H634" s="75"/>
      <c r="K634" s="120"/>
      <c r="L634" s="75"/>
      <c r="M634" s="75"/>
    </row>
    <row r="635">
      <c r="B635" s="120"/>
      <c r="C635" s="120"/>
      <c r="F635" s="94"/>
      <c r="H635" s="75"/>
      <c r="K635" s="120"/>
      <c r="L635" s="75"/>
      <c r="M635" s="75"/>
    </row>
    <row r="636">
      <c r="B636" s="120"/>
      <c r="C636" s="120"/>
      <c r="F636" s="94"/>
      <c r="H636" s="75"/>
      <c r="K636" s="120"/>
      <c r="L636" s="75"/>
      <c r="M636" s="75"/>
    </row>
    <row r="637">
      <c r="B637" s="120"/>
      <c r="C637" s="120"/>
      <c r="F637" s="94"/>
      <c r="H637" s="75"/>
      <c r="K637" s="120"/>
      <c r="L637" s="75"/>
      <c r="M637" s="75"/>
    </row>
    <row r="638">
      <c r="B638" s="120"/>
      <c r="C638" s="120"/>
      <c r="F638" s="94"/>
      <c r="H638" s="75"/>
      <c r="K638" s="120"/>
      <c r="L638" s="75"/>
      <c r="M638" s="75"/>
    </row>
    <row r="639">
      <c r="B639" s="120"/>
      <c r="C639" s="120"/>
      <c r="F639" s="94"/>
      <c r="H639" s="75"/>
      <c r="K639" s="120"/>
      <c r="L639" s="75"/>
      <c r="M639" s="75"/>
    </row>
    <row r="640">
      <c r="B640" s="120"/>
      <c r="C640" s="120"/>
      <c r="F640" s="94"/>
      <c r="H640" s="75"/>
      <c r="K640" s="120"/>
      <c r="L640" s="75"/>
      <c r="M640" s="75"/>
    </row>
    <row r="641">
      <c r="B641" s="120"/>
      <c r="C641" s="120"/>
      <c r="F641" s="94"/>
      <c r="H641" s="75"/>
      <c r="K641" s="120"/>
      <c r="L641" s="75"/>
      <c r="M641" s="75"/>
    </row>
    <row r="642">
      <c r="B642" s="120"/>
      <c r="C642" s="120"/>
      <c r="F642" s="94"/>
      <c r="H642" s="75"/>
      <c r="K642" s="120"/>
      <c r="L642" s="75"/>
      <c r="M642" s="75"/>
    </row>
    <row r="643">
      <c r="B643" s="120"/>
      <c r="C643" s="120"/>
      <c r="F643" s="94"/>
      <c r="H643" s="75"/>
      <c r="K643" s="120"/>
      <c r="L643" s="75"/>
      <c r="M643" s="75"/>
    </row>
    <row r="644">
      <c r="B644" s="120"/>
      <c r="C644" s="120"/>
      <c r="F644" s="94"/>
      <c r="H644" s="75"/>
      <c r="K644" s="120"/>
      <c r="L644" s="75"/>
      <c r="M644" s="75"/>
    </row>
    <row r="645">
      <c r="B645" s="120"/>
      <c r="C645" s="120"/>
      <c r="F645" s="94"/>
      <c r="H645" s="75"/>
      <c r="K645" s="120"/>
      <c r="L645" s="75"/>
      <c r="M645" s="75"/>
    </row>
    <row r="646">
      <c r="B646" s="120"/>
      <c r="C646" s="120"/>
      <c r="F646" s="94"/>
      <c r="H646" s="75"/>
      <c r="K646" s="120"/>
      <c r="L646" s="75"/>
      <c r="M646" s="75"/>
    </row>
    <row r="647">
      <c r="B647" s="120"/>
      <c r="C647" s="120"/>
      <c r="F647" s="94"/>
      <c r="H647" s="75"/>
      <c r="K647" s="120"/>
      <c r="L647" s="75"/>
      <c r="M647" s="75"/>
    </row>
    <row r="648">
      <c r="B648" s="120"/>
      <c r="C648" s="120"/>
      <c r="F648" s="94"/>
      <c r="H648" s="75"/>
      <c r="K648" s="120"/>
      <c r="L648" s="75"/>
      <c r="M648" s="75"/>
    </row>
    <row r="649">
      <c r="B649" s="120"/>
      <c r="C649" s="120"/>
      <c r="F649" s="94"/>
      <c r="H649" s="75"/>
      <c r="K649" s="120"/>
      <c r="L649" s="75"/>
      <c r="M649" s="75"/>
    </row>
    <row r="650">
      <c r="B650" s="120"/>
      <c r="C650" s="120"/>
      <c r="F650" s="94"/>
      <c r="H650" s="75"/>
      <c r="K650" s="120"/>
      <c r="L650" s="75"/>
      <c r="M650" s="75"/>
    </row>
    <row r="651">
      <c r="B651" s="120"/>
      <c r="C651" s="120"/>
      <c r="F651" s="94"/>
      <c r="H651" s="75"/>
      <c r="K651" s="120"/>
      <c r="L651" s="75"/>
      <c r="M651" s="75"/>
    </row>
    <row r="652">
      <c r="B652" s="120"/>
      <c r="C652" s="120"/>
      <c r="F652" s="94"/>
      <c r="H652" s="75"/>
      <c r="K652" s="120"/>
      <c r="L652" s="75"/>
      <c r="M652" s="75"/>
    </row>
    <row r="653">
      <c r="B653" s="120"/>
      <c r="C653" s="120"/>
      <c r="F653" s="94"/>
      <c r="H653" s="75"/>
      <c r="K653" s="120"/>
      <c r="L653" s="75"/>
      <c r="M653" s="75"/>
    </row>
    <row r="654">
      <c r="B654" s="120"/>
      <c r="C654" s="120"/>
      <c r="F654" s="94"/>
      <c r="H654" s="75"/>
      <c r="K654" s="120"/>
      <c r="L654" s="75"/>
      <c r="M654" s="75"/>
    </row>
    <row r="655">
      <c r="B655" s="120"/>
      <c r="C655" s="120"/>
      <c r="F655" s="94"/>
      <c r="H655" s="75"/>
      <c r="K655" s="120"/>
      <c r="L655" s="75"/>
      <c r="M655" s="75"/>
    </row>
    <row r="656">
      <c r="B656" s="120"/>
      <c r="C656" s="120"/>
      <c r="F656" s="94"/>
      <c r="H656" s="75"/>
      <c r="K656" s="120"/>
      <c r="L656" s="75"/>
      <c r="M656" s="75"/>
    </row>
    <row r="657">
      <c r="B657" s="120"/>
      <c r="C657" s="120"/>
      <c r="F657" s="94"/>
      <c r="H657" s="75"/>
      <c r="K657" s="120"/>
      <c r="L657" s="75"/>
      <c r="M657" s="75"/>
    </row>
    <row r="658">
      <c r="B658" s="120"/>
      <c r="C658" s="120"/>
      <c r="F658" s="94"/>
      <c r="H658" s="75"/>
      <c r="K658" s="120"/>
      <c r="L658" s="75"/>
      <c r="M658" s="75"/>
    </row>
    <row r="659">
      <c r="B659" s="120"/>
      <c r="C659" s="120"/>
      <c r="F659" s="94"/>
      <c r="H659" s="75"/>
      <c r="K659" s="120"/>
      <c r="L659" s="75"/>
      <c r="M659" s="75"/>
    </row>
    <row r="660">
      <c r="B660" s="120"/>
      <c r="C660" s="120"/>
      <c r="F660" s="94"/>
      <c r="H660" s="75"/>
      <c r="K660" s="120"/>
      <c r="L660" s="75"/>
      <c r="M660" s="75"/>
    </row>
    <row r="661">
      <c r="B661" s="120"/>
      <c r="C661" s="120"/>
      <c r="F661" s="94"/>
      <c r="H661" s="75"/>
      <c r="K661" s="120"/>
      <c r="L661" s="75"/>
      <c r="M661" s="75"/>
    </row>
    <row r="662">
      <c r="B662" s="120"/>
      <c r="C662" s="120"/>
      <c r="F662" s="94"/>
      <c r="H662" s="75"/>
      <c r="K662" s="120"/>
      <c r="L662" s="75"/>
      <c r="M662" s="75"/>
    </row>
    <row r="663">
      <c r="B663" s="120"/>
      <c r="C663" s="120"/>
      <c r="F663" s="94"/>
      <c r="H663" s="75"/>
      <c r="K663" s="120"/>
      <c r="L663" s="75"/>
      <c r="M663" s="75"/>
    </row>
    <row r="664">
      <c r="B664" s="120"/>
      <c r="C664" s="120"/>
      <c r="F664" s="94"/>
      <c r="H664" s="75"/>
      <c r="K664" s="120"/>
      <c r="L664" s="75"/>
      <c r="M664" s="75"/>
    </row>
    <row r="665">
      <c r="B665" s="120"/>
      <c r="C665" s="120"/>
      <c r="F665" s="94"/>
      <c r="H665" s="75"/>
      <c r="K665" s="120"/>
      <c r="L665" s="75"/>
      <c r="M665" s="75"/>
    </row>
    <row r="666">
      <c r="B666" s="120"/>
      <c r="C666" s="120"/>
      <c r="F666" s="94"/>
      <c r="H666" s="75"/>
      <c r="K666" s="120"/>
      <c r="L666" s="75"/>
      <c r="M666" s="75"/>
    </row>
    <row r="667">
      <c r="B667" s="120"/>
      <c r="C667" s="120"/>
      <c r="F667" s="94"/>
      <c r="H667" s="75"/>
      <c r="K667" s="120"/>
      <c r="L667" s="75"/>
      <c r="M667" s="75"/>
    </row>
    <row r="668">
      <c r="B668" s="120"/>
      <c r="C668" s="120"/>
      <c r="F668" s="94"/>
      <c r="H668" s="75"/>
      <c r="K668" s="120"/>
      <c r="L668" s="75"/>
      <c r="M668" s="75"/>
    </row>
    <row r="669">
      <c r="B669" s="120"/>
      <c r="C669" s="120"/>
      <c r="F669" s="94"/>
      <c r="H669" s="75"/>
      <c r="K669" s="120"/>
      <c r="L669" s="75"/>
      <c r="M669" s="75"/>
    </row>
    <row r="670">
      <c r="B670" s="120"/>
      <c r="C670" s="120"/>
      <c r="F670" s="94"/>
      <c r="H670" s="75"/>
      <c r="K670" s="120"/>
      <c r="L670" s="75"/>
      <c r="M670" s="75"/>
    </row>
    <row r="671">
      <c r="B671" s="120"/>
      <c r="C671" s="120"/>
      <c r="F671" s="94"/>
      <c r="H671" s="75"/>
      <c r="K671" s="120"/>
      <c r="L671" s="75"/>
      <c r="M671" s="75"/>
    </row>
    <row r="672">
      <c r="B672" s="120"/>
      <c r="C672" s="120"/>
      <c r="F672" s="94"/>
      <c r="H672" s="75"/>
      <c r="K672" s="120"/>
      <c r="L672" s="75"/>
      <c r="M672" s="75"/>
    </row>
    <row r="673">
      <c r="B673" s="120"/>
      <c r="C673" s="120"/>
      <c r="F673" s="94"/>
      <c r="H673" s="75"/>
      <c r="K673" s="120"/>
      <c r="L673" s="75"/>
      <c r="M673" s="75"/>
    </row>
    <row r="674">
      <c r="B674" s="120"/>
      <c r="C674" s="120"/>
      <c r="F674" s="94"/>
      <c r="H674" s="75"/>
      <c r="K674" s="120"/>
      <c r="L674" s="75"/>
      <c r="M674" s="75"/>
    </row>
    <row r="675">
      <c r="B675" s="120"/>
      <c r="C675" s="120"/>
      <c r="F675" s="94"/>
      <c r="H675" s="75"/>
      <c r="K675" s="120"/>
      <c r="L675" s="75"/>
      <c r="M675" s="75"/>
    </row>
    <row r="676">
      <c r="B676" s="120"/>
      <c r="C676" s="120"/>
      <c r="F676" s="94"/>
      <c r="H676" s="75"/>
      <c r="K676" s="120"/>
      <c r="L676" s="75"/>
      <c r="M676" s="75"/>
    </row>
    <row r="677">
      <c r="B677" s="120"/>
      <c r="C677" s="120"/>
      <c r="F677" s="94"/>
      <c r="H677" s="75"/>
      <c r="K677" s="120"/>
      <c r="L677" s="75"/>
      <c r="M677" s="75"/>
    </row>
    <row r="678">
      <c r="B678" s="120"/>
      <c r="C678" s="120"/>
      <c r="F678" s="94"/>
      <c r="H678" s="75"/>
      <c r="K678" s="120"/>
      <c r="L678" s="75"/>
      <c r="M678" s="75"/>
    </row>
    <row r="679">
      <c r="B679" s="120"/>
      <c r="C679" s="120"/>
      <c r="F679" s="94"/>
      <c r="H679" s="75"/>
      <c r="K679" s="120"/>
      <c r="L679" s="75"/>
      <c r="M679" s="75"/>
    </row>
    <row r="680">
      <c r="B680" s="120"/>
      <c r="C680" s="120"/>
      <c r="F680" s="94"/>
      <c r="H680" s="75"/>
      <c r="K680" s="120"/>
      <c r="L680" s="75"/>
      <c r="M680" s="75"/>
    </row>
    <row r="681">
      <c r="B681" s="120"/>
      <c r="C681" s="120"/>
      <c r="F681" s="94"/>
      <c r="H681" s="75"/>
      <c r="K681" s="120"/>
      <c r="L681" s="75"/>
      <c r="M681" s="75"/>
    </row>
    <row r="682">
      <c r="B682" s="120"/>
      <c r="C682" s="120"/>
      <c r="F682" s="94"/>
      <c r="H682" s="75"/>
      <c r="K682" s="120"/>
      <c r="L682" s="75"/>
      <c r="M682" s="75"/>
    </row>
    <row r="683">
      <c r="B683" s="120"/>
      <c r="C683" s="120"/>
      <c r="F683" s="94"/>
      <c r="H683" s="75"/>
      <c r="K683" s="120"/>
      <c r="L683" s="75"/>
      <c r="M683" s="75"/>
    </row>
    <row r="684">
      <c r="B684" s="120"/>
      <c r="C684" s="120"/>
      <c r="F684" s="94"/>
      <c r="H684" s="75"/>
      <c r="K684" s="120"/>
      <c r="L684" s="75"/>
      <c r="M684" s="75"/>
    </row>
    <row r="685">
      <c r="B685" s="120"/>
      <c r="C685" s="120"/>
      <c r="F685" s="94"/>
      <c r="H685" s="75"/>
      <c r="K685" s="120"/>
      <c r="L685" s="75"/>
      <c r="M685" s="75"/>
    </row>
    <row r="686">
      <c r="B686" s="120"/>
      <c r="C686" s="120"/>
      <c r="F686" s="94"/>
      <c r="H686" s="75"/>
      <c r="K686" s="120"/>
      <c r="L686" s="75"/>
      <c r="M686" s="75"/>
    </row>
    <row r="687">
      <c r="B687" s="120"/>
      <c r="C687" s="120"/>
      <c r="F687" s="94"/>
      <c r="H687" s="75"/>
      <c r="K687" s="120"/>
      <c r="L687" s="75"/>
      <c r="M687" s="75"/>
    </row>
    <row r="688">
      <c r="B688" s="120"/>
      <c r="C688" s="120"/>
      <c r="F688" s="94"/>
      <c r="H688" s="75"/>
      <c r="K688" s="120"/>
      <c r="L688" s="75"/>
      <c r="M688" s="75"/>
    </row>
    <row r="689">
      <c r="B689" s="120"/>
      <c r="C689" s="120"/>
      <c r="F689" s="94"/>
      <c r="H689" s="75"/>
      <c r="K689" s="120"/>
      <c r="L689" s="75"/>
      <c r="M689" s="75"/>
    </row>
    <row r="690">
      <c r="B690" s="120"/>
      <c r="C690" s="120"/>
      <c r="F690" s="94"/>
      <c r="H690" s="75"/>
      <c r="K690" s="120"/>
      <c r="L690" s="75"/>
      <c r="M690" s="75"/>
    </row>
    <row r="691">
      <c r="B691" s="120"/>
      <c r="C691" s="120"/>
      <c r="F691" s="94"/>
      <c r="H691" s="75"/>
      <c r="K691" s="120"/>
      <c r="L691" s="75"/>
      <c r="M691" s="75"/>
    </row>
    <row r="692">
      <c r="B692" s="120"/>
      <c r="C692" s="120"/>
      <c r="F692" s="94"/>
      <c r="H692" s="75"/>
      <c r="K692" s="120"/>
      <c r="L692" s="75"/>
      <c r="M692" s="75"/>
    </row>
    <row r="693">
      <c r="B693" s="120"/>
      <c r="C693" s="120"/>
      <c r="F693" s="94"/>
      <c r="H693" s="75"/>
      <c r="K693" s="120"/>
      <c r="L693" s="75"/>
      <c r="M693" s="75"/>
    </row>
    <row r="694">
      <c r="B694" s="120"/>
      <c r="C694" s="120"/>
      <c r="F694" s="94"/>
      <c r="H694" s="75"/>
      <c r="K694" s="120"/>
      <c r="L694" s="75"/>
      <c r="M694" s="75"/>
    </row>
    <row r="695">
      <c r="B695" s="120"/>
      <c r="C695" s="120"/>
      <c r="F695" s="94"/>
      <c r="H695" s="75"/>
      <c r="K695" s="120"/>
      <c r="L695" s="75"/>
      <c r="M695" s="75"/>
    </row>
    <row r="696">
      <c r="B696" s="120"/>
      <c r="C696" s="120"/>
      <c r="F696" s="94"/>
      <c r="H696" s="75"/>
      <c r="K696" s="120"/>
      <c r="L696" s="75"/>
      <c r="M696" s="75"/>
    </row>
    <row r="697">
      <c r="B697" s="120"/>
      <c r="C697" s="120"/>
      <c r="F697" s="94"/>
      <c r="H697" s="75"/>
      <c r="K697" s="120"/>
      <c r="L697" s="75"/>
      <c r="M697" s="75"/>
    </row>
    <row r="698">
      <c r="B698" s="120"/>
      <c r="C698" s="120"/>
      <c r="F698" s="94"/>
      <c r="H698" s="75"/>
      <c r="K698" s="120"/>
      <c r="L698" s="75"/>
      <c r="M698" s="75"/>
    </row>
    <row r="699">
      <c r="B699" s="120"/>
      <c r="C699" s="120"/>
      <c r="F699" s="94"/>
      <c r="H699" s="75"/>
      <c r="K699" s="120"/>
      <c r="L699" s="75"/>
      <c r="M699" s="75"/>
    </row>
    <row r="700">
      <c r="B700" s="120"/>
      <c r="C700" s="120"/>
      <c r="F700" s="94"/>
      <c r="H700" s="75"/>
      <c r="K700" s="120"/>
      <c r="L700" s="75"/>
      <c r="M700" s="75"/>
    </row>
    <row r="701">
      <c r="B701" s="120"/>
      <c r="C701" s="120"/>
      <c r="F701" s="94"/>
      <c r="H701" s="75"/>
      <c r="K701" s="120"/>
      <c r="L701" s="75"/>
      <c r="M701" s="75"/>
    </row>
    <row r="702">
      <c r="B702" s="120"/>
      <c r="C702" s="120"/>
      <c r="F702" s="94"/>
      <c r="H702" s="75"/>
      <c r="K702" s="120"/>
      <c r="L702" s="75"/>
      <c r="M702" s="75"/>
    </row>
    <row r="703">
      <c r="B703" s="120"/>
      <c r="C703" s="120"/>
      <c r="F703" s="94"/>
      <c r="H703" s="75"/>
      <c r="K703" s="120"/>
      <c r="L703" s="75"/>
      <c r="M703" s="75"/>
    </row>
    <row r="704">
      <c r="B704" s="120"/>
      <c r="C704" s="120"/>
      <c r="F704" s="94"/>
      <c r="H704" s="75"/>
      <c r="K704" s="120"/>
      <c r="L704" s="75"/>
      <c r="M704" s="75"/>
    </row>
    <row r="705">
      <c r="B705" s="120"/>
      <c r="C705" s="120"/>
      <c r="F705" s="94"/>
      <c r="H705" s="75"/>
      <c r="K705" s="120"/>
      <c r="L705" s="75"/>
      <c r="M705" s="75"/>
    </row>
    <row r="706">
      <c r="B706" s="120"/>
      <c r="C706" s="120"/>
      <c r="F706" s="94"/>
      <c r="H706" s="75"/>
      <c r="K706" s="120"/>
      <c r="L706" s="75"/>
      <c r="M706" s="75"/>
    </row>
    <row r="707">
      <c r="B707" s="120"/>
      <c r="C707" s="120"/>
      <c r="F707" s="94"/>
      <c r="H707" s="75"/>
      <c r="K707" s="120"/>
      <c r="L707" s="75"/>
      <c r="M707" s="75"/>
    </row>
    <row r="708">
      <c r="B708" s="120"/>
      <c r="C708" s="120"/>
      <c r="F708" s="94"/>
      <c r="H708" s="75"/>
      <c r="K708" s="120"/>
      <c r="L708" s="75"/>
      <c r="M708" s="75"/>
    </row>
    <row r="709">
      <c r="B709" s="120"/>
      <c r="C709" s="120"/>
      <c r="F709" s="94"/>
      <c r="H709" s="75"/>
      <c r="K709" s="120"/>
      <c r="L709" s="75"/>
      <c r="M709" s="75"/>
    </row>
    <row r="710">
      <c r="B710" s="120"/>
      <c r="C710" s="120"/>
      <c r="F710" s="94"/>
      <c r="H710" s="75"/>
      <c r="K710" s="120"/>
      <c r="L710" s="75"/>
      <c r="M710" s="75"/>
    </row>
    <row r="711">
      <c r="B711" s="120"/>
      <c r="C711" s="120"/>
      <c r="F711" s="94"/>
      <c r="H711" s="75"/>
      <c r="K711" s="120"/>
      <c r="L711" s="75"/>
      <c r="M711" s="75"/>
    </row>
    <row r="712">
      <c r="B712" s="120"/>
      <c r="C712" s="120"/>
      <c r="F712" s="94"/>
      <c r="H712" s="75"/>
      <c r="K712" s="120"/>
      <c r="L712" s="75"/>
      <c r="M712" s="75"/>
    </row>
    <row r="713">
      <c r="B713" s="120"/>
      <c r="C713" s="120"/>
      <c r="F713" s="94"/>
      <c r="H713" s="75"/>
      <c r="K713" s="120"/>
      <c r="L713" s="75"/>
      <c r="M713" s="75"/>
    </row>
    <row r="714">
      <c r="B714" s="120"/>
      <c r="C714" s="120"/>
      <c r="F714" s="94"/>
      <c r="H714" s="75"/>
      <c r="K714" s="120"/>
      <c r="L714" s="75"/>
      <c r="M714" s="75"/>
    </row>
    <row r="715">
      <c r="B715" s="120"/>
      <c r="C715" s="120"/>
      <c r="F715" s="94"/>
      <c r="H715" s="75"/>
      <c r="K715" s="120"/>
      <c r="L715" s="75"/>
      <c r="M715" s="75"/>
    </row>
    <row r="716">
      <c r="B716" s="120"/>
      <c r="C716" s="120"/>
      <c r="F716" s="94"/>
      <c r="H716" s="75"/>
      <c r="K716" s="120"/>
      <c r="L716" s="75"/>
      <c r="M716" s="75"/>
    </row>
    <row r="717">
      <c r="B717" s="120"/>
      <c r="C717" s="120"/>
      <c r="F717" s="94"/>
      <c r="H717" s="75"/>
      <c r="K717" s="120"/>
      <c r="L717" s="75"/>
      <c r="M717" s="75"/>
    </row>
    <row r="718">
      <c r="B718" s="120"/>
      <c r="C718" s="120"/>
      <c r="F718" s="94"/>
      <c r="H718" s="75"/>
      <c r="K718" s="120"/>
      <c r="L718" s="75"/>
      <c r="M718" s="75"/>
    </row>
    <row r="719">
      <c r="B719" s="120"/>
      <c r="C719" s="120"/>
      <c r="F719" s="94"/>
      <c r="H719" s="75"/>
      <c r="K719" s="120"/>
      <c r="L719" s="75"/>
      <c r="M719" s="75"/>
    </row>
    <row r="720">
      <c r="B720" s="120"/>
      <c r="C720" s="120"/>
      <c r="F720" s="94"/>
      <c r="H720" s="75"/>
      <c r="K720" s="120"/>
      <c r="L720" s="75"/>
      <c r="M720" s="75"/>
    </row>
    <row r="721">
      <c r="B721" s="120"/>
      <c r="C721" s="120"/>
      <c r="F721" s="94"/>
      <c r="H721" s="75"/>
      <c r="K721" s="120"/>
      <c r="L721" s="75"/>
      <c r="M721" s="75"/>
    </row>
    <row r="722">
      <c r="B722" s="120"/>
      <c r="C722" s="120"/>
      <c r="F722" s="94"/>
      <c r="H722" s="75"/>
      <c r="K722" s="120"/>
      <c r="L722" s="75"/>
      <c r="M722" s="75"/>
    </row>
    <row r="723">
      <c r="B723" s="120"/>
      <c r="C723" s="120"/>
      <c r="F723" s="94"/>
      <c r="H723" s="75"/>
      <c r="K723" s="120"/>
      <c r="L723" s="75"/>
      <c r="M723" s="75"/>
    </row>
    <row r="724">
      <c r="B724" s="120"/>
      <c r="C724" s="120"/>
      <c r="F724" s="94"/>
      <c r="H724" s="75"/>
      <c r="K724" s="120"/>
      <c r="L724" s="75"/>
      <c r="M724" s="75"/>
    </row>
    <row r="725">
      <c r="B725" s="120"/>
      <c r="C725" s="120"/>
      <c r="F725" s="94"/>
      <c r="H725" s="75"/>
      <c r="K725" s="120"/>
      <c r="L725" s="75"/>
      <c r="M725" s="75"/>
    </row>
    <row r="726">
      <c r="B726" s="120"/>
      <c r="C726" s="120"/>
      <c r="F726" s="94"/>
      <c r="H726" s="75"/>
      <c r="K726" s="120"/>
      <c r="L726" s="75"/>
      <c r="M726" s="75"/>
    </row>
    <row r="727">
      <c r="B727" s="120"/>
      <c r="C727" s="120"/>
      <c r="F727" s="94"/>
      <c r="H727" s="75"/>
      <c r="K727" s="120"/>
      <c r="L727" s="75"/>
      <c r="M727" s="75"/>
    </row>
    <row r="728">
      <c r="B728" s="120"/>
      <c r="C728" s="120"/>
      <c r="F728" s="94"/>
      <c r="H728" s="75"/>
      <c r="K728" s="120"/>
      <c r="L728" s="75"/>
      <c r="M728" s="75"/>
    </row>
    <row r="729">
      <c r="B729" s="120"/>
      <c r="C729" s="120"/>
      <c r="F729" s="94"/>
      <c r="H729" s="75"/>
      <c r="K729" s="120"/>
      <c r="L729" s="75"/>
      <c r="M729" s="75"/>
    </row>
    <row r="730">
      <c r="B730" s="120"/>
      <c r="C730" s="120"/>
      <c r="F730" s="94"/>
      <c r="H730" s="75"/>
      <c r="K730" s="120"/>
      <c r="L730" s="75"/>
      <c r="M730" s="75"/>
    </row>
    <row r="731">
      <c r="B731" s="120"/>
      <c r="C731" s="120"/>
      <c r="F731" s="94"/>
      <c r="H731" s="75"/>
      <c r="K731" s="120"/>
      <c r="L731" s="75"/>
      <c r="M731" s="75"/>
    </row>
    <row r="732">
      <c r="B732" s="120"/>
      <c r="C732" s="120"/>
      <c r="F732" s="94"/>
      <c r="H732" s="75"/>
      <c r="K732" s="120"/>
      <c r="L732" s="75"/>
      <c r="M732" s="75"/>
    </row>
    <row r="733">
      <c r="B733" s="120"/>
      <c r="C733" s="120"/>
      <c r="F733" s="94"/>
      <c r="H733" s="75"/>
      <c r="K733" s="120"/>
      <c r="L733" s="75"/>
      <c r="M733" s="75"/>
    </row>
    <row r="734">
      <c r="B734" s="120"/>
      <c r="C734" s="120"/>
      <c r="F734" s="94"/>
      <c r="H734" s="75"/>
      <c r="K734" s="120"/>
      <c r="L734" s="75"/>
      <c r="M734" s="75"/>
    </row>
    <row r="735">
      <c r="B735" s="120"/>
      <c r="C735" s="120"/>
      <c r="F735" s="94"/>
      <c r="H735" s="75"/>
      <c r="K735" s="120"/>
      <c r="L735" s="75"/>
      <c r="M735" s="75"/>
    </row>
    <row r="736">
      <c r="B736" s="120"/>
      <c r="C736" s="120"/>
      <c r="F736" s="94"/>
      <c r="H736" s="75"/>
      <c r="K736" s="120"/>
      <c r="L736" s="75"/>
      <c r="M736" s="75"/>
    </row>
    <row r="737">
      <c r="B737" s="120"/>
      <c r="C737" s="120"/>
      <c r="F737" s="94"/>
      <c r="H737" s="75"/>
      <c r="K737" s="120"/>
      <c r="L737" s="75"/>
      <c r="M737" s="75"/>
    </row>
    <row r="738">
      <c r="B738" s="120"/>
      <c r="C738" s="120"/>
      <c r="F738" s="94"/>
      <c r="H738" s="75"/>
      <c r="K738" s="120"/>
      <c r="L738" s="75"/>
      <c r="M738" s="75"/>
    </row>
    <row r="739">
      <c r="B739" s="120"/>
      <c r="C739" s="120"/>
      <c r="F739" s="94"/>
      <c r="H739" s="75"/>
      <c r="K739" s="120"/>
      <c r="L739" s="75"/>
      <c r="M739" s="75"/>
    </row>
    <row r="740">
      <c r="B740" s="120"/>
      <c r="C740" s="120"/>
      <c r="F740" s="94"/>
      <c r="H740" s="75"/>
      <c r="K740" s="120"/>
      <c r="L740" s="75"/>
      <c r="M740" s="75"/>
    </row>
    <row r="741">
      <c r="B741" s="120"/>
      <c r="C741" s="120"/>
      <c r="F741" s="94"/>
      <c r="H741" s="75"/>
      <c r="K741" s="120"/>
      <c r="L741" s="75"/>
      <c r="M741" s="75"/>
    </row>
    <row r="742">
      <c r="B742" s="120"/>
      <c r="C742" s="120"/>
      <c r="F742" s="94"/>
      <c r="H742" s="75"/>
      <c r="K742" s="120"/>
      <c r="L742" s="75"/>
      <c r="M742" s="75"/>
    </row>
    <row r="743">
      <c r="B743" s="120"/>
      <c r="C743" s="120"/>
      <c r="F743" s="94"/>
      <c r="H743" s="75"/>
      <c r="K743" s="120"/>
      <c r="L743" s="75"/>
      <c r="M743" s="75"/>
    </row>
    <row r="744">
      <c r="B744" s="120"/>
      <c r="C744" s="120"/>
      <c r="F744" s="94"/>
      <c r="H744" s="75"/>
      <c r="K744" s="120"/>
      <c r="L744" s="75"/>
      <c r="M744" s="75"/>
    </row>
    <row r="745">
      <c r="B745" s="120"/>
      <c r="C745" s="120"/>
      <c r="F745" s="94"/>
      <c r="H745" s="75"/>
      <c r="K745" s="120"/>
      <c r="L745" s="75"/>
      <c r="M745" s="75"/>
    </row>
    <row r="746">
      <c r="B746" s="120"/>
      <c r="C746" s="120"/>
      <c r="F746" s="94"/>
      <c r="H746" s="75"/>
      <c r="K746" s="120"/>
      <c r="L746" s="75"/>
      <c r="M746" s="75"/>
    </row>
    <row r="747">
      <c r="B747" s="120"/>
      <c r="C747" s="120"/>
      <c r="F747" s="94"/>
      <c r="H747" s="75"/>
      <c r="K747" s="120"/>
      <c r="L747" s="75"/>
      <c r="M747" s="75"/>
    </row>
    <row r="748">
      <c r="B748" s="120"/>
      <c r="C748" s="120"/>
      <c r="F748" s="94"/>
      <c r="H748" s="75"/>
      <c r="K748" s="120"/>
      <c r="L748" s="75"/>
      <c r="M748" s="75"/>
    </row>
    <row r="749">
      <c r="B749" s="120"/>
      <c r="C749" s="120"/>
      <c r="F749" s="94"/>
      <c r="H749" s="75"/>
      <c r="K749" s="120"/>
      <c r="L749" s="75"/>
      <c r="M749" s="75"/>
    </row>
    <row r="750">
      <c r="B750" s="120"/>
      <c r="C750" s="120"/>
      <c r="F750" s="94"/>
      <c r="H750" s="75"/>
      <c r="K750" s="120"/>
      <c r="L750" s="75"/>
      <c r="M750" s="75"/>
    </row>
    <row r="751">
      <c r="B751" s="120"/>
      <c r="C751" s="120"/>
      <c r="F751" s="94"/>
      <c r="H751" s="75"/>
      <c r="K751" s="120"/>
      <c r="L751" s="75"/>
      <c r="M751" s="75"/>
    </row>
    <row r="752">
      <c r="B752" s="120"/>
      <c r="C752" s="120"/>
      <c r="F752" s="94"/>
      <c r="H752" s="75"/>
      <c r="K752" s="120"/>
      <c r="L752" s="75"/>
      <c r="M752" s="75"/>
    </row>
    <row r="753">
      <c r="B753" s="120"/>
      <c r="C753" s="120"/>
      <c r="F753" s="94"/>
      <c r="H753" s="75"/>
      <c r="K753" s="120"/>
      <c r="L753" s="75"/>
      <c r="M753" s="75"/>
    </row>
    <row r="754">
      <c r="B754" s="120"/>
      <c r="C754" s="120"/>
      <c r="F754" s="94"/>
      <c r="H754" s="75"/>
      <c r="K754" s="120"/>
      <c r="L754" s="75"/>
      <c r="M754" s="75"/>
    </row>
    <row r="755">
      <c r="B755" s="120"/>
      <c r="C755" s="120"/>
      <c r="F755" s="94"/>
      <c r="H755" s="75"/>
      <c r="K755" s="120"/>
      <c r="L755" s="75"/>
      <c r="M755" s="75"/>
    </row>
    <row r="756">
      <c r="B756" s="120"/>
      <c r="C756" s="120"/>
      <c r="F756" s="94"/>
      <c r="H756" s="75"/>
      <c r="K756" s="120"/>
      <c r="L756" s="75"/>
      <c r="M756" s="75"/>
    </row>
    <row r="757">
      <c r="B757" s="120"/>
      <c r="C757" s="120"/>
      <c r="F757" s="94"/>
      <c r="H757" s="75"/>
      <c r="K757" s="120"/>
      <c r="L757" s="75"/>
      <c r="M757" s="75"/>
    </row>
    <row r="758">
      <c r="B758" s="120"/>
      <c r="C758" s="120"/>
      <c r="F758" s="94"/>
      <c r="H758" s="75"/>
      <c r="K758" s="120"/>
      <c r="L758" s="75"/>
      <c r="M758" s="75"/>
    </row>
    <row r="759">
      <c r="B759" s="120"/>
      <c r="C759" s="120"/>
      <c r="F759" s="94"/>
      <c r="H759" s="75"/>
      <c r="K759" s="120"/>
      <c r="L759" s="75"/>
      <c r="M759" s="75"/>
    </row>
    <row r="760">
      <c r="B760" s="120"/>
      <c r="C760" s="120"/>
      <c r="F760" s="94"/>
      <c r="H760" s="75"/>
      <c r="K760" s="120"/>
      <c r="L760" s="75"/>
      <c r="M760" s="75"/>
    </row>
    <row r="761">
      <c r="B761" s="120"/>
      <c r="C761" s="120"/>
      <c r="F761" s="94"/>
      <c r="H761" s="75"/>
      <c r="K761" s="120"/>
      <c r="L761" s="75"/>
      <c r="M761" s="75"/>
    </row>
    <row r="762">
      <c r="B762" s="120"/>
      <c r="C762" s="120"/>
      <c r="F762" s="94"/>
      <c r="H762" s="75"/>
      <c r="K762" s="120"/>
      <c r="L762" s="75"/>
      <c r="M762" s="75"/>
    </row>
    <row r="763">
      <c r="B763" s="120"/>
      <c r="C763" s="120"/>
      <c r="F763" s="94"/>
      <c r="H763" s="75"/>
      <c r="K763" s="120"/>
      <c r="L763" s="75"/>
      <c r="M763" s="75"/>
    </row>
    <row r="764">
      <c r="B764" s="120"/>
      <c r="C764" s="120"/>
      <c r="F764" s="94"/>
      <c r="H764" s="75"/>
      <c r="K764" s="120"/>
      <c r="L764" s="75"/>
      <c r="M764" s="75"/>
    </row>
    <row r="765">
      <c r="B765" s="120"/>
      <c r="C765" s="120"/>
      <c r="F765" s="94"/>
      <c r="H765" s="75"/>
      <c r="K765" s="120"/>
      <c r="L765" s="75"/>
      <c r="M765" s="75"/>
    </row>
    <row r="766">
      <c r="B766" s="120"/>
      <c r="C766" s="120"/>
      <c r="F766" s="94"/>
      <c r="H766" s="75"/>
      <c r="K766" s="120"/>
      <c r="L766" s="75"/>
      <c r="M766" s="75"/>
    </row>
    <row r="767">
      <c r="B767" s="120"/>
      <c r="C767" s="120"/>
      <c r="F767" s="94"/>
      <c r="H767" s="75"/>
      <c r="K767" s="120"/>
      <c r="L767" s="75"/>
      <c r="M767" s="75"/>
    </row>
    <row r="768">
      <c r="B768" s="120"/>
      <c r="C768" s="120"/>
      <c r="F768" s="94"/>
      <c r="H768" s="75"/>
      <c r="K768" s="120"/>
      <c r="L768" s="75"/>
      <c r="M768" s="75"/>
    </row>
    <row r="769">
      <c r="B769" s="120"/>
      <c r="C769" s="120"/>
      <c r="F769" s="94"/>
      <c r="H769" s="75"/>
      <c r="K769" s="120"/>
      <c r="L769" s="75"/>
      <c r="M769" s="75"/>
    </row>
    <row r="770">
      <c r="B770" s="120"/>
      <c r="C770" s="120"/>
      <c r="F770" s="94"/>
      <c r="H770" s="75"/>
      <c r="K770" s="120"/>
      <c r="L770" s="75"/>
      <c r="M770" s="75"/>
    </row>
    <row r="771">
      <c r="B771" s="120"/>
      <c r="C771" s="120"/>
      <c r="F771" s="94"/>
      <c r="H771" s="75"/>
      <c r="K771" s="120"/>
      <c r="L771" s="75"/>
      <c r="M771" s="75"/>
    </row>
    <row r="772">
      <c r="B772" s="120"/>
      <c r="C772" s="120"/>
      <c r="F772" s="94"/>
      <c r="H772" s="75"/>
      <c r="K772" s="120"/>
      <c r="L772" s="75"/>
      <c r="M772" s="75"/>
    </row>
    <row r="773">
      <c r="B773" s="120"/>
      <c r="C773" s="120"/>
      <c r="F773" s="94"/>
      <c r="H773" s="75"/>
      <c r="K773" s="120"/>
      <c r="L773" s="75"/>
      <c r="M773" s="75"/>
    </row>
    <row r="774">
      <c r="B774" s="120"/>
      <c r="C774" s="120"/>
      <c r="F774" s="94"/>
      <c r="H774" s="75"/>
      <c r="K774" s="120"/>
      <c r="L774" s="75"/>
      <c r="M774" s="75"/>
    </row>
    <row r="775">
      <c r="B775" s="120"/>
      <c r="C775" s="120"/>
      <c r="F775" s="94"/>
      <c r="H775" s="75"/>
      <c r="K775" s="120"/>
      <c r="L775" s="75"/>
      <c r="M775" s="75"/>
    </row>
    <row r="776">
      <c r="B776" s="120"/>
      <c r="C776" s="120"/>
      <c r="F776" s="94"/>
      <c r="H776" s="75"/>
      <c r="K776" s="120"/>
      <c r="L776" s="75"/>
      <c r="M776" s="75"/>
    </row>
    <row r="777">
      <c r="B777" s="120"/>
      <c r="C777" s="120"/>
      <c r="F777" s="94"/>
      <c r="H777" s="75"/>
      <c r="K777" s="120"/>
      <c r="L777" s="75"/>
      <c r="M777" s="75"/>
    </row>
    <row r="778">
      <c r="B778" s="120"/>
      <c r="C778" s="120"/>
      <c r="F778" s="94"/>
      <c r="H778" s="75"/>
      <c r="K778" s="120"/>
      <c r="L778" s="75"/>
      <c r="M778" s="75"/>
    </row>
    <row r="779">
      <c r="B779" s="120"/>
      <c r="C779" s="120"/>
      <c r="F779" s="94"/>
      <c r="H779" s="75"/>
      <c r="K779" s="120"/>
      <c r="L779" s="75"/>
      <c r="M779" s="75"/>
    </row>
    <row r="780">
      <c r="B780" s="120"/>
      <c r="C780" s="120"/>
      <c r="F780" s="94"/>
      <c r="H780" s="75"/>
      <c r="K780" s="120"/>
      <c r="L780" s="75"/>
      <c r="M780" s="75"/>
    </row>
    <row r="781">
      <c r="B781" s="120"/>
      <c r="C781" s="120"/>
      <c r="F781" s="94"/>
      <c r="H781" s="75"/>
      <c r="K781" s="120"/>
      <c r="L781" s="75"/>
      <c r="M781" s="75"/>
    </row>
    <row r="782">
      <c r="B782" s="120"/>
      <c r="C782" s="120"/>
      <c r="F782" s="94"/>
      <c r="H782" s="75"/>
      <c r="K782" s="120"/>
      <c r="L782" s="75"/>
      <c r="M782" s="75"/>
    </row>
    <row r="783">
      <c r="B783" s="120"/>
      <c r="C783" s="120"/>
      <c r="F783" s="94"/>
      <c r="H783" s="75"/>
      <c r="K783" s="120"/>
      <c r="L783" s="75"/>
      <c r="M783" s="75"/>
    </row>
    <row r="784">
      <c r="B784" s="120"/>
      <c r="C784" s="120"/>
      <c r="F784" s="94"/>
      <c r="H784" s="75"/>
      <c r="K784" s="120"/>
      <c r="L784" s="75"/>
      <c r="M784" s="75"/>
    </row>
    <row r="785">
      <c r="B785" s="120"/>
      <c r="C785" s="120"/>
      <c r="F785" s="94"/>
      <c r="H785" s="75"/>
      <c r="K785" s="120"/>
      <c r="L785" s="75"/>
      <c r="M785" s="75"/>
    </row>
    <row r="786">
      <c r="B786" s="120"/>
      <c r="C786" s="120"/>
      <c r="F786" s="94"/>
      <c r="H786" s="75"/>
      <c r="K786" s="120"/>
      <c r="L786" s="75"/>
      <c r="M786" s="75"/>
    </row>
    <row r="787">
      <c r="B787" s="120"/>
      <c r="C787" s="120"/>
      <c r="F787" s="94"/>
      <c r="H787" s="75"/>
      <c r="K787" s="120"/>
      <c r="L787" s="75"/>
      <c r="M787" s="75"/>
    </row>
    <row r="788">
      <c r="B788" s="120"/>
      <c r="C788" s="120"/>
      <c r="F788" s="94"/>
      <c r="H788" s="75"/>
      <c r="K788" s="120"/>
      <c r="L788" s="75"/>
      <c r="M788" s="75"/>
    </row>
    <row r="789">
      <c r="B789" s="120"/>
      <c r="C789" s="120"/>
      <c r="F789" s="94"/>
      <c r="H789" s="75"/>
      <c r="K789" s="120"/>
      <c r="L789" s="75"/>
      <c r="M789" s="75"/>
    </row>
    <row r="790">
      <c r="B790" s="120"/>
      <c r="C790" s="120"/>
      <c r="F790" s="94"/>
      <c r="H790" s="75"/>
      <c r="K790" s="120"/>
      <c r="L790" s="75"/>
      <c r="M790" s="75"/>
    </row>
    <row r="791">
      <c r="B791" s="120"/>
      <c r="C791" s="120"/>
      <c r="F791" s="94"/>
      <c r="H791" s="75"/>
      <c r="K791" s="120"/>
      <c r="L791" s="75"/>
      <c r="M791" s="75"/>
    </row>
    <row r="792">
      <c r="B792" s="120"/>
      <c r="C792" s="120"/>
      <c r="F792" s="94"/>
      <c r="H792" s="75"/>
      <c r="K792" s="120"/>
      <c r="L792" s="75"/>
      <c r="M792" s="75"/>
    </row>
    <row r="793">
      <c r="B793" s="120"/>
      <c r="C793" s="120"/>
      <c r="F793" s="94"/>
      <c r="H793" s="75"/>
      <c r="K793" s="120"/>
      <c r="L793" s="75"/>
      <c r="M793" s="75"/>
    </row>
    <row r="794">
      <c r="B794" s="120"/>
      <c r="C794" s="120"/>
      <c r="F794" s="94"/>
      <c r="H794" s="75"/>
      <c r="K794" s="120"/>
      <c r="L794" s="75"/>
      <c r="M794" s="75"/>
    </row>
    <row r="795">
      <c r="B795" s="120"/>
      <c r="C795" s="120"/>
      <c r="F795" s="94"/>
      <c r="H795" s="75"/>
      <c r="K795" s="120"/>
      <c r="L795" s="75"/>
      <c r="M795" s="75"/>
    </row>
    <row r="796">
      <c r="B796" s="120"/>
      <c r="C796" s="120"/>
      <c r="F796" s="94"/>
      <c r="H796" s="75"/>
      <c r="K796" s="120"/>
      <c r="L796" s="75"/>
      <c r="M796" s="75"/>
    </row>
    <row r="797">
      <c r="B797" s="120"/>
      <c r="C797" s="120"/>
      <c r="F797" s="94"/>
      <c r="H797" s="75"/>
      <c r="K797" s="120"/>
      <c r="L797" s="75"/>
      <c r="M797" s="75"/>
    </row>
    <row r="798">
      <c r="B798" s="120"/>
      <c r="C798" s="120"/>
      <c r="F798" s="94"/>
      <c r="H798" s="75"/>
      <c r="K798" s="120"/>
      <c r="L798" s="75"/>
      <c r="M798" s="75"/>
    </row>
    <row r="799">
      <c r="B799" s="120"/>
      <c r="C799" s="120"/>
      <c r="F799" s="94"/>
      <c r="H799" s="75"/>
      <c r="K799" s="120"/>
      <c r="L799" s="75"/>
      <c r="M799" s="75"/>
    </row>
    <row r="800">
      <c r="B800" s="120"/>
      <c r="C800" s="120"/>
      <c r="F800" s="94"/>
      <c r="H800" s="75"/>
      <c r="K800" s="120"/>
      <c r="L800" s="75"/>
      <c r="M800" s="75"/>
    </row>
    <row r="801">
      <c r="B801" s="120"/>
      <c r="C801" s="120"/>
      <c r="F801" s="94"/>
      <c r="H801" s="75"/>
      <c r="K801" s="120"/>
      <c r="L801" s="75"/>
      <c r="M801" s="75"/>
    </row>
    <row r="802">
      <c r="B802" s="120"/>
      <c r="C802" s="120"/>
      <c r="F802" s="94"/>
      <c r="H802" s="75"/>
      <c r="K802" s="120"/>
      <c r="L802" s="75"/>
      <c r="M802" s="75"/>
    </row>
    <row r="803">
      <c r="B803" s="120"/>
      <c r="C803" s="120"/>
      <c r="F803" s="94"/>
      <c r="H803" s="75"/>
      <c r="K803" s="120"/>
      <c r="L803" s="75"/>
      <c r="M803" s="75"/>
    </row>
    <row r="804">
      <c r="B804" s="120"/>
      <c r="C804" s="120"/>
      <c r="F804" s="94"/>
      <c r="H804" s="75"/>
      <c r="K804" s="120"/>
      <c r="L804" s="75"/>
      <c r="M804" s="75"/>
    </row>
    <row r="805">
      <c r="B805" s="120"/>
      <c r="C805" s="120"/>
      <c r="F805" s="94"/>
      <c r="H805" s="75"/>
      <c r="K805" s="120"/>
      <c r="L805" s="75"/>
      <c r="M805" s="75"/>
    </row>
    <row r="806">
      <c r="B806" s="120"/>
      <c r="C806" s="120"/>
      <c r="F806" s="94"/>
      <c r="H806" s="75"/>
      <c r="K806" s="120"/>
      <c r="L806" s="75"/>
      <c r="M806" s="75"/>
    </row>
    <row r="807">
      <c r="B807" s="120"/>
      <c r="C807" s="120"/>
      <c r="F807" s="94"/>
      <c r="H807" s="75"/>
      <c r="K807" s="120"/>
      <c r="L807" s="75"/>
      <c r="M807" s="75"/>
    </row>
    <row r="808">
      <c r="B808" s="120"/>
      <c r="C808" s="120"/>
      <c r="F808" s="94"/>
      <c r="H808" s="75"/>
      <c r="K808" s="120"/>
      <c r="L808" s="75"/>
      <c r="M808" s="75"/>
    </row>
    <row r="809">
      <c r="B809" s="120"/>
      <c r="C809" s="120"/>
      <c r="F809" s="94"/>
      <c r="H809" s="75"/>
      <c r="K809" s="120"/>
      <c r="L809" s="75"/>
      <c r="M809" s="75"/>
    </row>
    <row r="810">
      <c r="B810" s="120"/>
      <c r="C810" s="120"/>
      <c r="F810" s="94"/>
      <c r="H810" s="75"/>
      <c r="K810" s="120"/>
      <c r="L810" s="75"/>
      <c r="M810" s="75"/>
    </row>
    <row r="811">
      <c r="B811" s="120"/>
      <c r="C811" s="120"/>
      <c r="F811" s="94"/>
      <c r="H811" s="75"/>
      <c r="K811" s="120"/>
      <c r="L811" s="75"/>
      <c r="M811" s="75"/>
    </row>
    <row r="812">
      <c r="B812" s="120"/>
      <c r="C812" s="120"/>
      <c r="F812" s="94"/>
      <c r="H812" s="75"/>
      <c r="K812" s="120"/>
      <c r="L812" s="75"/>
      <c r="M812" s="75"/>
    </row>
    <row r="813">
      <c r="B813" s="120"/>
      <c r="C813" s="120"/>
      <c r="F813" s="94"/>
      <c r="H813" s="75"/>
      <c r="K813" s="120"/>
      <c r="L813" s="75"/>
      <c r="M813" s="75"/>
    </row>
    <row r="814">
      <c r="B814" s="120"/>
      <c r="C814" s="120"/>
      <c r="F814" s="94"/>
      <c r="H814" s="75"/>
      <c r="K814" s="120"/>
      <c r="L814" s="75"/>
      <c r="M814" s="75"/>
    </row>
    <row r="815">
      <c r="B815" s="120"/>
      <c r="C815" s="120"/>
      <c r="F815" s="94"/>
      <c r="H815" s="75"/>
      <c r="K815" s="120"/>
      <c r="L815" s="75"/>
      <c r="M815" s="75"/>
    </row>
    <row r="816">
      <c r="B816" s="120"/>
      <c r="C816" s="120"/>
      <c r="F816" s="94"/>
      <c r="H816" s="75"/>
      <c r="K816" s="120"/>
      <c r="L816" s="75"/>
      <c r="M816" s="75"/>
    </row>
    <row r="817">
      <c r="B817" s="120"/>
      <c r="C817" s="120"/>
      <c r="F817" s="94"/>
      <c r="H817" s="75"/>
      <c r="K817" s="120"/>
      <c r="L817" s="75"/>
      <c r="M817" s="75"/>
    </row>
    <row r="818">
      <c r="B818" s="120"/>
      <c r="C818" s="120"/>
      <c r="F818" s="94"/>
      <c r="H818" s="75"/>
      <c r="K818" s="120"/>
      <c r="L818" s="75"/>
      <c r="M818" s="75"/>
    </row>
    <row r="819">
      <c r="B819" s="120"/>
      <c r="C819" s="120"/>
      <c r="F819" s="94"/>
      <c r="H819" s="75"/>
      <c r="K819" s="120"/>
      <c r="L819" s="75"/>
      <c r="M819" s="75"/>
    </row>
    <row r="820">
      <c r="B820" s="120"/>
      <c r="C820" s="120"/>
      <c r="F820" s="94"/>
      <c r="H820" s="75"/>
      <c r="K820" s="120"/>
      <c r="L820" s="75"/>
      <c r="M820" s="75"/>
    </row>
    <row r="821">
      <c r="B821" s="120"/>
      <c r="C821" s="120"/>
      <c r="F821" s="94"/>
      <c r="H821" s="75"/>
      <c r="K821" s="120"/>
      <c r="L821" s="75"/>
      <c r="M821" s="75"/>
    </row>
    <row r="822">
      <c r="B822" s="120"/>
      <c r="C822" s="120"/>
      <c r="F822" s="94"/>
      <c r="H822" s="75"/>
      <c r="K822" s="120"/>
      <c r="L822" s="75"/>
      <c r="M822" s="75"/>
    </row>
    <row r="823">
      <c r="B823" s="120"/>
      <c r="C823" s="120"/>
      <c r="F823" s="94"/>
      <c r="H823" s="75"/>
      <c r="K823" s="120"/>
      <c r="L823" s="75"/>
      <c r="M823" s="75"/>
    </row>
    <row r="824">
      <c r="B824" s="120"/>
      <c r="C824" s="120"/>
      <c r="F824" s="94"/>
      <c r="H824" s="75"/>
      <c r="K824" s="120"/>
      <c r="L824" s="75"/>
      <c r="M824" s="75"/>
    </row>
    <row r="825">
      <c r="B825" s="120"/>
      <c r="C825" s="120"/>
      <c r="F825" s="94"/>
      <c r="H825" s="75"/>
      <c r="K825" s="120"/>
      <c r="L825" s="75"/>
      <c r="M825" s="75"/>
    </row>
    <row r="826">
      <c r="B826" s="120"/>
      <c r="C826" s="120"/>
      <c r="F826" s="94"/>
      <c r="H826" s="75"/>
      <c r="K826" s="120"/>
      <c r="L826" s="75"/>
      <c r="M826" s="75"/>
    </row>
    <row r="827">
      <c r="B827" s="120"/>
      <c r="C827" s="120"/>
      <c r="F827" s="94"/>
      <c r="H827" s="75"/>
      <c r="K827" s="120"/>
      <c r="L827" s="75"/>
      <c r="M827" s="75"/>
    </row>
    <row r="828">
      <c r="B828" s="120"/>
      <c r="C828" s="120"/>
      <c r="F828" s="94"/>
      <c r="H828" s="75"/>
      <c r="K828" s="120"/>
      <c r="L828" s="75"/>
      <c r="M828" s="75"/>
    </row>
    <row r="829">
      <c r="B829" s="120"/>
      <c r="C829" s="120"/>
      <c r="F829" s="94"/>
      <c r="H829" s="75"/>
      <c r="K829" s="120"/>
      <c r="L829" s="75"/>
      <c r="M829" s="75"/>
    </row>
    <row r="830">
      <c r="B830" s="120"/>
      <c r="C830" s="120"/>
      <c r="F830" s="94"/>
      <c r="H830" s="75"/>
      <c r="K830" s="120"/>
      <c r="L830" s="75"/>
      <c r="M830" s="75"/>
    </row>
    <row r="831">
      <c r="B831" s="120"/>
      <c r="C831" s="120"/>
      <c r="F831" s="94"/>
      <c r="H831" s="75"/>
      <c r="K831" s="120"/>
      <c r="L831" s="75"/>
      <c r="M831" s="75"/>
    </row>
    <row r="832">
      <c r="B832" s="120"/>
      <c r="C832" s="120"/>
      <c r="F832" s="94"/>
      <c r="H832" s="75"/>
      <c r="K832" s="120"/>
      <c r="L832" s="75"/>
      <c r="M832" s="75"/>
    </row>
    <row r="833">
      <c r="B833" s="120"/>
      <c r="C833" s="120"/>
      <c r="F833" s="94"/>
      <c r="H833" s="75"/>
      <c r="K833" s="120"/>
      <c r="L833" s="75"/>
      <c r="M833" s="75"/>
    </row>
    <row r="834">
      <c r="B834" s="120"/>
      <c r="C834" s="120"/>
      <c r="F834" s="94"/>
      <c r="H834" s="75"/>
      <c r="K834" s="120"/>
      <c r="L834" s="75"/>
      <c r="M834" s="75"/>
    </row>
    <row r="835">
      <c r="B835" s="120"/>
      <c r="C835" s="120"/>
      <c r="F835" s="94"/>
      <c r="H835" s="75"/>
      <c r="K835" s="120"/>
      <c r="L835" s="75"/>
      <c r="M835" s="75"/>
    </row>
    <row r="836">
      <c r="B836" s="120"/>
      <c r="C836" s="120"/>
      <c r="F836" s="94"/>
      <c r="H836" s="75"/>
      <c r="K836" s="120"/>
      <c r="L836" s="75"/>
      <c r="M836" s="75"/>
    </row>
    <row r="837">
      <c r="B837" s="120"/>
      <c r="C837" s="120"/>
      <c r="F837" s="94"/>
      <c r="H837" s="75"/>
      <c r="K837" s="120"/>
      <c r="L837" s="75"/>
      <c r="M837" s="75"/>
    </row>
    <row r="838">
      <c r="B838" s="120"/>
      <c r="C838" s="120"/>
      <c r="F838" s="94"/>
      <c r="H838" s="75"/>
      <c r="K838" s="120"/>
      <c r="L838" s="75"/>
      <c r="M838" s="75"/>
    </row>
    <row r="839">
      <c r="B839" s="120"/>
      <c r="C839" s="120"/>
      <c r="F839" s="94"/>
      <c r="H839" s="75"/>
      <c r="K839" s="120"/>
      <c r="L839" s="75"/>
      <c r="M839" s="75"/>
    </row>
    <row r="840">
      <c r="B840" s="120"/>
      <c r="C840" s="120"/>
      <c r="F840" s="94"/>
      <c r="H840" s="75"/>
      <c r="K840" s="120"/>
      <c r="L840" s="75"/>
      <c r="M840" s="75"/>
    </row>
    <row r="841">
      <c r="B841" s="120"/>
      <c r="C841" s="120"/>
      <c r="F841" s="94"/>
      <c r="H841" s="75"/>
      <c r="K841" s="120"/>
      <c r="L841" s="75"/>
      <c r="M841" s="75"/>
    </row>
    <row r="842">
      <c r="B842" s="120"/>
      <c r="C842" s="120"/>
      <c r="F842" s="94"/>
      <c r="H842" s="75"/>
      <c r="K842" s="120"/>
      <c r="L842" s="75"/>
      <c r="M842" s="75"/>
    </row>
    <row r="843">
      <c r="B843" s="120"/>
      <c r="C843" s="120"/>
      <c r="F843" s="94"/>
      <c r="H843" s="75"/>
      <c r="K843" s="120"/>
      <c r="L843" s="75"/>
      <c r="M843" s="75"/>
    </row>
    <row r="844">
      <c r="B844" s="120"/>
      <c r="C844" s="120"/>
      <c r="F844" s="94"/>
      <c r="H844" s="75"/>
      <c r="K844" s="120"/>
      <c r="L844" s="75"/>
      <c r="M844" s="75"/>
    </row>
    <row r="845">
      <c r="B845" s="120"/>
      <c r="C845" s="120"/>
      <c r="F845" s="94"/>
      <c r="H845" s="75"/>
      <c r="K845" s="120"/>
      <c r="L845" s="75"/>
      <c r="M845" s="75"/>
    </row>
    <row r="846">
      <c r="B846" s="120"/>
      <c r="C846" s="120"/>
      <c r="F846" s="94"/>
      <c r="H846" s="75"/>
      <c r="K846" s="120"/>
      <c r="L846" s="75"/>
      <c r="M846" s="75"/>
    </row>
    <row r="847">
      <c r="B847" s="120"/>
      <c r="C847" s="120"/>
      <c r="F847" s="94"/>
      <c r="H847" s="75"/>
      <c r="K847" s="120"/>
      <c r="L847" s="75"/>
      <c r="M847" s="75"/>
    </row>
    <row r="848">
      <c r="B848" s="120"/>
      <c r="C848" s="120"/>
      <c r="F848" s="94"/>
      <c r="H848" s="75"/>
      <c r="K848" s="120"/>
      <c r="L848" s="75"/>
      <c r="M848" s="75"/>
    </row>
    <row r="849">
      <c r="B849" s="120"/>
      <c r="C849" s="120"/>
      <c r="F849" s="94"/>
      <c r="H849" s="75"/>
      <c r="K849" s="120"/>
      <c r="L849" s="75"/>
      <c r="M849" s="75"/>
    </row>
    <row r="850">
      <c r="B850" s="120"/>
      <c r="C850" s="120"/>
      <c r="F850" s="94"/>
      <c r="H850" s="75"/>
      <c r="K850" s="120"/>
      <c r="L850" s="75"/>
      <c r="M850" s="75"/>
    </row>
    <row r="851">
      <c r="B851" s="120"/>
      <c r="C851" s="120"/>
      <c r="F851" s="94"/>
      <c r="H851" s="75"/>
      <c r="K851" s="120"/>
      <c r="L851" s="75"/>
      <c r="M851" s="75"/>
    </row>
    <row r="852">
      <c r="B852" s="120"/>
      <c r="C852" s="120"/>
      <c r="F852" s="94"/>
      <c r="H852" s="75"/>
      <c r="K852" s="120"/>
      <c r="L852" s="75"/>
      <c r="M852" s="75"/>
    </row>
    <row r="853">
      <c r="B853" s="120"/>
      <c r="C853" s="120"/>
      <c r="F853" s="94"/>
      <c r="H853" s="75"/>
      <c r="K853" s="120"/>
      <c r="L853" s="75"/>
      <c r="M853" s="75"/>
    </row>
    <row r="854">
      <c r="B854" s="120"/>
      <c r="C854" s="120"/>
      <c r="F854" s="94"/>
      <c r="H854" s="75"/>
      <c r="K854" s="120"/>
      <c r="L854" s="75"/>
      <c r="M854" s="75"/>
    </row>
    <row r="855">
      <c r="B855" s="120"/>
      <c r="C855" s="120"/>
      <c r="F855" s="94"/>
      <c r="H855" s="75"/>
      <c r="K855" s="120"/>
      <c r="L855" s="75"/>
      <c r="M855" s="75"/>
    </row>
    <row r="856">
      <c r="B856" s="120"/>
      <c r="C856" s="120"/>
      <c r="F856" s="94"/>
      <c r="H856" s="75"/>
      <c r="K856" s="120"/>
      <c r="L856" s="75"/>
      <c r="M856" s="75"/>
    </row>
    <row r="857">
      <c r="B857" s="120"/>
      <c r="C857" s="120"/>
      <c r="F857" s="94"/>
      <c r="H857" s="75"/>
      <c r="K857" s="120"/>
      <c r="L857" s="75"/>
      <c r="M857" s="75"/>
    </row>
    <row r="858">
      <c r="B858" s="120"/>
      <c r="C858" s="120"/>
      <c r="F858" s="94"/>
      <c r="H858" s="75"/>
      <c r="K858" s="120"/>
      <c r="L858" s="75"/>
      <c r="M858" s="75"/>
    </row>
    <row r="859">
      <c r="B859" s="120"/>
      <c r="C859" s="120"/>
      <c r="F859" s="94"/>
      <c r="H859" s="75"/>
      <c r="K859" s="120"/>
      <c r="L859" s="75"/>
      <c r="M859" s="75"/>
    </row>
    <row r="860">
      <c r="B860" s="120"/>
      <c r="C860" s="120"/>
      <c r="F860" s="94"/>
      <c r="H860" s="75"/>
      <c r="K860" s="120"/>
      <c r="L860" s="75"/>
      <c r="M860" s="75"/>
    </row>
    <row r="861">
      <c r="B861" s="120"/>
      <c r="C861" s="120"/>
      <c r="F861" s="94"/>
      <c r="H861" s="75"/>
      <c r="K861" s="120"/>
      <c r="L861" s="75"/>
      <c r="M861" s="75"/>
    </row>
    <row r="862">
      <c r="B862" s="120"/>
      <c r="C862" s="120"/>
      <c r="F862" s="94"/>
      <c r="H862" s="75"/>
      <c r="K862" s="120"/>
      <c r="L862" s="75"/>
      <c r="M862" s="75"/>
    </row>
    <row r="863">
      <c r="B863" s="120"/>
      <c r="C863" s="120"/>
      <c r="F863" s="94"/>
      <c r="H863" s="75"/>
      <c r="K863" s="120"/>
      <c r="L863" s="75"/>
      <c r="M863" s="75"/>
    </row>
    <row r="864">
      <c r="B864" s="120"/>
      <c r="C864" s="120"/>
      <c r="F864" s="94"/>
      <c r="H864" s="75"/>
      <c r="K864" s="120"/>
      <c r="L864" s="75"/>
      <c r="M864" s="75"/>
    </row>
    <row r="865">
      <c r="B865" s="120"/>
      <c r="C865" s="120"/>
      <c r="F865" s="94"/>
      <c r="H865" s="75"/>
      <c r="K865" s="120"/>
      <c r="L865" s="75"/>
      <c r="M865" s="75"/>
    </row>
    <row r="866">
      <c r="B866" s="120"/>
      <c r="C866" s="120"/>
      <c r="F866" s="94"/>
      <c r="H866" s="75"/>
      <c r="K866" s="120"/>
      <c r="L866" s="75"/>
      <c r="M866" s="75"/>
    </row>
    <row r="867">
      <c r="B867" s="120"/>
      <c r="C867" s="120"/>
      <c r="F867" s="94"/>
      <c r="H867" s="75"/>
      <c r="K867" s="120"/>
      <c r="L867" s="75"/>
      <c r="M867" s="75"/>
    </row>
    <row r="868">
      <c r="B868" s="120"/>
      <c r="C868" s="120"/>
      <c r="F868" s="94"/>
      <c r="H868" s="75"/>
      <c r="K868" s="120"/>
      <c r="L868" s="75"/>
      <c r="M868" s="75"/>
    </row>
    <row r="869">
      <c r="B869" s="120"/>
      <c r="C869" s="120"/>
      <c r="F869" s="94"/>
      <c r="H869" s="75"/>
      <c r="K869" s="120"/>
      <c r="L869" s="75"/>
      <c r="M869" s="75"/>
    </row>
    <row r="870">
      <c r="B870" s="120"/>
      <c r="C870" s="120"/>
      <c r="F870" s="94"/>
      <c r="H870" s="75"/>
      <c r="K870" s="120"/>
      <c r="L870" s="75"/>
      <c r="M870" s="75"/>
    </row>
    <row r="871">
      <c r="B871" s="120"/>
      <c r="C871" s="120"/>
      <c r="F871" s="94"/>
      <c r="H871" s="75"/>
      <c r="K871" s="120"/>
      <c r="L871" s="75"/>
      <c r="M871" s="75"/>
    </row>
    <row r="872">
      <c r="B872" s="120"/>
      <c r="C872" s="120"/>
      <c r="F872" s="94"/>
      <c r="H872" s="75"/>
      <c r="K872" s="120"/>
      <c r="L872" s="75"/>
      <c r="M872" s="75"/>
    </row>
    <row r="873">
      <c r="B873" s="120"/>
      <c r="C873" s="120"/>
      <c r="F873" s="94"/>
      <c r="H873" s="75"/>
      <c r="K873" s="120"/>
      <c r="L873" s="75"/>
      <c r="M873" s="75"/>
    </row>
    <row r="874">
      <c r="B874" s="120"/>
      <c r="C874" s="120"/>
      <c r="F874" s="94"/>
      <c r="H874" s="75"/>
      <c r="K874" s="120"/>
      <c r="L874" s="75"/>
      <c r="M874" s="75"/>
    </row>
    <row r="875">
      <c r="B875" s="120"/>
      <c r="C875" s="120"/>
      <c r="F875" s="94"/>
      <c r="H875" s="75"/>
      <c r="K875" s="120"/>
      <c r="L875" s="75"/>
      <c r="M875" s="75"/>
    </row>
    <row r="876">
      <c r="B876" s="120"/>
      <c r="C876" s="120"/>
      <c r="F876" s="94"/>
      <c r="H876" s="75"/>
      <c r="K876" s="120"/>
      <c r="L876" s="75"/>
      <c r="M876" s="75"/>
    </row>
    <row r="877">
      <c r="B877" s="120"/>
      <c r="C877" s="120"/>
      <c r="F877" s="94"/>
      <c r="H877" s="75"/>
      <c r="K877" s="120"/>
      <c r="L877" s="75"/>
      <c r="M877" s="75"/>
    </row>
    <row r="878">
      <c r="B878" s="120"/>
      <c r="C878" s="120"/>
      <c r="F878" s="94"/>
      <c r="H878" s="75"/>
      <c r="K878" s="120"/>
      <c r="L878" s="75"/>
      <c r="M878" s="75"/>
    </row>
    <row r="879">
      <c r="B879" s="120"/>
      <c r="C879" s="120"/>
      <c r="F879" s="94"/>
      <c r="H879" s="75"/>
      <c r="K879" s="120"/>
      <c r="L879" s="75"/>
      <c r="M879" s="75"/>
    </row>
    <row r="880">
      <c r="B880" s="120"/>
      <c r="C880" s="120"/>
      <c r="F880" s="94"/>
      <c r="H880" s="75"/>
      <c r="K880" s="120"/>
      <c r="L880" s="75"/>
      <c r="M880" s="75"/>
    </row>
    <row r="881">
      <c r="B881" s="120"/>
      <c r="C881" s="120"/>
      <c r="F881" s="94"/>
      <c r="H881" s="75"/>
      <c r="K881" s="120"/>
      <c r="L881" s="75"/>
      <c r="M881" s="75"/>
    </row>
    <row r="882">
      <c r="B882" s="120"/>
      <c r="C882" s="120"/>
      <c r="F882" s="94"/>
      <c r="H882" s="75"/>
      <c r="K882" s="120"/>
      <c r="L882" s="75"/>
      <c r="M882" s="75"/>
    </row>
    <row r="883">
      <c r="B883" s="120"/>
      <c r="C883" s="120"/>
      <c r="F883" s="94"/>
      <c r="H883" s="75"/>
      <c r="K883" s="120"/>
      <c r="L883" s="75"/>
      <c r="M883" s="75"/>
    </row>
    <row r="884">
      <c r="B884" s="120"/>
      <c r="C884" s="120"/>
      <c r="F884" s="94"/>
      <c r="H884" s="75"/>
      <c r="K884" s="120"/>
      <c r="L884" s="75"/>
      <c r="M884" s="75"/>
    </row>
    <row r="885">
      <c r="B885" s="120"/>
      <c r="C885" s="120"/>
      <c r="F885" s="94"/>
      <c r="H885" s="75"/>
      <c r="K885" s="120"/>
      <c r="L885" s="75"/>
      <c r="M885" s="75"/>
    </row>
    <row r="886">
      <c r="B886" s="120"/>
      <c r="C886" s="120"/>
      <c r="F886" s="94"/>
      <c r="H886" s="75"/>
      <c r="K886" s="120"/>
      <c r="L886" s="75"/>
      <c r="M886" s="75"/>
    </row>
    <row r="887">
      <c r="B887" s="120"/>
      <c r="C887" s="120"/>
      <c r="F887" s="94"/>
      <c r="H887" s="75"/>
      <c r="K887" s="120"/>
      <c r="L887" s="75"/>
      <c r="M887" s="75"/>
    </row>
    <row r="888">
      <c r="B888" s="120"/>
      <c r="C888" s="120"/>
      <c r="F888" s="94"/>
      <c r="H888" s="75"/>
      <c r="K888" s="120"/>
      <c r="L888" s="75"/>
      <c r="M888" s="75"/>
    </row>
    <row r="889">
      <c r="B889" s="120"/>
      <c r="C889" s="120"/>
      <c r="F889" s="94"/>
      <c r="H889" s="75"/>
      <c r="K889" s="120"/>
      <c r="L889" s="75"/>
      <c r="M889" s="75"/>
    </row>
    <row r="890">
      <c r="B890" s="120"/>
      <c r="C890" s="120"/>
      <c r="F890" s="94"/>
      <c r="H890" s="75"/>
      <c r="K890" s="120"/>
      <c r="L890" s="75"/>
      <c r="M890" s="75"/>
    </row>
    <row r="891">
      <c r="B891" s="120"/>
      <c r="C891" s="120"/>
      <c r="F891" s="94"/>
      <c r="H891" s="75"/>
      <c r="K891" s="120"/>
      <c r="L891" s="75"/>
      <c r="M891" s="75"/>
    </row>
    <row r="892">
      <c r="B892" s="120"/>
      <c r="C892" s="120"/>
      <c r="F892" s="94"/>
      <c r="H892" s="75"/>
      <c r="K892" s="120"/>
      <c r="L892" s="75"/>
      <c r="M892" s="75"/>
    </row>
    <row r="893">
      <c r="B893" s="120"/>
      <c r="C893" s="120"/>
      <c r="F893" s="94"/>
      <c r="H893" s="75"/>
      <c r="K893" s="120"/>
      <c r="L893" s="75"/>
      <c r="M893" s="75"/>
    </row>
    <row r="894">
      <c r="B894" s="120"/>
      <c r="C894" s="120"/>
      <c r="F894" s="94"/>
      <c r="H894" s="75"/>
      <c r="K894" s="120"/>
      <c r="L894" s="75"/>
      <c r="M894" s="75"/>
    </row>
    <row r="895">
      <c r="B895" s="120"/>
      <c r="C895" s="120"/>
      <c r="F895" s="94"/>
      <c r="H895" s="75"/>
      <c r="K895" s="120"/>
      <c r="L895" s="75"/>
      <c r="M895" s="75"/>
    </row>
    <row r="896">
      <c r="B896" s="120"/>
      <c r="C896" s="120"/>
      <c r="F896" s="94"/>
      <c r="H896" s="75"/>
      <c r="K896" s="120"/>
      <c r="L896" s="75"/>
      <c r="M896" s="75"/>
    </row>
    <row r="897">
      <c r="B897" s="120"/>
      <c r="C897" s="120"/>
      <c r="F897" s="94"/>
      <c r="H897" s="75"/>
      <c r="K897" s="120"/>
      <c r="L897" s="75"/>
      <c r="M897" s="75"/>
    </row>
    <row r="898">
      <c r="B898" s="120"/>
      <c r="C898" s="120"/>
      <c r="F898" s="94"/>
      <c r="H898" s="75"/>
      <c r="K898" s="120"/>
      <c r="L898" s="75"/>
      <c r="M898" s="75"/>
    </row>
    <row r="899">
      <c r="B899" s="120"/>
      <c r="C899" s="120"/>
      <c r="F899" s="94"/>
      <c r="H899" s="75"/>
      <c r="K899" s="120"/>
      <c r="L899" s="75"/>
      <c r="M899" s="75"/>
    </row>
    <row r="900">
      <c r="B900" s="120"/>
      <c r="C900" s="120"/>
      <c r="F900" s="94"/>
      <c r="H900" s="75"/>
      <c r="K900" s="120"/>
      <c r="L900" s="75"/>
      <c r="M900" s="75"/>
    </row>
    <row r="901">
      <c r="B901" s="120"/>
      <c r="C901" s="120"/>
      <c r="F901" s="94"/>
      <c r="H901" s="75"/>
      <c r="K901" s="120"/>
      <c r="L901" s="75"/>
      <c r="M901" s="75"/>
    </row>
    <row r="902">
      <c r="B902" s="120"/>
      <c r="C902" s="120"/>
      <c r="F902" s="94"/>
      <c r="H902" s="75"/>
      <c r="K902" s="120"/>
      <c r="L902" s="75"/>
      <c r="M902" s="75"/>
    </row>
    <row r="903">
      <c r="B903" s="120"/>
      <c r="C903" s="120"/>
      <c r="F903" s="94"/>
      <c r="H903" s="75"/>
      <c r="K903" s="120"/>
      <c r="L903" s="75"/>
      <c r="M903" s="75"/>
    </row>
    <row r="904">
      <c r="B904" s="120"/>
      <c r="C904" s="120"/>
      <c r="F904" s="94"/>
      <c r="H904" s="75"/>
      <c r="K904" s="120"/>
      <c r="L904" s="75"/>
      <c r="M904" s="75"/>
    </row>
    <row r="905">
      <c r="B905" s="120"/>
      <c r="C905" s="120"/>
      <c r="F905" s="94"/>
      <c r="H905" s="75"/>
      <c r="K905" s="120"/>
      <c r="L905" s="75"/>
      <c r="M905" s="75"/>
    </row>
    <row r="906">
      <c r="B906" s="120"/>
      <c r="C906" s="120"/>
      <c r="F906" s="94"/>
      <c r="H906" s="75"/>
      <c r="K906" s="120"/>
      <c r="L906" s="75"/>
      <c r="M906" s="75"/>
    </row>
    <row r="907">
      <c r="B907" s="120"/>
      <c r="C907" s="120"/>
      <c r="F907" s="94"/>
      <c r="H907" s="75"/>
      <c r="K907" s="120"/>
      <c r="L907" s="75"/>
      <c r="M907" s="75"/>
    </row>
    <row r="908">
      <c r="B908" s="120"/>
      <c r="C908" s="120"/>
      <c r="F908" s="94"/>
      <c r="H908" s="75"/>
      <c r="K908" s="120"/>
      <c r="L908" s="75"/>
      <c r="M908" s="75"/>
    </row>
    <row r="909">
      <c r="B909" s="120"/>
      <c r="C909" s="120"/>
      <c r="F909" s="94"/>
      <c r="H909" s="75"/>
      <c r="K909" s="120"/>
      <c r="L909" s="75"/>
      <c r="M909" s="75"/>
    </row>
    <row r="910">
      <c r="B910" s="120"/>
      <c r="C910" s="120"/>
      <c r="F910" s="94"/>
      <c r="H910" s="75"/>
      <c r="K910" s="120"/>
      <c r="L910" s="75"/>
      <c r="M910" s="75"/>
    </row>
    <row r="911">
      <c r="B911" s="120"/>
      <c r="C911" s="120"/>
      <c r="F911" s="94"/>
      <c r="H911" s="75"/>
      <c r="K911" s="120"/>
      <c r="L911" s="75"/>
      <c r="M911" s="75"/>
    </row>
    <row r="912">
      <c r="B912" s="120"/>
      <c r="C912" s="120"/>
      <c r="F912" s="94"/>
      <c r="H912" s="75"/>
      <c r="K912" s="120"/>
      <c r="L912" s="75"/>
      <c r="M912" s="75"/>
    </row>
    <row r="913">
      <c r="B913" s="120"/>
      <c r="C913" s="120"/>
      <c r="F913" s="94"/>
      <c r="H913" s="75"/>
      <c r="K913" s="120"/>
      <c r="L913" s="75"/>
      <c r="M913" s="75"/>
    </row>
    <row r="914">
      <c r="B914" s="120"/>
      <c r="C914" s="120"/>
      <c r="F914" s="94"/>
      <c r="H914" s="75"/>
      <c r="K914" s="120"/>
      <c r="L914" s="75"/>
      <c r="M914" s="75"/>
    </row>
    <row r="915">
      <c r="B915" s="120"/>
      <c r="C915" s="120"/>
      <c r="F915" s="94"/>
      <c r="H915" s="75"/>
      <c r="K915" s="120"/>
      <c r="L915" s="75"/>
      <c r="M915" s="75"/>
    </row>
    <row r="916">
      <c r="B916" s="120"/>
      <c r="C916" s="120"/>
      <c r="F916" s="94"/>
      <c r="H916" s="75"/>
      <c r="K916" s="120"/>
      <c r="L916" s="75"/>
      <c r="M916" s="75"/>
    </row>
    <row r="917">
      <c r="B917" s="120"/>
      <c r="C917" s="120"/>
      <c r="F917" s="94"/>
      <c r="H917" s="75"/>
      <c r="K917" s="120"/>
      <c r="L917" s="75"/>
      <c r="M917" s="75"/>
    </row>
    <row r="918">
      <c r="B918" s="120"/>
      <c r="C918" s="120"/>
      <c r="F918" s="94"/>
      <c r="H918" s="75"/>
      <c r="K918" s="120"/>
      <c r="L918" s="75"/>
      <c r="M918" s="75"/>
    </row>
    <row r="919">
      <c r="B919" s="120"/>
      <c r="C919" s="120"/>
      <c r="F919" s="94"/>
      <c r="H919" s="75"/>
      <c r="K919" s="120"/>
      <c r="L919" s="75"/>
      <c r="M919" s="75"/>
    </row>
    <row r="920">
      <c r="B920" s="120"/>
      <c r="C920" s="120"/>
      <c r="F920" s="94"/>
      <c r="H920" s="75"/>
      <c r="K920" s="120"/>
      <c r="L920" s="75"/>
      <c r="M920" s="75"/>
    </row>
    <row r="921">
      <c r="B921" s="120"/>
      <c r="C921" s="120"/>
      <c r="F921" s="94"/>
      <c r="H921" s="75"/>
      <c r="K921" s="120"/>
      <c r="L921" s="75"/>
      <c r="M921" s="75"/>
    </row>
    <row r="922">
      <c r="B922" s="120"/>
      <c r="C922" s="120"/>
      <c r="F922" s="94"/>
      <c r="H922" s="75"/>
      <c r="K922" s="120"/>
      <c r="L922" s="75"/>
      <c r="M922" s="75"/>
    </row>
    <row r="923">
      <c r="B923" s="120"/>
      <c r="C923" s="120"/>
      <c r="F923" s="94"/>
      <c r="H923" s="75"/>
      <c r="K923" s="120"/>
      <c r="L923" s="75"/>
      <c r="M923" s="75"/>
    </row>
    <row r="924">
      <c r="B924" s="120"/>
      <c r="C924" s="120"/>
      <c r="F924" s="94"/>
      <c r="H924" s="75"/>
      <c r="K924" s="120"/>
      <c r="L924" s="75"/>
      <c r="M924" s="75"/>
    </row>
    <row r="925">
      <c r="B925" s="120"/>
      <c r="C925" s="120"/>
      <c r="F925" s="94"/>
      <c r="H925" s="75"/>
      <c r="K925" s="120"/>
      <c r="L925" s="75"/>
      <c r="M925" s="75"/>
    </row>
    <row r="926">
      <c r="B926" s="120"/>
      <c r="C926" s="120"/>
      <c r="F926" s="94"/>
      <c r="H926" s="75"/>
      <c r="K926" s="120"/>
      <c r="L926" s="75"/>
      <c r="M926" s="75"/>
    </row>
    <row r="927">
      <c r="B927" s="120"/>
      <c r="C927" s="120"/>
      <c r="F927" s="94"/>
      <c r="H927" s="75"/>
      <c r="K927" s="120"/>
      <c r="L927" s="75"/>
      <c r="M927" s="75"/>
    </row>
    <row r="928">
      <c r="B928" s="120"/>
      <c r="C928" s="120"/>
      <c r="F928" s="94"/>
      <c r="H928" s="75"/>
      <c r="K928" s="120"/>
      <c r="L928" s="75"/>
      <c r="M928" s="75"/>
    </row>
    <row r="929">
      <c r="B929" s="120"/>
      <c r="C929" s="120"/>
      <c r="F929" s="94"/>
      <c r="H929" s="75"/>
      <c r="K929" s="120"/>
      <c r="L929" s="75"/>
      <c r="M929" s="75"/>
    </row>
    <row r="930">
      <c r="B930" s="120"/>
      <c r="C930" s="120"/>
      <c r="F930" s="94"/>
      <c r="H930" s="75"/>
      <c r="K930" s="120"/>
      <c r="L930" s="75"/>
      <c r="M930" s="75"/>
    </row>
    <row r="931">
      <c r="B931" s="120"/>
      <c r="C931" s="120"/>
      <c r="F931" s="94"/>
      <c r="H931" s="75"/>
      <c r="K931" s="120"/>
      <c r="L931" s="75"/>
      <c r="M931" s="75"/>
    </row>
    <row r="932">
      <c r="B932" s="120"/>
      <c r="C932" s="120"/>
      <c r="F932" s="94"/>
      <c r="H932" s="75"/>
      <c r="K932" s="120"/>
      <c r="L932" s="75"/>
      <c r="M932" s="75"/>
    </row>
    <row r="933">
      <c r="B933" s="120"/>
      <c r="C933" s="120"/>
      <c r="F933" s="94"/>
      <c r="H933" s="75"/>
      <c r="K933" s="120"/>
      <c r="L933" s="75"/>
      <c r="M933" s="75"/>
    </row>
    <row r="934">
      <c r="B934" s="120"/>
      <c r="C934" s="120"/>
      <c r="F934" s="94"/>
      <c r="H934" s="75"/>
      <c r="K934" s="120"/>
      <c r="L934" s="75"/>
      <c r="M934" s="75"/>
    </row>
    <row r="935">
      <c r="B935" s="120"/>
      <c r="C935" s="120"/>
      <c r="F935" s="94"/>
      <c r="H935" s="75"/>
      <c r="K935" s="120"/>
      <c r="L935" s="75"/>
      <c r="M935" s="75"/>
    </row>
    <row r="936">
      <c r="B936" s="120"/>
      <c r="C936" s="120"/>
      <c r="F936" s="94"/>
      <c r="H936" s="75"/>
      <c r="K936" s="120"/>
      <c r="L936" s="75"/>
      <c r="M936" s="75"/>
    </row>
    <row r="937">
      <c r="B937" s="120"/>
      <c r="C937" s="120"/>
      <c r="F937" s="94"/>
      <c r="H937" s="75"/>
      <c r="K937" s="120"/>
      <c r="L937" s="75"/>
      <c r="M937" s="75"/>
    </row>
    <row r="938">
      <c r="B938" s="120"/>
      <c r="C938" s="120"/>
      <c r="F938" s="94"/>
      <c r="H938" s="75"/>
      <c r="K938" s="120"/>
      <c r="L938" s="75"/>
      <c r="M938" s="75"/>
    </row>
    <row r="939">
      <c r="B939" s="120"/>
      <c r="C939" s="120"/>
      <c r="F939" s="94"/>
      <c r="H939" s="75"/>
      <c r="K939" s="120"/>
      <c r="L939" s="75"/>
      <c r="M939" s="75"/>
    </row>
    <row r="940">
      <c r="B940" s="120"/>
      <c r="C940" s="120"/>
      <c r="F940" s="94"/>
      <c r="H940" s="75"/>
      <c r="K940" s="120"/>
      <c r="L940" s="75"/>
      <c r="M940" s="75"/>
    </row>
    <row r="941">
      <c r="B941" s="120"/>
      <c r="C941" s="120"/>
      <c r="F941" s="94"/>
      <c r="H941" s="75"/>
      <c r="K941" s="120"/>
      <c r="L941" s="75"/>
      <c r="M941" s="75"/>
    </row>
    <row r="942">
      <c r="B942" s="120"/>
      <c r="C942" s="120"/>
      <c r="F942" s="94"/>
      <c r="H942" s="75"/>
      <c r="K942" s="120"/>
      <c r="L942" s="75"/>
      <c r="M942" s="75"/>
    </row>
    <row r="943">
      <c r="B943" s="120"/>
      <c r="C943" s="120"/>
      <c r="F943" s="94"/>
      <c r="H943" s="75"/>
      <c r="K943" s="120"/>
      <c r="L943" s="75"/>
      <c r="M943" s="75"/>
    </row>
    <row r="944">
      <c r="B944" s="120"/>
      <c r="C944" s="120"/>
      <c r="F944" s="94"/>
      <c r="H944" s="75"/>
      <c r="K944" s="120"/>
      <c r="L944" s="75"/>
      <c r="M944" s="75"/>
    </row>
    <row r="945">
      <c r="B945" s="120"/>
      <c r="C945" s="120"/>
      <c r="F945" s="94"/>
      <c r="H945" s="75"/>
      <c r="K945" s="120"/>
      <c r="L945" s="75"/>
      <c r="M945" s="75"/>
    </row>
    <row r="946">
      <c r="B946" s="120"/>
      <c r="C946" s="120"/>
      <c r="F946" s="94"/>
      <c r="H946" s="75"/>
      <c r="K946" s="120"/>
      <c r="L946" s="75"/>
      <c r="M946" s="75"/>
    </row>
    <row r="947">
      <c r="B947" s="120"/>
      <c r="C947" s="120"/>
      <c r="F947" s="94"/>
      <c r="H947" s="75"/>
      <c r="K947" s="120"/>
      <c r="L947" s="75"/>
      <c r="M947" s="75"/>
    </row>
    <row r="948">
      <c r="B948" s="120"/>
      <c r="C948" s="120"/>
      <c r="F948" s="94"/>
      <c r="H948" s="75"/>
      <c r="K948" s="120"/>
      <c r="L948" s="75"/>
      <c r="M948" s="75"/>
    </row>
    <row r="949">
      <c r="B949" s="120"/>
      <c r="C949" s="120"/>
      <c r="F949" s="94"/>
      <c r="H949" s="75"/>
      <c r="K949" s="120"/>
      <c r="L949" s="75"/>
      <c r="M949" s="75"/>
    </row>
    <row r="950">
      <c r="B950" s="120"/>
      <c r="C950" s="120"/>
      <c r="F950" s="94"/>
      <c r="H950" s="75"/>
      <c r="K950" s="120"/>
      <c r="L950" s="75"/>
      <c r="M950" s="75"/>
    </row>
    <row r="951">
      <c r="B951" s="120"/>
      <c r="C951" s="120"/>
      <c r="F951" s="94"/>
      <c r="H951" s="75"/>
      <c r="K951" s="120"/>
      <c r="L951" s="75"/>
      <c r="M951" s="75"/>
    </row>
    <row r="952">
      <c r="B952" s="120"/>
      <c r="C952" s="120"/>
      <c r="F952" s="94"/>
      <c r="H952" s="75"/>
      <c r="K952" s="120"/>
      <c r="L952" s="75"/>
      <c r="M952" s="75"/>
    </row>
    <row r="953">
      <c r="B953" s="120"/>
      <c r="C953" s="120"/>
      <c r="F953" s="94"/>
      <c r="H953" s="75"/>
      <c r="K953" s="120"/>
      <c r="L953" s="75"/>
      <c r="M953" s="75"/>
    </row>
    <row r="954">
      <c r="B954" s="120"/>
      <c r="C954" s="120"/>
      <c r="F954" s="94"/>
      <c r="H954" s="75"/>
      <c r="K954" s="120"/>
      <c r="L954" s="75"/>
      <c r="M954" s="75"/>
    </row>
    <row r="955">
      <c r="B955" s="120"/>
      <c r="C955" s="120"/>
      <c r="F955" s="94"/>
      <c r="H955" s="75"/>
      <c r="K955" s="120"/>
      <c r="L955" s="75"/>
      <c r="M955" s="75"/>
    </row>
    <row r="956">
      <c r="B956" s="120"/>
      <c r="C956" s="120"/>
      <c r="F956" s="94"/>
      <c r="H956" s="75"/>
      <c r="K956" s="120"/>
      <c r="L956" s="75"/>
      <c r="M956" s="75"/>
    </row>
    <row r="957">
      <c r="B957" s="120"/>
      <c r="C957" s="120"/>
      <c r="F957" s="94"/>
      <c r="H957" s="75"/>
      <c r="K957" s="120"/>
      <c r="L957" s="75"/>
      <c r="M957" s="75"/>
    </row>
    <row r="958">
      <c r="B958" s="120"/>
      <c r="C958" s="120"/>
      <c r="F958" s="94"/>
      <c r="H958" s="75"/>
      <c r="K958" s="120"/>
      <c r="L958" s="75"/>
      <c r="M958" s="75"/>
    </row>
    <row r="959">
      <c r="B959" s="120"/>
      <c r="C959" s="120"/>
      <c r="F959" s="94"/>
      <c r="H959" s="75"/>
      <c r="K959" s="120"/>
      <c r="L959" s="75"/>
      <c r="M959" s="75"/>
    </row>
    <row r="960">
      <c r="B960" s="120"/>
      <c r="C960" s="120"/>
      <c r="F960" s="94"/>
      <c r="H960" s="75"/>
      <c r="K960" s="120"/>
      <c r="L960" s="75"/>
      <c r="M960" s="75"/>
    </row>
    <row r="961">
      <c r="B961" s="120"/>
      <c r="C961" s="120"/>
      <c r="F961" s="94"/>
      <c r="H961" s="75"/>
      <c r="K961" s="120"/>
      <c r="L961" s="75"/>
      <c r="M961" s="75"/>
    </row>
    <row r="962">
      <c r="B962" s="120"/>
      <c r="C962" s="120"/>
      <c r="F962" s="94"/>
      <c r="H962" s="75"/>
      <c r="K962" s="120"/>
      <c r="L962" s="75"/>
      <c r="M962" s="75"/>
    </row>
    <row r="963">
      <c r="B963" s="120"/>
      <c r="C963" s="120"/>
      <c r="F963" s="94"/>
      <c r="H963" s="75"/>
      <c r="K963" s="120"/>
      <c r="L963" s="75"/>
      <c r="M963" s="75"/>
    </row>
    <row r="964">
      <c r="B964" s="120"/>
      <c r="C964" s="120"/>
      <c r="F964" s="94"/>
      <c r="H964" s="75"/>
      <c r="K964" s="120"/>
      <c r="L964" s="75"/>
      <c r="M964" s="75"/>
    </row>
    <row r="965">
      <c r="B965" s="120"/>
      <c r="C965" s="120"/>
      <c r="F965" s="94"/>
      <c r="H965" s="75"/>
      <c r="K965" s="120"/>
      <c r="L965" s="75"/>
      <c r="M965" s="75"/>
    </row>
    <row r="966">
      <c r="B966" s="120"/>
      <c r="C966" s="120"/>
      <c r="F966" s="94"/>
      <c r="H966" s="75"/>
      <c r="K966" s="120"/>
      <c r="L966" s="75"/>
      <c r="M966" s="75"/>
    </row>
    <row r="967">
      <c r="B967" s="120"/>
      <c r="C967" s="120"/>
      <c r="F967" s="94"/>
      <c r="H967" s="75"/>
      <c r="K967" s="120"/>
      <c r="L967" s="75"/>
      <c r="M967" s="75"/>
    </row>
  </sheetData>
  <mergeCells count="60">
    <mergeCell ref="B209:C209"/>
    <mergeCell ref="B211:C211"/>
    <mergeCell ref="A213:A214"/>
    <mergeCell ref="B213:C214"/>
    <mergeCell ref="B234:C234"/>
    <mergeCell ref="B236:C236"/>
    <mergeCell ref="A238:A239"/>
    <mergeCell ref="B292:C292"/>
    <mergeCell ref="B293:C293"/>
    <mergeCell ref="B294:C294"/>
    <mergeCell ref="B238:C239"/>
    <mergeCell ref="B243:C243"/>
    <mergeCell ref="B260:C260"/>
    <mergeCell ref="B262:C262"/>
    <mergeCell ref="A264:A265"/>
    <mergeCell ref="B264:C265"/>
    <mergeCell ref="B285:C285"/>
    <mergeCell ref="B6:C6"/>
    <mergeCell ref="B8:C8"/>
    <mergeCell ref="A10:A11"/>
    <mergeCell ref="B10:C11"/>
    <mergeCell ref="B13:C13"/>
    <mergeCell ref="B35:C35"/>
    <mergeCell ref="B37:C37"/>
    <mergeCell ref="A68:A69"/>
    <mergeCell ref="B68:C69"/>
    <mergeCell ref="B71:C71"/>
    <mergeCell ref="I71:K71"/>
    <mergeCell ref="B72:C72"/>
    <mergeCell ref="B96:C96"/>
    <mergeCell ref="B98:C98"/>
    <mergeCell ref="A100:A101"/>
    <mergeCell ref="B100:C101"/>
    <mergeCell ref="B103:C103"/>
    <mergeCell ref="I103:K103"/>
    <mergeCell ref="A39:A40"/>
    <mergeCell ref="B39:C40"/>
    <mergeCell ref="B42:C42"/>
    <mergeCell ref="B43:C43"/>
    <mergeCell ref="B44:C44"/>
    <mergeCell ref="B64:C64"/>
    <mergeCell ref="B66:C66"/>
    <mergeCell ref="B132:C132"/>
    <mergeCell ref="B134:C134"/>
    <mergeCell ref="A136:A137"/>
    <mergeCell ref="B136:C137"/>
    <mergeCell ref="B139:C139"/>
    <mergeCell ref="B158:C158"/>
    <mergeCell ref="B160:C160"/>
    <mergeCell ref="A162:A163"/>
    <mergeCell ref="B162:C163"/>
    <mergeCell ref="B165:C165"/>
    <mergeCell ref="B166:C166"/>
    <mergeCell ref="B184:C184"/>
    <mergeCell ref="A188:A189"/>
    <mergeCell ref="B188:C189"/>
    <mergeCell ref="A289:A290"/>
    <mergeCell ref="B289:C290"/>
    <mergeCell ref="I294:K294"/>
    <mergeCell ref="I302:M302"/>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0"/>
    <col customWidth="1" min="2" max="2" width="8.75"/>
    <col customWidth="1" min="4" max="4" width="13.25"/>
    <col customWidth="1" min="5" max="5" width="15.13"/>
    <col customWidth="1" min="6" max="6" width="8.0"/>
    <col customWidth="1" min="7" max="7" width="3.75"/>
    <col customWidth="1" min="8" max="8" width="3.88"/>
    <col customWidth="1" min="9" max="9" width="1.25"/>
    <col customWidth="1" min="10" max="10" width="16.5"/>
    <col customWidth="1" min="11" max="11" width="0.5"/>
    <col customWidth="1" min="12" max="12" width="8.13"/>
    <col customWidth="1" min="13" max="13" width="17.13"/>
    <col customWidth="1" min="14" max="14" width="16.88"/>
    <col customWidth="1" min="15" max="15" width="12.75"/>
    <col customWidth="1" min="16" max="16" width="8.88"/>
    <col customWidth="1" min="17" max="17" width="2.63"/>
    <col customWidth="1" min="18" max="18" width="1.75"/>
    <col customWidth="1" min="19" max="19" width="2.13"/>
    <col customWidth="1" min="20" max="20" width="8.13"/>
    <col customWidth="1" min="21" max="21" width="9.5"/>
    <col customWidth="1" min="22" max="22" width="9.75"/>
    <col customWidth="1" min="23" max="23" width="5.75"/>
    <col customWidth="1" min="24" max="24" width="11.13"/>
    <col customWidth="1" min="25" max="25" width="6.88"/>
    <col customWidth="1" min="26" max="26" width="9.0"/>
  </cols>
  <sheetData>
    <row r="1" ht="15.0" customHeight="1">
      <c r="A1" s="147" t="s">
        <v>332</v>
      </c>
      <c r="B1" s="57"/>
      <c r="C1" s="148"/>
      <c r="D1" s="149"/>
      <c r="E1" s="57"/>
      <c r="F1" s="150"/>
      <c r="G1" s="57"/>
      <c r="H1" s="57"/>
      <c r="I1" s="151"/>
      <c r="J1" s="151"/>
      <c r="K1" s="57"/>
      <c r="L1" s="152"/>
      <c r="M1" s="153"/>
      <c r="N1" s="154"/>
      <c r="O1" s="155"/>
      <c r="P1" s="156"/>
      <c r="Q1" s="57"/>
      <c r="R1" s="57"/>
      <c r="S1" s="157"/>
      <c r="T1" s="157"/>
      <c r="U1" s="157"/>
      <c r="V1" s="157"/>
      <c r="W1" s="157"/>
      <c r="X1" s="157"/>
      <c r="Y1" s="57"/>
      <c r="Z1" s="57"/>
    </row>
    <row r="2">
      <c r="A2" s="158"/>
      <c r="B2" s="159"/>
      <c r="C2" s="160"/>
      <c r="D2" s="161"/>
      <c r="E2" s="159"/>
      <c r="F2" s="162"/>
      <c r="G2" s="57"/>
      <c r="H2" s="57"/>
      <c r="I2" s="151"/>
      <c r="J2" s="163"/>
      <c r="K2" s="159"/>
      <c r="L2" s="164"/>
      <c r="M2" s="165"/>
      <c r="N2" s="166"/>
      <c r="O2" s="167"/>
      <c r="P2" s="168"/>
      <c r="Q2" s="159"/>
      <c r="R2" s="57"/>
      <c r="S2" s="157"/>
      <c r="T2" s="157"/>
      <c r="U2" s="157"/>
      <c r="V2" s="157"/>
      <c r="W2" s="157"/>
      <c r="X2" s="157"/>
      <c r="Y2" s="57"/>
      <c r="Z2" s="57"/>
    </row>
    <row r="3">
      <c r="A3" s="169" t="s">
        <v>98</v>
      </c>
      <c r="B3" s="170"/>
      <c r="C3" s="171"/>
      <c r="D3" s="172"/>
      <c r="E3" s="173"/>
      <c r="F3" s="174"/>
      <c r="G3" s="175" t="s">
        <v>333</v>
      </c>
      <c r="H3" s="176"/>
      <c r="I3" s="177"/>
      <c r="J3" s="151"/>
      <c r="K3" s="57"/>
      <c r="L3" s="152"/>
      <c r="M3" s="153"/>
      <c r="N3" s="154"/>
      <c r="O3" s="178" t="s">
        <v>334</v>
      </c>
      <c r="P3" s="156"/>
      <c r="Q3" s="57"/>
      <c r="R3" s="179"/>
      <c r="S3" s="180"/>
      <c r="T3" s="180"/>
      <c r="U3" s="180"/>
      <c r="V3" s="180"/>
      <c r="W3" s="180"/>
      <c r="X3" s="180"/>
      <c r="Y3" s="181"/>
      <c r="Z3" s="181"/>
    </row>
    <row r="4">
      <c r="A4" s="182"/>
      <c r="B4" s="105"/>
      <c r="C4" s="183"/>
      <c r="D4" s="172"/>
      <c r="E4" s="184" t="s">
        <v>335</v>
      </c>
      <c r="F4" s="180" t="s">
        <v>237</v>
      </c>
      <c r="G4" s="185" t="s">
        <v>336</v>
      </c>
      <c r="H4" s="186" t="s">
        <v>337</v>
      </c>
      <c r="I4" s="104"/>
      <c r="J4" s="104" t="s">
        <v>0</v>
      </c>
      <c r="K4" s="57"/>
      <c r="L4" s="152"/>
      <c r="M4" s="187" t="s">
        <v>338</v>
      </c>
      <c r="O4" s="188" t="s">
        <v>339</v>
      </c>
      <c r="P4" s="189">
        <v>59.0</v>
      </c>
      <c r="Q4" s="57"/>
      <c r="R4" s="179"/>
      <c r="S4" s="157"/>
      <c r="T4" s="157"/>
      <c r="U4" s="157"/>
      <c r="V4" s="157"/>
      <c r="W4" s="157"/>
      <c r="X4" s="157"/>
      <c r="Y4" s="57"/>
      <c r="Z4" s="57"/>
    </row>
    <row r="5">
      <c r="A5" s="190" t="s">
        <v>179</v>
      </c>
      <c r="C5" s="191">
        <f>SUM(F5:F30)</f>
        <v>8989</v>
      </c>
      <c r="D5" s="172"/>
      <c r="E5" s="192" t="s">
        <v>340</v>
      </c>
      <c r="F5" s="193">
        <v>1190.0</v>
      </c>
      <c r="G5" s="194"/>
      <c r="H5" s="195"/>
      <c r="I5" s="151"/>
      <c r="J5" s="192" t="s">
        <v>341</v>
      </c>
      <c r="K5" s="196"/>
      <c r="L5" s="197"/>
      <c r="M5" s="153"/>
      <c r="N5" s="154"/>
      <c r="O5" s="188" t="s">
        <v>342</v>
      </c>
      <c r="P5" s="189">
        <v>59.0</v>
      </c>
      <c r="Q5" s="57"/>
      <c r="R5" s="179"/>
      <c r="S5" s="157"/>
      <c r="T5" s="157"/>
      <c r="U5" s="157"/>
      <c r="V5" s="157"/>
      <c r="W5" s="157"/>
      <c r="X5" s="157"/>
      <c r="Y5" s="57"/>
      <c r="Z5" s="57"/>
    </row>
    <row r="6">
      <c r="A6" s="198" t="s">
        <v>343</v>
      </c>
      <c r="B6" s="199" t="s">
        <v>321</v>
      </c>
      <c r="C6" s="191">
        <v>2318.0</v>
      </c>
      <c r="D6" s="149"/>
      <c r="E6" s="192" t="s">
        <v>344</v>
      </c>
      <c r="F6" s="193">
        <v>120.0</v>
      </c>
      <c r="G6" s="200"/>
      <c r="H6" s="195"/>
      <c r="I6" s="201"/>
      <c r="J6" s="202" t="s">
        <v>345</v>
      </c>
      <c r="K6" s="196"/>
      <c r="L6" s="197"/>
      <c r="M6" s="153"/>
      <c r="N6" s="154"/>
      <c r="O6" s="188" t="s">
        <v>346</v>
      </c>
      <c r="P6" s="189">
        <v>1800.0</v>
      </c>
      <c r="Q6" s="57"/>
      <c r="R6" s="179"/>
      <c r="S6" s="157"/>
      <c r="T6" s="157"/>
      <c r="U6" s="157"/>
      <c r="V6" s="157"/>
      <c r="W6" s="157"/>
      <c r="X6" s="157"/>
      <c r="Y6" s="57"/>
      <c r="Z6" s="57"/>
    </row>
    <row r="7">
      <c r="A7" s="203" t="s">
        <v>201</v>
      </c>
      <c r="C7" s="204">
        <f>SUM(L5:L28)</f>
        <v>6452</v>
      </c>
      <c r="D7" s="149"/>
      <c r="E7" s="192" t="s">
        <v>347</v>
      </c>
      <c r="F7" s="193">
        <v>100.0</v>
      </c>
      <c r="G7" s="200"/>
      <c r="H7" s="205"/>
      <c r="I7" s="151"/>
      <c r="J7" s="206" t="s">
        <v>6</v>
      </c>
      <c r="K7" s="196"/>
      <c r="L7" s="197"/>
      <c r="M7" s="153"/>
      <c r="N7" s="154"/>
      <c r="O7" s="188" t="s">
        <v>348</v>
      </c>
      <c r="P7" s="189">
        <v>400.0</v>
      </c>
      <c r="Q7" s="57"/>
      <c r="R7" s="179"/>
      <c r="S7" s="157"/>
      <c r="T7" s="157"/>
      <c r="U7" s="157"/>
      <c r="V7" s="157"/>
      <c r="W7" s="157"/>
      <c r="X7" s="157"/>
      <c r="Y7" s="57"/>
      <c r="Z7" s="57"/>
    </row>
    <row r="8">
      <c r="A8" s="207"/>
      <c r="B8" s="105"/>
      <c r="C8" s="204"/>
      <c r="D8" s="149"/>
      <c r="E8" s="192" t="s">
        <v>349</v>
      </c>
      <c r="F8" s="193">
        <v>240.0</v>
      </c>
      <c r="G8" s="200"/>
      <c r="H8" s="205"/>
      <c r="I8" s="208"/>
      <c r="J8" s="192" t="s">
        <v>7</v>
      </c>
      <c r="K8" s="196"/>
      <c r="L8" s="180">
        <v>169.0</v>
      </c>
      <c r="M8" s="209" t="s">
        <v>246</v>
      </c>
      <c r="N8" s="154"/>
      <c r="O8" s="210"/>
      <c r="P8" s="189"/>
      <c r="Q8" s="57"/>
      <c r="R8" s="179"/>
      <c r="S8" s="157"/>
      <c r="T8" s="157"/>
      <c r="U8" s="157"/>
      <c r="V8" s="157"/>
      <c r="W8" s="157"/>
      <c r="X8" s="157"/>
      <c r="Y8" s="57"/>
      <c r="Z8" s="57"/>
    </row>
    <row r="9">
      <c r="A9" s="211" t="s">
        <v>350</v>
      </c>
      <c r="C9" s="212">
        <f>C5-C7-B11-B17</f>
        <v>1583</v>
      </c>
      <c r="D9" s="149"/>
      <c r="E9" s="192" t="s">
        <v>351</v>
      </c>
      <c r="F9" s="193">
        <v>110.0</v>
      </c>
      <c r="G9" s="200"/>
      <c r="H9" s="205"/>
      <c r="I9" s="201"/>
      <c r="J9" s="202" t="s">
        <v>210</v>
      </c>
      <c r="K9" s="196"/>
      <c r="L9" s="180">
        <v>405.0</v>
      </c>
      <c r="M9" s="209" t="s">
        <v>352</v>
      </c>
      <c r="O9" s="210"/>
      <c r="P9" s="189"/>
      <c r="Q9" s="57"/>
      <c r="R9" s="179"/>
      <c r="S9" s="157"/>
      <c r="T9" s="157"/>
      <c r="U9" s="157"/>
      <c r="V9" s="157"/>
      <c r="W9" s="157"/>
      <c r="X9" s="157"/>
      <c r="Y9" s="57"/>
      <c r="Z9" s="57"/>
    </row>
    <row r="10">
      <c r="A10" s="213"/>
      <c r="C10" s="214"/>
      <c r="D10" s="149"/>
      <c r="E10" s="192" t="s">
        <v>353</v>
      </c>
      <c r="F10" s="193">
        <v>160.0</v>
      </c>
      <c r="G10" s="200"/>
      <c r="H10" s="205"/>
      <c r="I10" s="201"/>
      <c r="J10" s="202" t="s">
        <v>354</v>
      </c>
      <c r="K10" s="196"/>
      <c r="L10" s="180">
        <v>1400.0</v>
      </c>
      <c r="M10" s="209" t="s">
        <v>355</v>
      </c>
      <c r="N10" s="215"/>
      <c r="O10" s="210"/>
      <c r="P10" s="189"/>
      <c r="Q10" s="57"/>
      <c r="R10" s="179"/>
      <c r="S10" s="157"/>
      <c r="T10" s="157"/>
      <c r="U10" s="157"/>
      <c r="V10" s="157"/>
      <c r="W10" s="157"/>
      <c r="X10" s="157"/>
      <c r="Y10" s="57"/>
      <c r="Z10" s="57"/>
    </row>
    <row r="11">
      <c r="A11" s="216" t="s">
        <v>356</v>
      </c>
      <c r="B11" s="217">
        <v>930.0</v>
      </c>
      <c r="C11" s="183"/>
      <c r="D11" s="149"/>
      <c r="E11" s="192" t="s">
        <v>357</v>
      </c>
      <c r="F11" s="193">
        <v>1000.0</v>
      </c>
      <c r="G11" s="200"/>
      <c r="H11" s="205"/>
      <c r="I11" s="208"/>
      <c r="J11" s="192" t="s">
        <v>358</v>
      </c>
      <c r="K11" s="196"/>
      <c r="L11" s="180"/>
      <c r="M11" s="153"/>
      <c r="N11" s="154"/>
      <c r="O11" s="210"/>
      <c r="P11" s="156"/>
      <c r="Q11" s="57"/>
      <c r="R11" s="179"/>
      <c r="S11" s="157"/>
      <c r="T11" s="157"/>
      <c r="U11" s="157"/>
      <c r="V11" s="157"/>
      <c r="W11" s="157"/>
      <c r="X11" s="157"/>
      <c r="Y11" s="57"/>
      <c r="Z11" s="57"/>
    </row>
    <row r="12">
      <c r="A12" s="218" t="s">
        <v>214</v>
      </c>
      <c r="B12" s="219">
        <v>600.0</v>
      </c>
      <c r="C12" s="220"/>
      <c r="D12" s="172"/>
      <c r="E12" s="192" t="s">
        <v>359</v>
      </c>
      <c r="F12" s="193">
        <v>350.0</v>
      </c>
      <c r="G12" s="200"/>
      <c r="H12" s="205"/>
      <c r="I12" s="151"/>
      <c r="J12" s="206" t="s">
        <v>34</v>
      </c>
      <c r="K12" s="196"/>
      <c r="L12" s="180">
        <v>27.0</v>
      </c>
      <c r="M12" s="153"/>
      <c r="N12" s="154"/>
      <c r="O12" s="210"/>
      <c r="P12" s="156"/>
      <c r="Q12" s="57"/>
      <c r="R12" s="179"/>
      <c r="S12" s="157"/>
      <c r="T12" s="157"/>
      <c r="U12" s="157"/>
      <c r="V12" s="157"/>
      <c r="W12" s="157"/>
      <c r="X12" s="157"/>
      <c r="Y12" s="57"/>
      <c r="Z12" s="57"/>
    </row>
    <row r="13">
      <c r="A13" s="221" t="s">
        <v>272</v>
      </c>
      <c r="B13" s="222">
        <v>7490.0</v>
      </c>
      <c r="C13" s="223"/>
      <c r="D13" s="149"/>
      <c r="E13" s="192" t="s">
        <v>360</v>
      </c>
      <c r="F13" s="193">
        <v>105.0</v>
      </c>
      <c r="G13" s="200"/>
      <c r="H13" s="205"/>
      <c r="I13" s="208"/>
      <c r="J13" s="192" t="s">
        <v>216</v>
      </c>
      <c r="K13" s="196"/>
      <c r="L13" s="197"/>
      <c r="M13" s="153"/>
      <c r="N13" s="154"/>
      <c r="O13" s="210"/>
      <c r="P13" s="156"/>
      <c r="Q13" s="57"/>
      <c r="R13" s="179"/>
      <c r="S13" s="157"/>
      <c r="T13" s="157"/>
      <c r="U13" s="157"/>
      <c r="V13" s="157"/>
      <c r="W13" s="157"/>
      <c r="X13" s="157"/>
      <c r="Y13" s="57"/>
      <c r="Z13" s="57"/>
    </row>
    <row r="14">
      <c r="A14" s="224" t="s">
        <v>361</v>
      </c>
      <c r="B14" s="225">
        <v>7000.0</v>
      </c>
      <c r="C14" s="226"/>
      <c r="D14" s="149"/>
      <c r="E14" s="192" t="s">
        <v>362</v>
      </c>
      <c r="F14" s="193">
        <v>120.0</v>
      </c>
      <c r="G14" s="200"/>
      <c r="H14" s="205"/>
      <c r="I14" s="151"/>
      <c r="J14" s="206" t="s">
        <v>108</v>
      </c>
      <c r="K14" s="196"/>
      <c r="L14" s="180">
        <v>322.0</v>
      </c>
      <c r="M14" s="209"/>
      <c r="N14" s="215"/>
      <c r="O14" s="210"/>
      <c r="P14" s="156"/>
      <c r="Q14" s="57"/>
      <c r="R14" s="179"/>
      <c r="S14" s="157"/>
      <c r="T14" s="157"/>
      <c r="U14" s="157"/>
      <c r="V14" s="157"/>
      <c r="W14" s="157"/>
      <c r="X14" s="157"/>
      <c r="Y14" s="57"/>
      <c r="Z14" s="57"/>
    </row>
    <row r="15">
      <c r="A15" s="57"/>
      <c r="B15" s="105"/>
      <c r="C15" s="105"/>
      <c r="D15" s="149"/>
      <c r="E15" s="192" t="s">
        <v>363</v>
      </c>
      <c r="F15" s="193">
        <v>1800.0</v>
      </c>
      <c r="G15" s="194"/>
      <c r="H15" s="205"/>
      <c r="I15" s="227"/>
      <c r="J15" s="228" t="s">
        <v>156</v>
      </c>
      <c r="K15" s="196"/>
      <c r="L15" s="180">
        <v>1250.0</v>
      </c>
      <c r="M15" s="153"/>
      <c r="N15" s="154"/>
      <c r="O15" s="210"/>
      <c r="P15" s="156"/>
      <c r="Q15" s="57"/>
      <c r="R15" s="179"/>
      <c r="S15" s="157"/>
      <c r="T15" s="157"/>
      <c r="U15" s="157"/>
      <c r="V15" s="157"/>
      <c r="W15" s="157"/>
      <c r="X15" s="157"/>
      <c r="Y15" s="57"/>
      <c r="Z15" s="57"/>
    </row>
    <row r="16">
      <c r="A16" s="148"/>
      <c r="B16" s="148"/>
      <c r="C16" s="105"/>
      <c r="D16" s="149"/>
      <c r="E16" s="192" t="s">
        <v>364</v>
      </c>
      <c r="F16" s="193">
        <v>350.0</v>
      </c>
      <c r="G16" s="200"/>
      <c r="H16" s="205"/>
      <c r="I16" s="201"/>
      <c r="J16" s="202" t="s">
        <v>217</v>
      </c>
      <c r="K16" s="196"/>
      <c r="L16" s="180"/>
      <c r="M16" s="153"/>
      <c r="N16" s="154"/>
      <c r="O16" s="210"/>
      <c r="P16" s="156"/>
      <c r="Q16" s="57"/>
      <c r="R16" s="179"/>
      <c r="S16" s="157"/>
      <c r="T16" s="157"/>
      <c r="U16" s="157"/>
      <c r="V16" s="157"/>
      <c r="W16" s="157"/>
      <c r="X16" s="157"/>
      <c r="Y16" s="57"/>
      <c r="Z16" s="57"/>
    </row>
    <row r="17">
      <c r="A17" s="229" t="s">
        <v>365</v>
      </c>
      <c r="B17" s="230">
        <f>SUM(C18,C19,C20,C21,C22,C23,C24,C25,C26,C27)</f>
        <v>24</v>
      </c>
      <c r="C17" s="231" t="s">
        <v>366</v>
      </c>
      <c r="D17" s="149"/>
      <c r="E17" s="192" t="s">
        <v>367</v>
      </c>
      <c r="F17" s="193">
        <v>59.0</v>
      </c>
      <c r="G17" s="194"/>
      <c r="H17" s="205"/>
      <c r="I17" s="208"/>
      <c r="J17" s="192" t="s">
        <v>368</v>
      </c>
      <c r="K17" s="196"/>
      <c r="L17" s="180">
        <v>87.0</v>
      </c>
      <c r="M17" s="153"/>
      <c r="N17" s="154"/>
      <c r="O17" s="210"/>
      <c r="P17" s="156"/>
      <c r="Q17" s="57"/>
      <c r="R17" s="179"/>
      <c r="S17" s="157"/>
      <c r="T17" s="157"/>
      <c r="U17" s="157"/>
      <c r="V17" s="157"/>
      <c r="W17" s="157"/>
      <c r="X17" s="157"/>
      <c r="Y17" s="57"/>
      <c r="Z17" s="57"/>
    </row>
    <row r="18">
      <c r="A18" s="232" t="s">
        <v>369</v>
      </c>
      <c r="C18" s="233">
        <v>15.0</v>
      </c>
      <c r="D18" s="234" t="s">
        <v>370</v>
      </c>
      <c r="E18" s="192" t="s">
        <v>371</v>
      </c>
      <c r="F18" s="193">
        <v>360.0</v>
      </c>
      <c r="G18" s="200"/>
      <c r="H18" s="205"/>
      <c r="I18" s="151"/>
      <c r="J18" s="206" t="s">
        <v>131</v>
      </c>
      <c r="K18" s="196"/>
      <c r="L18" s="180">
        <v>61.0</v>
      </c>
      <c r="M18" s="209" t="s">
        <v>372</v>
      </c>
      <c r="N18" s="215"/>
      <c r="O18" s="210"/>
      <c r="P18" s="156"/>
      <c r="Q18" s="57"/>
      <c r="R18" s="179"/>
      <c r="S18" s="157"/>
      <c r="T18" s="157"/>
      <c r="U18" s="157"/>
      <c r="V18" s="157"/>
      <c r="W18" s="157"/>
      <c r="X18" s="157"/>
      <c r="Y18" s="57"/>
      <c r="Z18" s="57"/>
    </row>
    <row r="19">
      <c r="C19" s="233">
        <v>9.0</v>
      </c>
      <c r="D19" s="234" t="s">
        <v>373</v>
      </c>
      <c r="E19" s="192" t="s">
        <v>374</v>
      </c>
      <c r="F19" s="193">
        <v>800.0</v>
      </c>
      <c r="G19" s="200"/>
      <c r="H19" s="205"/>
      <c r="I19" s="151"/>
      <c r="J19" s="206" t="s">
        <v>18</v>
      </c>
      <c r="K19" s="196"/>
      <c r="L19" s="180">
        <v>150.0</v>
      </c>
      <c r="M19" s="209" t="s">
        <v>375</v>
      </c>
      <c r="N19" s="215"/>
      <c r="O19" s="210"/>
      <c r="P19" s="156"/>
      <c r="Q19" s="57"/>
      <c r="R19" s="179"/>
      <c r="S19" s="157"/>
      <c r="T19" s="157"/>
      <c r="U19" s="157"/>
      <c r="V19" s="157"/>
      <c r="W19" s="157"/>
      <c r="X19" s="157"/>
      <c r="Y19" s="57"/>
      <c r="Z19" s="57"/>
    </row>
    <row r="20">
      <c r="A20" s="57"/>
      <c r="B20" s="105"/>
      <c r="C20" s="235"/>
      <c r="D20" s="149"/>
      <c r="E20" s="192" t="s">
        <v>376</v>
      </c>
      <c r="F20" s="193">
        <v>245.0</v>
      </c>
      <c r="G20" s="200"/>
      <c r="H20" s="205"/>
      <c r="I20" s="201"/>
      <c r="J20" s="202" t="s">
        <v>377</v>
      </c>
      <c r="K20" s="196"/>
      <c r="L20" s="180">
        <v>188.0</v>
      </c>
      <c r="M20" s="153"/>
      <c r="N20" s="154"/>
      <c r="O20" s="236"/>
      <c r="P20" s="156"/>
      <c r="Q20" s="57"/>
      <c r="R20" s="179"/>
      <c r="S20" s="157"/>
      <c r="T20" s="157"/>
      <c r="U20" s="157"/>
      <c r="V20" s="157"/>
      <c r="W20" s="157"/>
      <c r="X20" s="157"/>
      <c r="Y20" s="57"/>
      <c r="Z20" s="57"/>
    </row>
    <row r="21">
      <c r="A21" s="57"/>
      <c r="B21" s="105"/>
      <c r="C21" s="235"/>
      <c r="D21" s="149"/>
      <c r="E21" s="192" t="s">
        <v>378</v>
      </c>
      <c r="F21" s="193">
        <v>80.0</v>
      </c>
      <c r="G21" s="200"/>
      <c r="H21" s="205"/>
      <c r="I21" s="208"/>
      <c r="J21" s="192" t="s">
        <v>379</v>
      </c>
      <c r="K21" s="196"/>
      <c r="L21" s="180"/>
      <c r="M21" s="153"/>
      <c r="N21" s="154"/>
      <c r="O21" s="236"/>
      <c r="P21" s="156"/>
      <c r="Q21" s="57"/>
      <c r="R21" s="179"/>
      <c r="S21" s="157"/>
      <c r="T21" s="157"/>
      <c r="U21" s="157"/>
      <c r="V21" s="157"/>
      <c r="W21" s="157"/>
      <c r="X21" s="157"/>
      <c r="Y21" s="57"/>
      <c r="Z21" s="57"/>
    </row>
    <row r="22">
      <c r="A22" s="57"/>
      <c r="B22" s="105"/>
      <c r="C22" s="235"/>
      <c r="D22" s="149"/>
      <c r="E22" s="192" t="s">
        <v>380</v>
      </c>
      <c r="F22" s="193">
        <v>120.0</v>
      </c>
      <c r="G22" s="200"/>
      <c r="H22" s="205"/>
      <c r="I22" s="208"/>
      <c r="J22" s="192" t="s">
        <v>381</v>
      </c>
      <c r="K22" s="196"/>
      <c r="L22" s="180">
        <v>1165.0</v>
      </c>
      <c r="M22" s="209"/>
      <c r="N22" s="215"/>
      <c r="O22" s="210"/>
      <c r="P22" s="156"/>
      <c r="Q22" s="57"/>
      <c r="R22" s="179"/>
      <c r="S22" s="157"/>
      <c r="T22" s="157"/>
      <c r="U22" s="157"/>
      <c r="V22" s="157"/>
      <c r="W22" s="157"/>
      <c r="X22" s="157"/>
      <c r="Y22" s="57"/>
      <c r="Z22" s="57"/>
    </row>
    <row r="23">
      <c r="A23" s="57"/>
      <c r="B23" s="105"/>
      <c r="C23" s="235"/>
      <c r="D23" s="149"/>
      <c r="E23" s="192" t="s">
        <v>382</v>
      </c>
      <c r="F23" s="193">
        <v>400.0</v>
      </c>
      <c r="G23" s="200"/>
      <c r="H23" s="205"/>
      <c r="I23" s="208"/>
      <c r="J23" s="192" t="s">
        <v>383</v>
      </c>
      <c r="K23" s="237"/>
      <c r="L23" s="180">
        <v>915.0</v>
      </c>
      <c r="M23" s="209"/>
      <c r="N23" s="215"/>
      <c r="O23" s="210"/>
      <c r="P23" s="156"/>
      <c r="Q23" s="57"/>
      <c r="R23" s="179"/>
      <c r="S23" s="157"/>
      <c r="T23" s="157"/>
      <c r="U23" s="157"/>
      <c r="V23" s="157"/>
      <c r="W23" s="157"/>
      <c r="X23" s="157"/>
      <c r="Y23" s="57"/>
      <c r="Z23" s="57"/>
    </row>
    <row r="24">
      <c r="A24" s="238"/>
      <c r="B24" s="105"/>
      <c r="C24" s="235"/>
      <c r="D24" s="149"/>
      <c r="E24" s="192" t="s">
        <v>384</v>
      </c>
      <c r="F24" s="193">
        <v>90.0</v>
      </c>
      <c r="G24" s="200"/>
      <c r="H24" s="205"/>
      <c r="I24" s="208"/>
      <c r="J24" s="192" t="s">
        <v>202</v>
      </c>
      <c r="K24" s="237"/>
      <c r="L24" s="180">
        <v>90.0</v>
      </c>
      <c r="M24" s="209" t="s">
        <v>385</v>
      </c>
      <c r="N24" s="154"/>
      <c r="O24" s="210"/>
      <c r="P24" s="156"/>
      <c r="Q24" s="57"/>
      <c r="R24" s="179"/>
      <c r="S24" s="157"/>
      <c r="T24" s="157"/>
      <c r="U24" s="157"/>
      <c r="V24" s="157"/>
      <c r="W24" s="157"/>
      <c r="X24" s="157"/>
      <c r="Y24" s="57"/>
      <c r="Z24" s="57"/>
    </row>
    <row r="25">
      <c r="A25" s="239"/>
      <c r="B25" s="105"/>
      <c r="C25" s="235"/>
      <c r="D25" s="149"/>
      <c r="E25" s="192" t="s">
        <v>386</v>
      </c>
      <c r="F25" s="193">
        <v>100.0</v>
      </c>
      <c r="G25" s="200"/>
      <c r="H25" s="205"/>
      <c r="I25" s="208"/>
      <c r="J25" s="192" t="s">
        <v>274</v>
      </c>
      <c r="K25" s="196"/>
      <c r="L25" s="180">
        <v>213.0</v>
      </c>
      <c r="M25" s="153"/>
      <c r="N25" s="215"/>
      <c r="O25" s="210"/>
      <c r="P25" s="240"/>
      <c r="Q25" s="148"/>
      <c r="R25" s="241"/>
      <c r="S25" s="242"/>
      <c r="T25" s="242"/>
      <c r="U25" s="242"/>
      <c r="V25" s="242"/>
      <c r="W25" s="242"/>
      <c r="X25" s="242"/>
      <c r="Y25" s="148"/>
      <c r="Z25" s="148"/>
    </row>
    <row r="26">
      <c r="A26" s="148"/>
      <c r="B26" s="243"/>
      <c r="C26" s="244"/>
      <c r="D26" s="245"/>
      <c r="E26" s="246" t="s">
        <v>387</v>
      </c>
      <c r="F26" s="247">
        <v>150.0</v>
      </c>
      <c r="G26" s="248"/>
      <c r="H26" s="249"/>
      <c r="I26" s="208"/>
      <c r="J26" s="192" t="s">
        <v>220</v>
      </c>
      <c r="K26" s="196"/>
      <c r="L26" s="180">
        <v>10.0</v>
      </c>
      <c r="M26" s="209" t="s">
        <v>388</v>
      </c>
      <c r="N26" s="250"/>
      <c r="O26" s="236"/>
      <c r="P26" s="240"/>
      <c r="Q26" s="148"/>
      <c r="R26" s="241"/>
      <c r="S26" s="242"/>
      <c r="T26" s="242"/>
      <c r="U26" s="242"/>
      <c r="V26" s="242"/>
      <c r="W26" s="242"/>
      <c r="X26" s="242"/>
      <c r="Y26" s="148"/>
      <c r="Z26" s="148"/>
    </row>
    <row r="27">
      <c r="A27" s="148"/>
      <c r="B27" s="243"/>
      <c r="C27" s="244"/>
      <c r="D27" s="245"/>
      <c r="E27" s="246" t="s">
        <v>389</v>
      </c>
      <c r="F27" s="247">
        <v>90.0</v>
      </c>
      <c r="G27" s="248"/>
      <c r="H27" s="249"/>
      <c r="I27" s="251"/>
      <c r="J27" s="192" t="s">
        <v>30</v>
      </c>
      <c r="K27" s="196"/>
      <c r="L27" s="180"/>
      <c r="M27" s="252"/>
      <c r="N27" s="250"/>
      <c r="O27" s="253"/>
      <c r="P27" s="156"/>
      <c r="Q27" s="57"/>
      <c r="R27" s="179"/>
      <c r="S27" s="157"/>
      <c r="T27" s="157"/>
      <c r="U27" s="157"/>
      <c r="V27" s="157"/>
      <c r="W27" s="157"/>
      <c r="X27" s="157"/>
      <c r="Y27" s="57"/>
      <c r="Z27" s="57"/>
    </row>
    <row r="28">
      <c r="A28" s="148"/>
      <c r="B28" s="243"/>
      <c r="C28" s="243"/>
      <c r="D28" s="245"/>
      <c r="E28" s="246" t="s">
        <v>390</v>
      </c>
      <c r="F28" s="247">
        <v>50.0</v>
      </c>
      <c r="G28" s="248"/>
      <c r="H28" s="249"/>
      <c r="I28" s="251"/>
      <c r="J28" s="192" t="s">
        <v>225</v>
      </c>
      <c r="K28" s="196"/>
      <c r="L28" s="254"/>
      <c r="M28" s="252"/>
      <c r="N28" s="250"/>
      <c r="O28" s="155"/>
      <c r="P28" s="156"/>
      <c r="Q28" s="57"/>
      <c r="R28" s="179"/>
      <c r="S28" s="157"/>
      <c r="T28" s="157"/>
      <c r="U28" s="157"/>
      <c r="V28" s="157"/>
      <c r="W28" s="157"/>
      <c r="X28" s="157"/>
      <c r="Y28" s="57"/>
      <c r="Z28" s="57"/>
    </row>
    <row r="29">
      <c r="A29" s="148"/>
      <c r="B29" s="243"/>
      <c r="C29" s="243"/>
      <c r="D29" s="245"/>
      <c r="E29" s="246" t="s">
        <v>348</v>
      </c>
      <c r="F29" s="247">
        <v>400.0</v>
      </c>
      <c r="G29" s="255"/>
      <c r="H29" s="249"/>
      <c r="I29" s="251"/>
      <c r="J29" s="251"/>
      <c r="K29" s="148"/>
      <c r="L29" s="254"/>
      <c r="M29" s="252"/>
      <c r="N29" s="250"/>
      <c r="O29" s="155"/>
      <c r="P29" s="156"/>
      <c r="Q29" s="57"/>
      <c r="R29" s="179"/>
      <c r="S29" s="157"/>
      <c r="T29" s="157"/>
      <c r="U29" s="157"/>
      <c r="V29" s="157"/>
      <c r="W29" s="157"/>
      <c r="X29" s="157"/>
      <c r="Y29" s="57"/>
      <c r="Z29" s="57"/>
    </row>
    <row r="30">
      <c r="A30" s="148"/>
      <c r="B30" s="243"/>
      <c r="C30" s="243"/>
      <c r="D30" s="245"/>
      <c r="E30" s="246" t="s">
        <v>391</v>
      </c>
      <c r="F30" s="247">
        <v>400.0</v>
      </c>
      <c r="G30" s="256"/>
      <c r="H30" s="257"/>
      <c r="I30" s="251"/>
      <c r="J30" s="251"/>
      <c r="K30" s="148"/>
      <c r="L30" s="254"/>
      <c r="M30" s="252"/>
      <c r="N30" s="250"/>
      <c r="O30" s="155"/>
      <c r="P30" s="156"/>
      <c r="Q30" s="57"/>
      <c r="R30" s="179"/>
      <c r="S30" s="157"/>
      <c r="T30" s="157"/>
      <c r="U30" s="157"/>
      <c r="V30" s="157"/>
      <c r="W30" s="157"/>
      <c r="X30" s="157"/>
      <c r="Y30" s="57"/>
      <c r="Z30" s="57"/>
    </row>
    <row r="31">
      <c r="A31" s="147"/>
      <c r="B31" s="243"/>
      <c r="C31" s="243"/>
      <c r="D31" s="149"/>
      <c r="E31" s="57"/>
      <c r="F31" s="150"/>
      <c r="G31" s="57"/>
      <c r="H31" s="57"/>
      <c r="I31" s="151"/>
      <c r="J31" s="151"/>
      <c r="K31" s="57"/>
      <c r="L31" s="152"/>
      <c r="M31" s="153"/>
      <c r="N31" s="154"/>
      <c r="O31" s="155"/>
      <c r="P31" s="156"/>
      <c r="Q31" s="57"/>
      <c r="R31" s="179"/>
      <c r="S31" s="157"/>
      <c r="T31" s="157"/>
      <c r="U31" s="157"/>
      <c r="V31" s="157"/>
      <c r="W31" s="157"/>
      <c r="X31" s="157"/>
      <c r="Y31" s="57"/>
      <c r="Z31" s="57"/>
    </row>
    <row r="32" ht="6.75" customHeight="1">
      <c r="A32" s="258"/>
      <c r="B32" s="259"/>
      <c r="C32" s="259"/>
      <c r="D32" s="260"/>
      <c r="E32" s="261"/>
      <c r="F32" s="262"/>
      <c r="G32" s="261"/>
      <c r="H32" s="261"/>
      <c r="I32" s="263"/>
      <c r="J32" s="263"/>
      <c r="K32" s="261"/>
      <c r="L32" s="264"/>
      <c r="M32" s="265"/>
      <c r="N32" s="266"/>
      <c r="O32" s="267"/>
      <c r="P32" s="268"/>
      <c r="Q32" s="261"/>
      <c r="R32" s="179"/>
      <c r="S32" s="157"/>
      <c r="T32" s="157"/>
      <c r="U32" s="157"/>
      <c r="V32" s="157"/>
      <c r="W32" s="157"/>
      <c r="X32" s="157"/>
      <c r="Y32" s="57"/>
      <c r="Z32" s="57"/>
    </row>
    <row r="33">
      <c r="A33" s="269"/>
      <c r="B33" s="170"/>
      <c r="C33" s="171"/>
      <c r="D33" s="149"/>
      <c r="E33" s="57"/>
      <c r="F33" s="150"/>
      <c r="G33" s="57"/>
      <c r="H33" s="57"/>
      <c r="I33" s="151"/>
      <c r="J33" s="151"/>
      <c r="K33" s="57"/>
      <c r="L33" s="152"/>
      <c r="M33" s="153"/>
      <c r="N33" s="154"/>
      <c r="O33" s="155"/>
      <c r="P33" s="156"/>
      <c r="Q33" s="57"/>
      <c r="R33" s="179"/>
      <c r="S33" s="157"/>
      <c r="T33" s="157"/>
      <c r="U33" s="157"/>
      <c r="V33" s="157"/>
      <c r="W33" s="157"/>
      <c r="X33" s="157"/>
      <c r="Y33" s="57"/>
      <c r="Z33" s="57"/>
    </row>
    <row r="34">
      <c r="A34" s="270" t="s">
        <v>104</v>
      </c>
      <c r="B34" s="105"/>
      <c r="C34" s="183"/>
      <c r="D34" s="172"/>
      <c r="E34" s="173"/>
      <c r="F34" s="174"/>
      <c r="G34" s="271" t="s">
        <v>333</v>
      </c>
      <c r="I34" s="151"/>
      <c r="J34" s="151"/>
      <c r="K34" s="57"/>
      <c r="L34" s="152"/>
      <c r="M34" s="153"/>
      <c r="N34" s="154"/>
      <c r="O34" s="178" t="s">
        <v>334</v>
      </c>
      <c r="P34" s="156"/>
      <c r="Q34" s="57"/>
      <c r="R34" s="179"/>
      <c r="S34" s="157"/>
      <c r="T34" s="157"/>
      <c r="U34" s="157"/>
      <c r="V34" s="157"/>
      <c r="W34" s="157"/>
      <c r="X34" s="157"/>
      <c r="Y34" s="57"/>
      <c r="Z34" s="57"/>
    </row>
    <row r="35">
      <c r="A35" s="190" t="s">
        <v>179</v>
      </c>
      <c r="C35" s="191">
        <f>SUM(F35:F65)</f>
        <v>4450</v>
      </c>
      <c r="D35" s="172"/>
      <c r="E35" s="184" t="s">
        <v>335</v>
      </c>
      <c r="F35" s="180" t="s">
        <v>237</v>
      </c>
      <c r="G35" s="185" t="s">
        <v>336</v>
      </c>
      <c r="H35" s="186" t="s">
        <v>337</v>
      </c>
      <c r="I35" s="104"/>
      <c r="J35" s="104" t="s">
        <v>0</v>
      </c>
      <c r="K35" s="57"/>
      <c r="L35" s="152"/>
      <c r="M35" s="187" t="s">
        <v>338</v>
      </c>
      <c r="O35" s="188" t="s">
        <v>392</v>
      </c>
      <c r="P35" s="189">
        <v>80.0</v>
      </c>
      <c r="Q35" s="57"/>
      <c r="R35" s="179"/>
      <c r="S35" s="157"/>
      <c r="T35" s="157"/>
      <c r="U35" s="157"/>
      <c r="V35" s="157"/>
      <c r="W35" s="157"/>
      <c r="X35" s="157"/>
      <c r="Y35" s="57"/>
      <c r="Z35" s="57"/>
    </row>
    <row r="36">
      <c r="A36" s="198" t="s">
        <v>343</v>
      </c>
      <c r="B36" s="199" t="s">
        <v>321</v>
      </c>
      <c r="C36" s="191">
        <f>SUM(P34:P56)</f>
        <v>282</v>
      </c>
      <c r="D36" s="172"/>
      <c r="E36" s="272" t="s">
        <v>392</v>
      </c>
      <c r="F36" s="193">
        <v>80.0</v>
      </c>
      <c r="G36" s="194"/>
      <c r="H36" s="195"/>
      <c r="I36" s="151"/>
      <c r="J36" s="192" t="s">
        <v>341</v>
      </c>
      <c r="K36" s="196"/>
      <c r="L36" s="180"/>
      <c r="M36" s="153"/>
      <c r="N36" s="154"/>
      <c r="O36" s="188" t="s">
        <v>393</v>
      </c>
      <c r="P36" s="189">
        <v>120.0</v>
      </c>
      <c r="Q36" s="57"/>
      <c r="R36" s="179"/>
      <c r="S36" s="157"/>
      <c r="T36" s="157"/>
      <c r="U36" s="157"/>
      <c r="V36" s="157"/>
      <c r="W36" s="157"/>
      <c r="X36" s="157"/>
      <c r="Y36" s="57"/>
      <c r="Z36" s="57"/>
    </row>
    <row r="37">
      <c r="A37" s="203" t="s">
        <v>201</v>
      </c>
      <c r="C37" s="204">
        <f>SUM(L35:L58)</f>
        <v>5260</v>
      </c>
      <c r="D37" s="149"/>
      <c r="E37" s="272" t="s">
        <v>394</v>
      </c>
      <c r="F37" s="193">
        <v>170.0</v>
      </c>
      <c r="G37" s="200"/>
      <c r="H37" s="205"/>
      <c r="I37" s="201"/>
      <c r="J37" s="202" t="s">
        <v>345</v>
      </c>
      <c r="K37" s="196"/>
      <c r="L37" s="180">
        <v>26.0</v>
      </c>
      <c r="M37" s="153"/>
      <c r="N37" s="154"/>
      <c r="O37" s="188" t="s">
        <v>395</v>
      </c>
      <c r="P37" s="189">
        <v>82.0</v>
      </c>
      <c r="Q37" s="57"/>
      <c r="R37" s="179"/>
      <c r="S37" s="157"/>
      <c r="T37" s="157"/>
      <c r="U37" s="157"/>
      <c r="V37" s="157"/>
      <c r="W37" s="157"/>
      <c r="X37" s="157"/>
      <c r="Y37" s="57"/>
      <c r="Z37" s="57"/>
    </row>
    <row r="38">
      <c r="A38" s="207"/>
      <c r="B38" s="105"/>
      <c r="C38" s="204"/>
      <c r="D38" s="149"/>
      <c r="E38" s="272" t="s">
        <v>396</v>
      </c>
      <c r="F38" s="193">
        <v>20.0</v>
      </c>
      <c r="G38" s="200"/>
      <c r="H38" s="205"/>
      <c r="I38" s="151"/>
      <c r="J38" s="206" t="s">
        <v>6</v>
      </c>
      <c r="K38" s="196"/>
      <c r="L38" s="197"/>
      <c r="M38" s="153"/>
      <c r="N38" s="154"/>
      <c r="O38" s="210"/>
      <c r="P38" s="156"/>
      <c r="Q38" s="57"/>
      <c r="R38" s="179"/>
      <c r="S38" s="157"/>
      <c r="T38" s="157"/>
      <c r="U38" s="157"/>
      <c r="V38" s="157"/>
      <c r="W38" s="157"/>
      <c r="X38" s="157"/>
      <c r="Y38" s="57"/>
      <c r="Z38" s="57"/>
    </row>
    <row r="39">
      <c r="A39" s="211" t="s">
        <v>350</v>
      </c>
      <c r="C39" s="273">
        <f>C35-C37-B41-B47</f>
        <v>-1210</v>
      </c>
      <c r="D39" s="149"/>
      <c r="E39" s="272" t="s">
        <v>397</v>
      </c>
      <c r="F39" s="193">
        <v>300.0</v>
      </c>
      <c r="G39" s="200"/>
      <c r="H39" s="205"/>
      <c r="I39" s="208"/>
      <c r="J39" s="192" t="s">
        <v>7</v>
      </c>
      <c r="K39" s="196"/>
      <c r="L39" s="180"/>
      <c r="M39" s="153"/>
      <c r="N39" s="154"/>
      <c r="O39" s="210"/>
      <c r="P39" s="156"/>
      <c r="Q39" s="57"/>
      <c r="R39" s="179"/>
      <c r="S39" s="157"/>
      <c r="T39" s="157"/>
      <c r="U39" s="157"/>
      <c r="V39" s="157"/>
      <c r="W39" s="157"/>
      <c r="X39" s="157"/>
      <c r="Y39" s="57"/>
      <c r="Z39" s="57"/>
    </row>
    <row r="40">
      <c r="A40" s="213"/>
      <c r="C40" s="214"/>
      <c r="D40" s="149"/>
      <c r="E40" s="272" t="s">
        <v>398</v>
      </c>
      <c r="F40" s="193">
        <v>200.0</v>
      </c>
      <c r="G40" s="200"/>
      <c r="H40" s="205"/>
      <c r="I40" s="201"/>
      <c r="J40" s="202" t="s">
        <v>210</v>
      </c>
      <c r="K40" s="196"/>
      <c r="L40" s="180">
        <v>13.0</v>
      </c>
      <c r="M40" s="209" t="s">
        <v>399</v>
      </c>
      <c r="N40" s="154"/>
      <c r="O40" s="210"/>
      <c r="P40" s="156"/>
      <c r="Q40" s="57"/>
      <c r="R40" s="179"/>
      <c r="S40" s="157"/>
      <c r="T40" s="157"/>
      <c r="U40" s="157"/>
      <c r="V40" s="157"/>
      <c r="W40" s="157"/>
      <c r="X40" s="157"/>
      <c r="Y40" s="57"/>
      <c r="Z40" s="57"/>
    </row>
    <row r="41">
      <c r="A41" s="216" t="s">
        <v>356</v>
      </c>
      <c r="B41" s="217">
        <v>113.0</v>
      </c>
      <c r="C41" s="183"/>
      <c r="D41" s="149"/>
      <c r="E41" s="272" t="s">
        <v>349</v>
      </c>
      <c r="F41" s="193">
        <v>70.0</v>
      </c>
      <c r="G41" s="200"/>
      <c r="H41" s="205"/>
      <c r="I41" s="201"/>
      <c r="J41" s="202" t="s">
        <v>354</v>
      </c>
      <c r="K41" s="196"/>
      <c r="L41" s="180">
        <v>1423.0</v>
      </c>
      <c r="M41" s="209" t="s">
        <v>400</v>
      </c>
      <c r="N41" s="215"/>
      <c r="O41" s="210"/>
      <c r="P41" s="156"/>
      <c r="Q41" s="57"/>
      <c r="R41" s="179"/>
      <c r="S41" s="157"/>
      <c r="T41" s="157"/>
      <c r="U41" s="157"/>
      <c r="V41" s="157"/>
      <c r="W41" s="157"/>
      <c r="X41" s="157"/>
      <c r="Y41" s="57"/>
      <c r="Z41" s="57"/>
    </row>
    <row r="42">
      <c r="A42" s="218" t="s">
        <v>214</v>
      </c>
      <c r="B42" s="219">
        <v>600.0</v>
      </c>
      <c r="C42" s="220"/>
      <c r="D42" s="149"/>
      <c r="E42" s="272" t="s">
        <v>353</v>
      </c>
      <c r="F42" s="193">
        <v>75.0</v>
      </c>
      <c r="G42" s="200"/>
      <c r="H42" s="205"/>
      <c r="I42" s="208"/>
      <c r="J42" s="192" t="s">
        <v>358</v>
      </c>
      <c r="K42" s="196"/>
      <c r="L42" s="180"/>
      <c r="M42" s="153"/>
      <c r="N42" s="154"/>
      <c r="O42" s="210"/>
      <c r="P42" s="156"/>
      <c r="Q42" s="57"/>
      <c r="R42" s="179"/>
      <c r="S42" s="157"/>
      <c r="T42" s="157"/>
      <c r="U42" s="157"/>
      <c r="V42" s="157"/>
      <c r="W42" s="157"/>
      <c r="X42" s="157"/>
      <c r="Y42" s="57"/>
      <c r="Z42" s="57"/>
    </row>
    <row r="43">
      <c r="A43" s="221" t="s">
        <v>272</v>
      </c>
      <c r="B43" s="222">
        <v>5487.0</v>
      </c>
      <c r="C43" s="223"/>
      <c r="D43" s="172"/>
      <c r="E43" s="272" t="s">
        <v>360</v>
      </c>
      <c r="F43" s="193">
        <v>30.0</v>
      </c>
      <c r="G43" s="200"/>
      <c r="H43" s="205"/>
      <c r="I43" s="151"/>
      <c r="J43" s="206" t="s">
        <v>34</v>
      </c>
      <c r="K43" s="196"/>
      <c r="L43" s="180">
        <v>48.0</v>
      </c>
      <c r="M43" s="209" t="s">
        <v>401</v>
      </c>
      <c r="N43" s="154"/>
      <c r="O43" s="210"/>
      <c r="P43" s="156"/>
      <c r="Q43" s="57"/>
      <c r="R43" s="179"/>
      <c r="S43" s="157"/>
      <c r="T43" s="157"/>
      <c r="U43" s="157"/>
      <c r="V43" s="157"/>
      <c r="W43" s="157"/>
      <c r="X43" s="157"/>
      <c r="Y43" s="57"/>
      <c r="Z43" s="57"/>
    </row>
    <row r="44">
      <c r="A44" s="224" t="s">
        <v>361</v>
      </c>
      <c r="B44" s="225">
        <v>6600.0</v>
      </c>
      <c r="C44" s="226"/>
      <c r="D44" s="149"/>
      <c r="E44" s="272" t="s">
        <v>402</v>
      </c>
      <c r="F44" s="193">
        <v>305.0</v>
      </c>
      <c r="G44" s="200"/>
      <c r="H44" s="205"/>
      <c r="I44" s="208"/>
      <c r="J44" s="192" t="s">
        <v>216</v>
      </c>
      <c r="K44" s="196"/>
      <c r="L44" s="197"/>
      <c r="M44" s="153"/>
      <c r="N44" s="154"/>
      <c r="O44" s="210"/>
      <c r="P44" s="156"/>
      <c r="Q44" s="57"/>
      <c r="R44" s="179"/>
      <c r="S44" s="157"/>
      <c r="T44" s="157"/>
      <c r="U44" s="157"/>
      <c r="V44" s="157"/>
      <c r="W44" s="157"/>
      <c r="X44" s="157"/>
      <c r="Y44" s="57"/>
      <c r="Z44" s="57"/>
    </row>
    <row r="45">
      <c r="A45" s="274"/>
      <c r="B45" s="145"/>
      <c r="D45" s="149"/>
      <c r="E45" s="272" t="s">
        <v>403</v>
      </c>
      <c r="F45" s="193">
        <v>120.0</v>
      </c>
      <c r="G45" s="200"/>
      <c r="H45" s="205"/>
      <c r="I45" s="151"/>
      <c r="J45" s="206" t="s">
        <v>108</v>
      </c>
      <c r="K45" s="196"/>
      <c r="L45" s="180">
        <v>260.0</v>
      </c>
      <c r="M45" s="209" t="s">
        <v>404</v>
      </c>
      <c r="N45" s="215"/>
      <c r="O45" s="210"/>
      <c r="P45" s="156"/>
      <c r="Q45" s="57"/>
      <c r="R45" s="179"/>
      <c r="S45" s="157"/>
      <c r="T45" s="157"/>
      <c r="U45" s="157"/>
      <c r="V45" s="157"/>
      <c r="W45" s="157"/>
      <c r="X45" s="157"/>
      <c r="Y45" s="57"/>
      <c r="Z45" s="57"/>
    </row>
    <row r="46">
      <c r="A46" s="57"/>
      <c r="B46" s="105"/>
      <c r="C46" s="105"/>
      <c r="D46" s="149"/>
      <c r="E46" s="272" t="s">
        <v>405</v>
      </c>
      <c r="F46" s="193">
        <v>60.0</v>
      </c>
      <c r="G46" s="200"/>
      <c r="H46" s="205"/>
      <c r="I46" s="227"/>
      <c r="J46" s="228" t="s">
        <v>156</v>
      </c>
      <c r="K46" s="196"/>
      <c r="L46" s="180">
        <v>1250.0</v>
      </c>
      <c r="M46" s="153"/>
      <c r="N46" s="154"/>
      <c r="O46" s="210"/>
      <c r="P46" s="156"/>
      <c r="Q46" s="57"/>
      <c r="R46" s="179"/>
      <c r="S46" s="157"/>
      <c r="T46" s="157"/>
      <c r="U46" s="157"/>
      <c r="V46" s="157"/>
      <c r="W46" s="157"/>
      <c r="X46" s="157"/>
      <c r="Y46" s="57"/>
      <c r="Z46" s="57"/>
    </row>
    <row r="47">
      <c r="A47" s="229" t="s">
        <v>365</v>
      </c>
      <c r="B47" s="230">
        <f>SUM(C48,C49,C50,C51,C52,C53,C54,C55,C56,C57)</f>
        <v>287</v>
      </c>
      <c r="C47" s="231" t="s">
        <v>366</v>
      </c>
      <c r="D47" s="149"/>
      <c r="E47" s="272" t="s">
        <v>406</v>
      </c>
      <c r="F47" s="193">
        <v>75.0</v>
      </c>
      <c r="G47" s="200"/>
      <c r="H47" s="205"/>
      <c r="I47" s="201"/>
      <c r="J47" s="202" t="s">
        <v>217</v>
      </c>
      <c r="K47" s="196"/>
      <c r="L47" s="180"/>
      <c r="M47" s="153"/>
      <c r="N47" s="154"/>
      <c r="O47" s="210"/>
      <c r="P47" s="156"/>
      <c r="Q47" s="57"/>
      <c r="R47" s="179"/>
      <c r="S47" s="157"/>
      <c r="T47" s="157"/>
      <c r="U47" s="157"/>
      <c r="V47" s="157"/>
      <c r="W47" s="157"/>
      <c r="X47" s="157"/>
      <c r="Y47" s="57"/>
      <c r="Z47" s="57"/>
    </row>
    <row r="48">
      <c r="A48" s="232" t="s">
        <v>369</v>
      </c>
      <c r="C48" s="233">
        <v>20.0</v>
      </c>
      <c r="D48" s="234" t="s">
        <v>407</v>
      </c>
      <c r="E48" s="272" t="s">
        <v>408</v>
      </c>
      <c r="F48" s="193">
        <v>25.0</v>
      </c>
      <c r="G48" s="200"/>
      <c r="H48" s="205"/>
      <c r="I48" s="208"/>
      <c r="J48" s="192" t="s">
        <v>368</v>
      </c>
      <c r="K48" s="196"/>
      <c r="L48" s="197"/>
      <c r="M48" s="153"/>
      <c r="N48" s="154"/>
      <c r="O48" s="210"/>
      <c r="P48" s="156"/>
      <c r="Q48" s="57"/>
      <c r="R48" s="179"/>
      <c r="S48" s="157"/>
      <c r="T48" s="157"/>
      <c r="U48" s="157"/>
      <c r="V48" s="157"/>
      <c r="W48" s="157"/>
      <c r="X48" s="157"/>
      <c r="Y48" s="57"/>
      <c r="Z48" s="57"/>
    </row>
    <row r="49">
      <c r="C49" s="233">
        <v>22.0</v>
      </c>
      <c r="D49" s="234" t="s">
        <v>409</v>
      </c>
      <c r="E49" s="272" t="s">
        <v>410</v>
      </c>
      <c r="F49" s="193">
        <v>250.0</v>
      </c>
      <c r="G49" s="200"/>
      <c r="H49" s="205"/>
      <c r="I49" s="151"/>
      <c r="J49" s="206" t="s">
        <v>131</v>
      </c>
      <c r="K49" s="196"/>
      <c r="L49" s="180">
        <v>100.0</v>
      </c>
      <c r="M49" s="209" t="s">
        <v>411</v>
      </c>
      <c r="N49" s="215"/>
      <c r="O49" s="210"/>
      <c r="P49" s="156"/>
      <c r="Q49" s="57"/>
      <c r="R49" s="179"/>
      <c r="S49" s="157"/>
      <c r="T49" s="157"/>
      <c r="U49" s="157"/>
      <c r="V49" s="157"/>
      <c r="W49" s="157"/>
      <c r="X49" s="157"/>
      <c r="Y49" s="57"/>
      <c r="Z49" s="57"/>
    </row>
    <row r="50">
      <c r="A50" s="57"/>
      <c r="B50" s="105"/>
      <c r="C50" s="233">
        <v>25.0</v>
      </c>
      <c r="D50" s="234" t="s">
        <v>412</v>
      </c>
      <c r="E50" s="272" t="s">
        <v>413</v>
      </c>
      <c r="F50" s="193">
        <v>100.0</v>
      </c>
      <c r="G50" s="200"/>
      <c r="H50" s="205"/>
      <c r="I50" s="151"/>
      <c r="J50" s="206" t="s">
        <v>18</v>
      </c>
      <c r="K50" s="196"/>
      <c r="L50" s="180">
        <v>132.0</v>
      </c>
      <c r="M50" s="209" t="s">
        <v>414</v>
      </c>
      <c r="N50" s="215"/>
      <c r="O50" s="210"/>
      <c r="P50" s="156"/>
      <c r="Q50" s="57"/>
      <c r="R50" s="179"/>
      <c r="S50" s="157"/>
      <c r="T50" s="157"/>
      <c r="U50" s="157"/>
      <c r="V50" s="157"/>
      <c r="W50" s="157"/>
      <c r="X50" s="157"/>
      <c r="Y50" s="57"/>
      <c r="Z50" s="57"/>
    </row>
    <row r="51">
      <c r="A51" s="57"/>
      <c r="B51" s="105"/>
      <c r="C51" s="233">
        <v>220.0</v>
      </c>
      <c r="D51" s="234" t="s">
        <v>415</v>
      </c>
      <c r="E51" s="272" t="s">
        <v>416</v>
      </c>
      <c r="F51" s="193">
        <v>400.0</v>
      </c>
      <c r="G51" s="200"/>
      <c r="H51" s="205"/>
      <c r="I51" s="201"/>
      <c r="J51" s="202" t="s">
        <v>377</v>
      </c>
      <c r="K51" s="196"/>
      <c r="L51" s="197"/>
      <c r="M51" s="153"/>
      <c r="N51" s="154"/>
      <c r="O51" s="236"/>
      <c r="P51" s="156"/>
      <c r="Q51" s="57"/>
      <c r="R51" s="179"/>
      <c r="S51" s="157"/>
      <c r="T51" s="157"/>
      <c r="U51" s="157"/>
      <c r="V51" s="157"/>
      <c r="W51" s="157"/>
      <c r="X51" s="157"/>
      <c r="Y51" s="57"/>
      <c r="Z51" s="57"/>
    </row>
    <row r="52">
      <c r="A52" s="57"/>
      <c r="B52" s="105"/>
      <c r="C52" s="235"/>
      <c r="D52" s="149"/>
      <c r="E52" s="272" t="s">
        <v>417</v>
      </c>
      <c r="F52" s="193">
        <v>600.0</v>
      </c>
      <c r="G52" s="200"/>
      <c r="H52" s="205"/>
      <c r="I52" s="208"/>
      <c r="J52" s="192" t="s">
        <v>418</v>
      </c>
      <c r="K52" s="196"/>
      <c r="L52" s="180">
        <v>85.0</v>
      </c>
      <c r="M52" s="153"/>
      <c r="N52" s="154"/>
      <c r="O52" s="236"/>
      <c r="P52" s="156"/>
      <c r="Q52" s="57"/>
      <c r="R52" s="179"/>
      <c r="S52" s="157"/>
      <c r="T52" s="157"/>
      <c r="U52" s="157"/>
      <c r="V52" s="157"/>
      <c r="W52" s="157"/>
      <c r="X52" s="157"/>
      <c r="Y52" s="57"/>
      <c r="Z52" s="57"/>
    </row>
    <row r="53">
      <c r="A53" s="57"/>
      <c r="B53" s="105"/>
      <c r="C53" s="235"/>
      <c r="D53" s="149"/>
      <c r="E53" s="272" t="s">
        <v>387</v>
      </c>
      <c r="F53" s="193">
        <v>90.0</v>
      </c>
      <c r="G53" s="200"/>
      <c r="H53" s="205"/>
      <c r="I53" s="208"/>
      <c r="J53" s="192" t="s">
        <v>381</v>
      </c>
      <c r="K53" s="196"/>
      <c r="L53" s="180">
        <v>815.0</v>
      </c>
      <c r="M53" s="209"/>
      <c r="N53" s="215"/>
      <c r="O53" s="210"/>
      <c r="P53" s="240"/>
      <c r="Q53" s="148"/>
      <c r="R53" s="241"/>
      <c r="S53" s="242"/>
      <c r="T53" s="242"/>
      <c r="U53" s="242"/>
      <c r="V53" s="242"/>
      <c r="W53" s="242"/>
      <c r="X53" s="242"/>
      <c r="Y53" s="148"/>
      <c r="Z53" s="148"/>
    </row>
    <row r="54">
      <c r="A54" s="238"/>
      <c r="B54" s="105"/>
      <c r="C54" s="235"/>
      <c r="D54" s="149"/>
      <c r="E54" s="272" t="s">
        <v>419</v>
      </c>
      <c r="F54" s="193">
        <v>80.0</v>
      </c>
      <c r="G54" s="194"/>
      <c r="H54" s="205"/>
      <c r="I54" s="208"/>
      <c r="J54" s="192" t="s">
        <v>383</v>
      </c>
      <c r="K54" s="237"/>
      <c r="L54" s="180">
        <v>740.0</v>
      </c>
      <c r="M54" s="209"/>
      <c r="N54" s="215"/>
      <c r="O54" s="210"/>
      <c r="P54" s="240"/>
      <c r="Q54" s="148"/>
      <c r="R54" s="241"/>
      <c r="S54" s="242"/>
      <c r="T54" s="242"/>
      <c r="U54" s="242"/>
      <c r="V54" s="242"/>
      <c r="W54" s="242"/>
      <c r="X54" s="242"/>
      <c r="Y54" s="148"/>
      <c r="Z54" s="148"/>
    </row>
    <row r="55">
      <c r="A55" s="239"/>
      <c r="B55" s="105"/>
      <c r="C55" s="235"/>
      <c r="D55" s="149"/>
      <c r="E55" s="272" t="s">
        <v>420</v>
      </c>
      <c r="F55" s="193">
        <v>80.0</v>
      </c>
      <c r="G55" s="194"/>
      <c r="H55" s="205"/>
      <c r="I55" s="208"/>
      <c r="J55" s="192" t="s">
        <v>202</v>
      </c>
      <c r="K55" s="237"/>
      <c r="L55" s="180">
        <v>90.0</v>
      </c>
      <c r="M55" s="209" t="s">
        <v>385</v>
      </c>
      <c r="N55" s="154"/>
      <c r="O55" s="236"/>
      <c r="P55" s="156"/>
      <c r="Q55" s="57"/>
      <c r="R55" s="179"/>
      <c r="S55" s="157"/>
      <c r="T55" s="157"/>
      <c r="U55" s="157"/>
      <c r="V55" s="157"/>
      <c r="W55" s="157"/>
      <c r="X55" s="157"/>
      <c r="Y55" s="57"/>
      <c r="Z55" s="57"/>
    </row>
    <row r="56">
      <c r="A56" s="148"/>
      <c r="B56" s="243"/>
      <c r="C56" s="244"/>
      <c r="D56" s="149"/>
      <c r="E56" s="272" t="s">
        <v>421</v>
      </c>
      <c r="F56" s="193">
        <v>400.0</v>
      </c>
      <c r="G56" s="200"/>
      <c r="H56" s="205"/>
      <c r="I56" s="208"/>
      <c r="J56" s="192" t="s">
        <v>274</v>
      </c>
      <c r="K56" s="196"/>
      <c r="L56" s="180">
        <v>213.0</v>
      </c>
      <c r="M56" s="153"/>
      <c r="N56" s="215"/>
      <c r="O56" s="236"/>
      <c r="P56" s="156"/>
      <c r="Q56" s="57"/>
      <c r="R56" s="179"/>
      <c r="S56" s="157"/>
      <c r="T56" s="157"/>
      <c r="U56" s="157"/>
      <c r="V56" s="157"/>
      <c r="W56" s="157"/>
      <c r="X56" s="157"/>
      <c r="Y56" s="57"/>
      <c r="Z56" s="57"/>
    </row>
    <row r="57">
      <c r="A57" s="148"/>
      <c r="B57" s="243"/>
      <c r="C57" s="244"/>
      <c r="D57" s="245"/>
      <c r="E57" s="275" t="s">
        <v>422</v>
      </c>
      <c r="F57" s="247">
        <v>120.0</v>
      </c>
      <c r="G57" s="248"/>
      <c r="H57" s="249"/>
      <c r="I57" s="208"/>
      <c r="J57" s="192" t="s">
        <v>220</v>
      </c>
      <c r="K57" s="196"/>
      <c r="L57" s="180">
        <v>65.0</v>
      </c>
      <c r="M57" s="209" t="s">
        <v>423</v>
      </c>
      <c r="N57" s="250"/>
      <c r="O57" s="210"/>
      <c r="P57" s="156"/>
      <c r="Q57" s="57"/>
      <c r="R57" s="179"/>
      <c r="S57" s="157"/>
      <c r="T57" s="157"/>
      <c r="U57" s="157"/>
      <c r="V57" s="157"/>
      <c r="W57" s="157"/>
      <c r="X57" s="157"/>
      <c r="Y57" s="57"/>
      <c r="Z57" s="57"/>
    </row>
    <row r="58">
      <c r="A58" s="148"/>
      <c r="B58" s="243"/>
      <c r="C58" s="243"/>
      <c r="D58" s="245"/>
      <c r="E58" s="275" t="s">
        <v>424</v>
      </c>
      <c r="F58" s="247">
        <v>500.0</v>
      </c>
      <c r="G58" s="248"/>
      <c r="H58" s="249"/>
      <c r="I58" s="251"/>
      <c r="J58" s="192" t="s">
        <v>30</v>
      </c>
      <c r="K58" s="196"/>
      <c r="L58" s="180"/>
      <c r="M58" s="252"/>
      <c r="N58" s="250"/>
      <c r="O58" s="253"/>
      <c r="P58" s="156"/>
      <c r="Q58" s="57"/>
      <c r="R58" s="179"/>
      <c r="S58" s="157"/>
      <c r="T58" s="157"/>
      <c r="U58" s="157"/>
      <c r="V58" s="157"/>
      <c r="W58" s="157"/>
      <c r="X58" s="157"/>
      <c r="Y58" s="57"/>
      <c r="Z58" s="57"/>
    </row>
    <row r="59">
      <c r="A59" s="148"/>
      <c r="B59" s="243"/>
      <c r="C59" s="243"/>
      <c r="D59" s="245"/>
      <c r="E59" s="275" t="s">
        <v>425</v>
      </c>
      <c r="F59" s="247">
        <v>300.0</v>
      </c>
      <c r="G59" s="255" t="s">
        <v>426</v>
      </c>
      <c r="H59" s="249"/>
      <c r="I59" s="251"/>
      <c r="J59" s="192" t="s">
        <v>225</v>
      </c>
      <c r="K59" s="196"/>
      <c r="L59" s="254"/>
      <c r="M59" s="252"/>
      <c r="N59" s="250"/>
      <c r="O59" s="155"/>
      <c r="P59" s="156"/>
      <c r="Q59" s="57"/>
      <c r="R59" s="179"/>
      <c r="S59" s="157"/>
      <c r="T59" s="157"/>
      <c r="U59" s="157"/>
      <c r="V59" s="157"/>
      <c r="W59" s="157"/>
      <c r="X59" s="157"/>
      <c r="Y59" s="57"/>
      <c r="Z59" s="57"/>
    </row>
    <row r="60">
      <c r="A60" s="148"/>
      <c r="B60" s="243"/>
      <c r="C60" s="243"/>
      <c r="D60" s="245"/>
      <c r="E60" s="275"/>
      <c r="F60" s="247"/>
      <c r="G60" s="255"/>
      <c r="H60" s="249"/>
      <c r="I60" s="251"/>
      <c r="J60" s="251"/>
      <c r="K60" s="148"/>
      <c r="L60" s="254"/>
      <c r="M60" s="252"/>
      <c r="N60" s="250"/>
      <c r="O60" s="155"/>
      <c r="P60" s="156"/>
      <c r="Q60" s="57"/>
      <c r="R60" s="179"/>
      <c r="S60" s="157"/>
      <c r="T60" s="157"/>
      <c r="U60" s="157"/>
      <c r="V60" s="157"/>
      <c r="W60" s="157"/>
      <c r="X60" s="157"/>
      <c r="Y60" s="57"/>
      <c r="Z60" s="57"/>
    </row>
    <row r="61">
      <c r="A61" s="148"/>
      <c r="B61" s="243"/>
      <c r="C61" s="243"/>
      <c r="D61" s="245"/>
      <c r="E61" s="276"/>
      <c r="F61" s="277"/>
      <c r="G61" s="249"/>
      <c r="H61" s="249"/>
      <c r="I61" s="251"/>
      <c r="J61" s="251"/>
      <c r="K61" s="148"/>
      <c r="L61" s="254"/>
      <c r="M61" s="252"/>
      <c r="N61" s="250"/>
      <c r="O61" s="155"/>
      <c r="P61" s="156"/>
      <c r="Q61" s="57"/>
      <c r="R61" s="179"/>
      <c r="S61" s="157"/>
      <c r="T61" s="157"/>
      <c r="U61" s="157"/>
      <c r="V61" s="157"/>
      <c r="W61" s="157"/>
      <c r="X61" s="157"/>
      <c r="Y61" s="57"/>
      <c r="Z61" s="57"/>
    </row>
    <row r="62">
      <c r="A62" s="148"/>
      <c r="B62" s="243"/>
      <c r="C62" s="243"/>
      <c r="D62" s="245"/>
      <c r="E62" s="276"/>
      <c r="F62" s="277"/>
      <c r="G62" s="249"/>
      <c r="H62" s="249"/>
      <c r="I62" s="251"/>
      <c r="J62" s="251"/>
      <c r="K62" s="148"/>
      <c r="L62" s="254"/>
      <c r="M62" s="252"/>
      <c r="N62" s="250"/>
      <c r="O62" s="155"/>
      <c r="P62" s="156"/>
      <c r="Q62" s="57"/>
      <c r="R62" s="179"/>
      <c r="S62" s="157"/>
      <c r="T62" s="157"/>
      <c r="U62" s="157"/>
      <c r="V62" s="157"/>
      <c r="W62" s="157"/>
      <c r="X62" s="157"/>
      <c r="Y62" s="57"/>
      <c r="Z62" s="57"/>
    </row>
    <row r="63">
      <c r="A63" s="148"/>
      <c r="B63" s="243"/>
      <c r="C63" s="243"/>
      <c r="D63" s="245"/>
      <c r="E63" s="276"/>
      <c r="F63" s="277"/>
      <c r="G63" s="249"/>
      <c r="H63" s="249"/>
      <c r="I63" s="251"/>
      <c r="J63" s="251"/>
      <c r="K63" s="148"/>
      <c r="L63" s="254"/>
      <c r="M63" s="252"/>
      <c r="N63" s="250"/>
      <c r="O63" s="155"/>
      <c r="P63" s="156"/>
      <c r="Q63" s="57"/>
      <c r="R63" s="179"/>
      <c r="S63" s="157"/>
      <c r="T63" s="157"/>
      <c r="U63" s="157"/>
      <c r="V63" s="157"/>
      <c r="W63" s="157"/>
      <c r="X63" s="157"/>
      <c r="Y63" s="57"/>
      <c r="Z63" s="57"/>
    </row>
    <row r="64">
      <c r="A64" s="148"/>
      <c r="B64" s="243"/>
      <c r="C64" s="243"/>
      <c r="D64" s="245"/>
      <c r="E64" s="276"/>
      <c r="F64" s="247"/>
      <c r="G64" s="249"/>
      <c r="H64" s="249"/>
      <c r="I64" s="251"/>
      <c r="J64" s="251"/>
      <c r="K64" s="148"/>
      <c r="L64" s="254"/>
      <c r="M64" s="252"/>
      <c r="N64" s="250"/>
      <c r="O64" s="155"/>
      <c r="P64" s="156"/>
      <c r="Q64" s="57"/>
      <c r="R64" s="179"/>
      <c r="S64" s="157"/>
      <c r="T64" s="157"/>
      <c r="U64" s="157"/>
      <c r="V64" s="157"/>
      <c r="W64" s="157"/>
      <c r="X64" s="157"/>
      <c r="Y64" s="57"/>
      <c r="Z64" s="57"/>
    </row>
    <row r="65">
      <c r="A65" s="148"/>
      <c r="B65" s="243"/>
      <c r="C65" s="243"/>
      <c r="D65" s="245"/>
      <c r="E65" s="276"/>
      <c r="F65" s="247"/>
      <c r="G65" s="249"/>
      <c r="H65" s="249"/>
      <c r="I65" s="251"/>
      <c r="J65" s="251"/>
      <c r="K65" s="148"/>
      <c r="L65" s="254"/>
      <c r="M65" s="252"/>
      <c r="N65" s="250"/>
      <c r="O65" s="155"/>
      <c r="P65" s="156"/>
      <c r="Q65" s="57"/>
      <c r="R65" s="179"/>
      <c r="S65" s="157"/>
      <c r="T65" s="157"/>
      <c r="U65" s="157"/>
      <c r="V65" s="157"/>
      <c r="W65" s="157"/>
      <c r="X65" s="157"/>
      <c r="Y65" s="57"/>
      <c r="Z65" s="57"/>
    </row>
    <row r="66">
      <c r="A66" s="148"/>
      <c r="B66" s="243"/>
      <c r="C66" s="243"/>
      <c r="D66" s="245"/>
      <c r="E66" s="276"/>
      <c r="F66" s="277"/>
      <c r="G66" s="257"/>
      <c r="H66" s="257"/>
      <c r="I66" s="251"/>
      <c r="J66" s="251"/>
      <c r="K66" s="148"/>
      <c r="L66" s="254"/>
      <c r="M66" s="252"/>
      <c r="N66" s="250"/>
      <c r="O66" s="155"/>
      <c r="P66" s="156"/>
      <c r="Q66" s="57"/>
      <c r="R66" s="179"/>
      <c r="S66" s="157"/>
      <c r="T66" s="157"/>
      <c r="U66" s="157"/>
      <c r="V66" s="157"/>
      <c r="W66" s="157"/>
      <c r="X66" s="157"/>
      <c r="Y66" s="57"/>
      <c r="Z66" s="57"/>
    </row>
    <row r="67">
      <c r="A67" s="278"/>
      <c r="B67" s="243"/>
      <c r="C67" s="243"/>
      <c r="D67" s="149"/>
      <c r="E67" s="279"/>
      <c r="F67" s="150"/>
      <c r="G67" s="57"/>
      <c r="H67" s="57"/>
      <c r="I67" s="151"/>
      <c r="J67" s="151"/>
      <c r="K67" s="57"/>
      <c r="L67" s="280"/>
      <c r="M67" s="153"/>
      <c r="N67" s="154"/>
      <c r="O67" s="155"/>
      <c r="P67" s="156"/>
      <c r="Q67" s="57"/>
      <c r="R67" s="179"/>
      <c r="S67" s="157"/>
      <c r="T67" s="157"/>
      <c r="U67" s="157"/>
      <c r="V67" s="157"/>
      <c r="W67" s="157"/>
      <c r="X67" s="157"/>
      <c r="Y67" s="57"/>
      <c r="Z67" s="57"/>
    </row>
    <row r="68" ht="6.75" customHeight="1">
      <c r="A68" s="261"/>
      <c r="B68" s="281"/>
      <c r="C68" s="281"/>
      <c r="D68" s="260"/>
      <c r="E68" s="261"/>
      <c r="F68" s="262"/>
      <c r="G68" s="261"/>
      <c r="H68" s="261"/>
      <c r="I68" s="282"/>
      <c r="J68" s="282"/>
      <c r="K68" s="261"/>
      <c r="L68" s="283"/>
      <c r="M68" s="265"/>
      <c r="N68" s="266"/>
      <c r="O68" s="284"/>
      <c r="P68" s="268"/>
      <c r="Q68" s="261"/>
      <c r="R68" s="179"/>
      <c r="S68" s="157"/>
      <c r="T68" s="157"/>
      <c r="U68" s="157"/>
      <c r="V68" s="157"/>
      <c r="W68" s="157"/>
      <c r="X68" s="157"/>
      <c r="Y68" s="57"/>
      <c r="Z68" s="57"/>
    </row>
    <row r="69">
      <c r="A69" s="285"/>
      <c r="B69" s="286"/>
      <c r="C69" s="220"/>
      <c r="D69" s="149"/>
      <c r="E69" s="287"/>
      <c r="F69" s="150"/>
      <c r="G69" s="287"/>
      <c r="H69" s="287"/>
      <c r="I69" s="151"/>
      <c r="J69" s="151"/>
      <c r="K69" s="57"/>
      <c r="L69" s="280"/>
      <c r="M69" s="153"/>
      <c r="N69" s="154"/>
      <c r="O69" s="155"/>
      <c r="P69" s="156"/>
      <c r="Q69" s="57"/>
      <c r="R69" s="179"/>
      <c r="S69" s="157"/>
      <c r="T69" s="157"/>
      <c r="U69" s="157"/>
      <c r="V69" s="157"/>
      <c r="W69" s="157"/>
      <c r="X69" s="157"/>
      <c r="Y69" s="57"/>
      <c r="Z69" s="57"/>
    </row>
    <row r="70">
      <c r="A70" s="270" t="s">
        <v>109</v>
      </c>
      <c r="B70" s="243"/>
      <c r="C70" s="288"/>
      <c r="D70" s="172"/>
      <c r="E70" s="173"/>
      <c r="F70" s="174"/>
      <c r="G70" s="271" t="s">
        <v>333</v>
      </c>
      <c r="I70" s="151"/>
      <c r="J70" s="151"/>
      <c r="K70" s="57"/>
      <c r="L70" s="152"/>
      <c r="M70" s="153"/>
      <c r="N70" s="154"/>
      <c r="O70" s="178" t="s">
        <v>334</v>
      </c>
      <c r="P70" s="156"/>
      <c r="Q70" s="57"/>
      <c r="R70" s="179"/>
      <c r="S70" s="157"/>
      <c r="T70" s="157"/>
      <c r="U70" s="157"/>
      <c r="V70" s="157"/>
      <c r="W70" s="157"/>
      <c r="X70" s="157"/>
      <c r="Y70" s="57"/>
      <c r="Z70" s="57"/>
    </row>
    <row r="71">
      <c r="A71" s="182"/>
      <c r="B71" s="105"/>
      <c r="C71" s="183"/>
      <c r="D71" s="172"/>
      <c r="E71" s="289" t="s">
        <v>335</v>
      </c>
      <c r="F71" s="180" t="s">
        <v>237</v>
      </c>
      <c r="G71" s="185" t="s">
        <v>336</v>
      </c>
      <c r="H71" s="186" t="s">
        <v>337</v>
      </c>
      <c r="I71" s="104"/>
      <c r="J71" s="104" t="s">
        <v>0</v>
      </c>
      <c r="K71" s="57"/>
      <c r="L71" s="152"/>
      <c r="M71" s="187" t="s">
        <v>338</v>
      </c>
      <c r="O71" s="188"/>
      <c r="P71" s="189"/>
      <c r="Q71" s="57"/>
      <c r="R71" s="179"/>
      <c r="S71" s="157"/>
      <c r="T71" s="157"/>
      <c r="U71" s="157"/>
      <c r="V71" s="157"/>
      <c r="W71" s="157"/>
      <c r="X71" s="157"/>
      <c r="Y71" s="57"/>
      <c r="Z71" s="57"/>
    </row>
    <row r="72">
      <c r="A72" s="190" t="s">
        <v>179</v>
      </c>
      <c r="C72" s="191">
        <f>SUM(F72:F96)</f>
        <v>3965</v>
      </c>
      <c r="D72" s="172"/>
      <c r="E72" s="272" t="s">
        <v>427</v>
      </c>
      <c r="F72" s="193">
        <v>390.0</v>
      </c>
      <c r="G72" s="194" t="s">
        <v>426</v>
      </c>
      <c r="H72" s="195"/>
      <c r="I72" s="151"/>
      <c r="J72" s="192" t="s">
        <v>341</v>
      </c>
      <c r="K72" s="196"/>
      <c r="L72" s="180">
        <v>320.0</v>
      </c>
      <c r="M72" s="153"/>
      <c r="N72" s="154"/>
      <c r="O72" s="188" t="s">
        <v>428</v>
      </c>
      <c r="P72" s="189">
        <v>79.0</v>
      </c>
      <c r="Q72" s="57"/>
      <c r="R72" s="179"/>
      <c r="S72" s="157"/>
      <c r="T72" s="157"/>
      <c r="U72" s="157"/>
      <c r="V72" s="157"/>
      <c r="W72" s="157"/>
      <c r="X72" s="157"/>
      <c r="Y72" s="57"/>
      <c r="Z72" s="57"/>
    </row>
    <row r="73">
      <c r="A73" s="198" t="s">
        <v>343</v>
      </c>
      <c r="B73" s="199" t="s">
        <v>321</v>
      </c>
      <c r="C73" s="191">
        <f>SUM(P71:P93)</f>
        <v>79</v>
      </c>
      <c r="D73" s="149"/>
      <c r="E73" s="272" t="s">
        <v>424</v>
      </c>
      <c r="F73" s="193">
        <v>980.0</v>
      </c>
      <c r="G73" s="200"/>
      <c r="H73" s="205"/>
      <c r="I73" s="201"/>
      <c r="J73" s="202" t="s">
        <v>345</v>
      </c>
      <c r="K73" s="196"/>
      <c r="L73" s="197"/>
      <c r="M73" s="153"/>
      <c r="N73" s="154"/>
      <c r="O73" s="210"/>
      <c r="P73" s="156"/>
      <c r="Q73" s="57"/>
      <c r="R73" s="179"/>
      <c r="S73" s="157"/>
      <c r="T73" s="157"/>
      <c r="U73" s="157"/>
      <c r="V73" s="157"/>
      <c r="W73" s="157"/>
      <c r="X73" s="157"/>
      <c r="Y73" s="57"/>
      <c r="Z73" s="57"/>
    </row>
    <row r="74">
      <c r="A74" s="203" t="s">
        <v>201</v>
      </c>
      <c r="C74" s="204">
        <f>SUM(L72:L95)</f>
        <v>3467</v>
      </c>
      <c r="D74" s="149"/>
      <c r="E74" s="272" t="s">
        <v>378</v>
      </c>
      <c r="F74" s="193">
        <v>80.0</v>
      </c>
      <c r="G74" s="200"/>
      <c r="H74" s="205"/>
      <c r="I74" s="151"/>
      <c r="J74" s="206" t="s">
        <v>6</v>
      </c>
      <c r="K74" s="196"/>
      <c r="L74" s="197"/>
      <c r="M74" s="153"/>
      <c r="N74" s="154"/>
      <c r="O74" s="210"/>
      <c r="P74" s="156"/>
      <c r="Q74" s="57"/>
      <c r="R74" s="179"/>
      <c r="S74" s="157"/>
      <c r="T74" s="157"/>
      <c r="U74" s="157"/>
      <c r="V74" s="157"/>
      <c r="W74" s="157"/>
      <c r="X74" s="157"/>
      <c r="Y74" s="57"/>
      <c r="Z74" s="57"/>
    </row>
    <row r="75">
      <c r="A75" s="207"/>
      <c r="B75" s="105"/>
      <c r="C75" s="204"/>
      <c r="D75" s="149"/>
      <c r="E75" s="272" t="s">
        <v>429</v>
      </c>
      <c r="F75" s="193">
        <v>120.0</v>
      </c>
      <c r="G75" s="194" t="s">
        <v>426</v>
      </c>
      <c r="H75" s="205"/>
      <c r="I75" s="208"/>
      <c r="J75" s="192" t="s">
        <v>7</v>
      </c>
      <c r="K75" s="196"/>
      <c r="L75" s="180">
        <v>240.0</v>
      </c>
      <c r="M75" s="209" t="s">
        <v>430</v>
      </c>
      <c r="N75" s="154"/>
      <c r="O75" s="210"/>
      <c r="P75" s="156"/>
      <c r="Q75" s="57"/>
      <c r="R75" s="179"/>
      <c r="S75" s="157"/>
      <c r="T75" s="157"/>
      <c r="U75" s="157"/>
      <c r="V75" s="157"/>
      <c r="W75" s="157"/>
      <c r="X75" s="157"/>
      <c r="Y75" s="57"/>
      <c r="Z75" s="57"/>
    </row>
    <row r="76">
      <c r="A76" s="211" t="s">
        <v>350</v>
      </c>
      <c r="C76" s="212">
        <f>C72-C74-B78-B84</f>
        <v>115</v>
      </c>
      <c r="D76" s="149"/>
      <c r="E76" s="272" t="s">
        <v>431</v>
      </c>
      <c r="F76" s="193">
        <v>360.0</v>
      </c>
      <c r="G76" s="200"/>
      <c r="H76" s="205"/>
      <c r="I76" s="201"/>
      <c r="J76" s="202" t="s">
        <v>210</v>
      </c>
      <c r="K76" s="196"/>
      <c r="L76" s="197"/>
      <c r="M76" s="153"/>
      <c r="N76" s="154"/>
      <c r="O76" s="210"/>
      <c r="P76" s="156"/>
      <c r="Q76" s="57"/>
      <c r="R76" s="179"/>
      <c r="S76" s="157"/>
      <c r="T76" s="157"/>
      <c r="U76" s="157"/>
      <c r="V76" s="157"/>
      <c r="W76" s="157"/>
      <c r="X76" s="157"/>
      <c r="Y76" s="57"/>
      <c r="Z76" s="57"/>
    </row>
    <row r="77">
      <c r="A77" s="213"/>
      <c r="C77" s="214"/>
      <c r="D77" s="149"/>
      <c r="E77" s="272" t="s">
        <v>432</v>
      </c>
      <c r="F77" s="193">
        <v>45.0</v>
      </c>
      <c r="G77" s="200"/>
      <c r="H77" s="205"/>
      <c r="I77" s="201"/>
      <c r="J77" s="202" t="s">
        <v>354</v>
      </c>
      <c r="K77" s="196"/>
      <c r="L77" s="180"/>
      <c r="M77" s="209"/>
      <c r="N77" s="215"/>
      <c r="O77" s="210"/>
      <c r="P77" s="156"/>
      <c r="Q77" s="57"/>
      <c r="R77" s="179"/>
      <c r="S77" s="157"/>
      <c r="T77" s="157"/>
      <c r="U77" s="157"/>
      <c r="V77" s="157"/>
      <c r="W77" s="157"/>
      <c r="X77" s="157"/>
      <c r="Y77" s="57"/>
      <c r="Z77" s="57"/>
    </row>
    <row r="78">
      <c r="A78" s="216" t="s">
        <v>356</v>
      </c>
      <c r="B78" s="217">
        <v>47.0</v>
      </c>
      <c r="C78" s="290"/>
      <c r="D78" s="149"/>
      <c r="E78" s="272" t="s">
        <v>406</v>
      </c>
      <c r="F78" s="193">
        <v>50.0</v>
      </c>
      <c r="G78" s="200"/>
      <c r="H78" s="205"/>
      <c r="I78" s="208"/>
      <c r="J78" s="192" t="s">
        <v>358</v>
      </c>
      <c r="K78" s="196"/>
      <c r="L78" s="180"/>
      <c r="M78" s="153"/>
      <c r="N78" s="154"/>
      <c r="O78" s="210"/>
      <c r="P78" s="156"/>
      <c r="Q78" s="57"/>
      <c r="R78" s="179"/>
      <c r="S78" s="157"/>
      <c r="T78" s="157"/>
      <c r="U78" s="157"/>
      <c r="V78" s="157"/>
      <c r="W78" s="157"/>
      <c r="X78" s="157"/>
      <c r="Y78" s="57"/>
      <c r="Z78" s="57"/>
    </row>
    <row r="79">
      <c r="A79" s="218" t="s">
        <v>214</v>
      </c>
      <c r="B79" s="291"/>
      <c r="C79" s="220"/>
      <c r="D79" s="172"/>
      <c r="E79" s="272" t="s">
        <v>433</v>
      </c>
      <c r="F79" s="193">
        <v>70.0</v>
      </c>
      <c r="G79" s="200"/>
      <c r="H79" s="205"/>
      <c r="I79" s="151"/>
      <c r="J79" s="206" t="s">
        <v>34</v>
      </c>
      <c r="K79" s="196"/>
      <c r="L79" s="180">
        <v>27.0</v>
      </c>
      <c r="M79" s="153"/>
      <c r="N79" s="154"/>
      <c r="O79" s="210"/>
      <c r="P79" s="156"/>
      <c r="Q79" s="57"/>
      <c r="R79" s="179"/>
      <c r="S79" s="157"/>
      <c r="T79" s="157"/>
      <c r="U79" s="157"/>
      <c r="V79" s="157"/>
      <c r="W79" s="157"/>
      <c r="X79" s="157"/>
      <c r="Y79" s="57"/>
      <c r="Z79" s="57"/>
    </row>
    <row r="80">
      <c r="A80" s="221" t="s">
        <v>272</v>
      </c>
      <c r="B80" s="222">
        <v>4832.0</v>
      </c>
      <c r="C80" s="223"/>
      <c r="D80" s="149"/>
      <c r="E80" s="272" t="s">
        <v>434</v>
      </c>
      <c r="F80" s="193">
        <v>60.0</v>
      </c>
      <c r="G80" s="200"/>
      <c r="H80" s="205"/>
      <c r="I80" s="208"/>
      <c r="J80" s="192" t="s">
        <v>216</v>
      </c>
      <c r="K80" s="196"/>
      <c r="L80" s="197"/>
      <c r="M80" s="153"/>
      <c r="N80" s="154"/>
      <c r="O80" s="210"/>
      <c r="P80" s="156"/>
      <c r="Q80" s="57"/>
      <c r="R80" s="179"/>
      <c r="S80" s="157"/>
      <c r="T80" s="157"/>
      <c r="U80" s="157"/>
      <c r="V80" s="157"/>
      <c r="W80" s="157"/>
      <c r="X80" s="157"/>
      <c r="Y80" s="57"/>
      <c r="Z80" s="57"/>
    </row>
    <row r="81">
      <c r="A81" s="224" t="s">
        <v>361</v>
      </c>
      <c r="B81" s="225">
        <v>6600.0</v>
      </c>
      <c r="C81" s="226"/>
      <c r="D81" s="149"/>
      <c r="E81" s="272" t="s">
        <v>386</v>
      </c>
      <c r="F81" s="193">
        <v>170.0</v>
      </c>
      <c r="G81" s="200"/>
      <c r="H81" s="205"/>
      <c r="I81" s="151"/>
      <c r="J81" s="206" t="s">
        <v>108</v>
      </c>
      <c r="K81" s="196"/>
      <c r="L81" s="180">
        <v>50.0</v>
      </c>
      <c r="M81" s="209"/>
      <c r="N81" s="215"/>
      <c r="O81" s="210"/>
      <c r="P81" s="156"/>
      <c r="Q81" s="57"/>
      <c r="R81" s="179"/>
      <c r="S81" s="157"/>
      <c r="T81" s="157"/>
      <c r="U81" s="157"/>
      <c r="V81" s="157"/>
      <c r="W81" s="157"/>
      <c r="X81" s="157"/>
      <c r="Y81" s="57"/>
      <c r="Z81" s="57"/>
    </row>
    <row r="82">
      <c r="A82" s="57"/>
      <c r="B82" s="105"/>
      <c r="C82" s="105"/>
      <c r="D82" s="149"/>
      <c r="E82" s="272" t="s">
        <v>435</v>
      </c>
      <c r="F82" s="193">
        <v>80.0</v>
      </c>
      <c r="G82" s="200"/>
      <c r="H82" s="205"/>
      <c r="I82" s="227"/>
      <c r="J82" s="228" t="s">
        <v>156</v>
      </c>
      <c r="K82" s="196"/>
      <c r="L82" s="180"/>
      <c r="M82" s="153"/>
      <c r="N82" s="154"/>
      <c r="O82" s="210"/>
      <c r="P82" s="156"/>
      <c r="Q82" s="57"/>
      <c r="R82" s="179"/>
      <c r="S82" s="157"/>
      <c r="T82" s="157"/>
      <c r="U82" s="157"/>
      <c r="V82" s="157"/>
      <c r="W82" s="157"/>
      <c r="X82" s="157"/>
      <c r="Y82" s="57"/>
      <c r="Z82" s="57"/>
    </row>
    <row r="83">
      <c r="A83" s="57"/>
      <c r="B83" s="105"/>
      <c r="C83" s="105"/>
      <c r="D83" s="149"/>
      <c r="E83" s="272" t="s">
        <v>436</v>
      </c>
      <c r="F83" s="193">
        <v>372.0</v>
      </c>
      <c r="G83" s="200"/>
      <c r="H83" s="205"/>
      <c r="I83" s="201"/>
      <c r="J83" s="202" t="s">
        <v>217</v>
      </c>
      <c r="K83" s="196"/>
      <c r="L83" s="180"/>
      <c r="M83" s="153"/>
      <c r="N83" s="154"/>
      <c r="O83" s="210"/>
      <c r="P83" s="156"/>
      <c r="Q83" s="57"/>
      <c r="R83" s="179"/>
      <c r="S83" s="157"/>
      <c r="T83" s="157"/>
      <c r="U83" s="157"/>
      <c r="V83" s="157"/>
      <c r="W83" s="157"/>
      <c r="X83" s="157"/>
      <c r="Y83" s="57"/>
      <c r="Z83" s="57"/>
    </row>
    <row r="84">
      <c r="A84" s="229" t="s">
        <v>365</v>
      </c>
      <c r="B84" s="230">
        <f>SUM(C85,C86,C87,C88,C89,C90,C91,C92,C93,C94)</f>
        <v>336</v>
      </c>
      <c r="C84" s="231" t="s">
        <v>366</v>
      </c>
      <c r="D84" s="149"/>
      <c r="E84" s="272" t="s">
        <v>437</v>
      </c>
      <c r="F84" s="193">
        <v>200.0</v>
      </c>
      <c r="G84" s="200"/>
      <c r="H84" s="205"/>
      <c r="I84" s="208"/>
      <c r="J84" s="192" t="s">
        <v>368</v>
      </c>
      <c r="K84" s="196"/>
      <c r="L84" s="197"/>
      <c r="M84" s="153"/>
      <c r="N84" s="154"/>
      <c r="O84" s="210"/>
      <c r="P84" s="156"/>
      <c r="Q84" s="57"/>
      <c r="R84" s="241"/>
      <c r="S84" s="242"/>
      <c r="T84" s="242"/>
      <c r="U84" s="242"/>
      <c r="V84" s="242"/>
      <c r="W84" s="242"/>
      <c r="X84" s="242"/>
      <c r="Y84" s="148"/>
      <c r="Z84" s="148"/>
    </row>
    <row r="85">
      <c r="A85" s="232" t="s">
        <v>369</v>
      </c>
      <c r="C85" s="233">
        <v>40.0</v>
      </c>
      <c r="D85" s="234" t="s">
        <v>438</v>
      </c>
      <c r="E85" s="272" t="s">
        <v>439</v>
      </c>
      <c r="F85" s="193">
        <v>100.0</v>
      </c>
      <c r="G85" s="200"/>
      <c r="H85" s="205"/>
      <c r="I85" s="151"/>
      <c r="J85" s="206" t="s">
        <v>131</v>
      </c>
      <c r="K85" s="196"/>
      <c r="L85" s="180"/>
      <c r="M85" s="209"/>
      <c r="N85" s="215"/>
      <c r="O85" s="210"/>
      <c r="P85" s="156"/>
      <c r="Q85" s="57"/>
      <c r="R85" s="241"/>
      <c r="S85" s="242"/>
      <c r="T85" s="242"/>
      <c r="U85" s="242"/>
      <c r="V85" s="242"/>
      <c r="W85" s="242"/>
      <c r="X85" s="242"/>
      <c r="Y85" s="148"/>
      <c r="Z85" s="148"/>
    </row>
    <row r="86">
      <c r="C86" s="233">
        <v>200.0</v>
      </c>
      <c r="D86" s="234" t="s">
        <v>20</v>
      </c>
      <c r="E86" s="272" t="s">
        <v>440</v>
      </c>
      <c r="F86" s="193">
        <v>30.0</v>
      </c>
      <c r="G86" s="200"/>
      <c r="H86" s="205"/>
      <c r="I86" s="151"/>
      <c r="J86" s="206" t="s">
        <v>18</v>
      </c>
      <c r="K86" s="196"/>
      <c r="L86" s="180"/>
      <c r="M86" s="209"/>
      <c r="N86" s="215"/>
      <c r="O86" s="210"/>
      <c r="P86" s="156"/>
      <c r="Q86" s="57"/>
      <c r="R86" s="179"/>
      <c r="S86" s="157"/>
      <c r="T86" s="157"/>
      <c r="U86" s="157"/>
      <c r="V86" s="157"/>
      <c r="W86" s="157"/>
      <c r="X86" s="157"/>
      <c r="Y86" s="57"/>
      <c r="Z86" s="57"/>
    </row>
    <row r="87">
      <c r="A87" s="57"/>
      <c r="B87" s="105"/>
      <c r="C87" s="233">
        <v>60.0</v>
      </c>
      <c r="D87" s="234" t="s">
        <v>441</v>
      </c>
      <c r="E87" s="292" t="s">
        <v>442</v>
      </c>
      <c r="F87" s="293">
        <v>158.0</v>
      </c>
      <c r="G87" s="194" t="s">
        <v>426</v>
      </c>
      <c r="H87" s="205"/>
      <c r="I87" s="201"/>
      <c r="J87" s="202" t="s">
        <v>377</v>
      </c>
      <c r="K87" s="196"/>
      <c r="L87" s="180">
        <v>185.0</v>
      </c>
      <c r="M87" s="209" t="s">
        <v>443</v>
      </c>
      <c r="N87" s="154"/>
      <c r="O87" s="236"/>
      <c r="P87" s="156"/>
      <c r="Q87" s="57"/>
      <c r="R87" s="179"/>
      <c r="S87" s="157"/>
      <c r="T87" s="157"/>
      <c r="U87" s="157"/>
      <c r="V87" s="157"/>
      <c r="W87" s="157"/>
      <c r="X87" s="157"/>
      <c r="Y87" s="57"/>
      <c r="Z87" s="57"/>
    </row>
    <row r="88">
      <c r="A88" s="57"/>
      <c r="B88" s="105"/>
      <c r="C88" s="233">
        <v>36.0</v>
      </c>
      <c r="D88" s="234" t="s">
        <v>444</v>
      </c>
      <c r="E88" s="272" t="s">
        <v>445</v>
      </c>
      <c r="F88" s="193">
        <v>150.0</v>
      </c>
      <c r="G88" s="200"/>
      <c r="H88" s="205"/>
      <c r="I88" s="208"/>
      <c r="J88" s="192" t="s">
        <v>418</v>
      </c>
      <c r="K88" s="196"/>
      <c r="L88" s="180"/>
      <c r="M88" s="153"/>
      <c r="N88" s="154"/>
      <c r="O88" s="236"/>
      <c r="P88" s="156"/>
      <c r="Q88" s="57"/>
      <c r="R88" s="179"/>
      <c r="S88" s="157"/>
      <c r="T88" s="157"/>
      <c r="U88" s="157"/>
      <c r="V88" s="157"/>
      <c r="W88" s="157"/>
      <c r="X88" s="157"/>
      <c r="Y88" s="57"/>
      <c r="Z88" s="57"/>
    </row>
    <row r="89">
      <c r="A89" s="57"/>
      <c r="B89" s="105"/>
      <c r="C89" s="233"/>
      <c r="D89" s="149"/>
      <c r="E89" s="272" t="s">
        <v>446</v>
      </c>
      <c r="F89" s="193">
        <v>200.0</v>
      </c>
      <c r="G89" s="200"/>
      <c r="H89" s="205"/>
      <c r="I89" s="208"/>
      <c r="J89" s="192" t="s">
        <v>381</v>
      </c>
      <c r="K89" s="196"/>
      <c r="L89" s="180">
        <v>600.0</v>
      </c>
      <c r="M89" s="209" t="s">
        <v>447</v>
      </c>
      <c r="N89" s="215"/>
      <c r="O89" s="210"/>
      <c r="P89" s="240"/>
      <c r="Q89" s="148"/>
      <c r="R89" s="179"/>
      <c r="S89" s="157"/>
      <c r="T89" s="157"/>
      <c r="U89" s="157"/>
      <c r="V89" s="157"/>
      <c r="W89" s="157"/>
      <c r="X89" s="157"/>
      <c r="Y89" s="57"/>
      <c r="Z89" s="57"/>
    </row>
    <row r="90">
      <c r="A90" s="57"/>
      <c r="B90" s="105"/>
      <c r="C90" s="233"/>
      <c r="D90" s="149"/>
      <c r="E90" s="272" t="s">
        <v>448</v>
      </c>
      <c r="F90" s="193">
        <v>350.0</v>
      </c>
      <c r="G90" s="200"/>
      <c r="H90" s="205"/>
      <c r="I90" s="208"/>
      <c r="J90" s="192" t="s">
        <v>383</v>
      </c>
      <c r="K90" s="237"/>
      <c r="L90" s="180">
        <v>605.0</v>
      </c>
      <c r="M90" s="209" t="s">
        <v>449</v>
      </c>
      <c r="N90" s="215"/>
      <c r="O90" s="210"/>
      <c r="P90" s="240"/>
      <c r="Q90" s="148"/>
      <c r="R90" s="179"/>
      <c r="S90" s="157"/>
      <c r="T90" s="157"/>
      <c r="U90" s="157"/>
      <c r="V90" s="157"/>
      <c r="W90" s="157"/>
      <c r="X90" s="157"/>
      <c r="Y90" s="57"/>
      <c r="Z90" s="57"/>
    </row>
    <row r="91">
      <c r="A91" s="238"/>
      <c r="B91" s="105"/>
      <c r="C91" s="235"/>
      <c r="D91" s="149"/>
      <c r="E91" s="294"/>
      <c r="F91" s="150"/>
      <c r="G91" s="200"/>
      <c r="H91" s="205"/>
      <c r="I91" s="208"/>
      <c r="J91" s="192" t="s">
        <v>202</v>
      </c>
      <c r="K91" s="237"/>
      <c r="L91" s="180">
        <v>90.0</v>
      </c>
      <c r="M91" s="209" t="s">
        <v>385</v>
      </c>
      <c r="N91" s="154"/>
      <c r="O91" s="236"/>
      <c r="P91" s="156"/>
      <c r="Q91" s="57"/>
      <c r="R91" s="179"/>
      <c r="S91" s="157"/>
      <c r="T91" s="157"/>
      <c r="U91" s="157"/>
      <c r="V91" s="157"/>
      <c r="W91" s="157"/>
      <c r="X91" s="157"/>
      <c r="Y91" s="57"/>
      <c r="Z91" s="57"/>
    </row>
    <row r="92">
      <c r="A92" s="239"/>
      <c r="B92" s="105"/>
      <c r="C92" s="235"/>
      <c r="D92" s="149"/>
      <c r="E92" s="294"/>
      <c r="F92" s="150"/>
      <c r="G92" s="200"/>
      <c r="H92" s="205"/>
      <c r="I92" s="208"/>
      <c r="J92" s="192" t="s">
        <v>274</v>
      </c>
      <c r="K92" s="196"/>
      <c r="L92" s="180">
        <v>213.0</v>
      </c>
      <c r="M92" s="153"/>
      <c r="N92" s="215"/>
      <c r="O92" s="236"/>
      <c r="P92" s="156"/>
      <c r="Q92" s="57"/>
      <c r="R92" s="179"/>
      <c r="S92" s="157"/>
      <c r="T92" s="157"/>
      <c r="U92" s="157"/>
      <c r="V92" s="157"/>
      <c r="W92" s="157"/>
      <c r="X92" s="157"/>
      <c r="Y92" s="57"/>
      <c r="Z92" s="57"/>
    </row>
    <row r="93">
      <c r="A93" s="148"/>
      <c r="B93" s="243"/>
      <c r="C93" s="244"/>
      <c r="D93" s="245"/>
      <c r="E93" s="276"/>
      <c r="F93" s="277"/>
      <c r="G93" s="248"/>
      <c r="H93" s="249"/>
      <c r="I93" s="208"/>
      <c r="J93" s="192" t="s">
        <v>220</v>
      </c>
      <c r="K93" s="196"/>
      <c r="L93" s="180">
        <v>165.0</v>
      </c>
      <c r="M93" s="209" t="s">
        <v>450</v>
      </c>
      <c r="N93" s="250"/>
      <c r="O93" s="210"/>
      <c r="P93" s="156"/>
      <c r="Q93" s="57"/>
      <c r="R93" s="179"/>
      <c r="S93" s="157"/>
      <c r="T93" s="157"/>
      <c r="U93" s="157"/>
      <c r="V93" s="157"/>
      <c r="W93" s="157"/>
      <c r="X93" s="157"/>
      <c r="Y93" s="57"/>
      <c r="Z93" s="57"/>
    </row>
    <row r="94">
      <c r="A94" s="148"/>
      <c r="B94" s="243"/>
      <c r="C94" s="244"/>
      <c r="D94" s="245"/>
      <c r="E94" s="276"/>
      <c r="F94" s="277"/>
      <c r="G94" s="248"/>
      <c r="H94" s="249"/>
      <c r="I94" s="251"/>
      <c r="J94" s="192" t="s">
        <v>30</v>
      </c>
      <c r="K94" s="196"/>
      <c r="L94" s="180">
        <v>600.0</v>
      </c>
      <c r="M94" s="295" t="s">
        <v>451</v>
      </c>
      <c r="N94" s="250"/>
      <c r="O94" s="253"/>
      <c r="P94" s="156"/>
      <c r="Q94" s="57"/>
      <c r="R94" s="179"/>
      <c r="S94" s="157"/>
      <c r="T94" s="157"/>
      <c r="U94" s="157"/>
      <c r="V94" s="157"/>
      <c r="W94" s="157"/>
      <c r="X94" s="157"/>
      <c r="Y94" s="57"/>
      <c r="Z94" s="57"/>
    </row>
    <row r="95">
      <c r="A95" s="148"/>
      <c r="B95" s="243"/>
      <c r="C95" s="243"/>
      <c r="D95" s="245"/>
      <c r="E95" s="276"/>
      <c r="F95" s="277"/>
      <c r="G95" s="248"/>
      <c r="H95" s="249"/>
      <c r="I95" s="251"/>
      <c r="J95" s="192" t="s">
        <v>225</v>
      </c>
      <c r="K95" s="196"/>
      <c r="L95" s="296">
        <v>372.0</v>
      </c>
      <c r="M95" s="295" t="s">
        <v>452</v>
      </c>
      <c r="N95" s="250"/>
      <c r="O95" s="155"/>
      <c r="P95" s="156"/>
      <c r="Q95" s="57"/>
      <c r="R95" s="179"/>
      <c r="S95" s="157"/>
      <c r="T95" s="157"/>
      <c r="U95" s="157"/>
      <c r="V95" s="157"/>
      <c r="W95" s="157"/>
      <c r="X95" s="157"/>
      <c r="Y95" s="57"/>
      <c r="Z95" s="57"/>
    </row>
    <row r="96">
      <c r="A96" s="148"/>
      <c r="B96" s="243"/>
      <c r="C96" s="243"/>
      <c r="D96" s="245"/>
      <c r="E96" s="276"/>
      <c r="F96" s="277"/>
      <c r="G96" s="248"/>
      <c r="H96" s="249"/>
      <c r="I96" s="251"/>
      <c r="J96" s="251"/>
      <c r="K96" s="148"/>
      <c r="L96" s="254"/>
      <c r="M96" s="252"/>
      <c r="N96" s="250"/>
      <c r="O96" s="155"/>
      <c r="P96" s="156"/>
      <c r="Q96" s="57"/>
      <c r="R96" s="179"/>
      <c r="S96" s="157"/>
      <c r="T96" s="157"/>
      <c r="U96" s="157"/>
      <c r="V96" s="157"/>
      <c r="W96" s="157"/>
      <c r="X96" s="157"/>
      <c r="Y96" s="57"/>
      <c r="Z96" s="57"/>
    </row>
    <row r="97">
      <c r="A97" s="278"/>
      <c r="B97" s="243"/>
      <c r="C97" s="243"/>
      <c r="D97" s="149"/>
      <c r="E97" s="279"/>
      <c r="F97" s="150"/>
      <c r="G97" s="57"/>
      <c r="H97" s="57"/>
      <c r="I97" s="151"/>
      <c r="J97" s="151"/>
      <c r="K97" s="57"/>
      <c r="L97" s="280"/>
      <c r="M97" s="153"/>
      <c r="N97" s="154"/>
      <c r="O97" s="155"/>
      <c r="P97" s="156"/>
      <c r="Q97" s="57"/>
      <c r="R97" s="179"/>
      <c r="S97" s="157"/>
      <c r="T97" s="157"/>
      <c r="U97" s="157"/>
      <c r="V97" s="157"/>
      <c r="W97" s="157"/>
      <c r="X97" s="157"/>
      <c r="Y97" s="57"/>
      <c r="Z97" s="57"/>
    </row>
    <row r="98" ht="6.75" customHeight="1">
      <c r="A98" s="158"/>
      <c r="B98" s="159"/>
      <c r="C98" s="160"/>
      <c r="D98" s="161"/>
      <c r="E98" s="159"/>
      <c r="F98" s="162"/>
      <c r="G98" s="57"/>
      <c r="H98" s="57"/>
      <c r="I98" s="151"/>
      <c r="J98" s="163"/>
      <c r="K98" s="159"/>
      <c r="L98" s="164"/>
      <c r="M98" s="165"/>
      <c r="N98" s="166"/>
      <c r="O98" s="167"/>
      <c r="P98" s="168"/>
      <c r="Q98" s="159"/>
      <c r="R98" s="57"/>
      <c r="S98" s="157"/>
      <c r="T98" s="157"/>
      <c r="U98" s="157"/>
      <c r="V98" s="157"/>
      <c r="W98" s="157"/>
      <c r="X98" s="157"/>
      <c r="Y98" s="57"/>
      <c r="Z98" s="57"/>
    </row>
    <row r="99">
      <c r="A99" s="169" t="s">
        <v>113</v>
      </c>
      <c r="B99" s="170"/>
      <c r="C99" s="171"/>
      <c r="D99" s="172"/>
      <c r="E99" s="173"/>
      <c r="F99" s="174"/>
      <c r="G99" s="175" t="s">
        <v>333</v>
      </c>
      <c r="H99" s="176"/>
      <c r="I99" s="177"/>
      <c r="J99" s="151"/>
      <c r="K99" s="57"/>
      <c r="L99" s="152"/>
      <c r="M99" s="153"/>
      <c r="N99" s="154"/>
      <c r="O99" s="178" t="s">
        <v>334</v>
      </c>
      <c r="P99" s="156"/>
      <c r="Q99" s="57"/>
      <c r="R99" s="179"/>
      <c r="S99" s="157"/>
      <c r="T99" s="157"/>
      <c r="U99" s="157"/>
      <c r="V99" s="157"/>
      <c r="W99" s="157"/>
      <c r="X99" s="157"/>
      <c r="Y99" s="57"/>
      <c r="Z99" s="57"/>
    </row>
    <row r="100">
      <c r="A100" s="182"/>
      <c r="B100" s="105"/>
      <c r="C100" s="183"/>
      <c r="D100" s="172"/>
      <c r="E100" s="184" t="s">
        <v>335</v>
      </c>
      <c r="F100" s="180" t="s">
        <v>237</v>
      </c>
      <c r="G100" s="185" t="s">
        <v>336</v>
      </c>
      <c r="H100" s="186" t="s">
        <v>337</v>
      </c>
      <c r="I100" s="104"/>
      <c r="J100" s="104" t="s">
        <v>0</v>
      </c>
      <c r="K100" s="57"/>
      <c r="L100" s="152"/>
      <c r="M100" s="187" t="s">
        <v>338</v>
      </c>
      <c r="O100" s="188" t="s">
        <v>453</v>
      </c>
      <c r="P100" s="189">
        <v>390.0</v>
      </c>
      <c r="Q100" s="57"/>
      <c r="R100" s="179"/>
      <c r="S100" s="157"/>
      <c r="T100" s="157"/>
      <c r="U100" s="157"/>
      <c r="V100" s="157"/>
      <c r="W100" s="157"/>
      <c r="X100" s="157"/>
      <c r="Y100" s="57"/>
      <c r="Z100" s="57"/>
    </row>
    <row r="101">
      <c r="A101" s="190" t="s">
        <v>179</v>
      </c>
      <c r="C101" s="191">
        <f>SUM(F101:F127)</f>
        <v>6735</v>
      </c>
      <c r="D101" s="172"/>
      <c r="E101" s="272" t="s">
        <v>340</v>
      </c>
      <c r="F101" s="193">
        <v>1190.0</v>
      </c>
      <c r="G101" s="297" t="s">
        <v>426</v>
      </c>
      <c r="H101" s="195"/>
      <c r="I101" s="151"/>
      <c r="J101" s="192" t="s">
        <v>341</v>
      </c>
      <c r="K101" s="196"/>
      <c r="L101" s="197"/>
      <c r="M101" s="153"/>
      <c r="N101" s="154"/>
      <c r="O101" s="188" t="s">
        <v>422</v>
      </c>
      <c r="P101" s="189">
        <v>130.0</v>
      </c>
      <c r="Q101" s="57"/>
      <c r="R101" s="179"/>
      <c r="S101" s="157"/>
      <c r="T101" s="157"/>
      <c r="U101" s="157"/>
      <c r="V101" s="157"/>
      <c r="W101" s="157"/>
      <c r="X101" s="157"/>
      <c r="Y101" s="57"/>
      <c r="Z101" s="57"/>
    </row>
    <row r="102">
      <c r="A102" s="198" t="s">
        <v>343</v>
      </c>
      <c r="B102" s="199" t="s">
        <v>321</v>
      </c>
      <c r="C102" s="191">
        <f>SUM(P100:P122)</f>
        <v>3297</v>
      </c>
      <c r="D102" s="149"/>
      <c r="E102" s="272" t="s">
        <v>416</v>
      </c>
      <c r="F102" s="193">
        <v>790.0</v>
      </c>
      <c r="G102" s="200"/>
      <c r="H102" s="205"/>
      <c r="I102" s="201"/>
      <c r="J102" s="202" t="s">
        <v>345</v>
      </c>
      <c r="K102" s="196"/>
      <c r="L102" s="180">
        <v>145.0</v>
      </c>
      <c r="M102" s="153"/>
      <c r="N102" s="154"/>
      <c r="O102" s="188" t="s">
        <v>454</v>
      </c>
      <c r="P102" s="189">
        <v>350.0</v>
      </c>
      <c r="Q102" s="57"/>
      <c r="R102" s="179"/>
      <c r="S102" s="157"/>
      <c r="T102" s="157"/>
      <c r="U102" s="157"/>
      <c r="V102" s="157"/>
      <c r="W102" s="157"/>
      <c r="X102" s="157"/>
      <c r="Y102" s="57"/>
      <c r="Z102" s="57"/>
    </row>
    <row r="103">
      <c r="A103" s="203" t="s">
        <v>201</v>
      </c>
      <c r="C103" s="204">
        <f>SUM(L101:L124)</f>
        <v>3059</v>
      </c>
      <c r="D103" s="149"/>
      <c r="E103" s="272" t="s">
        <v>455</v>
      </c>
      <c r="F103" s="193">
        <v>180.0</v>
      </c>
      <c r="G103" s="297" t="s">
        <v>426</v>
      </c>
      <c r="H103" s="205"/>
      <c r="I103" s="151"/>
      <c r="J103" s="206" t="s">
        <v>6</v>
      </c>
      <c r="K103" s="196"/>
      <c r="L103" s="197"/>
      <c r="M103" s="153"/>
      <c r="N103" s="154"/>
      <c r="O103" s="188" t="s">
        <v>456</v>
      </c>
      <c r="P103" s="189">
        <v>77.0</v>
      </c>
      <c r="Q103" s="57"/>
      <c r="R103" s="179"/>
      <c r="S103" s="157"/>
      <c r="T103" s="157"/>
      <c r="U103" s="157"/>
      <c r="V103" s="157"/>
      <c r="W103" s="157"/>
      <c r="X103" s="157"/>
      <c r="Y103" s="57"/>
      <c r="Z103" s="57"/>
    </row>
    <row r="104">
      <c r="A104" s="207"/>
      <c r="B104" s="105"/>
      <c r="C104" s="204"/>
      <c r="D104" s="149"/>
      <c r="E104" s="272" t="s">
        <v>457</v>
      </c>
      <c r="F104" s="193">
        <v>250.0</v>
      </c>
      <c r="G104" s="200"/>
      <c r="H104" s="205"/>
      <c r="I104" s="208"/>
      <c r="J104" s="192" t="s">
        <v>7</v>
      </c>
      <c r="K104" s="196"/>
      <c r="L104" s="180"/>
      <c r="M104" s="153"/>
      <c r="N104" s="154"/>
      <c r="O104" s="188" t="s">
        <v>458</v>
      </c>
      <c r="P104" s="189">
        <v>1160.0</v>
      </c>
      <c r="Q104" s="57"/>
      <c r="R104" s="179"/>
      <c r="S104" s="157"/>
      <c r="T104" s="157"/>
      <c r="U104" s="157"/>
      <c r="V104" s="157"/>
      <c r="W104" s="157"/>
      <c r="X104" s="157"/>
      <c r="Y104" s="57"/>
      <c r="Z104" s="57"/>
    </row>
    <row r="105">
      <c r="A105" s="211" t="s">
        <v>350</v>
      </c>
      <c r="C105" s="212">
        <f>C101-C103-B107-B113</f>
        <v>2156</v>
      </c>
      <c r="D105" s="149"/>
      <c r="E105" s="272" t="s">
        <v>459</v>
      </c>
      <c r="F105" s="193">
        <v>140.0</v>
      </c>
      <c r="G105" s="200"/>
      <c r="H105" s="205"/>
      <c r="I105" s="201"/>
      <c r="J105" s="202" t="s">
        <v>210</v>
      </c>
      <c r="K105" s="196"/>
      <c r="L105" s="197"/>
      <c r="M105" s="153"/>
      <c r="N105" s="154"/>
      <c r="O105" s="188" t="s">
        <v>460</v>
      </c>
      <c r="P105" s="189">
        <v>1190.0</v>
      </c>
      <c r="Q105" s="57"/>
      <c r="R105" s="179"/>
      <c r="S105" s="157"/>
      <c r="T105" s="157"/>
      <c r="U105" s="157"/>
      <c r="V105" s="157"/>
      <c r="W105" s="157"/>
      <c r="X105" s="157"/>
      <c r="Y105" s="57"/>
      <c r="Z105" s="57"/>
    </row>
    <row r="106">
      <c r="A106" s="213"/>
      <c r="C106" s="214"/>
      <c r="D106" s="149"/>
      <c r="E106" s="272" t="s">
        <v>431</v>
      </c>
      <c r="F106" s="193">
        <v>360.0</v>
      </c>
      <c r="G106" s="200"/>
      <c r="H106" s="205"/>
      <c r="I106" s="201"/>
      <c r="J106" s="202" t="s">
        <v>354</v>
      </c>
      <c r="K106" s="196"/>
      <c r="L106" s="180">
        <v>58.0</v>
      </c>
      <c r="M106" s="209" t="s">
        <v>461</v>
      </c>
      <c r="O106" s="210"/>
      <c r="P106" s="189"/>
      <c r="Q106" s="57"/>
      <c r="R106" s="179"/>
      <c r="S106" s="157"/>
      <c r="T106" s="157"/>
      <c r="U106" s="157"/>
      <c r="V106" s="157"/>
      <c r="W106" s="157"/>
      <c r="X106" s="157"/>
      <c r="Y106" s="57"/>
      <c r="Z106" s="57"/>
    </row>
    <row r="107">
      <c r="A107" s="216" t="s">
        <v>356</v>
      </c>
      <c r="B107" s="217">
        <v>1320.0</v>
      </c>
      <c r="C107" s="183"/>
      <c r="D107" s="149"/>
      <c r="E107" s="272" t="s">
        <v>386</v>
      </c>
      <c r="F107" s="193">
        <v>210.0</v>
      </c>
      <c r="G107" s="200"/>
      <c r="H107" s="205"/>
      <c r="I107" s="208"/>
      <c r="J107" s="192" t="s">
        <v>358</v>
      </c>
      <c r="K107" s="196"/>
      <c r="L107" s="180"/>
      <c r="M107" s="153"/>
      <c r="N107" s="154"/>
      <c r="O107" s="210"/>
      <c r="P107" s="156"/>
      <c r="Q107" s="57"/>
      <c r="R107" s="179"/>
      <c r="S107" s="157"/>
      <c r="T107" s="157"/>
      <c r="U107" s="157"/>
      <c r="V107" s="157"/>
      <c r="W107" s="157"/>
      <c r="X107" s="157"/>
      <c r="Y107" s="57"/>
      <c r="Z107" s="57"/>
    </row>
    <row r="108">
      <c r="A108" s="218" t="s">
        <v>214</v>
      </c>
      <c r="B108" s="219">
        <v>250.0</v>
      </c>
      <c r="C108" s="220"/>
      <c r="D108" s="172"/>
      <c r="E108" s="272" t="s">
        <v>455</v>
      </c>
      <c r="F108" s="193">
        <v>210.0</v>
      </c>
      <c r="G108" s="297" t="s">
        <v>426</v>
      </c>
      <c r="H108" s="205"/>
      <c r="I108" s="151"/>
      <c r="J108" s="206" t="s">
        <v>34</v>
      </c>
      <c r="K108" s="196"/>
      <c r="L108" s="180">
        <v>27.0</v>
      </c>
      <c r="M108" s="209" t="s">
        <v>462</v>
      </c>
      <c r="O108" s="210"/>
      <c r="P108" s="156"/>
      <c r="Q108" s="57"/>
      <c r="R108" s="179"/>
      <c r="S108" s="157"/>
      <c r="T108" s="157"/>
      <c r="U108" s="157"/>
      <c r="V108" s="157"/>
      <c r="W108" s="157"/>
      <c r="X108" s="157"/>
      <c r="Y108" s="57"/>
      <c r="Z108" s="57"/>
    </row>
    <row r="109">
      <c r="A109" s="221" t="s">
        <v>272</v>
      </c>
      <c r="B109" s="222">
        <v>8287.0</v>
      </c>
      <c r="C109" s="223"/>
      <c r="D109" s="149"/>
      <c r="E109" s="272" t="s">
        <v>463</v>
      </c>
      <c r="F109" s="193">
        <v>120.0</v>
      </c>
      <c r="G109" s="200"/>
      <c r="H109" s="205"/>
      <c r="I109" s="208"/>
      <c r="J109" s="192" t="s">
        <v>216</v>
      </c>
      <c r="K109" s="196"/>
      <c r="L109" s="197"/>
      <c r="M109" s="153"/>
      <c r="N109" s="154"/>
      <c r="O109" s="210"/>
      <c r="P109" s="156"/>
      <c r="Q109" s="57"/>
      <c r="R109" s="179"/>
      <c r="S109" s="242"/>
      <c r="T109" s="242"/>
      <c r="U109" s="242"/>
      <c r="V109" s="242"/>
      <c r="W109" s="242"/>
      <c r="X109" s="242"/>
      <c r="Y109" s="148"/>
      <c r="Z109" s="148"/>
    </row>
    <row r="110">
      <c r="A110" s="224" t="s">
        <v>361</v>
      </c>
      <c r="B110" s="225">
        <v>9000.0</v>
      </c>
      <c r="C110" s="226"/>
      <c r="D110" s="149"/>
      <c r="E110" s="272" t="s">
        <v>464</v>
      </c>
      <c r="F110" s="193">
        <v>90.0</v>
      </c>
      <c r="G110" s="200"/>
      <c r="H110" s="205"/>
      <c r="I110" s="151"/>
      <c r="J110" s="206" t="s">
        <v>108</v>
      </c>
      <c r="K110" s="196"/>
      <c r="L110" s="180">
        <v>170.0</v>
      </c>
      <c r="M110" s="209"/>
      <c r="N110" s="215"/>
      <c r="O110" s="210"/>
      <c r="P110" s="156"/>
      <c r="Q110" s="57"/>
      <c r="R110" s="179"/>
      <c r="S110" s="242"/>
      <c r="T110" s="242"/>
      <c r="U110" s="242"/>
      <c r="V110" s="242"/>
      <c r="W110" s="242"/>
      <c r="X110" s="242"/>
      <c r="Y110" s="148"/>
      <c r="Z110" s="148"/>
    </row>
    <row r="111">
      <c r="A111" s="57"/>
      <c r="B111" s="105"/>
      <c r="C111" s="105"/>
      <c r="D111" s="149"/>
      <c r="E111" s="272" t="s">
        <v>465</v>
      </c>
      <c r="F111" s="193">
        <v>75.0</v>
      </c>
      <c r="G111" s="200"/>
      <c r="H111" s="205"/>
      <c r="I111" s="227"/>
      <c r="J111" s="228" t="s">
        <v>156</v>
      </c>
      <c r="K111" s="196"/>
      <c r="L111" s="180"/>
      <c r="M111" s="153"/>
      <c r="N111" s="154"/>
      <c r="O111" s="210"/>
      <c r="P111" s="156"/>
      <c r="Q111" s="57"/>
      <c r="R111" s="179"/>
      <c r="S111" s="157"/>
      <c r="T111" s="157"/>
      <c r="U111" s="157"/>
      <c r="V111" s="157"/>
      <c r="W111" s="157"/>
      <c r="X111" s="157"/>
      <c r="Y111" s="57"/>
      <c r="Z111" s="57"/>
    </row>
    <row r="112">
      <c r="A112" s="57"/>
      <c r="B112" s="105"/>
      <c r="C112" s="105"/>
      <c r="D112" s="149"/>
      <c r="E112" s="272" t="s">
        <v>408</v>
      </c>
      <c r="F112" s="193">
        <v>15.0</v>
      </c>
      <c r="G112" s="200"/>
      <c r="H112" s="205"/>
      <c r="I112" s="201"/>
      <c r="J112" s="202" t="s">
        <v>217</v>
      </c>
      <c r="K112" s="196"/>
      <c r="L112" s="180"/>
      <c r="M112" s="153"/>
      <c r="N112" s="154"/>
      <c r="O112" s="210"/>
      <c r="P112" s="156"/>
      <c r="Q112" s="57"/>
      <c r="R112" s="179"/>
      <c r="S112" s="157"/>
      <c r="T112" s="157"/>
      <c r="U112" s="157"/>
      <c r="V112" s="157"/>
      <c r="W112" s="157"/>
      <c r="X112" s="157"/>
      <c r="Y112" s="57"/>
      <c r="Z112" s="57"/>
    </row>
    <row r="113">
      <c r="A113" s="229" t="s">
        <v>365</v>
      </c>
      <c r="B113" s="230">
        <f>SUM(C114,C115,C116,C117,C118,C119,C120,C121,C122,C123)</f>
        <v>200</v>
      </c>
      <c r="C113" s="231" t="s">
        <v>366</v>
      </c>
      <c r="D113" s="149"/>
      <c r="E113" s="272" t="s">
        <v>378</v>
      </c>
      <c r="F113" s="193">
        <v>120.0</v>
      </c>
      <c r="G113" s="200"/>
      <c r="H113" s="205"/>
      <c r="I113" s="208"/>
      <c r="J113" s="192" t="s">
        <v>368</v>
      </c>
      <c r="K113" s="196"/>
      <c r="L113" s="197"/>
      <c r="M113" s="153"/>
      <c r="N113" s="154"/>
      <c r="O113" s="210"/>
      <c r="P113" s="156"/>
      <c r="Q113" s="57"/>
      <c r="R113" s="179"/>
      <c r="S113" s="157"/>
      <c r="T113" s="157"/>
      <c r="U113" s="157"/>
      <c r="V113" s="157"/>
      <c r="W113" s="157"/>
      <c r="X113" s="157"/>
      <c r="Y113" s="57"/>
      <c r="Z113" s="57"/>
    </row>
    <row r="114">
      <c r="A114" s="232" t="s">
        <v>369</v>
      </c>
      <c r="C114" s="233">
        <v>200.0</v>
      </c>
      <c r="D114" s="234" t="s">
        <v>466</v>
      </c>
      <c r="E114" s="272" t="s">
        <v>467</v>
      </c>
      <c r="F114" s="193">
        <v>1160.0</v>
      </c>
      <c r="G114" s="297" t="s">
        <v>426</v>
      </c>
      <c r="H114" s="205"/>
      <c r="I114" s="151"/>
      <c r="J114" s="206" t="s">
        <v>131</v>
      </c>
      <c r="K114" s="196"/>
      <c r="L114" s="180">
        <v>66.0</v>
      </c>
      <c r="M114" s="209" t="s">
        <v>468</v>
      </c>
      <c r="N114" s="215"/>
      <c r="O114" s="210"/>
      <c r="P114" s="156"/>
      <c r="Q114" s="57"/>
      <c r="R114" s="179"/>
      <c r="S114" s="157"/>
      <c r="T114" s="157"/>
      <c r="U114" s="157"/>
      <c r="V114" s="157"/>
      <c r="W114" s="157"/>
      <c r="X114" s="157"/>
      <c r="Y114" s="57"/>
      <c r="Z114" s="57"/>
    </row>
    <row r="115">
      <c r="C115" s="233"/>
      <c r="D115" s="149"/>
      <c r="E115" s="272" t="s">
        <v>410</v>
      </c>
      <c r="F115" s="193">
        <v>250.0</v>
      </c>
      <c r="G115" s="200"/>
      <c r="H115" s="205"/>
      <c r="I115" s="151"/>
      <c r="J115" s="206" t="s">
        <v>18</v>
      </c>
      <c r="K115" s="196"/>
      <c r="L115" s="180">
        <v>643.0</v>
      </c>
      <c r="M115" s="209"/>
      <c r="O115" s="210"/>
      <c r="P115" s="156"/>
      <c r="Q115" s="57"/>
      <c r="R115" s="179"/>
      <c r="S115" s="157"/>
      <c r="T115" s="157"/>
      <c r="U115" s="157"/>
      <c r="V115" s="157"/>
      <c r="W115" s="157"/>
      <c r="X115" s="157"/>
      <c r="Y115" s="57"/>
      <c r="Z115" s="57"/>
    </row>
    <row r="116">
      <c r="A116" s="57"/>
      <c r="B116" s="105"/>
      <c r="C116" s="235"/>
      <c r="D116" s="149"/>
      <c r="E116" s="272" t="s">
        <v>422</v>
      </c>
      <c r="F116" s="193">
        <v>80.0</v>
      </c>
      <c r="G116" s="297" t="s">
        <v>426</v>
      </c>
      <c r="H116" s="205"/>
      <c r="I116" s="201"/>
      <c r="J116" s="202" t="s">
        <v>377</v>
      </c>
      <c r="K116" s="196"/>
      <c r="L116" s="197"/>
      <c r="M116" s="153"/>
      <c r="N116" s="154"/>
      <c r="O116" s="236"/>
      <c r="P116" s="156"/>
      <c r="Q116" s="57"/>
      <c r="R116" s="179"/>
      <c r="S116" s="157"/>
      <c r="T116" s="157"/>
      <c r="U116" s="157"/>
      <c r="V116" s="157"/>
      <c r="W116" s="157"/>
      <c r="X116" s="157"/>
      <c r="Y116" s="57"/>
      <c r="Z116" s="57"/>
    </row>
    <row r="117">
      <c r="A117" s="298" t="s">
        <v>469</v>
      </c>
      <c r="B117" s="105"/>
      <c r="C117" s="235"/>
      <c r="D117" s="149"/>
      <c r="E117" s="272" t="s">
        <v>448</v>
      </c>
      <c r="F117" s="193">
        <v>400.0</v>
      </c>
      <c r="G117" s="200"/>
      <c r="H117" s="205"/>
      <c r="I117" s="208"/>
      <c r="J117" s="192" t="s">
        <v>418</v>
      </c>
      <c r="K117" s="196"/>
      <c r="L117" s="180"/>
      <c r="M117" s="153"/>
      <c r="N117" s="154"/>
      <c r="O117" s="236"/>
      <c r="P117" s="156"/>
      <c r="Q117" s="57"/>
      <c r="R117" s="179"/>
      <c r="S117" s="157"/>
      <c r="T117" s="157"/>
      <c r="U117" s="157"/>
      <c r="V117" s="157"/>
      <c r="W117" s="157"/>
      <c r="X117" s="157"/>
      <c r="Y117" s="57"/>
      <c r="Z117" s="57"/>
    </row>
    <row r="118">
      <c r="B118" s="105"/>
      <c r="C118" s="235"/>
      <c r="D118" s="149"/>
      <c r="E118" s="299" t="s">
        <v>470</v>
      </c>
      <c r="F118" s="193">
        <v>100.0</v>
      </c>
      <c r="G118" s="200"/>
      <c r="H118" s="205"/>
      <c r="I118" s="208"/>
      <c r="J118" s="192" t="s">
        <v>381</v>
      </c>
      <c r="K118" s="196"/>
      <c r="L118" s="180">
        <v>1055.0</v>
      </c>
      <c r="M118" s="209"/>
      <c r="N118" s="215"/>
      <c r="O118" s="210"/>
      <c r="P118" s="156"/>
      <c r="Q118" s="57"/>
      <c r="R118" s="179"/>
      <c r="S118" s="157"/>
      <c r="T118" s="157"/>
      <c r="U118" s="157"/>
      <c r="V118" s="157"/>
      <c r="W118" s="157"/>
      <c r="X118" s="157"/>
      <c r="Y118" s="57"/>
      <c r="Z118" s="57"/>
    </row>
    <row r="119">
      <c r="A119" s="57"/>
      <c r="B119" s="105"/>
      <c r="C119" s="235"/>
      <c r="D119" s="149"/>
      <c r="E119" s="272" t="s">
        <v>433</v>
      </c>
      <c r="F119" s="193">
        <v>60.0</v>
      </c>
      <c r="G119" s="200"/>
      <c r="H119" s="205"/>
      <c r="I119" s="208"/>
      <c r="J119" s="192" t="s">
        <v>383</v>
      </c>
      <c r="K119" s="237"/>
      <c r="L119" s="180">
        <v>805.0</v>
      </c>
      <c r="M119" s="209"/>
      <c r="N119" s="215"/>
      <c r="O119" s="210"/>
      <c r="P119" s="156"/>
      <c r="Q119" s="57"/>
      <c r="R119" s="179"/>
      <c r="S119" s="157"/>
      <c r="T119" s="157"/>
      <c r="U119" s="157"/>
      <c r="V119" s="157"/>
      <c r="W119" s="157"/>
      <c r="X119" s="157"/>
      <c r="Y119" s="57"/>
      <c r="Z119" s="57"/>
    </row>
    <row r="120">
      <c r="A120" s="238"/>
      <c r="B120" s="105"/>
      <c r="C120" s="235"/>
      <c r="D120" s="149"/>
      <c r="E120" s="300" t="s">
        <v>471</v>
      </c>
      <c r="F120" s="193">
        <v>150.0</v>
      </c>
      <c r="G120" s="200"/>
      <c r="H120" s="205"/>
      <c r="I120" s="208"/>
      <c r="J120" s="192" t="s">
        <v>202</v>
      </c>
      <c r="K120" s="237"/>
      <c r="L120" s="180">
        <v>90.0</v>
      </c>
      <c r="M120" s="209" t="s">
        <v>385</v>
      </c>
      <c r="N120" s="154"/>
      <c r="O120" s="210"/>
      <c r="P120" s="156"/>
      <c r="Q120" s="57"/>
      <c r="R120" s="179"/>
      <c r="S120" s="157"/>
      <c r="T120" s="157"/>
      <c r="U120" s="157"/>
      <c r="V120" s="157"/>
      <c r="W120" s="157"/>
      <c r="X120" s="157"/>
      <c r="Y120" s="57"/>
      <c r="Z120" s="57"/>
    </row>
    <row r="121">
      <c r="A121" s="239"/>
      <c r="B121" s="105"/>
      <c r="C121" s="235"/>
      <c r="D121" s="149"/>
      <c r="E121" s="272" t="s">
        <v>472</v>
      </c>
      <c r="F121" s="193">
        <v>80.0</v>
      </c>
      <c r="G121" s="200"/>
      <c r="H121" s="205"/>
      <c r="I121" s="208"/>
      <c r="J121" s="192" t="s">
        <v>274</v>
      </c>
      <c r="K121" s="196"/>
      <c r="L121" s="197"/>
      <c r="M121" s="153"/>
      <c r="N121" s="215"/>
      <c r="O121" s="210"/>
      <c r="P121" s="240"/>
      <c r="Q121" s="148"/>
      <c r="R121" s="241"/>
      <c r="S121" s="157"/>
      <c r="T121" s="157"/>
      <c r="U121" s="157"/>
      <c r="V121" s="157"/>
      <c r="W121" s="157"/>
      <c r="X121" s="157"/>
      <c r="Y121" s="57"/>
      <c r="Z121" s="57"/>
    </row>
    <row r="122">
      <c r="A122" s="148"/>
      <c r="B122" s="243"/>
      <c r="C122" s="244"/>
      <c r="D122" s="245"/>
      <c r="E122" s="275" t="s">
        <v>473</v>
      </c>
      <c r="F122" s="247">
        <v>80.0</v>
      </c>
      <c r="G122" s="248"/>
      <c r="H122" s="249"/>
      <c r="I122" s="208"/>
      <c r="J122" s="192" t="s">
        <v>220</v>
      </c>
      <c r="K122" s="196"/>
      <c r="L122" s="180"/>
      <c r="M122" s="209"/>
      <c r="N122" s="250"/>
      <c r="O122" s="236"/>
      <c r="P122" s="240"/>
      <c r="Q122" s="148"/>
      <c r="R122" s="241"/>
      <c r="S122" s="157"/>
      <c r="T122" s="157"/>
      <c r="U122" s="157"/>
      <c r="V122" s="157"/>
      <c r="W122" s="157"/>
      <c r="X122" s="157"/>
      <c r="Y122" s="57"/>
      <c r="Z122" s="57"/>
    </row>
    <row r="123">
      <c r="A123" s="148"/>
      <c r="B123" s="243"/>
      <c r="C123" s="244"/>
      <c r="D123" s="245"/>
      <c r="E123" s="275" t="s">
        <v>474</v>
      </c>
      <c r="F123" s="247">
        <v>100.0</v>
      </c>
      <c r="G123" s="248"/>
      <c r="H123" s="249"/>
      <c r="I123" s="251"/>
      <c r="J123" s="192" t="s">
        <v>30</v>
      </c>
      <c r="K123" s="196"/>
      <c r="L123" s="180"/>
      <c r="M123" s="295" t="s">
        <v>475</v>
      </c>
      <c r="N123" s="250"/>
      <c r="O123" s="253"/>
      <c r="P123" s="156"/>
      <c r="Q123" s="57"/>
      <c r="R123" s="179"/>
      <c r="S123" s="157"/>
      <c r="T123" s="157"/>
      <c r="U123" s="157"/>
      <c r="V123" s="157"/>
      <c r="W123" s="157"/>
      <c r="X123" s="157"/>
      <c r="Y123" s="57"/>
      <c r="Z123" s="57"/>
    </row>
    <row r="124">
      <c r="A124" s="148"/>
      <c r="B124" s="243"/>
      <c r="C124" s="243"/>
      <c r="D124" s="245"/>
      <c r="E124" s="275" t="s">
        <v>425</v>
      </c>
      <c r="F124" s="247">
        <v>350.0</v>
      </c>
      <c r="G124" s="301" t="s">
        <v>426</v>
      </c>
      <c r="H124" s="249"/>
      <c r="I124" s="251"/>
      <c r="J124" s="192" t="s">
        <v>225</v>
      </c>
      <c r="K124" s="196"/>
      <c r="L124" s="254"/>
      <c r="M124" s="252"/>
      <c r="N124" s="250"/>
      <c r="O124" s="155"/>
      <c r="P124" s="156"/>
      <c r="Q124" s="57"/>
      <c r="R124" s="179"/>
      <c r="S124" s="157"/>
      <c r="T124" s="157"/>
      <c r="U124" s="157"/>
      <c r="V124" s="157"/>
      <c r="W124" s="157"/>
      <c r="X124" s="157"/>
      <c r="Y124" s="57"/>
      <c r="Z124" s="57"/>
    </row>
    <row r="125">
      <c r="A125" s="148"/>
      <c r="B125" s="243"/>
      <c r="C125" s="243"/>
      <c r="D125" s="245"/>
      <c r="E125" s="275" t="s">
        <v>476</v>
      </c>
      <c r="F125" s="247">
        <v>50.0</v>
      </c>
      <c r="G125" s="248"/>
      <c r="H125" s="249"/>
      <c r="I125" s="251"/>
      <c r="J125" s="251"/>
      <c r="K125" s="148"/>
      <c r="L125" s="254"/>
      <c r="M125" s="252"/>
      <c r="N125" s="250"/>
      <c r="O125" s="155"/>
      <c r="P125" s="156"/>
      <c r="Q125" s="57"/>
      <c r="R125" s="179"/>
      <c r="S125" s="157"/>
      <c r="T125" s="157"/>
      <c r="U125" s="157"/>
      <c r="V125" s="157"/>
      <c r="W125" s="157"/>
      <c r="X125" s="157"/>
      <c r="Y125" s="57"/>
      <c r="Z125" s="57"/>
    </row>
    <row r="126">
      <c r="A126" s="148"/>
      <c r="B126" s="243"/>
      <c r="C126" s="243"/>
      <c r="D126" s="245"/>
      <c r="E126" s="275" t="s">
        <v>472</v>
      </c>
      <c r="F126" s="247">
        <v>45.0</v>
      </c>
      <c r="G126" s="248"/>
      <c r="H126" s="249"/>
      <c r="I126" s="251"/>
      <c r="J126" s="251"/>
      <c r="K126" s="148"/>
      <c r="L126" s="254"/>
      <c r="M126" s="252"/>
      <c r="N126" s="250"/>
      <c r="O126" s="155"/>
      <c r="P126" s="156"/>
      <c r="Q126" s="57"/>
      <c r="R126" s="179"/>
      <c r="S126" s="157"/>
      <c r="T126" s="157"/>
      <c r="U126" s="157"/>
      <c r="V126" s="157"/>
      <c r="W126" s="157"/>
      <c r="X126" s="157"/>
      <c r="Y126" s="57"/>
      <c r="Z126" s="57"/>
    </row>
    <row r="127">
      <c r="A127" s="148"/>
      <c r="B127" s="243"/>
      <c r="C127" s="243"/>
      <c r="D127" s="245"/>
      <c r="E127" s="275" t="s">
        <v>456</v>
      </c>
      <c r="F127" s="247">
        <v>80.0</v>
      </c>
      <c r="G127" s="301" t="s">
        <v>426</v>
      </c>
      <c r="H127" s="249"/>
      <c r="I127" s="251"/>
      <c r="J127" s="251"/>
      <c r="K127" s="148"/>
      <c r="L127" s="254"/>
      <c r="M127" s="252"/>
      <c r="N127" s="250"/>
      <c r="O127" s="155"/>
      <c r="P127" s="156"/>
      <c r="Q127" s="57"/>
      <c r="R127" s="179"/>
      <c r="S127" s="157"/>
      <c r="T127" s="157"/>
      <c r="U127" s="157"/>
      <c r="V127" s="157"/>
      <c r="W127" s="157"/>
      <c r="X127" s="157"/>
      <c r="Y127" s="57"/>
      <c r="Z127" s="57"/>
    </row>
    <row r="128">
      <c r="A128" s="148"/>
      <c r="B128" s="243"/>
      <c r="C128" s="243"/>
      <c r="D128" s="245"/>
      <c r="E128" s="275"/>
      <c r="F128" s="247"/>
      <c r="G128" s="257"/>
      <c r="H128" s="257"/>
      <c r="I128" s="251"/>
      <c r="J128" s="251"/>
      <c r="K128" s="148"/>
      <c r="L128" s="254"/>
      <c r="M128" s="252"/>
      <c r="N128" s="250"/>
      <c r="O128" s="155"/>
      <c r="P128" s="156"/>
      <c r="Q128" s="57"/>
      <c r="R128" s="57"/>
      <c r="S128" s="157"/>
      <c r="T128" s="157"/>
      <c r="U128" s="157"/>
      <c r="V128" s="157"/>
      <c r="W128" s="157"/>
      <c r="X128" s="157"/>
      <c r="Y128" s="57"/>
      <c r="Z128" s="57"/>
    </row>
    <row r="129">
      <c r="A129" s="147"/>
      <c r="B129" s="57"/>
      <c r="C129" s="148"/>
      <c r="D129" s="149"/>
      <c r="E129" s="302"/>
      <c r="F129" s="150"/>
      <c r="G129" s="57"/>
      <c r="H129" s="57"/>
      <c r="I129" s="151"/>
      <c r="J129" s="151"/>
      <c r="K129" s="57"/>
      <c r="L129" s="152"/>
      <c r="M129" s="153"/>
      <c r="N129" s="154"/>
      <c r="O129" s="155"/>
      <c r="P129" s="156"/>
      <c r="Q129" s="57"/>
      <c r="R129" s="57"/>
      <c r="S129" s="157"/>
      <c r="T129" s="157"/>
      <c r="U129" s="157"/>
      <c r="V129" s="157"/>
      <c r="W129" s="157"/>
      <c r="X129" s="157"/>
      <c r="Y129" s="57"/>
      <c r="Z129" s="57"/>
    </row>
    <row r="130">
      <c r="A130" s="158"/>
      <c r="B130" s="159"/>
      <c r="C130" s="160"/>
      <c r="D130" s="161"/>
      <c r="E130" s="303"/>
      <c r="F130" s="162"/>
      <c r="G130" s="57"/>
      <c r="H130" s="57"/>
      <c r="I130" s="151"/>
      <c r="J130" s="163"/>
      <c r="K130" s="159"/>
      <c r="L130" s="164"/>
      <c r="M130" s="165"/>
      <c r="N130" s="166"/>
      <c r="O130" s="167"/>
      <c r="P130" s="168"/>
      <c r="Q130" s="159"/>
      <c r="R130" s="57"/>
      <c r="S130" s="157"/>
      <c r="T130" s="157"/>
      <c r="U130" s="157"/>
      <c r="V130" s="157"/>
      <c r="W130" s="157"/>
      <c r="X130" s="157"/>
      <c r="Y130" s="57"/>
      <c r="Z130" s="57"/>
    </row>
    <row r="131">
      <c r="A131" s="169" t="s">
        <v>117</v>
      </c>
      <c r="B131" s="170"/>
      <c r="C131" s="171"/>
      <c r="D131" s="172"/>
      <c r="E131" s="173"/>
      <c r="F131" s="174"/>
      <c r="G131" s="175" t="s">
        <v>333</v>
      </c>
      <c r="H131" s="176"/>
      <c r="I131" s="177"/>
      <c r="J131" s="151"/>
      <c r="K131" s="57"/>
      <c r="L131" s="152"/>
      <c r="M131" s="153"/>
      <c r="N131" s="154"/>
      <c r="O131" s="178" t="s">
        <v>334</v>
      </c>
      <c r="P131" s="156"/>
      <c r="Q131" s="57"/>
      <c r="R131" s="179"/>
      <c r="S131" s="157"/>
      <c r="T131" s="157"/>
      <c r="U131" s="157"/>
      <c r="V131" s="157"/>
      <c r="W131" s="157"/>
      <c r="X131" s="157"/>
      <c r="Y131" s="57"/>
      <c r="Z131" s="57"/>
    </row>
    <row r="132">
      <c r="A132" s="182"/>
      <c r="B132" s="105"/>
      <c r="C132" s="183"/>
      <c r="D132" s="172"/>
      <c r="E132" s="184" t="s">
        <v>335</v>
      </c>
      <c r="F132" s="180" t="s">
        <v>237</v>
      </c>
      <c r="G132" s="185" t="s">
        <v>336</v>
      </c>
      <c r="H132" s="186" t="s">
        <v>337</v>
      </c>
      <c r="I132" s="104"/>
      <c r="J132" s="104" t="s">
        <v>0</v>
      </c>
      <c r="K132" s="57"/>
      <c r="L132" s="152"/>
      <c r="M132" s="187" t="s">
        <v>338</v>
      </c>
      <c r="O132" s="188" t="s">
        <v>477</v>
      </c>
      <c r="P132" s="189">
        <v>800.0</v>
      </c>
      <c r="Q132" s="57"/>
      <c r="R132" s="179"/>
      <c r="S132" s="157"/>
      <c r="T132" s="157"/>
      <c r="U132" s="157"/>
      <c r="V132" s="157"/>
      <c r="W132" s="157"/>
      <c r="X132" s="157"/>
      <c r="Y132" s="57"/>
      <c r="Z132" s="57"/>
    </row>
    <row r="133">
      <c r="A133" s="190" t="s">
        <v>179</v>
      </c>
      <c r="C133" s="191">
        <f>SUM(F133:F160)</f>
        <v>8349</v>
      </c>
      <c r="D133" s="172"/>
      <c r="E133" s="272" t="s">
        <v>433</v>
      </c>
      <c r="F133" s="193">
        <v>200.0</v>
      </c>
      <c r="G133" s="194"/>
      <c r="H133" s="195"/>
      <c r="I133" s="151"/>
      <c r="J133" s="192" t="s">
        <v>341</v>
      </c>
      <c r="K133" s="196"/>
      <c r="L133" s="197"/>
      <c r="M133" s="153"/>
      <c r="N133" s="154"/>
      <c r="O133" s="188"/>
      <c r="P133" s="189"/>
      <c r="Q133" s="57"/>
      <c r="R133" s="179"/>
      <c r="S133" s="157"/>
      <c r="T133" s="157"/>
      <c r="U133" s="157"/>
      <c r="V133" s="157"/>
      <c r="W133" s="157"/>
      <c r="X133" s="157"/>
      <c r="Y133" s="57"/>
      <c r="Z133" s="57"/>
    </row>
    <row r="134">
      <c r="A134" s="198" t="s">
        <v>343</v>
      </c>
      <c r="B134" s="199" t="s">
        <v>321</v>
      </c>
      <c r="C134" s="191">
        <f>SUM(P132:P154)</f>
        <v>800</v>
      </c>
      <c r="D134" s="149"/>
      <c r="E134" s="272" t="s">
        <v>478</v>
      </c>
      <c r="F134" s="193">
        <v>540.0</v>
      </c>
      <c r="G134" s="304" t="s">
        <v>426</v>
      </c>
      <c r="H134" s="205"/>
      <c r="I134" s="201"/>
      <c r="J134" s="202" t="s">
        <v>345</v>
      </c>
      <c r="K134" s="196"/>
      <c r="L134" s="197"/>
      <c r="M134" s="153"/>
      <c r="N134" s="154"/>
      <c r="O134" s="210"/>
      <c r="P134" s="156"/>
      <c r="Q134" s="57"/>
      <c r="R134" s="179"/>
      <c r="S134" s="157"/>
      <c r="T134" s="157"/>
      <c r="U134" s="157"/>
      <c r="V134" s="157"/>
      <c r="W134" s="157"/>
      <c r="X134" s="157"/>
      <c r="Y134" s="57"/>
      <c r="Z134" s="57"/>
    </row>
    <row r="135">
      <c r="A135" s="203" t="s">
        <v>201</v>
      </c>
      <c r="C135" s="204">
        <f>SUM(L133:L156)</f>
        <v>6374</v>
      </c>
      <c r="D135" s="149"/>
      <c r="E135" s="272" t="s">
        <v>457</v>
      </c>
      <c r="F135" s="193">
        <v>180.0</v>
      </c>
      <c r="G135" s="200"/>
      <c r="H135" s="205"/>
      <c r="I135" s="151"/>
      <c r="J135" s="206" t="s">
        <v>6</v>
      </c>
      <c r="K135" s="196"/>
      <c r="L135" s="197"/>
      <c r="M135" s="153"/>
      <c r="N135" s="154"/>
      <c r="O135" s="210"/>
      <c r="P135" s="156"/>
      <c r="Q135" s="57"/>
      <c r="R135" s="179"/>
      <c r="S135" s="157"/>
      <c r="T135" s="157"/>
      <c r="U135" s="157"/>
      <c r="V135" s="157"/>
      <c r="W135" s="157"/>
      <c r="X135" s="157"/>
      <c r="Y135" s="57"/>
      <c r="Z135" s="57"/>
    </row>
    <row r="136">
      <c r="A136" s="207"/>
      <c r="B136" s="105"/>
      <c r="C136" s="204"/>
      <c r="D136" s="149"/>
      <c r="E136" s="272" t="s">
        <v>479</v>
      </c>
      <c r="F136" s="193">
        <v>135.0</v>
      </c>
      <c r="G136" s="200"/>
      <c r="H136" s="205"/>
      <c r="I136" s="208"/>
      <c r="J136" s="192" t="s">
        <v>7</v>
      </c>
      <c r="K136" s="196"/>
      <c r="L136" s="180">
        <v>180.0</v>
      </c>
      <c r="M136" s="209" t="s">
        <v>480</v>
      </c>
      <c r="N136" s="154"/>
      <c r="O136" s="210"/>
      <c r="P136" s="189"/>
      <c r="Q136" s="57"/>
      <c r="R136" s="179"/>
      <c r="S136" s="157"/>
      <c r="T136" s="157"/>
      <c r="U136" s="157"/>
      <c r="V136" s="157"/>
      <c r="W136" s="157"/>
      <c r="X136" s="157"/>
      <c r="Y136" s="57"/>
      <c r="Z136" s="57"/>
    </row>
    <row r="137">
      <c r="A137" s="211" t="s">
        <v>350</v>
      </c>
      <c r="C137" s="212">
        <f>C133-C135-B139-B145</f>
        <v>1455</v>
      </c>
      <c r="D137" s="149"/>
      <c r="E137" s="272" t="s">
        <v>481</v>
      </c>
      <c r="F137" s="193">
        <v>2500.0</v>
      </c>
      <c r="G137" s="200"/>
      <c r="H137" s="205"/>
      <c r="I137" s="201"/>
      <c r="J137" s="202" t="s">
        <v>210</v>
      </c>
      <c r="K137" s="196"/>
      <c r="L137" s="197"/>
      <c r="M137" s="153"/>
      <c r="N137" s="154"/>
      <c r="O137" s="210"/>
      <c r="P137" s="189"/>
      <c r="Q137" s="57"/>
      <c r="R137" s="179"/>
      <c r="S137" s="157"/>
      <c r="T137" s="157"/>
      <c r="U137" s="157"/>
      <c r="V137" s="157"/>
      <c r="W137" s="157"/>
      <c r="X137" s="157"/>
      <c r="Y137" s="57"/>
      <c r="Z137" s="57"/>
    </row>
    <row r="138">
      <c r="A138" s="213"/>
      <c r="C138" s="214"/>
      <c r="D138" s="149"/>
      <c r="E138" s="272" t="s">
        <v>448</v>
      </c>
      <c r="F138" s="193">
        <v>400.0</v>
      </c>
      <c r="G138" s="200"/>
      <c r="H138" s="205"/>
      <c r="I138" s="201"/>
      <c r="J138" s="202" t="s">
        <v>354</v>
      </c>
      <c r="K138" s="196"/>
      <c r="L138" s="180">
        <v>80.0</v>
      </c>
      <c r="M138" s="209" t="s">
        <v>461</v>
      </c>
      <c r="O138" s="210"/>
      <c r="P138" s="189"/>
      <c r="Q138" s="57"/>
      <c r="R138" s="179"/>
      <c r="S138" s="242"/>
      <c r="T138" s="242"/>
      <c r="U138" s="242"/>
      <c r="V138" s="242"/>
      <c r="W138" s="242"/>
      <c r="X138" s="242"/>
      <c r="Y138" s="148"/>
      <c r="Z138" s="148"/>
    </row>
    <row r="139">
      <c r="A139" s="216" t="s">
        <v>356</v>
      </c>
      <c r="B139" s="217">
        <v>320.0</v>
      </c>
      <c r="C139" s="183"/>
      <c r="D139" s="149"/>
      <c r="E139" s="272" t="s">
        <v>390</v>
      </c>
      <c r="F139" s="193">
        <v>50.0</v>
      </c>
      <c r="G139" s="200"/>
      <c r="H139" s="205"/>
      <c r="I139" s="208"/>
      <c r="J139" s="192" t="s">
        <v>358</v>
      </c>
      <c r="K139" s="196"/>
      <c r="L139" s="180"/>
      <c r="M139" s="153"/>
      <c r="N139" s="154"/>
      <c r="O139" s="210"/>
      <c r="P139" s="156"/>
      <c r="Q139" s="57"/>
      <c r="R139" s="179"/>
      <c r="S139" s="242"/>
      <c r="T139" s="242"/>
      <c r="U139" s="242"/>
      <c r="V139" s="242"/>
      <c r="W139" s="242"/>
      <c r="X139" s="242"/>
      <c r="Y139" s="148"/>
      <c r="Z139" s="148"/>
    </row>
    <row r="140">
      <c r="A140" s="218" t="s">
        <v>214</v>
      </c>
      <c r="B140" s="219">
        <v>600.0</v>
      </c>
      <c r="C140" s="220"/>
      <c r="D140" s="172"/>
      <c r="E140" s="272" t="s">
        <v>434</v>
      </c>
      <c r="F140" s="193">
        <v>160.0</v>
      </c>
      <c r="G140" s="200"/>
      <c r="H140" s="205"/>
      <c r="I140" s="151"/>
      <c r="J140" s="206" t="s">
        <v>34</v>
      </c>
      <c r="K140" s="196"/>
      <c r="L140" s="180">
        <v>27.0</v>
      </c>
      <c r="M140" s="153"/>
      <c r="N140" s="154"/>
      <c r="O140" s="210"/>
      <c r="P140" s="156"/>
      <c r="Q140" s="57"/>
      <c r="R140" s="179"/>
      <c r="S140" s="157"/>
      <c r="T140" s="157"/>
      <c r="U140" s="157"/>
      <c r="V140" s="157"/>
      <c r="W140" s="157"/>
      <c r="X140" s="157"/>
      <c r="Y140" s="57"/>
      <c r="Z140" s="57"/>
    </row>
    <row r="141">
      <c r="A141" s="221" t="s">
        <v>272</v>
      </c>
      <c r="B141" s="222">
        <v>5670.0</v>
      </c>
      <c r="C141" s="223"/>
      <c r="D141" s="149"/>
      <c r="E141" s="272" t="s">
        <v>465</v>
      </c>
      <c r="F141" s="193">
        <v>75.0</v>
      </c>
      <c r="G141" s="200"/>
      <c r="H141" s="205"/>
      <c r="I141" s="208"/>
      <c r="J141" s="192" t="s">
        <v>216</v>
      </c>
      <c r="K141" s="196"/>
      <c r="L141" s="197"/>
      <c r="M141" s="153"/>
      <c r="N141" s="154"/>
      <c r="O141" s="210"/>
      <c r="P141" s="156"/>
      <c r="Q141" s="57"/>
      <c r="R141" s="179"/>
      <c r="S141" s="157"/>
      <c r="T141" s="157"/>
      <c r="U141" s="157"/>
      <c r="V141" s="157"/>
      <c r="W141" s="157"/>
      <c r="X141" s="157"/>
      <c r="Y141" s="57"/>
      <c r="Z141" s="57"/>
    </row>
    <row r="142">
      <c r="A142" s="224" t="s">
        <v>361</v>
      </c>
      <c r="B142" s="225">
        <v>11500.0</v>
      </c>
      <c r="C142" s="226"/>
      <c r="D142" s="149"/>
      <c r="E142" s="272" t="s">
        <v>464</v>
      </c>
      <c r="F142" s="193">
        <v>50.0</v>
      </c>
      <c r="G142" s="200"/>
      <c r="H142" s="205"/>
      <c r="I142" s="151"/>
      <c r="J142" s="206" t="s">
        <v>108</v>
      </c>
      <c r="K142" s="196"/>
      <c r="L142" s="180">
        <v>120.0</v>
      </c>
      <c r="M142" s="209"/>
      <c r="N142" s="215"/>
      <c r="O142" s="210"/>
      <c r="P142" s="156"/>
      <c r="Q142" s="57"/>
      <c r="R142" s="179"/>
      <c r="S142" s="157"/>
      <c r="T142" s="157"/>
      <c r="U142" s="157"/>
      <c r="V142" s="157"/>
      <c r="W142" s="157"/>
      <c r="X142" s="157"/>
      <c r="Y142" s="57"/>
      <c r="Z142" s="57"/>
    </row>
    <row r="143">
      <c r="A143" s="57"/>
      <c r="B143" s="105"/>
      <c r="C143" s="105"/>
      <c r="D143" s="149"/>
      <c r="E143" s="272" t="s">
        <v>482</v>
      </c>
      <c r="F143" s="193">
        <v>360.0</v>
      </c>
      <c r="G143" s="200"/>
      <c r="H143" s="205"/>
      <c r="I143" s="227"/>
      <c r="J143" s="228" t="s">
        <v>156</v>
      </c>
      <c r="K143" s="196"/>
      <c r="L143" s="180">
        <v>500.0</v>
      </c>
      <c r="M143" s="153"/>
      <c r="N143" s="154"/>
      <c r="O143" s="210"/>
      <c r="P143" s="156"/>
      <c r="Q143" s="57"/>
      <c r="R143" s="179"/>
      <c r="S143" s="157"/>
      <c r="T143" s="157"/>
      <c r="U143" s="157"/>
      <c r="V143" s="157"/>
      <c r="W143" s="157"/>
      <c r="X143" s="157"/>
      <c r="Y143" s="57"/>
      <c r="Z143" s="57"/>
    </row>
    <row r="144">
      <c r="A144" s="57"/>
      <c r="B144" s="105"/>
      <c r="C144" s="105"/>
      <c r="D144" s="149"/>
      <c r="E144" s="272" t="s">
        <v>483</v>
      </c>
      <c r="F144" s="193">
        <v>120.0</v>
      </c>
      <c r="G144" s="200"/>
      <c r="H144" s="205"/>
      <c r="I144" s="201"/>
      <c r="J144" s="202" t="s">
        <v>217</v>
      </c>
      <c r="K144" s="196"/>
      <c r="L144" s="180"/>
      <c r="M144" s="153"/>
      <c r="N144" s="154"/>
      <c r="O144" s="210"/>
      <c r="P144" s="156"/>
      <c r="Q144" s="57"/>
      <c r="R144" s="179"/>
      <c r="S144" s="157"/>
      <c r="T144" s="157"/>
      <c r="U144" s="157"/>
      <c r="V144" s="157"/>
      <c r="W144" s="157"/>
      <c r="X144" s="157"/>
      <c r="Y144" s="57"/>
      <c r="Z144" s="57"/>
    </row>
    <row r="145">
      <c r="A145" s="229" t="s">
        <v>365</v>
      </c>
      <c r="B145" s="230">
        <f>SUM(C146,C147,C148,C149,C150,C151,C152,C153,C154,C155)</f>
        <v>200</v>
      </c>
      <c r="C145" s="231" t="s">
        <v>366</v>
      </c>
      <c r="D145" s="149"/>
      <c r="E145" s="272" t="s">
        <v>484</v>
      </c>
      <c r="F145" s="193">
        <v>800.0</v>
      </c>
      <c r="G145" s="297" t="s">
        <v>426</v>
      </c>
      <c r="H145" s="205"/>
      <c r="I145" s="208"/>
      <c r="J145" s="192" t="s">
        <v>368</v>
      </c>
      <c r="K145" s="196"/>
      <c r="L145" s="197"/>
      <c r="M145" s="153"/>
      <c r="N145" s="154"/>
      <c r="O145" s="210"/>
      <c r="P145" s="156"/>
      <c r="Q145" s="57"/>
      <c r="R145" s="179"/>
      <c r="S145" s="157"/>
      <c r="T145" s="157"/>
      <c r="U145" s="157"/>
      <c r="V145" s="157"/>
      <c r="W145" s="157"/>
      <c r="X145" s="157"/>
      <c r="Y145" s="57"/>
      <c r="Z145" s="57"/>
    </row>
    <row r="146">
      <c r="A146" s="232" t="s">
        <v>369</v>
      </c>
      <c r="C146" s="233">
        <v>200.0</v>
      </c>
      <c r="D146" s="234" t="s">
        <v>466</v>
      </c>
      <c r="E146" s="272" t="s">
        <v>339</v>
      </c>
      <c r="F146" s="193">
        <v>59.0</v>
      </c>
      <c r="G146" s="304" t="s">
        <v>426</v>
      </c>
      <c r="H146" s="205"/>
      <c r="I146" s="151"/>
      <c r="J146" s="206" t="s">
        <v>131</v>
      </c>
      <c r="K146" s="196"/>
      <c r="L146" s="180"/>
      <c r="M146" s="209"/>
      <c r="N146" s="215"/>
      <c r="O146" s="210"/>
      <c r="P146" s="156"/>
      <c r="Q146" s="57"/>
      <c r="R146" s="179"/>
      <c r="S146" s="157"/>
      <c r="T146" s="157"/>
      <c r="U146" s="157"/>
      <c r="V146" s="157"/>
      <c r="W146" s="157"/>
      <c r="X146" s="157"/>
      <c r="Y146" s="57"/>
      <c r="Z146" s="57"/>
    </row>
    <row r="147">
      <c r="C147" s="233"/>
      <c r="D147" s="149"/>
      <c r="E147" s="272" t="s">
        <v>485</v>
      </c>
      <c r="F147" s="193">
        <v>350.0</v>
      </c>
      <c r="G147" s="200"/>
      <c r="H147" s="205"/>
      <c r="I147" s="151"/>
      <c r="J147" s="206" t="s">
        <v>18</v>
      </c>
      <c r="K147" s="196"/>
      <c r="L147" s="180">
        <v>2036.0</v>
      </c>
      <c r="M147" s="209" t="s">
        <v>486</v>
      </c>
      <c r="O147" s="210"/>
      <c r="P147" s="156"/>
      <c r="Q147" s="57"/>
      <c r="R147" s="179"/>
      <c r="S147" s="157"/>
      <c r="T147" s="157"/>
      <c r="U147" s="157"/>
      <c r="V147" s="157"/>
      <c r="W147" s="157"/>
      <c r="X147" s="157"/>
      <c r="Y147" s="57"/>
      <c r="Z147" s="57"/>
    </row>
    <row r="148">
      <c r="A148" s="57"/>
      <c r="B148" s="105"/>
      <c r="C148" s="235"/>
      <c r="D148" s="149"/>
      <c r="E148" s="272" t="s">
        <v>487</v>
      </c>
      <c r="F148" s="193">
        <v>540.0</v>
      </c>
      <c r="G148" s="304" t="s">
        <v>426</v>
      </c>
      <c r="H148" s="205"/>
      <c r="I148" s="201"/>
      <c r="J148" s="202" t="s">
        <v>377</v>
      </c>
      <c r="K148" s="196"/>
      <c r="L148" s="180">
        <v>258.0</v>
      </c>
      <c r="M148" s="209" t="s">
        <v>488</v>
      </c>
      <c r="N148" s="154"/>
      <c r="O148" s="236"/>
      <c r="P148" s="156"/>
      <c r="Q148" s="57"/>
      <c r="R148" s="179"/>
      <c r="S148" s="157"/>
      <c r="T148" s="157"/>
      <c r="U148" s="157"/>
      <c r="V148" s="157"/>
      <c r="W148" s="157"/>
      <c r="X148" s="157"/>
      <c r="Y148" s="57"/>
      <c r="Z148" s="57"/>
    </row>
    <row r="149">
      <c r="A149" s="57"/>
      <c r="B149" s="105"/>
      <c r="C149" s="235"/>
      <c r="D149" s="149"/>
      <c r="E149" s="272" t="s">
        <v>489</v>
      </c>
      <c r="F149" s="193">
        <v>55.0</v>
      </c>
      <c r="G149" s="200"/>
      <c r="H149" s="205"/>
      <c r="I149" s="208"/>
      <c r="J149" s="192" t="s">
        <v>418</v>
      </c>
      <c r="K149" s="196"/>
      <c r="L149" s="180"/>
      <c r="M149" s="153"/>
      <c r="N149" s="154"/>
      <c r="O149" s="236"/>
      <c r="P149" s="156"/>
      <c r="Q149" s="57"/>
      <c r="R149" s="179"/>
      <c r="S149" s="157"/>
      <c r="T149" s="157"/>
      <c r="U149" s="157"/>
      <c r="V149" s="157"/>
      <c r="W149" s="157"/>
      <c r="X149" s="157"/>
      <c r="Y149" s="57"/>
      <c r="Z149" s="57"/>
    </row>
    <row r="150">
      <c r="A150" s="57"/>
      <c r="B150" s="105"/>
      <c r="C150" s="235"/>
      <c r="D150" s="149"/>
      <c r="E150" s="272" t="s">
        <v>490</v>
      </c>
      <c r="F150" s="193">
        <v>50.0</v>
      </c>
      <c r="G150" s="200"/>
      <c r="H150" s="205"/>
      <c r="I150" s="208"/>
      <c r="J150" s="192" t="s">
        <v>381</v>
      </c>
      <c r="K150" s="196"/>
      <c r="L150" s="180">
        <v>1080.0</v>
      </c>
      <c r="M150" s="209"/>
      <c r="N150" s="215"/>
      <c r="O150" s="210"/>
      <c r="P150" s="156"/>
      <c r="Q150" s="57"/>
      <c r="R150" s="179"/>
      <c r="S150" s="157"/>
      <c r="T150" s="157"/>
      <c r="U150" s="157"/>
      <c r="V150" s="157"/>
      <c r="W150" s="157"/>
      <c r="X150" s="157"/>
      <c r="Y150" s="57"/>
      <c r="Z150" s="57"/>
    </row>
    <row r="151">
      <c r="A151" s="57"/>
      <c r="B151" s="105"/>
      <c r="C151" s="235"/>
      <c r="D151" s="149"/>
      <c r="E151" s="272" t="s">
        <v>403</v>
      </c>
      <c r="F151" s="193">
        <v>80.0</v>
      </c>
      <c r="G151" s="200"/>
      <c r="H151" s="205"/>
      <c r="I151" s="208"/>
      <c r="J151" s="192" t="s">
        <v>383</v>
      </c>
      <c r="K151" s="237"/>
      <c r="L151" s="180">
        <v>1180.0</v>
      </c>
      <c r="M151" s="209"/>
      <c r="N151" s="215"/>
      <c r="O151" s="210"/>
      <c r="P151" s="156"/>
      <c r="Q151" s="57"/>
      <c r="R151" s="179"/>
      <c r="S151" s="157"/>
      <c r="T151" s="157"/>
      <c r="U151" s="157"/>
      <c r="V151" s="157"/>
      <c r="W151" s="157"/>
      <c r="X151" s="157"/>
      <c r="Y151" s="57"/>
      <c r="Z151" s="57"/>
    </row>
    <row r="152">
      <c r="A152" s="238"/>
      <c r="B152" s="105"/>
      <c r="C152" s="235"/>
      <c r="D152" s="149"/>
      <c r="E152" s="272" t="s">
        <v>491</v>
      </c>
      <c r="F152" s="193">
        <v>115.0</v>
      </c>
      <c r="G152" s="200"/>
      <c r="H152" s="205"/>
      <c r="I152" s="208"/>
      <c r="J152" s="192" t="s">
        <v>202</v>
      </c>
      <c r="K152" s="237"/>
      <c r="L152" s="180">
        <v>90.0</v>
      </c>
      <c r="M152" s="209" t="s">
        <v>385</v>
      </c>
      <c r="N152" s="154"/>
      <c r="O152" s="210"/>
      <c r="P152" s="156"/>
      <c r="Q152" s="57"/>
      <c r="R152" s="179"/>
      <c r="S152" s="157"/>
      <c r="T152" s="157"/>
      <c r="U152" s="157"/>
      <c r="V152" s="157"/>
      <c r="W152" s="157"/>
      <c r="X152" s="157"/>
      <c r="Y152" s="57"/>
      <c r="Z152" s="57"/>
    </row>
    <row r="153">
      <c r="A153" s="239"/>
      <c r="B153" s="105"/>
      <c r="C153" s="235"/>
      <c r="D153" s="149"/>
      <c r="E153" s="272" t="s">
        <v>492</v>
      </c>
      <c r="F153" s="193">
        <v>60.0</v>
      </c>
      <c r="G153" s="200"/>
      <c r="H153" s="205"/>
      <c r="I153" s="208"/>
      <c r="J153" s="192" t="s">
        <v>274</v>
      </c>
      <c r="K153" s="196"/>
      <c r="L153" s="197"/>
      <c r="M153" s="153"/>
      <c r="N153" s="215"/>
      <c r="O153" s="210"/>
      <c r="P153" s="240"/>
      <c r="Q153" s="148"/>
      <c r="R153" s="241"/>
      <c r="S153" s="157"/>
      <c r="T153" s="157"/>
      <c r="U153" s="157"/>
      <c r="V153" s="157"/>
      <c r="W153" s="157"/>
      <c r="X153" s="157"/>
      <c r="Y153" s="57"/>
      <c r="Z153" s="57"/>
    </row>
    <row r="154">
      <c r="A154" s="148"/>
      <c r="B154" s="243"/>
      <c r="C154" s="244"/>
      <c r="D154" s="245"/>
      <c r="E154" s="305" t="s">
        <v>381</v>
      </c>
      <c r="F154" s="247">
        <v>60.0</v>
      </c>
      <c r="G154" s="248"/>
      <c r="H154" s="249"/>
      <c r="I154" s="208"/>
      <c r="J154" s="192" t="s">
        <v>220</v>
      </c>
      <c r="K154" s="196"/>
      <c r="L154" s="180">
        <v>823.0</v>
      </c>
      <c r="M154" s="209"/>
      <c r="N154" s="250"/>
      <c r="O154" s="236"/>
      <c r="P154" s="240"/>
      <c r="Q154" s="148"/>
      <c r="R154" s="241"/>
      <c r="S154" s="157"/>
      <c r="T154" s="157"/>
      <c r="U154" s="157"/>
      <c r="V154" s="157"/>
      <c r="W154" s="157"/>
      <c r="X154" s="157"/>
      <c r="Y154" s="57"/>
      <c r="Z154" s="57"/>
    </row>
    <row r="155">
      <c r="A155" s="148"/>
      <c r="B155" s="243"/>
      <c r="C155" s="244"/>
      <c r="D155" s="245"/>
      <c r="E155" s="275" t="s">
        <v>493</v>
      </c>
      <c r="F155" s="247">
        <v>360.0</v>
      </c>
      <c r="G155" s="248"/>
      <c r="H155" s="249"/>
      <c r="I155" s="251"/>
      <c r="J155" s="192" t="s">
        <v>30</v>
      </c>
      <c r="K155" s="196"/>
      <c r="L155" s="180"/>
      <c r="M155" s="295" t="s">
        <v>475</v>
      </c>
      <c r="N155" s="250"/>
      <c r="O155" s="253"/>
      <c r="P155" s="156"/>
      <c r="Q155" s="57"/>
      <c r="R155" s="179"/>
      <c r="S155" s="157"/>
      <c r="T155" s="157"/>
      <c r="U155" s="157"/>
      <c r="V155" s="157"/>
      <c r="W155" s="157"/>
      <c r="X155" s="157"/>
      <c r="Y155" s="57"/>
      <c r="Z155" s="57"/>
    </row>
    <row r="156">
      <c r="A156" s="148"/>
      <c r="B156" s="243"/>
      <c r="C156" s="243"/>
      <c r="D156" s="245"/>
      <c r="E156" s="305" t="s">
        <v>383</v>
      </c>
      <c r="F156" s="277"/>
      <c r="G156" s="248"/>
      <c r="H156" s="249"/>
      <c r="I156" s="251"/>
      <c r="J156" s="192" t="s">
        <v>225</v>
      </c>
      <c r="K156" s="196"/>
      <c r="L156" s="254"/>
      <c r="M156" s="252"/>
      <c r="N156" s="250"/>
      <c r="O156" s="155"/>
      <c r="P156" s="156"/>
      <c r="Q156" s="57"/>
      <c r="R156" s="179"/>
      <c r="S156" s="157"/>
      <c r="T156" s="157"/>
      <c r="U156" s="157"/>
      <c r="V156" s="157"/>
      <c r="W156" s="157"/>
      <c r="X156" s="157"/>
      <c r="Y156" s="57"/>
      <c r="Z156" s="57"/>
    </row>
    <row r="157">
      <c r="A157" s="148"/>
      <c r="B157" s="243"/>
      <c r="C157" s="243"/>
      <c r="D157" s="245"/>
      <c r="E157" s="275" t="s">
        <v>417</v>
      </c>
      <c r="F157" s="247">
        <v>600.0</v>
      </c>
      <c r="G157" s="248"/>
      <c r="H157" s="249"/>
      <c r="I157" s="251"/>
      <c r="J157" s="251"/>
      <c r="K157" s="148"/>
      <c r="L157" s="254"/>
      <c r="M157" s="252"/>
      <c r="N157" s="250"/>
      <c r="O157" s="155"/>
      <c r="P157" s="156"/>
      <c r="Q157" s="57"/>
      <c r="R157" s="179"/>
      <c r="S157" s="157"/>
      <c r="T157" s="157"/>
      <c r="U157" s="157"/>
      <c r="V157" s="157"/>
      <c r="W157" s="157"/>
      <c r="X157" s="157"/>
      <c r="Y157" s="57"/>
      <c r="Z157" s="57"/>
    </row>
    <row r="158">
      <c r="A158" s="148"/>
      <c r="B158" s="243"/>
      <c r="C158" s="243"/>
      <c r="D158" s="245"/>
      <c r="E158" s="275" t="s">
        <v>494</v>
      </c>
      <c r="F158" s="247">
        <v>200.0</v>
      </c>
      <c r="G158" s="306" t="s">
        <v>426</v>
      </c>
      <c r="H158" s="249"/>
      <c r="I158" s="251"/>
      <c r="J158" s="251"/>
      <c r="K158" s="148"/>
      <c r="L158" s="254"/>
      <c r="M158" s="252"/>
      <c r="N158" s="250"/>
      <c r="O158" s="155"/>
      <c r="P158" s="156"/>
      <c r="Q158" s="57"/>
      <c r="R158" s="57"/>
      <c r="S158" s="157"/>
      <c r="T158" s="157"/>
      <c r="U158" s="157"/>
      <c r="V158" s="157"/>
      <c r="W158" s="157"/>
      <c r="X158" s="157"/>
      <c r="Y158" s="57"/>
      <c r="Z158" s="57"/>
    </row>
    <row r="159">
      <c r="A159" s="148"/>
      <c r="B159" s="243"/>
      <c r="C159" s="243"/>
      <c r="D159" s="245"/>
      <c r="E159" s="275" t="s">
        <v>495</v>
      </c>
      <c r="F159" s="247">
        <v>250.0</v>
      </c>
      <c r="G159" s="249"/>
      <c r="H159" s="249"/>
      <c r="I159" s="251"/>
      <c r="J159" s="251"/>
      <c r="K159" s="148"/>
      <c r="L159" s="254"/>
      <c r="M159" s="252"/>
      <c r="N159" s="250"/>
      <c r="O159" s="155"/>
      <c r="P159" s="156"/>
      <c r="Q159" s="57"/>
      <c r="R159" s="57"/>
      <c r="S159" s="157"/>
      <c r="T159" s="157"/>
      <c r="U159" s="157"/>
      <c r="V159" s="157"/>
      <c r="W159" s="157"/>
      <c r="X159" s="157"/>
      <c r="Y159" s="57"/>
      <c r="Z159" s="57"/>
    </row>
    <row r="160">
      <c r="A160" s="158"/>
      <c r="B160" s="159"/>
      <c r="C160" s="160"/>
      <c r="D160" s="161"/>
      <c r="E160" s="303"/>
      <c r="F160" s="162"/>
      <c r="G160" s="57"/>
      <c r="H160" s="57"/>
      <c r="I160" s="151"/>
      <c r="J160" s="163"/>
      <c r="K160" s="159"/>
      <c r="L160" s="164"/>
      <c r="M160" s="165"/>
      <c r="N160" s="166"/>
      <c r="O160" s="167"/>
      <c r="P160" s="168"/>
      <c r="Q160" s="159"/>
      <c r="R160" s="57"/>
      <c r="S160" s="157"/>
      <c r="T160" s="157"/>
      <c r="U160" s="157"/>
      <c r="V160" s="157"/>
      <c r="W160" s="157"/>
      <c r="X160" s="157"/>
      <c r="Y160" s="57"/>
      <c r="Z160" s="57"/>
    </row>
    <row r="161">
      <c r="A161" s="169" t="s">
        <v>127</v>
      </c>
      <c r="B161" s="170"/>
      <c r="C161" s="171"/>
      <c r="D161" s="172"/>
      <c r="E161" s="173"/>
      <c r="F161" s="174"/>
      <c r="G161" s="175" t="s">
        <v>333</v>
      </c>
      <c r="H161" s="176"/>
      <c r="I161" s="177"/>
      <c r="J161" s="151"/>
      <c r="K161" s="57"/>
      <c r="L161" s="152"/>
      <c r="M161" s="153"/>
      <c r="N161" s="154"/>
      <c r="O161" s="178" t="s">
        <v>334</v>
      </c>
      <c r="P161" s="156"/>
      <c r="Q161" s="57"/>
      <c r="R161" s="179"/>
      <c r="S161" s="157"/>
      <c r="T161" s="157"/>
      <c r="U161" s="157"/>
      <c r="V161" s="157"/>
      <c r="W161" s="157"/>
      <c r="X161" s="157"/>
      <c r="Y161" s="57"/>
      <c r="Z161" s="57"/>
    </row>
    <row r="162">
      <c r="A162" s="182"/>
      <c r="B162" s="105"/>
      <c r="C162" s="183"/>
      <c r="D162" s="172"/>
      <c r="E162" s="184" t="s">
        <v>335</v>
      </c>
      <c r="F162" s="180" t="s">
        <v>237</v>
      </c>
      <c r="G162" s="185" t="s">
        <v>336</v>
      </c>
      <c r="H162" s="186" t="s">
        <v>337</v>
      </c>
      <c r="I162" s="104"/>
      <c r="J162" s="104" t="s">
        <v>0</v>
      </c>
      <c r="K162" s="57"/>
      <c r="L162" s="152"/>
      <c r="M162" s="187" t="s">
        <v>338</v>
      </c>
      <c r="O162" s="188" t="s">
        <v>496</v>
      </c>
      <c r="P162" s="307">
        <v>77.0</v>
      </c>
      <c r="Q162" s="57"/>
      <c r="R162" s="179"/>
      <c r="S162" s="157"/>
      <c r="T162" s="157"/>
      <c r="U162" s="157"/>
      <c r="V162" s="157"/>
      <c r="W162" s="157"/>
      <c r="X162" s="157"/>
      <c r="Y162" s="57"/>
      <c r="Z162" s="57"/>
    </row>
    <row r="163">
      <c r="A163" s="190" t="s">
        <v>179</v>
      </c>
      <c r="C163" s="191">
        <f>SUM(F163:F192)</f>
        <v>8558</v>
      </c>
      <c r="D163" s="172"/>
      <c r="E163" s="272" t="s">
        <v>497</v>
      </c>
      <c r="F163" s="193">
        <v>537.0</v>
      </c>
      <c r="G163" s="297" t="s">
        <v>426</v>
      </c>
      <c r="H163" s="195"/>
      <c r="I163" s="151"/>
      <c r="J163" s="192" t="s">
        <v>341</v>
      </c>
      <c r="K163" s="196"/>
      <c r="L163" s="197"/>
      <c r="M163" s="153"/>
      <c r="N163" s="154"/>
      <c r="O163" s="188" t="s">
        <v>498</v>
      </c>
      <c r="P163" s="189">
        <v>119.0</v>
      </c>
      <c r="Q163" s="57"/>
      <c r="R163" s="179"/>
      <c r="S163" s="157"/>
      <c r="T163" s="157"/>
      <c r="U163" s="157"/>
      <c r="V163" s="157"/>
      <c r="W163" s="157"/>
      <c r="X163" s="157"/>
      <c r="Y163" s="57"/>
      <c r="Z163" s="57"/>
    </row>
    <row r="164">
      <c r="A164" s="198" t="s">
        <v>343</v>
      </c>
      <c r="B164" s="199" t="s">
        <v>321</v>
      </c>
      <c r="C164" s="191">
        <f>SUM(P162:P184)</f>
        <v>2733</v>
      </c>
      <c r="D164" s="149"/>
      <c r="E164" s="292" t="s">
        <v>499</v>
      </c>
      <c r="F164" s="193">
        <v>114.0</v>
      </c>
      <c r="G164" s="297" t="s">
        <v>426</v>
      </c>
      <c r="H164" s="205"/>
      <c r="I164" s="201"/>
      <c r="J164" s="202" t="s">
        <v>345</v>
      </c>
      <c r="K164" s="196"/>
      <c r="L164" s="180">
        <v>290.0</v>
      </c>
      <c r="M164" s="209" t="s">
        <v>500</v>
      </c>
      <c r="N164" s="154"/>
      <c r="O164" s="188" t="s">
        <v>501</v>
      </c>
      <c r="P164" s="189">
        <v>540.0</v>
      </c>
      <c r="Q164" s="57"/>
      <c r="R164" s="179"/>
      <c r="S164" s="157"/>
      <c r="T164" s="157"/>
      <c r="U164" s="157"/>
      <c r="V164" s="157"/>
      <c r="W164" s="157"/>
      <c r="X164" s="157"/>
      <c r="Y164" s="57"/>
      <c r="Z164" s="57"/>
    </row>
    <row r="165">
      <c r="A165" s="203" t="s">
        <v>201</v>
      </c>
      <c r="C165" s="204">
        <f>SUM(L163:L186)</f>
        <v>4660</v>
      </c>
      <c r="D165" s="149"/>
      <c r="E165" s="272" t="s">
        <v>433</v>
      </c>
      <c r="F165" s="193">
        <v>200.0</v>
      </c>
      <c r="G165" s="200"/>
      <c r="H165" s="205"/>
      <c r="I165" s="151"/>
      <c r="J165" s="206" t="s">
        <v>6</v>
      </c>
      <c r="K165" s="196"/>
      <c r="L165" s="197"/>
      <c r="M165" s="153"/>
      <c r="N165" s="154"/>
      <c r="O165" s="188" t="s">
        <v>456</v>
      </c>
      <c r="P165" s="189">
        <v>77.0</v>
      </c>
      <c r="Q165" s="57"/>
      <c r="R165" s="179"/>
      <c r="S165" s="242"/>
      <c r="T165" s="242"/>
      <c r="U165" s="242"/>
      <c r="V165" s="242"/>
      <c r="W165" s="242"/>
      <c r="X165" s="242"/>
      <c r="Y165" s="148"/>
      <c r="Z165" s="148"/>
    </row>
    <row r="166">
      <c r="A166" s="207"/>
      <c r="B166" s="105"/>
      <c r="C166" s="204"/>
      <c r="D166" s="149"/>
      <c r="E166" s="272" t="s">
        <v>502</v>
      </c>
      <c r="F166" s="193">
        <v>150.0</v>
      </c>
      <c r="G166" s="200"/>
      <c r="H166" s="205"/>
      <c r="I166" s="208"/>
      <c r="J166" s="192" t="s">
        <v>7</v>
      </c>
      <c r="K166" s="196"/>
      <c r="L166" s="180">
        <v>662.0</v>
      </c>
      <c r="M166" s="153"/>
      <c r="N166" s="154"/>
      <c r="O166" s="188" t="s">
        <v>503</v>
      </c>
      <c r="P166" s="189">
        <v>120.0</v>
      </c>
      <c r="Q166" s="57"/>
      <c r="R166" s="179"/>
      <c r="S166" s="242"/>
      <c r="T166" s="242"/>
      <c r="U166" s="242"/>
      <c r="V166" s="242"/>
      <c r="W166" s="242"/>
      <c r="X166" s="242"/>
      <c r="Y166" s="148"/>
      <c r="Z166" s="148"/>
    </row>
    <row r="167">
      <c r="A167" s="211" t="s">
        <v>350</v>
      </c>
      <c r="C167" s="212">
        <f>C163-C165-B169-B175</f>
        <v>1746</v>
      </c>
      <c r="D167" s="149"/>
      <c r="E167" s="272" t="s">
        <v>504</v>
      </c>
      <c r="F167" s="193">
        <v>180.0</v>
      </c>
      <c r="G167" s="200"/>
      <c r="H167" s="205"/>
      <c r="I167" s="201"/>
      <c r="J167" s="202" t="s">
        <v>210</v>
      </c>
      <c r="K167" s="196"/>
      <c r="L167" s="180">
        <v>338.0</v>
      </c>
      <c r="M167" s="209" t="s">
        <v>505</v>
      </c>
      <c r="N167" s="154"/>
      <c r="O167" s="188" t="s">
        <v>340</v>
      </c>
      <c r="P167" s="189">
        <v>1800.0</v>
      </c>
      <c r="Q167" s="57"/>
      <c r="R167" s="179"/>
      <c r="S167" s="157"/>
      <c r="T167" s="157"/>
      <c r="U167" s="157"/>
      <c r="V167" s="157"/>
      <c r="W167" s="157"/>
      <c r="X167" s="157"/>
      <c r="Y167" s="57"/>
      <c r="Z167" s="57"/>
    </row>
    <row r="168">
      <c r="A168" s="213"/>
      <c r="C168" s="214"/>
      <c r="D168" s="149"/>
      <c r="E168" s="272" t="s">
        <v>506</v>
      </c>
      <c r="F168" s="193">
        <v>150.0</v>
      </c>
      <c r="G168" s="200"/>
      <c r="H168" s="205"/>
      <c r="I168" s="201"/>
      <c r="J168" s="202" t="s">
        <v>354</v>
      </c>
      <c r="K168" s="196"/>
      <c r="L168" s="180">
        <v>131.0</v>
      </c>
      <c r="M168" s="209" t="s">
        <v>461</v>
      </c>
      <c r="O168" s="210"/>
      <c r="P168" s="189"/>
      <c r="Q168" s="57"/>
      <c r="R168" s="179"/>
      <c r="S168" s="157"/>
      <c r="T168" s="157"/>
      <c r="U168" s="157"/>
      <c r="V168" s="157"/>
      <c r="W168" s="157"/>
      <c r="X168" s="157"/>
      <c r="Y168" s="57"/>
      <c r="Z168" s="57"/>
    </row>
    <row r="169">
      <c r="A169" s="216" t="s">
        <v>356</v>
      </c>
      <c r="B169" s="217">
        <v>1093.0</v>
      </c>
      <c r="C169" s="183"/>
      <c r="D169" s="149"/>
      <c r="E169" s="272" t="s">
        <v>507</v>
      </c>
      <c r="F169" s="193">
        <v>75.0</v>
      </c>
      <c r="G169" s="200"/>
      <c r="H169" s="205"/>
      <c r="I169" s="208"/>
      <c r="J169" s="192" t="s">
        <v>358</v>
      </c>
      <c r="K169" s="196"/>
      <c r="L169" s="180"/>
      <c r="M169" s="153"/>
      <c r="N169" s="154"/>
      <c r="O169" s="210"/>
      <c r="P169" s="156"/>
      <c r="Q169" s="57"/>
      <c r="R169" s="179"/>
      <c r="S169" s="157"/>
      <c r="T169" s="157"/>
      <c r="U169" s="157"/>
      <c r="V169" s="157"/>
      <c r="W169" s="157"/>
      <c r="X169" s="157"/>
      <c r="Y169" s="57"/>
      <c r="Z169" s="57"/>
    </row>
    <row r="170">
      <c r="A170" s="218" t="s">
        <v>214</v>
      </c>
      <c r="B170" s="219">
        <v>600.0</v>
      </c>
      <c r="C170" s="220"/>
      <c r="D170" s="172"/>
      <c r="E170" s="272" t="s">
        <v>508</v>
      </c>
      <c r="F170" s="193">
        <v>285.0</v>
      </c>
      <c r="G170" s="200"/>
      <c r="H170" s="205"/>
      <c r="I170" s="151"/>
      <c r="J170" s="206" t="s">
        <v>34</v>
      </c>
      <c r="K170" s="196"/>
      <c r="L170" s="180">
        <v>46.0</v>
      </c>
      <c r="M170" s="153"/>
      <c r="N170" s="154"/>
      <c r="O170" s="210"/>
      <c r="P170" s="156"/>
      <c r="Q170" s="57"/>
      <c r="R170" s="179"/>
      <c r="S170" s="157"/>
      <c r="T170" s="157"/>
      <c r="U170" s="157"/>
      <c r="V170" s="157"/>
      <c r="W170" s="157"/>
      <c r="X170" s="157"/>
      <c r="Y170" s="57"/>
      <c r="Z170" s="57"/>
    </row>
    <row r="171">
      <c r="A171" s="221" t="s">
        <v>272</v>
      </c>
      <c r="B171" s="222">
        <v>4139.0</v>
      </c>
      <c r="C171" s="223"/>
      <c r="D171" s="149"/>
      <c r="E171" s="272" t="s">
        <v>509</v>
      </c>
      <c r="F171" s="193">
        <v>165.0</v>
      </c>
      <c r="G171" s="200"/>
      <c r="H171" s="205"/>
      <c r="I171" s="208"/>
      <c r="J171" s="192" t="s">
        <v>216</v>
      </c>
      <c r="K171" s="196"/>
      <c r="L171" s="197"/>
      <c r="M171" s="153"/>
      <c r="N171" s="154"/>
      <c r="O171" s="210"/>
      <c r="P171" s="156"/>
      <c r="Q171" s="57"/>
      <c r="R171" s="179"/>
      <c r="S171" s="157"/>
      <c r="T171" s="157"/>
      <c r="U171" s="157"/>
      <c r="V171" s="157"/>
      <c r="W171" s="157"/>
      <c r="X171" s="157"/>
      <c r="Y171" s="57"/>
      <c r="Z171" s="57"/>
    </row>
    <row r="172">
      <c r="A172" s="224" t="s">
        <v>361</v>
      </c>
      <c r="B172" s="225">
        <v>12500.0</v>
      </c>
      <c r="C172" s="226"/>
      <c r="D172" s="149"/>
      <c r="E172" s="272" t="s">
        <v>510</v>
      </c>
      <c r="F172" s="193">
        <v>100.0</v>
      </c>
      <c r="G172" s="200"/>
      <c r="H172" s="205"/>
      <c r="I172" s="151"/>
      <c r="J172" s="206" t="s">
        <v>108</v>
      </c>
      <c r="K172" s="196"/>
      <c r="L172" s="180">
        <v>240.0</v>
      </c>
      <c r="M172" s="209"/>
      <c r="N172" s="215"/>
      <c r="O172" s="210"/>
      <c r="P172" s="156"/>
      <c r="Q172" s="57"/>
      <c r="R172" s="179"/>
      <c r="S172" s="157"/>
      <c r="T172" s="157"/>
      <c r="U172" s="157"/>
      <c r="V172" s="157"/>
      <c r="W172" s="157"/>
      <c r="X172" s="157"/>
      <c r="Y172" s="57"/>
      <c r="Z172" s="57"/>
    </row>
    <row r="173">
      <c r="A173" s="57"/>
      <c r="B173" s="105"/>
      <c r="C173" s="105"/>
      <c r="D173" s="149"/>
      <c r="E173" s="272" t="s">
        <v>464</v>
      </c>
      <c r="F173" s="193">
        <v>135.0</v>
      </c>
      <c r="G173" s="200"/>
      <c r="H173" s="205"/>
      <c r="I173" s="227"/>
      <c r="J173" s="228" t="s">
        <v>156</v>
      </c>
      <c r="K173" s="196"/>
      <c r="L173" s="180"/>
      <c r="M173" s="153"/>
      <c r="N173" s="154"/>
      <c r="O173" s="210"/>
      <c r="P173" s="156"/>
      <c r="Q173" s="57"/>
      <c r="R173" s="179"/>
      <c r="S173" s="157"/>
      <c r="T173" s="157"/>
      <c r="U173" s="157"/>
      <c r="V173" s="157"/>
      <c r="W173" s="157"/>
      <c r="X173" s="157"/>
      <c r="Y173" s="57"/>
      <c r="Z173" s="57"/>
    </row>
    <row r="174">
      <c r="A174" s="57"/>
      <c r="B174" s="105"/>
      <c r="C174" s="105"/>
      <c r="D174" s="149"/>
      <c r="E174" s="272" t="s">
        <v>386</v>
      </c>
      <c r="F174" s="193">
        <v>150.0</v>
      </c>
      <c r="G174" s="200"/>
      <c r="H174" s="205"/>
      <c r="I174" s="201"/>
      <c r="J174" s="202" t="s">
        <v>217</v>
      </c>
      <c r="K174" s="196"/>
      <c r="L174" s="180"/>
      <c r="M174" s="153"/>
      <c r="N174" s="154"/>
      <c r="O174" s="210"/>
      <c r="P174" s="156"/>
      <c r="Q174" s="57"/>
      <c r="R174" s="179"/>
      <c r="S174" s="157"/>
      <c r="T174" s="157"/>
      <c r="U174" s="157"/>
      <c r="V174" s="157"/>
      <c r="W174" s="157"/>
      <c r="X174" s="157"/>
      <c r="Y174" s="57"/>
      <c r="Z174" s="57"/>
    </row>
    <row r="175">
      <c r="A175" s="229" t="s">
        <v>365</v>
      </c>
      <c r="B175" s="230">
        <f>SUM(C176,C177,C178,C179,C180,C181,C182,C183,C184,C185)</f>
        <v>1059</v>
      </c>
      <c r="C175" s="231" t="s">
        <v>366</v>
      </c>
      <c r="D175" s="149"/>
      <c r="E175" s="272" t="s">
        <v>511</v>
      </c>
      <c r="F175" s="193">
        <v>1800.0</v>
      </c>
      <c r="G175" s="297" t="s">
        <v>426</v>
      </c>
      <c r="H175" s="205"/>
      <c r="I175" s="208"/>
      <c r="J175" s="192" t="s">
        <v>368</v>
      </c>
      <c r="K175" s="196"/>
      <c r="L175" s="197"/>
      <c r="M175" s="153"/>
      <c r="N175" s="154"/>
      <c r="O175" s="210"/>
      <c r="P175" s="156"/>
      <c r="Q175" s="57"/>
      <c r="R175" s="179"/>
      <c r="S175" s="157"/>
      <c r="T175" s="157"/>
      <c r="U175" s="157"/>
      <c r="V175" s="157"/>
      <c r="W175" s="157"/>
      <c r="X175" s="157"/>
      <c r="Y175" s="57"/>
      <c r="Z175" s="57"/>
    </row>
    <row r="176">
      <c r="A176" s="232" t="s">
        <v>369</v>
      </c>
      <c r="C176" s="233">
        <v>313.0</v>
      </c>
      <c r="D176" s="234" t="s">
        <v>466</v>
      </c>
      <c r="E176" s="272" t="s">
        <v>512</v>
      </c>
      <c r="F176" s="193">
        <v>540.0</v>
      </c>
      <c r="G176" s="297" t="s">
        <v>426</v>
      </c>
      <c r="H176" s="205"/>
      <c r="I176" s="151"/>
      <c r="J176" s="206" t="s">
        <v>131</v>
      </c>
      <c r="K176" s="196"/>
      <c r="L176" s="180"/>
      <c r="M176" s="209"/>
      <c r="N176" s="215"/>
      <c r="O176" s="210"/>
      <c r="P176" s="156"/>
      <c r="Q176" s="57"/>
      <c r="R176" s="179"/>
      <c r="S176" s="157"/>
      <c r="T176" s="157"/>
      <c r="U176" s="157"/>
      <c r="V176" s="157"/>
      <c r="W176" s="157"/>
      <c r="X176" s="157"/>
      <c r="Y176" s="57"/>
      <c r="Z176" s="57"/>
    </row>
    <row r="177">
      <c r="C177" s="233">
        <v>100.0</v>
      </c>
      <c r="D177" s="234" t="s">
        <v>20</v>
      </c>
      <c r="E177" s="292" t="s">
        <v>381</v>
      </c>
      <c r="F177" s="193">
        <v>60.0</v>
      </c>
      <c r="G177" s="200"/>
      <c r="H177" s="205"/>
      <c r="I177" s="151"/>
      <c r="J177" s="206" t="s">
        <v>18</v>
      </c>
      <c r="K177" s="196"/>
      <c r="L177" s="180"/>
      <c r="M177" s="209"/>
      <c r="N177" s="215"/>
      <c r="O177" s="210"/>
      <c r="P177" s="156"/>
      <c r="Q177" s="57"/>
      <c r="R177" s="179"/>
      <c r="S177" s="157"/>
      <c r="T177" s="157"/>
      <c r="U177" s="157"/>
      <c r="V177" s="157"/>
      <c r="W177" s="157"/>
      <c r="X177" s="157"/>
      <c r="Y177" s="57"/>
      <c r="Z177" s="57"/>
    </row>
    <row r="178">
      <c r="A178" s="57"/>
      <c r="B178" s="105"/>
      <c r="C178" s="233">
        <v>625.0</v>
      </c>
      <c r="D178" s="234" t="s">
        <v>513</v>
      </c>
      <c r="E178" s="272" t="s">
        <v>416</v>
      </c>
      <c r="F178" s="193">
        <v>700.0</v>
      </c>
      <c r="G178" s="200"/>
      <c r="H178" s="205"/>
      <c r="I178" s="201"/>
      <c r="J178" s="202" t="s">
        <v>377</v>
      </c>
      <c r="K178" s="196"/>
      <c r="L178" s="197"/>
      <c r="M178" s="153"/>
      <c r="N178" s="154"/>
      <c r="O178" s="236"/>
      <c r="P178" s="156"/>
      <c r="Q178" s="57"/>
      <c r="R178" s="179"/>
      <c r="S178" s="157"/>
      <c r="T178" s="157"/>
      <c r="U178" s="157"/>
      <c r="V178" s="157"/>
      <c r="W178" s="157"/>
      <c r="X178" s="157"/>
      <c r="Y178" s="57"/>
      <c r="Z178" s="57"/>
    </row>
    <row r="179">
      <c r="A179" s="57"/>
      <c r="B179" s="105"/>
      <c r="C179" s="233">
        <v>11.0</v>
      </c>
      <c r="D179" s="234" t="s">
        <v>514</v>
      </c>
      <c r="E179" s="272" t="s">
        <v>515</v>
      </c>
      <c r="F179" s="193">
        <v>360.0</v>
      </c>
      <c r="G179" s="200"/>
      <c r="H179" s="205"/>
      <c r="I179" s="208"/>
      <c r="J179" s="192" t="s">
        <v>418</v>
      </c>
      <c r="K179" s="196"/>
      <c r="L179" s="180">
        <v>20.0</v>
      </c>
      <c r="M179" s="209" t="s">
        <v>516</v>
      </c>
      <c r="N179" s="154"/>
      <c r="O179" s="236"/>
      <c r="P179" s="156"/>
      <c r="Q179" s="57"/>
      <c r="R179" s="179"/>
      <c r="S179" s="157"/>
      <c r="T179" s="157"/>
      <c r="U179" s="157"/>
      <c r="V179" s="157"/>
      <c r="W179" s="157"/>
      <c r="X179" s="157"/>
      <c r="Y179" s="57"/>
      <c r="Z179" s="57"/>
    </row>
    <row r="180">
      <c r="A180" s="57"/>
      <c r="B180" s="105"/>
      <c r="C180" s="233">
        <v>10.0</v>
      </c>
      <c r="D180" s="234" t="s">
        <v>517</v>
      </c>
      <c r="E180" s="272" t="s">
        <v>402</v>
      </c>
      <c r="F180" s="193">
        <v>500.0</v>
      </c>
      <c r="G180" s="200"/>
      <c r="H180" s="205"/>
      <c r="I180" s="208"/>
      <c r="J180" s="192" t="s">
        <v>381</v>
      </c>
      <c r="K180" s="196"/>
      <c r="L180" s="180">
        <v>1360.0</v>
      </c>
      <c r="M180" s="209"/>
      <c r="N180" s="215"/>
      <c r="O180" s="210"/>
      <c r="P180" s="156"/>
      <c r="Q180" s="57"/>
      <c r="R180" s="179"/>
      <c r="S180" s="157"/>
      <c r="T180" s="157"/>
      <c r="U180" s="157"/>
      <c r="V180" s="157"/>
      <c r="W180" s="157"/>
      <c r="X180" s="157"/>
      <c r="Y180" s="57"/>
      <c r="Z180" s="57"/>
    </row>
    <row r="181">
      <c r="A181" s="57"/>
      <c r="B181" s="105"/>
      <c r="C181" s="233"/>
      <c r="D181" s="149"/>
      <c r="E181" s="272" t="s">
        <v>518</v>
      </c>
      <c r="F181" s="193">
        <v>400.0</v>
      </c>
      <c r="G181" s="200"/>
      <c r="H181" s="205"/>
      <c r="I181" s="208"/>
      <c r="J181" s="192" t="s">
        <v>383</v>
      </c>
      <c r="K181" s="237"/>
      <c r="L181" s="180">
        <v>1270.0</v>
      </c>
      <c r="M181" s="209"/>
      <c r="N181" s="215"/>
      <c r="O181" s="210"/>
      <c r="P181" s="156"/>
      <c r="Q181" s="57"/>
      <c r="R181" s="179"/>
      <c r="S181" s="157"/>
      <c r="T181" s="157"/>
      <c r="U181" s="157"/>
      <c r="V181" s="157"/>
      <c r="W181" s="157"/>
      <c r="X181" s="157"/>
      <c r="Y181" s="57"/>
      <c r="Z181" s="57"/>
    </row>
    <row r="182">
      <c r="A182" s="238"/>
      <c r="B182" s="105"/>
      <c r="C182" s="235"/>
      <c r="D182" s="149"/>
      <c r="E182" s="272" t="s">
        <v>448</v>
      </c>
      <c r="F182" s="193">
        <v>300.0</v>
      </c>
      <c r="G182" s="200"/>
      <c r="H182" s="205"/>
      <c r="I182" s="208"/>
      <c r="J182" s="192" t="s">
        <v>202</v>
      </c>
      <c r="K182" s="237"/>
      <c r="L182" s="180">
        <v>90.0</v>
      </c>
      <c r="M182" s="209" t="s">
        <v>385</v>
      </c>
      <c r="N182" s="154"/>
      <c r="O182" s="210"/>
      <c r="P182" s="156"/>
      <c r="Q182" s="57"/>
      <c r="R182" s="179"/>
      <c r="S182" s="157"/>
      <c r="T182" s="157"/>
      <c r="U182" s="157"/>
      <c r="V182" s="157"/>
      <c r="W182" s="157"/>
      <c r="X182" s="157"/>
      <c r="Y182" s="57"/>
      <c r="Z182" s="57"/>
    </row>
    <row r="183">
      <c r="A183" s="239"/>
      <c r="B183" s="105"/>
      <c r="C183" s="235"/>
      <c r="D183" s="149"/>
      <c r="E183" s="272" t="s">
        <v>437</v>
      </c>
      <c r="F183" s="193">
        <v>250.0</v>
      </c>
      <c r="G183" s="200"/>
      <c r="H183" s="205"/>
      <c r="I183" s="208"/>
      <c r="J183" s="192" t="s">
        <v>274</v>
      </c>
      <c r="K183" s="196"/>
      <c r="L183" s="180">
        <v>213.0</v>
      </c>
      <c r="M183" s="153"/>
      <c r="N183" s="215"/>
      <c r="O183" s="210"/>
      <c r="P183" s="240"/>
      <c r="Q183" s="148"/>
      <c r="R183" s="241"/>
      <c r="S183" s="157"/>
      <c r="T183" s="157"/>
      <c r="U183" s="157"/>
      <c r="V183" s="157"/>
      <c r="W183" s="157"/>
      <c r="X183" s="157"/>
      <c r="Y183" s="57"/>
      <c r="Z183" s="57"/>
    </row>
    <row r="184">
      <c r="A184" s="148"/>
      <c r="B184" s="243"/>
      <c r="C184" s="244"/>
      <c r="D184" s="245"/>
      <c r="E184" s="275" t="s">
        <v>519</v>
      </c>
      <c r="F184" s="247">
        <v>100.0</v>
      </c>
      <c r="G184" s="248"/>
      <c r="H184" s="249"/>
      <c r="I184" s="208"/>
      <c r="J184" s="192" t="s">
        <v>220</v>
      </c>
      <c r="K184" s="196"/>
      <c r="L184" s="180"/>
      <c r="M184" s="308"/>
      <c r="N184" s="250"/>
      <c r="O184" s="236"/>
      <c r="P184" s="240"/>
      <c r="Q184" s="148"/>
      <c r="R184" s="241"/>
      <c r="S184" s="157"/>
      <c r="T184" s="157"/>
      <c r="U184" s="157"/>
      <c r="V184" s="157"/>
      <c r="W184" s="157"/>
      <c r="X184" s="157"/>
      <c r="Y184" s="57"/>
      <c r="Z184" s="57"/>
    </row>
    <row r="185">
      <c r="A185" s="148"/>
      <c r="B185" s="243"/>
      <c r="C185" s="244"/>
      <c r="D185" s="245"/>
      <c r="E185" s="275" t="s">
        <v>520</v>
      </c>
      <c r="F185" s="247">
        <v>60.0</v>
      </c>
      <c r="G185" s="248"/>
      <c r="H185" s="249"/>
      <c r="I185" s="251"/>
      <c r="J185" s="192" t="s">
        <v>30</v>
      </c>
      <c r="K185" s="196"/>
      <c r="L185" s="180"/>
      <c r="M185" s="295" t="s">
        <v>475</v>
      </c>
      <c r="N185" s="250"/>
      <c r="O185" s="253"/>
      <c r="P185" s="156"/>
      <c r="Q185" s="57"/>
      <c r="R185" s="179"/>
      <c r="S185" s="157"/>
      <c r="T185" s="157"/>
      <c r="U185" s="157"/>
      <c r="V185" s="157"/>
      <c r="W185" s="157"/>
      <c r="X185" s="157"/>
      <c r="Y185" s="57"/>
      <c r="Z185" s="57"/>
    </row>
    <row r="186">
      <c r="A186" s="148"/>
      <c r="B186" s="243"/>
      <c r="C186" s="243"/>
      <c r="D186" s="245"/>
      <c r="E186" s="275" t="s">
        <v>521</v>
      </c>
      <c r="F186" s="247">
        <v>345.0</v>
      </c>
      <c r="G186" s="248"/>
      <c r="H186" s="249"/>
      <c r="I186" s="251"/>
      <c r="J186" s="192" t="s">
        <v>225</v>
      </c>
      <c r="K186" s="196"/>
      <c r="L186" s="254"/>
      <c r="M186" s="252"/>
      <c r="N186" s="250"/>
      <c r="O186" s="155"/>
      <c r="P186" s="156"/>
      <c r="Q186" s="57"/>
      <c r="R186" s="179"/>
      <c r="S186" s="157"/>
      <c r="T186" s="157"/>
      <c r="U186" s="157"/>
      <c r="V186" s="157"/>
      <c r="W186" s="157"/>
      <c r="X186" s="157"/>
      <c r="Y186" s="57"/>
      <c r="Z186" s="57"/>
    </row>
    <row r="187">
      <c r="A187" s="148"/>
      <c r="B187" s="243"/>
      <c r="C187" s="243"/>
      <c r="D187" s="245"/>
      <c r="E187" s="275" t="s">
        <v>522</v>
      </c>
      <c r="F187" s="247">
        <v>77.0</v>
      </c>
      <c r="G187" s="301" t="s">
        <v>426</v>
      </c>
      <c r="H187" s="249"/>
      <c r="I187" s="251"/>
      <c r="J187" s="192"/>
      <c r="K187" s="196"/>
      <c r="L187" s="254"/>
      <c r="M187" s="252"/>
      <c r="N187" s="250"/>
      <c r="O187" s="155"/>
      <c r="P187" s="156"/>
      <c r="Q187" s="57"/>
      <c r="R187" s="179"/>
      <c r="S187" s="157"/>
      <c r="T187" s="157"/>
      <c r="U187" s="157"/>
      <c r="V187" s="157"/>
      <c r="W187" s="157"/>
      <c r="X187" s="157"/>
      <c r="Y187" s="57"/>
      <c r="Z187" s="57"/>
    </row>
    <row r="188">
      <c r="A188" s="148"/>
      <c r="B188" s="243"/>
      <c r="C188" s="243"/>
      <c r="D188" s="245"/>
      <c r="E188" s="275" t="s">
        <v>523</v>
      </c>
      <c r="F188" s="247">
        <v>35.0</v>
      </c>
      <c r="G188" s="255"/>
      <c r="H188" s="249"/>
      <c r="I188" s="251"/>
      <c r="J188" s="192"/>
      <c r="K188" s="196"/>
      <c r="L188" s="254"/>
      <c r="M188" s="252"/>
      <c r="N188" s="250"/>
      <c r="O188" s="155"/>
      <c r="P188" s="156"/>
      <c r="Q188" s="57"/>
      <c r="R188" s="179"/>
      <c r="S188" s="157"/>
      <c r="T188" s="157"/>
      <c r="U188" s="157"/>
      <c r="V188" s="157"/>
      <c r="W188" s="157"/>
      <c r="X188" s="157"/>
      <c r="Y188" s="57"/>
      <c r="Z188" s="57"/>
    </row>
    <row r="189">
      <c r="A189" s="148"/>
      <c r="B189" s="243"/>
      <c r="C189" s="243"/>
      <c r="D189" s="245"/>
      <c r="E189" s="275" t="s">
        <v>371</v>
      </c>
      <c r="F189" s="247">
        <v>360.0</v>
      </c>
      <c r="G189" s="255"/>
      <c r="H189" s="249"/>
      <c r="I189" s="251"/>
      <c r="J189" s="192"/>
      <c r="K189" s="196"/>
      <c r="L189" s="254"/>
      <c r="M189" s="252"/>
      <c r="N189" s="250"/>
      <c r="O189" s="155"/>
      <c r="P189" s="156"/>
      <c r="Q189" s="57"/>
      <c r="R189" s="179"/>
      <c r="S189" s="157"/>
      <c r="T189" s="157"/>
      <c r="U189" s="157"/>
      <c r="V189" s="157"/>
      <c r="W189" s="157"/>
      <c r="X189" s="157"/>
      <c r="Y189" s="57"/>
      <c r="Z189" s="57"/>
    </row>
    <row r="190">
      <c r="A190" s="148"/>
      <c r="B190" s="243"/>
      <c r="C190" s="243"/>
      <c r="D190" s="245"/>
      <c r="E190" s="275" t="s">
        <v>524</v>
      </c>
      <c r="F190" s="247">
        <v>120.0</v>
      </c>
      <c r="G190" s="301" t="s">
        <v>426</v>
      </c>
      <c r="H190" s="249"/>
      <c r="I190" s="251"/>
      <c r="J190" s="192"/>
      <c r="K190" s="196"/>
      <c r="L190" s="254"/>
      <c r="M190" s="252"/>
      <c r="N190" s="250"/>
      <c r="O190" s="155"/>
      <c r="P190" s="156"/>
      <c r="Q190" s="57"/>
      <c r="R190" s="179"/>
      <c r="S190" s="157"/>
      <c r="T190" s="157"/>
      <c r="U190" s="157"/>
      <c r="V190" s="157"/>
      <c r="W190" s="157"/>
      <c r="X190" s="157"/>
      <c r="Y190" s="57"/>
      <c r="Z190" s="57"/>
    </row>
    <row r="191">
      <c r="A191" s="148"/>
      <c r="B191" s="243"/>
      <c r="C191" s="243"/>
      <c r="D191" s="245"/>
      <c r="E191" s="275" t="s">
        <v>525</v>
      </c>
      <c r="F191" s="247">
        <v>60.0</v>
      </c>
      <c r="G191" s="255"/>
      <c r="H191" s="249"/>
      <c r="I191" s="251"/>
      <c r="J191" s="192"/>
      <c r="K191" s="196"/>
      <c r="L191" s="254"/>
      <c r="M191" s="252"/>
      <c r="N191" s="250"/>
      <c r="O191" s="155"/>
      <c r="P191" s="156"/>
      <c r="Q191" s="57"/>
      <c r="R191" s="179"/>
      <c r="S191" s="157"/>
      <c r="T191" s="157"/>
      <c r="U191" s="157"/>
      <c r="V191" s="157"/>
      <c r="W191" s="157"/>
      <c r="X191" s="157"/>
      <c r="Y191" s="57"/>
      <c r="Z191" s="57"/>
    </row>
    <row r="192">
      <c r="A192" s="148"/>
      <c r="B192" s="243"/>
      <c r="C192" s="243"/>
      <c r="D192" s="245"/>
      <c r="E192" s="275" t="s">
        <v>526</v>
      </c>
      <c r="F192" s="247">
        <v>250.0</v>
      </c>
      <c r="G192" s="301" t="s">
        <v>426</v>
      </c>
      <c r="H192" s="249"/>
      <c r="I192" s="251"/>
      <c r="J192" s="251"/>
      <c r="K192" s="196"/>
      <c r="L192" s="254"/>
      <c r="M192" s="252"/>
      <c r="N192" s="250"/>
      <c r="O192" s="155"/>
      <c r="P192" s="156"/>
      <c r="Q192" s="57"/>
      <c r="R192" s="179"/>
      <c r="S192" s="157"/>
      <c r="T192" s="157"/>
      <c r="U192" s="157"/>
      <c r="V192" s="157"/>
      <c r="W192" s="157"/>
      <c r="X192" s="157"/>
      <c r="Y192" s="57"/>
      <c r="Z192" s="57"/>
    </row>
    <row r="193">
      <c r="A193" s="158"/>
      <c r="B193" s="159"/>
      <c r="C193" s="160"/>
      <c r="D193" s="161"/>
      <c r="E193" s="303"/>
      <c r="F193" s="162"/>
      <c r="G193" s="57"/>
      <c r="H193" s="57"/>
      <c r="I193" s="151"/>
      <c r="J193" s="163"/>
      <c r="K193" s="159"/>
      <c r="L193" s="164"/>
      <c r="M193" s="165"/>
      <c r="N193" s="166"/>
      <c r="O193" s="167"/>
      <c r="P193" s="168"/>
      <c r="Q193" s="159"/>
      <c r="R193" s="57"/>
      <c r="S193" s="157"/>
      <c r="T193" s="157"/>
      <c r="U193" s="157"/>
      <c r="V193" s="157"/>
      <c r="W193" s="157"/>
      <c r="X193" s="157"/>
      <c r="Y193" s="57"/>
      <c r="Z193" s="57"/>
    </row>
    <row r="194">
      <c r="A194" s="169" t="s">
        <v>71</v>
      </c>
      <c r="B194" s="170"/>
      <c r="C194" s="171"/>
      <c r="D194" s="172"/>
      <c r="E194" s="173"/>
      <c r="F194" s="174"/>
      <c r="G194" s="175" t="s">
        <v>333</v>
      </c>
      <c r="H194" s="176"/>
      <c r="I194" s="177"/>
      <c r="J194" s="151"/>
      <c r="K194" s="57"/>
      <c r="L194" s="152"/>
      <c r="M194" s="153"/>
      <c r="N194" s="154"/>
      <c r="O194" s="178" t="s">
        <v>334</v>
      </c>
      <c r="P194" s="156"/>
      <c r="Q194" s="57"/>
      <c r="R194" s="179"/>
      <c r="S194" s="157"/>
      <c r="T194" s="157"/>
      <c r="U194" s="157"/>
      <c r="V194" s="157"/>
      <c r="W194" s="157"/>
      <c r="X194" s="157"/>
      <c r="Y194" s="57"/>
      <c r="Z194" s="57"/>
    </row>
    <row r="195">
      <c r="A195" s="182"/>
      <c r="B195" s="105"/>
      <c r="C195" s="183"/>
      <c r="D195" s="172"/>
      <c r="E195" s="184" t="s">
        <v>335</v>
      </c>
      <c r="F195" s="180" t="s">
        <v>237</v>
      </c>
      <c r="G195" s="185" t="s">
        <v>336</v>
      </c>
      <c r="H195" s="186" t="s">
        <v>337</v>
      </c>
      <c r="I195" s="104"/>
      <c r="J195" s="104" t="s">
        <v>0</v>
      </c>
      <c r="K195" s="57"/>
      <c r="L195" s="152"/>
      <c r="M195" s="187" t="s">
        <v>338</v>
      </c>
      <c r="O195" s="188" t="s">
        <v>527</v>
      </c>
      <c r="P195" s="189">
        <v>650.0</v>
      </c>
      <c r="Q195" s="57"/>
      <c r="R195" s="179"/>
      <c r="S195" s="242"/>
      <c r="T195" s="242"/>
      <c r="U195" s="242"/>
      <c r="V195" s="242"/>
      <c r="W195" s="242"/>
      <c r="X195" s="242"/>
      <c r="Y195" s="148"/>
      <c r="Z195" s="148"/>
    </row>
    <row r="196">
      <c r="A196" s="190" t="s">
        <v>179</v>
      </c>
      <c r="C196" s="191">
        <f>SUM(F196:F220)</f>
        <v>5880</v>
      </c>
      <c r="D196" s="172"/>
      <c r="E196" s="272" t="s">
        <v>448</v>
      </c>
      <c r="F196" s="193">
        <v>400.0</v>
      </c>
      <c r="G196" s="194"/>
      <c r="H196" s="195"/>
      <c r="I196" s="151"/>
      <c r="J196" s="192" t="s">
        <v>341</v>
      </c>
      <c r="K196" s="196"/>
      <c r="L196" s="180">
        <v>250.0</v>
      </c>
      <c r="M196" s="153"/>
      <c r="N196" s="154"/>
      <c r="O196" s="188" t="s">
        <v>528</v>
      </c>
      <c r="P196" s="189">
        <v>540.0</v>
      </c>
      <c r="Q196" s="57"/>
      <c r="R196" s="179"/>
      <c r="S196" s="242"/>
      <c r="T196" s="242"/>
      <c r="U196" s="242"/>
      <c r="V196" s="242"/>
      <c r="W196" s="242"/>
      <c r="X196" s="242"/>
      <c r="Y196" s="148"/>
      <c r="Z196" s="148"/>
    </row>
    <row r="197">
      <c r="A197" s="198" t="s">
        <v>343</v>
      </c>
      <c r="B197" s="199" t="s">
        <v>321</v>
      </c>
      <c r="C197" s="191">
        <f>SUM(P195:P217)</f>
        <v>2930</v>
      </c>
      <c r="D197" s="149"/>
      <c r="E197" s="272" t="s">
        <v>529</v>
      </c>
      <c r="F197" s="193">
        <v>650.0</v>
      </c>
      <c r="G197" s="297" t="s">
        <v>426</v>
      </c>
      <c r="H197" s="205"/>
      <c r="I197" s="201"/>
      <c r="J197" s="202" t="s">
        <v>345</v>
      </c>
      <c r="K197" s="196"/>
      <c r="L197" s="197"/>
      <c r="M197" s="153"/>
      <c r="N197" s="154"/>
      <c r="O197" s="188" t="s">
        <v>530</v>
      </c>
      <c r="P197" s="189">
        <v>120.0</v>
      </c>
      <c r="Q197" s="57"/>
      <c r="R197" s="179"/>
      <c r="S197" s="157"/>
      <c r="T197" s="157"/>
      <c r="U197" s="157"/>
      <c r="V197" s="157"/>
      <c r="W197" s="157"/>
      <c r="X197" s="157"/>
      <c r="Y197" s="57"/>
      <c r="Z197" s="57"/>
    </row>
    <row r="198">
      <c r="A198" s="203" t="s">
        <v>201</v>
      </c>
      <c r="C198" s="204">
        <f>SUM(L196:L219)</f>
        <v>5778</v>
      </c>
      <c r="D198" s="149"/>
      <c r="E198" s="272" t="s">
        <v>531</v>
      </c>
      <c r="F198" s="193">
        <v>130.0</v>
      </c>
      <c r="G198" s="200"/>
      <c r="H198" s="205"/>
      <c r="I198" s="151"/>
      <c r="J198" s="206" t="s">
        <v>6</v>
      </c>
      <c r="K198" s="196"/>
      <c r="L198" s="197"/>
      <c r="M198" s="153"/>
      <c r="N198" s="154"/>
      <c r="O198" s="188" t="s">
        <v>532</v>
      </c>
      <c r="P198" s="189">
        <v>600.0</v>
      </c>
      <c r="Q198" s="57"/>
      <c r="R198" s="179"/>
      <c r="S198" s="157"/>
      <c r="T198" s="157"/>
      <c r="U198" s="157"/>
      <c r="V198" s="157"/>
      <c r="W198" s="157"/>
      <c r="X198" s="157"/>
      <c r="Y198" s="57"/>
      <c r="Z198" s="57"/>
    </row>
    <row r="199">
      <c r="A199" s="207"/>
      <c r="B199" s="105"/>
      <c r="C199" s="204"/>
      <c r="D199" s="149"/>
      <c r="E199" s="272" t="s">
        <v>504</v>
      </c>
      <c r="F199" s="193">
        <v>220.0</v>
      </c>
      <c r="G199" s="200"/>
      <c r="H199" s="205"/>
      <c r="I199" s="208"/>
      <c r="J199" s="192" t="s">
        <v>7</v>
      </c>
      <c r="K199" s="196"/>
      <c r="L199" s="180"/>
      <c r="M199" s="153"/>
      <c r="N199" s="154"/>
      <c r="O199" s="188" t="s">
        <v>533</v>
      </c>
      <c r="P199" s="189">
        <v>650.0</v>
      </c>
      <c r="Q199" s="57"/>
      <c r="R199" s="179"/>
      <c r="S199" s="157"/>
      <c r="T199" s="157"/>
      <c r="U199" s="157"/>
      <c r="V199" s="157"/>
      <c r="W199" s="157"/>
      <c r="X199" s="157"/>
      <c r="Y199" s="57"/>
      <c r="Z199" s="57"/>
    </row>
    <row r="200">
      <c r="A200" s="211" t="s">
        <v>350</v>
      </c>
      <c r="C200" s="273">
        <f>C196-C198-B202-B208</f>
        <v>-1145</v>
      </c>
      <c r="D200" s="149"/>
      <c r="E200" s="272" t="s">
        <v>389</v>
      </c>
      <c r="F200" s="193">
        <v>200.0</v>
      </c>
      <c r="G200" s="200"/>
      <c r="H200" s="205"/>
      <c r="I200" s="201"/>
      <c r="J200" s="202" t="s">
        <v>210</v>
      </c>
      <c r="K200" s="196"/>
      <c r="L200" s="197"/>
      <c r="M200" s="153"/>
      <c r="N200" s="154"/>
      <c r="O200" s="188" t="s">
        <v>534</v>
      </c>
      <c r="P200" s="189">
        <v>370.0</v>
      </c>
      <c r="Q200" s="57"/>
      <c r="R200" s="179"/>
      <c r="S200" s="157"/>
      <c r="T200" s="157"/>
      <c r="U200" s="157"/>
      <c r="V200" s="157"/>
      <c r="W200" s="157"/>
      <c r="X200" s="157"/>
      <c r="Y200" s="57"/>
      <c r="Z200" s="57"/>
    </row>
    <row r="201">
      <c r="A201" s="213"/>
      <c r="C201" s="214"/>
      <c r="D201" s="234"/>
      <c r="E201" s="272" t="s">
        <v>416</v>
      </c>
      <c r="F201" s="193">
        <v>500.0</v>
      </c>
      <c r="G201" s="200"/>
      <c r="H201" s="205"/>
      <c r="I201" s="201"/>
      <c r="J201" s="202" t="s">
        <v>354</v>
      </c>
      <c r="K201" s="196"/>
      <c r="L201" s="180">
        <v>300.0</v>
      </c>
      <c r="M201" s="209" t="s">
        <v>461</v>
      </c>
      <c r="O201" s="210"/>
      <c r="P201" s="189"/>
      <c r="Q201" s="57"/>
      <c r="R201" s="179"/>
      <c r="S201" s="157"/>
      <c r="T201" s="157"/>
      <c r="U201" s="157"/>
      <c r="V201" s="157"/>
      <c r="W201" s="157"/>
      <c r="X201" s="157"/>
      <c r="Y201" s="57"/>
      <c r="Z201" s="57"/>
    </row>
    <row r="202">
      <c r="A202" s="216" t="s">
        <v>356</v>
      </c>
      <c r="B202" s="217">
        <v>1172.0</v>
      </c>
      <c r="C202" s="214"/>
      <c r="D202" s="149"/>
      <c r="E202" s="272" t="s">
        <v>464</v>
      </c>
      <c r="F202" s="193">
        <v>230.0</v>
      </c>
      <c r="G202" s="200"/>
      <c r="H202" s="205"/>
      <c r="I202" s="208"/>
      <c r="J202" s="192" t="s">
        <v>358</v>
      </c>
      <c r="K202" s="196"/>
      <c r="L202" s="180"/>
      <c r="M202" s="153"/>
      <c r="N202" s="154"/>
      <c r="O202" s="210"/>
      <c r="P202" s="156"/>
      <c r="Q202" s="57"/>
      <c r="R202" s="179"/>
      <c r="S202" s="157"/>
      <c r="T202" s="157"/>
      <c r="U202" s="157"/>
      <c r="V202" s="157"/>
      <c r="W202" s="157"/>
      <c r="X202" s="157"/>
      <c r="Y202" s="57"/>
      <c r="Z202" s="57"/>
    </row>
    <row r="203">
      <c r="A203" s="218" t="s">
        <v>214</v>
      </c>
      <c r="B203" s="219">
        <v>600.0</v>
      </c>
      <c r="C203" s="220"/>
      <c r="D203" s="172"/>
      <c r="E203" s="272" t="s">
        <v>535</v>
      </c>
      <c r="F203" s="193">
        <v>145.0</v>
      </c>
      <c r="G203" s="200"/>
      <c r="H203" s="205"/>
      <c r="I203" s="151"/>
      <c r="J203" s="206" t="s">
        <v>34</v>
      </c>
      <c r="K203" s="196"/>
      <c r="L203" s="180">
        <v>46.0</v>
      </c>
      <c r="M203" s="153"/>
      <c r="N203" s="154"/>
      <c r="O203" s="210"/>
      <c r="P203" s="156"/>
      <c r="Q203" s="57"/>
      <c r="R203" s="179"/>
      <c r="S203" s="157"/>
      <c r="T203" s="157"/>
      <c r="U203" s="157"/>
      <c r="V203" s="157"/>
      <c r="W203" s="157"/>
      <c r="X203" s="157"/>
      <c r="Y203" s="57"/>
      <c r="Z203" s="57"/>
    </row>
    <row r="204">
      <c r="A204" s="221" t="s">
        <v>272</v>
      </c>
      <c r="B204" s="222">
        <v>4643.0</v>
      </c>
      <c r="C204" s="223"/>
      <c r="D204" s="149"/>
      <c r="E204" s="272" t="s">
        <v>536</v>
      </c>
      <c r="F204" s="193">
        <v>180.0</v>
      </c>
      <c r="G204" s="200"/>
      <c r="H204" s="205"/>
      <c r="I204" s="208"/>
      <c r="J204" s="192" t="s">
        <v>216</v>
      </c>
      <c r="K204" s="196"/>
      <c r="L204" s="197"/>
      <c r="M204" s="153"/>
      <c r="N204" s="154"/>
      <c r="O204" s="210"/>
      <c r="P204" s="156"/>
      <c r="Q204" s="57"/>
      <c r="R204" s="179"/>
      <c r="S204" s="157"/>
      <c r="T204" s="157"/>
      <c r="U204" s="157"/>
      <c r="V204" s="157"/>
      <c r="W204" s="157"/>
      <c r="X204" s="157"/>
      <c r="Y204" s="57"/>
      <c r="Z204" s="57"/>
    </row>
    <row r="205">
      <c r="A205" s="224" t="s">
        <v>361</v>
      </c>
      <c r="B205" s="225">
        <v>10500.0</v>
      </c>
      <c r="C205" s="226"/>
      <c r="D205" s="149"/>
      <c r="E205" s="292" t="s">
        <v>537</v>
      </c>
      <c r="F205" s="193">
        <v>150.0</v>
      </c>
      <c r="G205" s="200"/>
      <c r="H205" s="205"/>
      <c r="I205" s="151"/>
      <c r="J205" s="206" t="s">
        <v>108</v>
      </c>
      <c r="K205" s="196"/>
      <c r="L205" s="180">
        <v>250.0</v>
      </c>
      <c r="M205" s="209"/>
      <c r="N205" s="215"/>
      <c r="O205" s="210"/>
      <c r="P205" s="156"/>
      <c r="Q205" s="57"/>
      <c r="R205" s="179"/>
      <c r="S205" s="157"/>
      <c r="T205" s="157"/>
      <c r="U205" s="157"/>
      <c r="V205" s="157"/>
      <c r="W205" s="157"/>
      <c r="X205" s="157"/>
      <c r="Y205" s="57"/>
      <c r="Z205" s="57"/>
    </row>
    <row r="206">
      <c r="A206" s="57"/>
      <c r="B206" s="105"/>
      <c r="C206" s="105"/>
      <c r="D206" s="149"/>
      <c r="E206" s="272" t="s">
        <v>528</v>
      </c>
      <c r="F206" s="193">
        <v>540.0</v>
      </c>
      <c r="G206" s="297" t="s">
        <v>426</v>
      </c>
      <c r="H206" s="205"/>
      <c r="I206" s="227"/>
      <c r="J206" s="228" t="s">
        <v>156</v>
      </c>
      <c r="K206" s="196"/>
      <c r="L206" s="180">
        <v>1750.0</v>
      </c>
      <c r="M206" s="153"/>
      <c r="N206" s="154"/>
      <c r="O206" s="210"/>
      <c r="P206" s="156"/>
      <c r="Q206" s="57"/>
      <c r="R206" s="179"/>
      <c r="S206" s="157"/>
      <c r="T206" s="157"/>
      <c r="U206" s="157"/>
      <c r="V206" s="157"/>
      <c r="W206" s="157"/>
      <c r="X206" s="157"/>
      <c r="Y206" s="57"/>
      <c r="Z206" s="57"/>
    </row>
    <row r="207">
      <c r="A207" s="57"/>
      <c r="B207" s="105"/>
      <c r="C207" s="105"/>
      <c r="D207" s="149"/>
      <c r="E207" s="272" t="s">
        <v>538</v>
      </c>
      <c r="F207" s="193">
        <v>350.0</v>
      </c>
      <c r="G207" s="200"/>
      <c r="H207" s="205"/>
      <c r="I207" s="201"/>
      <c r="J207" s="202" t="s">
        <v>217</v>
      </c>
      <c r="K207" s="196"/>
      <c r="L207" s="180"/>
      <c r="M207" s="153"/>
      <c r="N207" s="154"/>
      <c r="O207" s="210"/>
      <c r="P207" s="156"/>
      <c r="Q207" s="57"/>
      <c r="R207" s="179"/>
      <c r="S207" s="157"/>
      <c r="T207" s="157"/>
      <c r="U207" s="157"/>
      <c r="V207" s="157"/>
      <c r="W207" s="157"/>
      <c r="X207" s="157"/>
      <c r="Y207" s="57"/>
      <c r="Z207" s="57"/>
    </row>
    <row r="208">
      <c r="A208" s="229" t="s">
        <v>365</v>
      </c>
      <c r="B208" s="230">
        <f>SUM(C209,C210,C211,C212,C213,C214,C215,C216,C217,C218)</f>
        <v>75</v>
      </c>
      <c r="C208" s="231" t="s">
        <v>366</v>
      </c>
      <c r="D208" s="149"/>
      <c r="E208" s="272" t="s">
        <v>539</v>
      </c>
      <c r="F208" s="193">
        <v>45.0</v>
      </c>
      <c r="G208" s="200"/>
      <c r="H208" s="205"/>
      <c r="I208" s="208"/>
      <c r="J208" s="192" t="s">
        <v>368</v>
      </c>
      <c r="K208" s="196"/>
      <c r="L208" s="180">
        <v>87.0</v>
      </c>
      <c r="M208" s="153"/>
      <c r="N208" s="154"/>
      <c r="O208" s="210"/>
      <c r="P208" s="156"/>
      <c r="Q208" s="57"/>
      <c r="R208" s="179"/>
      <c r="S208" s="157"/>
      <c r="T208" s="157"/>
      <c r="U208" s="157"/>
      <c r="V208" s="157"/>
      <c r="W208" s="157"/>
      <c r="X208" s="157"/>
      <c r="Y208" s="57"/>
      <c r="Z208" s="57"/>
    </row>
    <row r="209">
      <c r="A209" s="232" t="s">
        <v>369</v>
      </c>
      <c r="C209" s="233">
        <v>75.0</v>
      </c>
      <c r="D209" s="234" t="s">
        <v>466</v>
      </c>
      <c r="E209" s="272" t="s">
        <v>540</v>
      </c>
      <c r="F209" s="193">
        <v>60.0</v>
      </c>
      <c r="G209" s="200"/>
      <c r="H209" s="205"/>
      <c r="I209" s="151"/>
      <c r="J209" s="206" t="s">
        <v>131</v>
      </c>
      <c r="K209" s="196"/>
      <c r="L209" s="180">
        <v>40.0</v>
      </c>
      <c r="M209" s="209" t="s">
        <v>541</v>
      </c>
      <c r="N209" s="215"/>
      <c r="O209" s="210"/>
      <c r="P209" s="156"/>
      <c r="Q209" s="57"/>
      <c r="R209" s="179"/>
      <c r="S209" s="157"/>
      <c r="T209" s="157"/>
      <c r="U209" s="157"/>
      <c r="V209" s="157"/>
      <c r="W209" s="157"/>
      <c r="X209" s="157"/>
      <c r="Y209" s="57"/>
      <c r="Z209" s="57"/>
    </row>
    <row r="210">
      <c r="C210" s="233"/>
      <c r="D210" s="149"/>
      <c r="E210" s="272" t="s">
        <v>520</v>
      </c>
      <c r="F210" s="193">
        <v>80.0</v>
      </c>
      <c r="G210" s="200"/>
      <c r="H210" s="205"/>
      <c r="I210" s="151"/>
      <c r="J210" s="206" t="s">
        <v>18</v>
      </c>
      <c r="K210" s="196"/>
      <c r="L210" s="180"/>
      <c r="M210" s="209"/>
      <c r="N210" s="215"/>
      <c r="O210" s="210"/>
      <c r="P210" s="156"/>
      <c r="Q210" s="57"/>
      <c r="R210" s="179"/>
      <c r="S210" s="157"/>
      <c r="T210" s="157"/>
      <c r="U210" s="157"/>
      <c r="V210" s="157"/>
      <c r="W210" s="157"/>
      <c r="X210" s="157"/>
      <c r="Y210" s="57"/>
      <c r="Z210" s="57"/>
    </row>
    <row r="211">
      <c r="A211" s="57"/>
      <c r="B211" s="105"/>
      <c r="C211" s="235"/>
      <c r="D211" s="149"/>
      <c r="E211" s="272" t="s">
        <v>542</v>
      </c>
      <c r="F211" s="193">
        <v>120.0</v>
      </c>
      <c r="G211" s="297" t="s">
        <v>426</v>
      </c>
      <c r="H211" s="205"/>
      <c r="I211" s="201"/>
      <c r="J211" s="202" t="s">
        <v>377</v>
      </c>
      <c r="K211" s="196"/>
      <c r="L211" s="180">
        <v>252.0</v>
      </c>
      <c r="M211" s="153"/>
      <c r="N211" s="154"/>
      <c r="O211" s="236"/>
      <c r="P211" s="156"/>
      <c r="Q211" s="57"/>
      <c r="R211" s="179"/>
      <c r="S211" s="157"/>
      <c r="T211" s="157"/>
      <c r="U211" s="157"/>
      <c r="V211" s="157"/>
      <c r="W211" s="157"/>
      <c r="X211" s="157"/>
      <c r="Y211" s="57"/>
      <c r="Z211" s="57"/>
    </row>
    <row r="212">
      <c r="A212" s="57"/>
      <c r="B212" s="105"/>
      <c r="C212" s="235"/>
      <c r="D212" s="149"/>
      <c r="E212" s="272" t="s">
        <v>543</v>
      </c>
      <c r="F212" s="193">
        <v>70.0</v>
      </c>
      <c r="G212" s="200"/>
      <c r="H212" s="205"/>
      <c r="I212" s="208"/>
      <c r="J212" s="192" t="s">
        <v>418</v>
      </c>
      <c r="K212" s="196"/>
      <c r="L212" s="180"/>
      <c r="M212" s="153"/>
      <c r="N212" s="154"/>
      <c r="O212" s="236"/>
      <c r="P212" s="156"/>
      <c r="Q212" s="57"/>
      <c r="R212" s="179"/>
      <c r="S212" s="157"/>
      <c r="T212" s="157"/>
      <c r="U212" s="157"/>
      <c r="V212" s="157"/>
      <c r="W212" s="157"/>
      <c r="X212" s="157"/>
      <c r="Y212" s="57"/>
      <c r="Z212" s="57"/>
    </row>
    <row r="213">
      <c r="A213" s="57"/>
      <c r="B213" s="105"/>
      <c r="C213" s="235"/>
      <c r="D213" s="149"/>
      <c r="E213" s="272" t="s">
        <v>413</v>
      </c>
      <c r="F213" s="193">
        <v>100.0</v>
      </c>
      <c r="G213" s="200"/>
      <c r="H213" s="205"/>
      <c r="I213" s="208"/>
      <c r="J213" s="192" t="s">
        <v>381</v>
      </c>
      <c r="K213" s="196"/>
      <c r="L213" s="180">
        <v>1240.0</v>
      </c>
      <c r="M213" s="209"/>
      <c r="N213" s="215"/>
      <c r="O213" s="210"/>
      <c r="P213" s="156"/>
      <c r="Q213" s="57"/>
      <c r="R213" s="179"/>
      <c r="S213" s="157"/>
      <c r="T213" s="157"/>
      <c r="U213" s="157"/>
      <c r="V213" s="157"/>
      <c r="W213" s="157"/>
      <c r="X213" s="157"/>
      <c r="Y213" s="57"/>
      <c r="Z213" s="57"/>
    </row>
    <row r="214">
      <c r="A214" s="57"/>
      <c r="B214" s="105"/>
      <c r="C214" s="235"/>
      <c r="D214" s="149"/>
      <c r="E214" s="272" t="s">
        <v>544</v>
      </c>
      <c r="F214" s="193">
        <v>600.0</v>
      </c>
      <c r="G214" s="297" t="s">
        <v>426</v>
      </c>
      <c r="H214" s="205"/>
      <c r="I214" s="208"/>
      <c r="J214" s="192" t="s">
        <v>383</v>
      </c>
      <c r="K214" s="237"/>
      <c r="L214" s="180">
        <v>1235.0</v>
      </c>
      <c r="M214" s="209"/>
      <c r="N214" s="215"/>
      <c r="O214" s="210"/>
      <c r="P214" s="156"/>
      <c r="Q214" s="57"/>
      <c r="R214" s="179"/>
      <c r="S214" s="157"/>
      <c r="T214" s="157"/>
      <c r="U214" s="157"/>
      <c r="V214" s="157"/>
      <c r="W214" s="157"/>
      <c r="X214" s="157"/>
      <c r="Y214" s="57"/>
      <c r="Z214" s="57"/>
    </row>
    <row r="215">
      <c r="A215" s="238"/>
      <c r="B215" s="105"/>
      <c r="C215" s="235"/>
      <c r="D215" s="149"/>
      <c r="E215" s="272" t="s">
        <v>545</v>
      </c>
      <c r="F215" s="193">
        <v>650.0</v>
      </c>
      <c r="G215" s="297" t="s">
        <v>426</v>
      </c>
      <c r="H215" s="205"/>
      <c r="I215" s="208"/>
      <c r="J215" s="192" t="s">
        <v>202</v>
      </c>
      <c r="K215" s="237"/>
      <c r="L215" s="180">
        <v>90.0</v>
      </c>
      <c r="M215" s="209" t="s">
        <v>385</v>
      </c>
      <c r="N215" s="154"/>
      <c r="O215" s="210"/>
      <c r="P215" s="156"/>
      <c r="Q215" s="57"/>
      <c r="R215" s="179"/>
      <c r="S215" s="157"/>
      <c r="T215" s="157"/>
      <c r="U215" s="157"/>
      <c r="V215" s="157"/>
      <c r="W215" s="157"/>
      <c r="X215" s="157"/>
      <c r="Y215" s="57"/>
      <c r="Z215" s="57"/>
    </row>
    <row r="216">
      <c r="A216" s="239"/>
      <c r="B216" s="105"/>
      <c r="C216" s="235"/>
      <c r="D216" s="149"/>
      <c r="E216" s="272" t="s">
        <v>546</v>
      </c>
      <c r="F216" s="193">
        <v>370.0</v>
      </c>
      <c r="G216" s="297" t="s">
        <v>426</v>
      </c>
      <c r="H216" s="205"/>
      <c r="I216" s="208"/>
      <c r="J216" s="192" t="s">
        <v>274</v>
      </c>
      <c r="K216" s="196"/>
      <c r="L216" s="180">
        <v>213.0</v>
      </c>
      <c r="M216" s="153"/>
      <c r="N216" s="215"/>
      <c r="O216" s="210"/>
      <c r="P216" s="240"/>
      <c r="Q216" s="148"/>
      <c r="R216" s="241"/>
      <c r="S216" s="157"/>
      <c r="T216" s="157"/>
      <c r="U216" s="157"/>
      <c r="V216" s="157"/>
      <c r="W216" s="157"/>
      <c r="X216" s="157"/>
      <c r="Y216" s="57"/>
      <c r="Z216" s="57"/>
    </row>
    <row r="217">
      <c r="A217" s="148"/>
      <c r="B217" s="243"/>
      <c r="C217" s="244"/>
      <c r="D217" s="245"/>
      <c r="E217" s="275" t="s">
        <v>403</v>
      </c>
      <c r="F217" s="247">
        <v>90.0</v>
      </c>
      <c r="G217" s="248"/>
      <c r="H217" s="249"/>
      <c r="I217" s="208"/>
      <c r="J217" s="192" t="s">
        <v>220</v>
      </c>
      <c r="K217" s="196"/>
      <c r="L217" s="180">
        <v>25.0</v>
      </c>
      <c r="M217" s="209"/>
      <c r="N217" s="250"/>
      <c r="O217" s="236"/>
      <c r="P217" s="240"/>
      <c r="Q217" s="148"/>
      <c r="R217" s="241"/>
      <c r="S217" s="157"/>
      <c r="T217" s="157"/>
      <c r="U217" s="157"/>
      <c r="V217" s="157"/>
      <c r="W217" s="157"/>
      <c r="X217" s="157"/>
      <c r="Y217" s="57"/>
      <c r="Z217" s="57"/>
    </row>
    <row r="218">
      <c r="A218" s="148"/>
      <c r="B218" s="243"/>
      <c r="C218" s="244"/>
      <c r="D218" s="245"/>
      <c r="E218" s="276"/>
      <c r="F218" s="277"/>
      <c r="G218" s="248"/>
      <c r="H218" s="249"/>
      <c r="I218" s="251"/>
      <c r="J218" s="192" t="s">
        <v>30</v>
      </c>
      <c r="K218" s="196"/>
      <c r="L218" s="180"/>
      <c r="M218" s="295" t="s">
        <v>475</v>
      </c>
      <c r="N218" s="250"/>
      <c r="O218" s="253"/>
      <c r="P218" s="156"/>
      <c r="Q218" s="57"/>
      <c r="R218" s="179"/>
      <c r="S218" s="157"/>
      <c r="T218" s="157"/>
      <c r="U218" s="157"/>
      <c r="V218" s="157"/>
      <c r="W218" s="157"/>
      <c r="X218" s="157"/>
      <c r="Y218" s="57"/>
      <c r="Z218" s="57"/>
    </row>
    <row r="219">
      <c r="A219" s="148"/>
      <c r="B219" s="243"/>
      <c r="C219" s="243"/>
      <c r="D219" s="245"/>
      <c r="E219" s="276"/>
      <c r="F219" s="277"/>
      <c r="G219" s="248"/>
      <c r="H219" s="249"/>
      <c r="I219" s="251"/>
      <c r="J219" s="192" t="s">
        <v>225</v>
      </c>
      <c r="K219" s="196"/>
      <c r="L219" s="254"/>
      <c r="M219" s="252"/>
      <c r="N219" s="250"/>
      <c r="O219" s="155"/>
      <c r="P219" s="156"/>
      <c r="Q219" s="57"/>
      <c r="R219" s="179"/>
      <c r="S219" s="157"/>
      <c r="T219" s="157"/>
      <c r="U219" s="157"/>
      <c r="V219" s="157"/>
      <c r="W219" s="157"/>
      <c r="X219" s="157"/>
      <c r="Y219" s="57"/>
      <c r="Z219" s="57"/>
    </row>
    <row r="220">
      <c r="A220" s="158"/>
      <c r="B220" s="159"/>
      <c r="C220" s="160"/>
      <c r="D220" s="161"/>
      <c r="E220" s="303"/>
      <c r="F220" s="162"/>
      <c r="G220" s="57"/>
      <c r="H220" s="57"/>
      <c r="I220" s="151"/>
      <c r="J220" s="163"/>
      <c r="K220" s="159"/>
      <c r="L220" s="164"/>
      <c r="M220" s="165"/>
      <c r="N220" s="166"/>
      <c r="O220" s="167"/>
      <c r="P220" s="168"/>
      <c r="Q220" s="159"/>
      <c r="R220" s="57"/>
      <c r="S220" s="242"/>
      <c r="T220" s="242"/>
      <c r="U220" s="242"/>
      <c r="V220" s="242"/>
      <c r="W220" s="242"/>
      <c r="X220" s="242"/>
      <c r="Y220" s="148"/>
      <c r="Z220" s="148"/>
    </row>
    <row r="221">
      <c r="A221" s="169" t="s">
        <v>75</v>
      </c>
      <c r="B221" s="170"/>
      <c r="C221" s="171"/>
      <c r="D221" s="172"/>
      <c r="E221" s="173"/>
      <c r="F221" s="174"/>
      <c r="G221" s="175" t="s">
        <v>333</v>
      </c>
      <c r="H221" s="176"/>
      <c r="I221" s="177"/>
      <c r="J221" s="151"/>
      <c r="K221" s="57"/>
      <c r="L221" s="152"/>
      <c r="M221" s="153"/>
      <c r="N221" s="154"/>
      <c r="O221" s="178" t="s">
        <v>334</v>
      </c>
      <c r="P221" s="156"/>
      <c r="Q221" s="57"/>
      <c r="R221" s="179"/>
      <c r="S221" s="242"/>
      <c r="T221" s="242"/>
      <c r="U221" s="242"/>
      <c r="V221" s="242"/>
      <c r="W221" s="242"/>
      <c r="X221" s="242"/>
      <c r="Y221" s="148"/>
      <c r="Z221" s="148"/>
    </row>
    <row r="222">
      <c r="A222" s="182"/>
      <c r="B222" s="105"/>
      <c r="C222" s="183"/>
      <c r="D222" s="172"/>
      <c r="E222" s="184" t="s">
        <v>335</v>
      </c>
      <c r="F222" s="180" t="s">
        <v>237</v>
      </c>
      <c r="G222" s="185" t="s">
        <v>336</v>
      </c>
      <c r="H222" s="186" t="s">
        <v>337</v>
      </c>
      <c r="I222" s="104"/>
      <c r="J222" s="104" t="s">
        <v>0</v>
      </c>
      <c r="K222" s="57"/>
      <c r="L222" s="152"/>
      <c r="M222" s="187" t="s">
        <v>338</v>
      </c>
      <c r="O222" s="188" t="s">
        <v>547</v>
      </c>
      <c r="P222" s="189">
        <v>540.0</v>
      </c>
      <c r="Q222" s="57"/>
      <c r="R222" s="179"/>
      <c r="S222" s="157"/>
      <c r="T222" s="157"/>
      <c r="U222" s="157"/>
      <c r="V222" s="157"/>
      <c r="W222" s="157"/>
      <c r="X222" s="157"/>
      <c r="Y222" s="57"/>
      <c r="Z222" s="57"/>
    </row>
    <row r="223">
      <c r="A223" s="190" t="s">
        <v>179</v>
      </c>
      <c r="C223" s="191">
        <f>SUM(F223:F248)</f>
        <v>5420</v>
      </c>
      <c r="D223" s="172"/>
      <c r="E223" s="272" t="s">
        <v>548</v>
      </c>
      <c r="F223" s="193">
        <v>340.0</v>
      </c>
      <c r="G223" s="194"/>
      <c r="H223" s="195"/>
      <c r="I223" s="151"/>
      <c r="J223" s="192" t="s">
        <v>341</v>
      </c>
      <c r="K223" s="196"/>
      <c r="L223" s="197"/>
      <c r="M223" s="153"/>
      <c r="N223" s="154"/>
      <c r="O223" s="188"/>
      <c r="P223" s="189"/>
      <c r="Q223" s="57"/>
      <c r="R223" s="179"/>
      <c r="S223" s="157"/>
      <c r="T223" s="157"/>
      <c r="U223" s="157"/>
      <c r="V223" s="157"/>
      <c r="W223" s="157"/>
      <c r="X223" s="157"/>
      <c r="Y223" s="57"/>
      <c r="Z223" s="57"/>
    </row>
    <row r="224">
      <c r="A224" s="198" t="s">
        <v>343</v>
      </c>
      <c r="B224" s="199" t="s">
        <v>321</v>
      </c>
      <c r="C224" s="191">
        <f>SUM(P222:P244)</f>
        <v>540</v>
      </c>
      <c r="D224" s="149"/>
      <c r="E224" s="272" t="s">
        <v>549</v>
      </c>
      <c r="F224" s="193">
        <v>390.0</v>
      </c>
      <c r="G224" s="194"/>
      <c r="H224" s="205"/>
      <c r="I224" s="201"/>
      <c r="J224" s="202" t="s">
        <v>345</v>
      </c>
      <c r="K224" s="196"/>
      <c r="L224" s="180">
        <v>164.0</v>
      </c>
      <c r="M224" s="153"/>
      <c r="N224" s="154"/>
      <c r="O224" s="210"/>
      <c r="P224" s="156"/>
      <c r="Q224" s="57"/>
      <c r="R224" s="179"/>
      <c r="S224" s="157"/>
      <c r="T224" s="157"/>
      <c r="U224" s="157"/>
      <c r="V224" s="157"/>
      <c r="W224" s="157"/>
      <c r="X224" s="157"/>
      <c r="Y224" s="57"/>
      <c r="Z224" s="57"/>
    </row>
    <row r="225">
      <c r="A225" s="203" t="s">
        <v>201</v>
      </c>
      <c r="C225" s="204">
        <f>SUM(L223:L246)</f>
        <v>6554</v>
      </c>
      <c r="D225" s="149"/>
      <c r="E225" s="272" t="s">
        <v>504</v>
      </c>
      <c r="F225" s="193">
        <v>220.0</v>
      </c>
      <c r="G225" s="200"/>
      <c r="H225" s="205"/>
      <c r="I225" s="151"/>
      <c r="J225" s="206" t="s">
        <v>6</v>
      </c>
      <c r="K225" s="196"/>
      <c r="L225" s="197"/>
      <c r="M225" s="153"/>
      <c r="N225" s="154"/>
      <c r="O225" s="210"/>
      <c r="P225" s="156"/>
      <c r="Q225" s="57"/>
      <c r="R225" s="179"/>
      <c r="S225" s="157"/>
      <c r="T225" s="157"/>
      <c r="U225" s="157"/>
      <c r="V225" s="157"/>
      <c r="W225" s="157"/>
      <c r="X225" s="157"/>
      <c r="Y225" s="57"/>
      <c r="Z225" s="57"/>
    </row>
    <row r="226">
      <c r="A226" s="207"/>
      <c r="B226" s="105"/>
      <c r="C226" s="204"/>
      <c r="D226" s="149"/>
      <c r="E226" s="272" t="s">
        <v>403</v>
      </c>
      <c r="F226" s="193">
        <v>110.0</v>
      </c>
      <c r="G226" s="200"/>
      <c r="H226" s="205"/>
      <c r="I226" s="208"/>
      <c r="J226" s="192" t="s">
        <v>7</v>
      </c>
      <c r="K226" s="196"/>
      <c r="L226" s="180"/>
      <c r="M226" s="153"/>
      <c r="N226" s="154"/>
      <c r="O226" s="210"/>
      <c r="P226" s="189"/>
      <c r="Q226" s="57"/>
      <c r="R226" s="179"/>
      <c r="S226" s="157"/>
      <c r="T226" s="157"/>
      <c r="U226" s="157"/>
      <c r="V226" s="157"/>
      <c r="W226" s="157"/>
      <c r="X226" s="157"/>
      <c r="Y226" s="57"/>
      <c r="Z226" s="57"/>
    </row>
    <row r="227">
      <c r="A227" s="211" t="s">
        <v>350</v>
      </c>
      <c r="C227" s="273">
        <f>C223-C225-B229-B235</f>
        <v>-1350</v>
      </c>
      <c r="D227" s="149"/>
      <c r="E227" s="272" t="s">
        <v>550</v>
      </c>
      <c r="F227" s="193">
        <v>370.0</v>
      </c>
      <c r="G227" s="200"/>
      <c r="H227" s="205"/>
      <c r="I227" s="201"/>
      <c r="J227" s="202" t="s">
        <v>210</v>
      </c>
      <c r="K227" s="196"/>
      <c r="L227" s="180"/>
      <c r="M227" s="153"/>
      <c r="N227" s="154"/>
      <c r="O227" s="210"/>
      <c r="P227" s="189"/>
      <c r="Q227" s="57"/>
      <c r="R227" s="179"/>
      <c r="S227" s="157"/>
      <c r="T227" s="157"/>
      <c r="U227" s="157"/>
      <c r="V227" s="157"/>
      <c r="W227" s="157"/>
      <c r="X227" s="157"/>
      <c r="Y227" s="57"/>
      <c r="Z227" s="57"/>
    </row>
    <row r="228">
      <c r="A228" s="213"/>
      <c r="C228" s="214"/>
      <c r="D228" s="149"/>
      <c r="E228" s="272" t="s">
        <v>520</v>
      </c>
      <c r="F228" s="193">
        <v>60.0</v>
      </c>
      <c r="G228" s="200"/>
      <c r="H228" s="205"/>
      <c r="I228" s="201"/>
      <c r="J228" s="202" t="s">
        <v>354</v>
      </c>
      <c r="K228" s="196"/>
      <c r="L228" s="180">
        <v>145.0</v>
      </c>
      <c r="M228" s="209" t="s">
        <v>461</v>
      </c>
      <c r="O228" s="210"/>
      <c r="P228" s="189"/>
      <c r="Q228" s="57"/>
      <c r="R228" s="179"/>
      <c r="S228" s="157"/>
      <c r="T228" s="157"/>
      <c r="U228" s="157"/>
      <c r="V228" s="157"/>
      <c r="W228" s="157"/>
      <c r="X228" s="157"/>
      <c r="Y228" s="57"/>
      <c r="Z228" s="57"/>
    </row>
    <row r="229">
      <c r="A229" s="216" t="s">
        <v>356</v>
      </c>
      <c r="B229" s="217">
        <v>216.0</v>
      </c>
      <c r="C229" s="214"/>
      <c r="D229" s="149"/>
      <c r="E229" s="272" t="s">
        <v>551</v>
      </c>
      <c r="F229" s="193">
        <v>190.0</v>
      </c>
      <c r="G229" s="200"/>
      <c r="H229" s="205"/>
      <c r="I229" s="208"/>
      <c r="J229" s="192" t="s">
        <v>358</v>
      </c>
      <c r="K229" s="196"/>
      <c r="L229" s="180"/>
      <c r="M229" s="153"/>
      <c r="N229" s="154"/>
      <c r="O229" s="210"/>
      <c r="P229" s="156"/>
      <c r="Q229" s="57"/>
      <c r="R229" s="179"/>
      <c r="S229" s="157"/>
      <c r="T229" s="157"/>
      <c r="U229" s="157"/>
      <c r="V229" s="157"/>
      <c r="W229" s="157"/>
      <c r="X229" s="157"/>
      <c r="Y229" s="57"/>
      <c r="Z229" s="57"/>
    </row>
    <row r="230">
      <c r="A230" s="218" t="s">
        <v>214</v>
      </c>
      <c r="B230" s="219">
        <v>600.0</v>
      </c>
      <c r="C230" s="220"/>
      <c r="D230" s="172"/>
      <c r="E230" s="272" t="s">
        <v>518</v>
      </c>
      <c r="F230" s="193">
        <v>240.0</v>
      </c>
      <c r="G230" s="200"/>
      <c r="H230" s="205"/>
      <c r="I230" s="151"/>
      <c r="J230" s="206" t="s">
        <v>34</v>
      </c>
      <c r="K230" s="196"/>
      <c r="L230" s="180"/>
      <c r="M230" s="153"/>
      <c r="N230" s="154"/>
      <c r="O230" s="210"/>
      <c r="P230" s="156"/>
      <c r="Q230" s="57"/>
      <c r="R230" s="179"/>
      <c r="S230" s="157"/>
      <c r="T230" s="157"/>
      <c r="U230" s="157"/>
      <c r="V230" s="157"/>
      <c r="W230" s="157"/>
      <c r="X230" s="157"/>
      <c r="Y230" s="57"/>
      <c r="Z230" s="57"/>
    </row>
    <row r="231">
      <c r="A231" s="221" t="s">
        <v>272</v>
      </c>
      <c r="B231" s="222">
        <v>1778.0</v>
      </c>
      <c r="C231" s="223"/>
      <c r="D231" s="149"/>
      <c r="E231" s="272" t="s">
        <v>433</v>
      </c>
      <c r="F231" s="193">
        <v>200.0</v>
      </c>
      <c r="G231" s="200"/>
      <c r="H231" s="205"/>
      <c r="I231" s="208"/>
      <c r="J231" s="192" t="s">
        <v>216</v>
      </c>
      <c r="K231" s="196"/>
      <c r="L231" s="197"/>
      <c r="M231" s="153"/>
      <c r="N231" s="154"/>
      <c r="O231" s="210"/>
      <c r="P231" s="156"/>
      <c r="Q231" s="57"/>
      <c r="R231" s="179"/>
      <c r="S231" s="157"/>
      <c r="T231" s="157"/>
      <c r="U231" s="157"/>
      <c r="V231" s="157"/>
      <c r="W231" s="157"/>
      <c r="X231" s="157"/>
      <c r="Y231" s="57"/>
      <c r="Z231" s="57"/>
    </row>
    <row r="232">
      <c r="A232" s="224" t="s">
        <v>361</v>
      </c>
      <c r="B232" s="225">
        <v>10500.0</v>
      </c>
      <c r="C232" s="226"/>
      <c r="D232" s="149"/>
      <c r="E232" s="272" t="s">
        <v>406</v>
      </c>
      <c r="F232" s="193">
        <v>50.0</v>
      </c>
      <c r="G232" s="200"/>
      <c r="H232" s="205"/>
      <c r="I232" s="151"/>
      <c r="J232" s="206" t="s">
        <v>108</v>
      </c>
      <c r="K232" s="196"/>
      <c r="L232" s="180">
        <v>240.0</v>
      </c>
      <c r="M232" s="209"/>
      <c r="N232" s="215"/>
      <c r="O232" s="210"/>
      <c r="P232" s="156"/>
      <c r="Q232" s="57"/>
      <c r="R232" s="179"/>
      <c r="S232" s="157"/>
      <c r="T232" s="157"/>
      <c r="U232" s="157"/>
      <c r="V232" s="157"/>
      <c r="W232" s="157"/>
      <c r="X232" s="157"/>
      <c r="Y232" s="57"/>
      <c r="Z232" s="57"/>
    </row>
    <row r="233">
      <c r="A233" s="57"/>
      <c r="B233" s="105"/>
      <c r="C233" s="105"/>
      <c r="D233" s="149"/>
      <c r="E233" s="272" t="s">
        <v>552</v>
      </c>
      <c r="F233" s="193">
        <v>60.0</v>
      </c>
      <c r="G233" s="200"/>
      <c r="H233" s="205"/>
      <c r="I233" s="227"/>
      <c r="J233" s="228" t="s">
        <v>156</v>
      </c>
      <c r="K233" s="196"/>
      <c r="L233" s="180">
        <v>1250.0</v>
      </c>
      <c r="M233" s="153"/>
      <c r="N233" s="154"/>
      <c r="O233" s="210"/>
      <c r="P233" s="156"/>
      <c r="Q233" s="57"/>
      <c r="R233" s="179"/>
      <c r="S233" s="157"/>
      <c r="T233" s="157"/>
      <c r="U233" s="157"/>
      <c r="V233" s="157"/>
      <c r="W233" s="157"/>
      <c r="X233" s="157"/>
      <c r="Y233" s="57"/>
      <c r="Z233" s="57"/>
    </row>
    <row r="234">
      <c r="A234" s="57"/>
      <c r="B234" s="105"/>
      <c r="C234" s="105"/>
      <c r="D234" s="149"/>
      <c r="E234" s="272" t="s">
        <v>531</v>
      </c>
      <c r="F234" s="193">
        <v>265.0</v>
      </c>
      <c r="G234" s="200"/>
      <c r="H234" s="205"/>
      <c r="I234" s="201"/>
      <c r="J234" s="202" t="s">
        <v>217</v>
      </c>
      <c r="K234" s="196"/>
      <c r="L234" s="180"/>
      <c r="M234" s="153"/>
      <c r="N234" s="154"/>
      <c r="O234" s="210"/>
      <c r="P234" s="156"/>
      <c r="Q234" s="57"/>
      <c r="R234" s="179"/>
      <c r="S234" s="157"/>
      <c r="T234" s="157"/>
      <c r="U234" s="157"/>
      <c r="V234" s="157"/>
      <c r="W234" s="157"/>
      <c r="X234" s="157"/>
      <c r="Y234" s="57"/>
      <c r="Z234" s="57"/>
    </row>
    <row r="235">
      <c r="A235" s="229" t="s">
        <v>365</v>
      </c>
      <c r="B235" s="230">
        <f>SUM(C236,C237,C238,C239,C240,C241,C242,C243,C244,C245)</f>
        <v>0</v>
      </c>
      <c r="C235" s="231" t="s">
        <v>366</v>
      </c>
      <c r="D235" s="149"/>
      <c r="E235" s="272" t="s">
        <v>553</v>
      </c>
      <c r="F235" s="193">
        <v>120.0</v>
      </c>
      <c r="G235" s="200"/>
      <c r="H235" s="205"/>
      <c r="I235" s="208"/>
      <c r="J235" s="192" t="s">
        <v>368</v>
      </c>
      <c r="K235" s="196"/>
      <c r="L235" s="197"/>
      <c r="M235" s="153"/>
      <c r="N235" s="154"/>
      <c r="O235" s="210"/>
      <c r="P235" s="156"/>
      <c r="Q235" s="57"/>
      <c r="R235" s="179"/>
      <c r="S235" s="157"/>
      <c r="T235" s="157"/>
      <c r="U235" s="157"/>
      <c r="V235" s="157"/>
      <c r="W235" s="157"/>
      <c r="X235" s="157"/>
      <c r="Y235" s="57"/>
      <c r="Z235" s="57"/>
    </row>
    <row r="236">
      <c r="A236" s="232" t="s">
        <v>369</v>
      </c>
      <c r="C236" s="233"/>
      <c r="D236" s="149"/>
      <c r="E236" s="272" t="s">
        <v>421</v>
      </c>
      <c r="F236" s="193">
        <v>400.0</v>
      </c>
      <c r="G236" s="200"/>
      <c r="H236" s="205"/>
      <c r="I236" s="151"/>
      <c r="J236" s="206" t="s">
        <v>131</v>
      </c>
      <c r="K236" s="196"/>
      <c r="L236" s="180">
        <v>1500.0</v>
      </c>
      <c r="M236" s="209" t="s">
        <v>554</v>
      </c>
      <c r="N236" s="215"/>
      <c r="O236" s="210"/>
      <c r="P236" s="156"/>
      <c r="Q236" s="57"/>
      <c r="R236" s="179"/>
      <c r="S236" s="157"/>
      <c r="T236" s="157"/>
      <c r="U236" s="157"/>
      <c r="V236" s="157"/>
      <c r="W236" s="157"/>
      <c r="X236" s="157"/>
      <c r="Y236" s="57"/>
      <c r="Z236" s="57"/>
    </row>
    <row r="237">
      <c r="C237" s="233"/>
      <c r="D237" s="149"/>
      <c r="E237" s="272" t="s">
        <v>555</v>
      </c>
      <c r="F237" s="193">
        <v>510.0</v>
      </c>
      <c r="G237" s="200"/>
      <c r="H237" s="205"/>
      <c r="I237" s="151"/>
      <c r="J237" s="206" t="s">
        <v>18</v>
      </c>
      <c r="K237" s="196"/>
      <c r="L237" s="180">
        <v>130.0</v>
      </c>
      <c r="M237" s="209" t="s">
        <v>556</v>
      </c>
      <c r="N237" s="215"/>
      <c r="O237" s="210"/>
      <c r="P237" s="156"/>
      <c r="Q237" s="57"/>
      <c r="R237" s="179"/>
      <c r="S237" s="157"/>
      <c r="T237" s="157"/>
      <c r="U237" s="157"/>
      <c r="V237" s="157"/>
      <c r="W237" s="157"/>
      <c r="X237" s="157"/>
      <c r="Y237" s="57"/>
      <c r="Z237" s="57"/>
    </row>
    <row r="238">
      <c r="A238" s="57"/>
      <c r="B238" s="105"/>
      <c r="C238" s="235"/>
      <c r="D238" s="149"/>
      <c r="E238" s="272" t="s">
        <v>557</v>
      </c>
      <c r="F238" s="193">
        <v>200.0</v>
      </c>
      <c r="G238" s="200"/>
      <c r="H238" s="205"/>
      <c r="I238" s="201"/>
      <c r="J238" s="202" t="s">
        <v>377</v>
      </c>
      <c r="K238" s="196"/>
      <c r="L238" s="197"/>
      <c r="M238" s="153"/>
      <c r="N238" s="154"/>
      <c r="O238" s="236"/>
      <c r="P238" s="156"/>
      <c r="Q238" s="57"/>
      <c r="R238" s="179"/>
      <c r="S238" s="157"/>
      <c r="T238" s="157"/>
      <c r="U238" s="157"/>
      <c r="V238" s="157"/>
      <c r="W238" s="157"/>
      <c r="X238" s="157"/>
      <c r="Y238" s="57"/>
      <c r="Z238" s="57"/>
    </row>
    <row r="239">
      <c r="A239" s="57"/>
      <c r="B239" s="105"/>
      <c r="C239" s="235"/>
      <c r="D239" s="149"/>
      <c r="E239" s="272" t="s">
        <v>558</v>
      </c>
      <c r="F239" s="193">
        <v>540.0</v>
      </c>
      <c r="G239" s="297" t="s">
        <v>426</v>
      </c>
      <c r="H239" s="205"/>
      <c r="I239" s="208"/>
      <c r="J239" s="192" t="s">
        <v>418</v>
      </c>
      <c r="K239" s="196"/>
      <c r="L239" s="180"/>
      <c r="M239" s="153"/>
      <c r="N239" s="154"/>
      <c r="O239" s="236"/>
      <c r="P239" s="156"/>
      <c r="Q239" s="57"/>
      <c r="R239" s="179"/>
      <c r="S239" s="157"/>
      <c r="T239" s="157"/>
      <c r="U239" s="157"/>
      <c r="V239" s="157"/>
      <c r="W239" s="157"/>
      <c r="X239" s="157"/>
      <c r="Y239" s="57"/>
      <c r="Z239" s="57"/>
    </row>
    <row r="240">
      <c r="A240" s="57"/>
      <c r="B240" s="105"/>
      <c r="C240" s="235"/>
      <c r="D240" s="149"/>
      <c r="E240" s="272" t="s">
        <v>464</v>
      </c>
      <c r="F240" s="193">
        <v>150.0</v>
      </c>
      <c r="G240" s="200"/>
      <c r="H240" s="205"/>
      <c r="I240" s="208"/>
      <c r="J240" s="192" t="s">
        <v>381</v>
      </c>
      <c r="K240" s="196"/>
      <c r="L240" s="180">
        <v>1000.0</v>
      </c>
      <c r="M240" s="209"/>
      <c r="N240" s="215"/>
      <c r="O240" s="210"/>
      <c r="P240" s="156"/>
      <c r="Q240" s="57"/>
      <c r="R240" s="179"/>
      <c r="S240" s="157"/>
      <c r="T240" s="157"/>
      <c r="U240" s="157"/>
      <c r="V240" s="157"/>
      <c r="W240" s="157"/>
      <c r="X240" s="157"/>
      <c r="Y240" s="57"/>
      <c r="Z240" s="57"/>
    </row>
    <row r="241">
      <c r="A241" s="57"/>
      <c r="B241" s="105"/>
      <c r="C241" s="235"/>
      <c r="D241" s="149"/>
      <c r="E241" s="272" t="s">
        <v>559</v>
      </c>
      <c r="F241" s="193">
        <v>30.0</v>
      </c>
      <c r="G241" s="200"/>
      <c r="H241" s="205"/>
      <c r="I241" s="208"/>
      <c r="J241" s="192" t="s">
        <v>383</v>
      </c>
      <c r="K241" s="237"/>
      <c r="L241" s="180">
        <v>1035.0</v>
      </c>
      <c r="M241" s="209"/>
      <c r="N241" s="215"/>
      <c r="O241" s="210"/>
      <c r="P241" s="156"/>
      <c r="Q241" s="57"/>
      <c r="R241" s="179"/>
      <c r="S241" s="157"/>
      <c r="T241" s="157"/>
      <c r="U241" s="157"/>
      <c r="V241" s="157"/>
      <c r="W241" s="157"/>
      <c r="X241" s="157"/>
      <c r="Y241" s="57"/>
      <c r="Z241" s="57"/>
    </row>
    <row r="242">
      <c r="A242" s="238"/>
      <c r="B242" s="105"/>
      <c r="C242" s="235"/>
      <c r="D242" s="149"/>
      <c r="E242" s="272" t="s">
        <v>410</v>
      </c>
      <c r="F242" s="193">
        <v>250.0</v>
      </c>
      <c r="G242" s="200"/>
      <c r="H242" s="205"/>
      <c r="I242" s="208"/>
      <c r="J242" s="192" t="s">
        <v>202</v>
      </c>
      <c r="K242" s="237"/>
      <c r="L242" s="180">
        <v>90.0</v>
      </c>
      <c r="M242" s="209" t="s">
        <v>385</v>
      </c>
      <c r="N242" s="154"/>
      <c r="O242" s="210"/>
      <c r="P242" s="156"/>
      <c r="Q242" s="57"/>
      <c r="R242" s="179"/>
      <c r="S242" s="157"/>
      <c r="T242" s="157"/>
      <c r="U242" s="157"/>
      <c r="V242" s="157"/>
      <c r="W242" s="157"/>
      <c r="X242" s="157"/>
      <c r="Y242" s="57"/>
      <c r="Z242" s="57"/>
    </row>
    <row r="243">
      <c r="A243" s="239"/>
      <c r="B243" s="105"/>
      <c r="C243" s="235"/>
      <c r="D243" s="149"/>
      <c r="E243" s="272" t="s">
        <v>510</v>
      </c>
      <c r="F243" s="193">
        <v>175.0</v>
      </c>
      <c r="G243" s="200"/>
      <c r="H243" s="205"/>
      <c r="I243" s="208"/>
      <c r="J243" s="192" t="s">
        <v>274</v>
      </c>
      <c r="K243" s="196"/>
      <c r="L243" s="197"/>
      <c r="M243" s="153"/>
      <c r="N243" s="215"/>
      <c r="O243" s="210"/>
      <c r="P243" s="240"/>
      <c r="Q243" s="148"/>
      <c r="R243" s="241"/>
      <c r="S243" s="157"/>
      <c r="T243" s="157"/>
      <c r="U243" s="157"/>
      <c r="V243" s="157"/>
      <c r="W243" s="157"/>
      <c r="X243" s="157"/>
      <c r="Y243" s="57"/>
      <c r="Z243" s="57"/>
    </row>
    <row r="244">
      <c r="A244" s="148"/>
      <c r="B244" s="243"/>
      <c r="C244" s="244"/>
      <c r="D244" s="245"/>
      <c r="E244" s="275" t="s">
        <v>560</v>
      </c>
      <c r="F244" s="247">
        <v>100.0</v>
      </c>
      <c r="G244" s="255"/>
      <c r="H244" s="249"/>
      <c r="I244" s="208"/>
      <c r="J244" s="192" t="s">
        <v>220</v>
      </c>
      <c r="K244" s="196"/>
      <c r="L244" s="180">
        <v>1000.0</v>
      </c>
      <c r="M244" s="209" t="s">
        <v>561</v>
      </c>
      <c r="N244" s="250"/>
      <c r="O244" s="236"/>
      <c r="P244" s="240"/>
      <c r="Q244" s="148"/>
      <c r="R244" s="241"/>
      <c r="S244" s="157"/>
      <c r="T244" s="157"/>
      <c r="U244" s="157"/>
      <c r="V244" s="157"/>
      <c r="W244" s="157"/>
      <c r="X244" s="157"/>
      <c r="Y244" s="57"/>
      <c r="Z244" s="57"/>
    </row>
    <row r="245">
      <c r="A245" s="148"/>
      <c r="B245" s="243"/>
      <c r="C245" s="244"/>
      <c r="D245" s="245"/>
      <c r="E245" s="275" t="s">
        <v>518</v>
      </c>
      <c r="F245" s="247">
        <v>210.0</v>
      </c>
      <c r="G245" s="248"/>
      <c r="H245" s="249"/>
      <c r="I245" s="251"/>
      <c r="J245" s="192" t="s">
        <v>30</v>
      </c>
      <c r="K245" s="196"/>
      <c r="L245" s="180"/>
      <c r="M245" s="295" t="s">
        <v>475</v>
      </c>
      <c r="N245" s="250"/>
      <c r="O245" s="253"/>
      <c r="P245" s="156"/>
      <c r="Q245" s="57"/>
      <c r="R245" s="179"/>
      <c r="S245" s="242"/>
      <c r="T245" s="242"/>
      <c r="U245" s="242"/>
      <c r="V245" s="242"/>
      <c r="W245" s="242"/>
      <c r="X245" s="242"/>
      <c r="Y245" s="148"/>
      <c r="Z245" s="148"/>
    </row>
    <row r="246">
      <c r="A246" s="148"/>
      <c r="B246" s="243"/>
      <c r="C246" s="243"/>
      <c r="D246" s="245"/>
      <c r="E246" s="275" t="s">
        <v>562</v>
      </c>
      <c r="F246" s="247">
        <v>80.0</v>
      </c>
      <c r="G246" s="248"/>
      <c r="H246" s="249"/>
      <c r="I246" s="251"/>
      <c r="J246" s="192" t="s">
        <v>225</v>
      </c>
      <c r="K246" s="196"/>
      <c r="L246" s="254"/>
      <c r="M246" s="252"/>
      <c r="N246" s="250"/>
      <c r="O246" s="155"/>
      <c r="P246" s="156"/>
      <c r="Q246" s="57"/>
      <c r="R246" s="179"/>
      <c r="S246" s="242"/>
      <c r="T246" s="242"/>
      <c r="U246" s="242"/>
      <c r="V246" s="242"/>
      <c r="W246" s="242"/>
      <c r="X246" s="242"/>
      <c r="Y246" s="148"/>
      <c r="Z246" s="148"/>
    </row>
    <row r="247">
      <c r="A247" s="148"/>
      <c r="B247" s="243"/>
      <c r="C247" s="243"/>
      <c r="D247" s="245"/>
      <c r="E247" s="275" t="s">
        <v>563</v>
      </c>
      <c r="F247" s="247">
        <v>80.0</v>
      </c>
      <c r="G247" s="309" t="s">
        <v>426</v>
      </c>
      <c r="H247" s="249"/>
      <c r="I247" s="251"/>
      <c r="J247" s="192"/>
      <c r="K247" s="196"/>
      <c r="L247" s="254"/>
      <c r="M247" s="252"/>
      <c r="N247" s="250"/>
      <c r="O247" s="155"/>
      <c r="P247" s="156"/>
      <c r="Q247" s="57"/>
      <c r="R247" s="179"/>
      <c r="S247" s="242"/>
      <c r="T247" s="242"/>
      <c r="U247" s="242"/>
      <c r="V247" s="242"/>
      <c r="W247" s="242"/>
      <c r="X247" s="242"/>
      <c r="Y247" s="148"/>
      <c r="Z247" s="148"/>
    </row>
    <row r="248">
      <c r="A248" s="148"/>
      <c r="B248" s="243"/>
      <c r="C248" s="243"/>
      <c r="D248" s="245"/>
      <c r="E248" s="275" t="s">
        <v>564</v>
      </c>
      <c r="F248" s="247">
        <v>80.0</v>
      </c>
      <c r="G248" s="309" t="s">
        <v>426</v>
      </c>
      <c r="H248" s="249"/>
      <c r="I248" s="251"/>
      <c r="J248" s="251"/>
      <c r="K248" s="148"/>
      <c r="L248" s="254"/>
      <c r="M248" s="252"/>
      <c r="N248" s="250"/>
      <c r="O248" s="155"/>
      <c r="P248" s="156"/>
      <c r="Q248" s="57"/>
      <c r="R248" s="179"/>
      <c r="S248" s="157"/>
      <c r="T248" s="157"/>
      <c r="U248" s="157"/>
      <c r="V248" s="157"/>
      <c r="W248" s="157"/>
      <c r="X248" s="157"/>
      <c r="Y248" s="57"/>
      <c r="Z248" s="57"/>
    </row>
    <row r="249">
      <c r="A249" s="158"/>
      <c r="B249" s="159"/>
      <c r="C249" s="160"/>
      <c r="D249" s="161"/>
      <c r="E249" s="303"/>
      <c r="F249" s="162"/>
      <c r="G249" s="57"/>
      <c r="H249" s="57"/>
      <c r="I249" s="151"/>
      <c r="J249" s="163"/>
      <c r="K249" s="159"/>
      <c r="L249" s="164"/>
      <c r="M249" s="165"/>
      <c r="N249" s="166"/>
      <c r="O249" s="167"/>
      <c r="P249" s="168"/>
      <c r="Q249" s="159"/>
      <c r="R249" s="57"/>
      <c r="S249" s="157"/>
      <c r="T249" s="157"/>
      <c r="U249" s="157"/>
      <c r="V249" s="157"/>
      <c r="W249" s="157"/>
      <c r="X249" s="157"/>
      <c r="Y249" s="57"/>
      <c r="Z249" s="57"/>
    </row>
    <row r="250">
      <c r="A250" s="169" t="s">
        <v>79</v>
      </c>
      <c r="B250" s="170"/>
      <c r="C250" s="171"/>
      <c r="D250" s="172"/>
      <c r="E250" s="173"/>
      <c r="F250" s="174"/>
      <c r="G250" s="175" t="s">
        <v>333</v>
      </c>
      <c r="H250" s="176"/>
      <c r="I250" s="177"/>
      <c r="J250" s="151"/>
      <c r="K250" s="57"/>
      <c r="L250" s="152"/>
      <c r="M250" s="153"/>
      <c r="N250" s="154"/>
      <c r="O250" s="178" t="s">
        <v>334</v>
      </c>
      <c r="P250" s="156"/>
      <c r="Q250" s="57"/>
      <c r="R250" s="179"/>
      <c r="S250" s="157"/>
      <c r="T250" s="157"/>
      <c r="U250" s="157"/>
      <c r="V250" s="157"/>
      <c r="W250" s="157"/>
      <c r="X250" s="157"/>
      <c r="Y250" s="57"/>
      <c r="Z250" s="57"/>
    </row>
    <row r="251">
      <c r="A251" s="182"/>
      <c r="B251" s="105"/>
      <c r="C251" s="183"/>
      <c r="D251" s="172"/>
      <c r="E251" s="184" t="s">
        <v>335</v>
      </c>
      <c r="F251" s="180" t="s">
        <v>237</v>
      </c>
      <c r="G251" s="185" t="s">
        <v>336</v>
      </c>
      <c r="H251" s="186" t="s">
        <v>337</v>
      </c>
      <c r="I251" s="104"/>
      <c r="J251" s="104" t="s">
        <v>0</v>
      </c>
      <c r="K251" s="57"/>
      <c r="L251" s="152"/>
      <c r="M251" s="187" t="s">
        <v>338</v>
      </c>
      <c r="O251" s="188" t="s">
        <v>565</v>
      </c>
      <c r="P251" s="189">
        <v>1000.0</v>
      </c>
      <c r="Q251" s="57"/>
      <c r="R251" s="179"/>
      <c r="S251" s="157"/>
      <c r="T251" s="157"/>
      <c r="U251" s="157"/>
      <c r="V251" s="157"/>
      <c r="W251" s="157"/>
      <c r="X251" s="157"/>
      <c r="Y251" s="57"/>
      <c r="Z251" s="57"/>
    </row>
    <row r="252">
      <c r="A252" s="190" t="s">
        <v>179</v>
      </c>
      <c r="C252" s="191">
        <f>SUM(F252:F294)</f>
        <v>15764</v>
      </c>
      <c r="D252" s="172"/>
      <c r="E252" s="272" t="s">
        <v>564</v>
      </c>
      <c r="F252" s="193">
        <v>1100.0</v>
      </c>
      <c r="G252" s="297" t="s">
        <v>426</v>
      </c>
      <c r="H252" s="195"/>
      <c r="I252" s="151"/>
      <c r="J252" s="192" t="s">
        <v>341</v>
      </c>
      <c r="K252" s="196"/>
      <c r="L252" s="197"/>
      <c r="M252" s="153"/>
      <c r="N252" s="154"/>
      <c r="O252" s="188" t="s">
        <v>416</v>
      </c>
      <c r="P252" s="189">
        <v>800.0</v>
      </c>
      <c r="Q252" s="57"/>
      <c r="R252" s="179"/>
      <c r="S252" s="157"/>
      <c r="T252" s="157"/>
      <c r="U252" s="157"/>
      <c r="V252" s="157"/>
      <c r="W252" s="157"/>
      <c r="X252" s="157"/>
      <c r="Y252" s="57"/>
      <c r="Z252" s="57"/>
    </row>
    <row r="253">
      <c r="A253" s="198" t="s">
        <v>343</v>
      </c>
      <c r="B253" s="199" t="s">
        <v>321</v>
      </c>
      <c r="C253" s="191">
        <f>SUM(P251:P273)</f>
        <v>3764</v>
      </c>
      <c r="D253" s="149"/>
      <c r="E253" s="272" t="s">
        <v>448</v>
      </c>
      <c r="F253" s="193">
        <v>350.0</v>
      </c>
      <c r="G253" s="200"/>
      <c r="H253" s="205"/>
      <c r="I253" s="201"/>
      <c r="J253" s="202" t="s">
        <v>566</v>
      </c>
      <c r="K253" s="196"/>
      <c r="L253" s="180">
        <v>38.78</v>
      </c>
      <c r="M253" s="153"/>
      <c r="N253" s="154"/>
      <c r="O253" s="188" t="s">
        <v>567</v>
      </c>
      <c r="P253" s="189">
        <v>1100.0</v>
      </c>
      <c r="Q253" s="57"/>
      <c r="R253" s="179"/>
      <c r="S253" s="157"/>
      <c r="T253" s="157"/>
      <c r="U253" s="157"/>
      <c r="V253" s="157"/>
      <c r="W253" s="157"/>
      <c r="X253" s="157"/>
      <c r="Y253" s="57"/>
      <c r="Z253" s="57"/>
    </row>
    <row r="254">
      <c r="A254" s="203" t="s">
        <v>201</v>
      </c>
      <c r="C254" s="204">
        <f>SUM(L252:L293)</f>
        <v>8114.78</v>
      </c>
      <c r="D254" s="149"/>
      <c r="E254" s="272" t="s">
        <v>568</v>
      </c>
      <c r="F254" s="193">
        <v>215.0</v>
      </c>
      <c r="G254" s="297" t="s">
        <v>426</v>
      </c>
      <c r="H254" s="205"/>
      <c r="I254" s="151"/>
      <c r="J254" s="206" t="s">
        <v>6</v>
      </c>
      <c r="K254" s="196"/>
      <c r="L254" s="197"/>
      <c r="M254" s="153"/>
      <c r="N254" s="154"/>
      <c r="O254" s="188" t="s">
        <v>569</v>
      </c>
      <c r="P254" s="189">
        <v>215.0</v>
      </c>
      <c r="Q254" s="57"/>
      <c r="R254" s="179"/>
      <c r="S254" s="157"/>
      <c r="T254" s="157"/>
      <c r="U254" s="157"/>
      <c r="V254" s="157"/>
      <c r="W254" s="157"/>
      <c r="X254" s="157"/>
      <c r="Y254" s="57"/>
      <c r="Z254" s="57"/>
    </row>
    <row r="255">
      <c r="A255" s="207"/>
      <c r="B255" s="105"/>
      <c r="C255" s="204"/>
      <c r="D255" s="149"/>
      <c r="E255" s="272" t="s">
        <v>570</v>
      </c>
      <c r="F255" s="193">
        <v>170.0</v>
      </c>
      <c r="G255" s="200"/>
      <c r="H255" s="205"/>
      <c r="I255" s="208"/>
      <c r="J255" s="192" t="s">
        <v>7</v>
      </c>
      <c r="K255" s="196"/>
      <c r="L255" s="180"/>
      <c r="M255" s="153"/>
      <c r="N255" s="154"/>
      <c r="O255" s="188" t="s">
        <v>571</v>
      </c>
      <c r="P255" s="189">
        <v>349.0</v>
      </c>
      <c r="Q255" s="57"/>
      <c r="R255" s="179"/>
      <c r="S255" s="157"/>
      <c r="T255" s="157"/>
      <c r="U255" s="157"/>
      <c r="V255" s="157"/>
      <c r="W255" s="157"/>
      <c r="X255" s="157"/>
      <c r="Y255" s="57"/>
      <c r="Z255" s="57"/>
    </row>
    <row r="256">
      <c r="A256" s="211" t="s">
        <v>350</v>
      </c>
      <c r="C256" s="212">
        <f>C252-C254-B258-B264</f>
        <v>6144.22</v>
      </c>
      <c r="D256" s="149"/>
      <c r="E256" s="272" t="s">
        <v>397</v>
      </c>
      <c r="F256" s="193">
        <v>200.0</v>
      </c>
      <c r="G256" s="200"/>
      <c r="H256" s="205"/>
      <c r="I256" s="201"/>
      <c r="J256" s="202" t="s">
        <v>210</v>
      </c>
      <c r="K256" s="196"/>
      <c r="L256" s="197"/>
      <c r="M256" s="153"/>
      <c r="N256" s="154"/>
      <c r="O256" s="188" t="s">
        <v>348</v>
      </c>
      <c r="P256" s="189">
        <v>300.0</v>
      </c>
      <c r="Q256" s="57"/>
      <c r="R256" s="179"/>
      <c r="S256" s="157"/>
      <c r="T256" s="157"/>
      <c r="U256" s="157"/>
      <c r="V256" s="157"/>
      <c r="W256" s="157"/>
      <c r="X256" s="157"/>
      <c r="Y256" s="57"/>
      <c r="Z256" s="57"/>
    </row>
    <row r="257">
      <c r="A257" s="213"/>
      <c r="C257" s="214"/>
      <c r="D257" s="149"/>
      <c r="E257" s="272" t="s">
        <v>572</v>
      </c>
      <c r="F257" s="193">
        <v>230.0</v>
      </c>
      <c r="G257" s="200"/>
      <c r="H257" s="205"/>
      <c r="I257" s="201"/>
      <c r="J257" s="202" t="s">
        <v>354</v>
      </c>
      <c r="K257" s="196"/>
      <c r="L257" s="180">
        <v>3640.0</v>
      </c>
      <c r="M257" s="209" t="s">
        <v>573</v>
      </c>
      <c r="O257" s="210"/>
      <c r="P257" s="189"/>
      <c r="Q257" s="57"/>
      <c r="R257" s="179"/>
      <c r="S257" s="157"/>
      <c r="T257" s="157"/>
      <c r="U257" s="157"/>
      <c r="V257" s="157"/>
      <c r="W257" s="157"/>
      <c r="X257" s="157"/>
      <c r="Y257" s="57"/>
      <c r="Z257" s="57"/>
    </row>
    <row r="258">
      <c r="A258" s="216" t="s">
        <v>356</v>
      </c>
      <c r="B258" s="217">
        <v>1505.0</v>
      </c>
      <c r="C258" s="214"/>
      <c r="D258" s="149"/>
      <c r="E258" s="272" t="s">
        <v>574</v>
      </c>
      <c r="F258" s="193">
        <v>90.0</v>
      </c>
      <c r="G258" s="200"/>
      <c r="H258" s="205"/>
      <c r="I258" s="208"/>
      <c r="J258" s="192" t="s">
        <v>358</v>
      </c>
      <c r="K258" s="196"/>
      <c r="L258" s="180"/>
      <c r="M258" s="153"/>
      <c r="N258" s="154"/>
      <c r="O258" s="210"/>
      <c r="P258" s="156"/>
      <c r="Q258" s="57"/>
      <c r="R258" s="179"/>
      <c r="S258" s="157"/>
      <c r="T258" s="157"/>
      <c r="U258" s="157"/>
      <c r="V258" s="157"/>
      <c r="W258" s="157"/>
      <c r="X258" s="157"/>
      <c r="Y258" s="57"/>
      <c r="Z258" s="57"/>
    </row>
    <row r="259">
      <c r="A259" s="218" t="s">
        <v>214</v>
      </c>
      <c r="B259" s="219">
        <v>600.0</v>
      </c>
      <c r="C259" s="220"/>
      <c r="D259" s="172"/>
      <c r="E259" s="272" t="s">
        <v>353</v>
      </c>
      <c r="F259" s="193">
        <v>60.0</v>
      </c>
      <c r="G259" s="200"/>
      <c r="H259" s="205"/>
      <c r="I259" s="151"/>
      <c r="J259" s="206" t="s">
        <v>34</v>
      </c>
      <c r="K259" s="196"/>
      <c r="L259" s="180"/>
      <c r="M259" s="153"/>
      <c r="N259" s="154"/>
      <c r="O259" s="210"/>
      <c r="P259" s="156"/>
      <c r="Q259" s="57"/>
      <c r="R259" s="179"/>
      <c r="S259" s="157"/>
      <c r="T259" s="157"/>
      <c r="U259" s="157"/>
      <c r="V259" s="157"/>
      <c r="W259" s="157"/>
      <c r="X259" s="157"/>
      <c r="Y259" s="57"/>
      <c r="Z259" s="57"/>
    </row>
    <row r="260">
      <c r="A260" s="221" t="s">
        <v>272</v>
      </c>
      <c r="B260" s="222">
        <v>4660.0</v>
      </c>
      <c r="C260" s="223"/>
      <c r="D260" s="149"/>
      <c r="E260" s="272" t="s">
        <v>575</v>
      </c>
      <c r="F260" s="193">
        <v>80.0</v>
      </c>
      <c r="G260" s="200"/>
      <c r="H260" s="205"/>
      <c r="I260" s="208"/>
      <c r="J260" s="192" t="s">
        <v>216</v>
      </c>
      <c r="K260" s="196"/>
      <c r="L260" s="197"/>
      <c r="M260" s="153"/>
      <c r="N260" s="154"/>
      <c r="O260" s="210"/>
      <c r="P260" s="156"/>
      <c r="Q260" s="57"/>
      <c r="R260" s="179"/>
      <c r="S260" s="157"/>
      <c r="T260" s="157"/>
      <c r="U260" s="157"/>
      <c r="V260" s="157"/>
      <c r="W260" s="157"/>
      <c r="X260" s="157"/>
      <c r="Y260" s="57"/>
      <c r="Z260" s="57"/>
    </row>
    <row r="261">
      <c r="A261" s="224" t="s">
        <v>361</v>
      </c>
      <c r="B261" s="225">
        <v>11800.0</v>
      </c>
      <c r="C261" s="226"/>
      <c r="D261" s="149"/>
      <c r="E261" s="272" t="s">
        <v>543</v>
      </c>
      <c r="F261" s="193">
        <v>80.0</v>
      </c>
      <c r="G261" s="200"/>
      <c r="H261" s="205"/>
      <c r="I261" s="151"/>
      <c r="J261" s="206" t="s">
        <v>108</v>
      </c>
      <c r="K261" s="196"/>
      <c r="L261" s="180">
        <v>255.0</v>
      </c>
      <c r="M261" s="209"/>
      <c r="N261" s="215"/>
      <c r="O261" s="210"/>
      <c r="P261" s="156"/>
      <c r="Q261" s="57"/>
      <c r="R261" s="179"/>
      <c r="S261" s="157"/>
      <c r="T261" s="157"/>
      <c r="U261" s="157"/>
      <c r="V261" s="157"/>
      <c r="W261" s="157"/>
      <c r="X261" s="157"/>
      <c r="Y261" s="57"/>
      <c r="Z261" s="57"/>
    </row>
    <row r="262">
      <c r="A262" s="57"/>
      <c r="B262" s="105"/>
      <c r="C262" s="105"/>
      <c r="D262" s="149"/>
      <c r="E262" s="272" t="s">
        <v>378</v>
      </c>
      <c r="F262" s="193">
        <v>140.0</v>
      </c>
      <c r="G262" s="200"/>
      <c r="H262" s="205"/>
      <c r="I262" s="227"/>
      <c r="J262" s="228" t="s">
        <v>156</v>
      </c>
      <c r="K262" s="196"/>
      <c r="L262" s="180">
        <v>1250.0</v>
      </c>
      <c r="M262" s="153"/>
      <c r="N262" s="154"/>
      <c r="O262" s="210"/>
      <c r="P262" s="156"/>
      <c r="Q262" s="57"/>
      <c r="R262" s="179"/>
      <c r="S262" s="157"/>
      <c r="T262" s="157"/>
      <c r="U262" s="157"/>
      <c r="V262" s="157"/>
      <c r="W262" s="157"/>
      <c r="X262" s="157"/>
      <c r="Y262" s="57"/>
      <c r="Z262" s="57"/>
    </row>
    <row r="263">
      <c r="A263" s="57"/>
      <c r="B263" s="105"/>
      <c r="C263" s="105"/>
      <c r="D263" s="149"/>
      <c r="E263" s="272" t="s">
        <v>464</v>
      </c>
      <c r="F263" s="193">
        <v>230.0</v>
      </c>
      <c r="G263" s="200"/>
      <c r="H263" s="205"/>
      <c r="I263" s="201"/>
      <c r="J263" s="202" t="s">
        <v>576</v>
      </c>
      <c r="K263" s="196"/>
      <c r="L263" s="180">
        <v>151.0</v>
      </c>
      <c r="M263" s="153"/>
      <c r="N263" s="154"/>
      <c r="O263" s="210"/>
      <c r="P263" s="156"/>
      <c r="Q263" s="57"/>
      <c r="R263" s="179"/>
      <c r="S263" s="157"/>
      <c r="T263" s="157"/>
      <c r="U263" s="157"/>
      <c r="V263" s="157"/>
      <c r="W263" s="157"/>
      <c r="X263" s="157"/>
      <c r="Y263" s="57"/>
      <c r="Z263" s="57"/>
    </row>
    <row r="264">
      <c r="A264" s="229" t="s">
        <v>365</v>
      </c>
      <c r="B264" s="230">
        <f>SUM(C265,C266,C267,C268,C269,C270,C271,C272,C273,C274)</f>
        <v>0</v>
      </c>
      <c r="C264" s="231" t="s">
        <v>366</v>
      </c>
      <c r="D264" s="149"/>
      <c r="E264" s="272" t="s">
        <v>563</v>
      </c>
      <c r="F264" s="193">
        <v>300.0</v>
      </c>
      <c r="G264" s="297" t="s">
        <v>426</v>
      </c>
      <c r="H264" s="205"/>
      <c r="I264" s="208"/>
      <c r="J264" s="192" t="s">
        <v>368</v>
      </c>
      <c r="K264" s="196"/>
      <c r="L264" s="197"/>
      <c r="M264" s="153"/>
      <c r="N264" s="154"/>
      <c r="O264" s="210"/>
      <c r="P264" s="156"/>
      <c r="Q264" s="57"/>
      <c r="R264" s="179"/>
      <c r="S264" s="157"/>
      <c r="T264" s="157"/>
      <c r="U264" s="157"/>
      <c r="V264" s="157"/>
      <c r="W264" s="157"/>
      <c r="X264" s="157"/>
      <c r="Y264" s="57"/>
      <c r="Z264" s="57"/>
    </row>
    <row r="265">
      <c r="A265" s="232" t="s">
        <v>369</v>
      </c>
      <c r="C265" s="233"/>
      <c r="D265" s="149"/>
      <c r="E265" s="272" t="s">
        <v>577</v>
      </c>
      <c r="F265" s="293">
        <v>469.0</v>
      </c>
      <c r="G265" s="297" t="s">
        <v>426</v>
      </c>
      <c r="H265" s="205"/>
      <c r="I265" s="151"/>
      <c r="J265" s="206" t="s">
        <v>131</v>
      </c>
      <c r="K265" s="196"/>
      <c r="L265" s="180"/>
      <c r="M265" s="209"/>
      <c r="N265" s="215"/>
      <c r="O265" s="210"/>
      <c r="P265" s="156"/>
      <c r="Q265" s="57"/>
      <c r="R265" s="179"/>
      <c r="S265" s="157"/>
      <c r="T265" s="157"/>
      <c r="U265" s="157"/>
      <c r="V265" s="157"/>
      <c r="W265" s="157"/>
      <c r="X265" s="157"/>
      <c r="Y265" s="57"/>
      <c r="Z265" s="57"/>
    </row>
    <row r="266">
      <c r="C266" s="233"/>
      <c r="D266" s="149"/>
      <c r="E266" s="272" t="s">
        <v>578</v>
      </c>
      <c r="F266" s="193">
        <v>80.0</v>
      </c>
      <c r="G266" s="297" t="s">
        <v>426</v>
      </c>
      <c r="H266" s="205"/>
      <c r="I266" s="151"/>
      <c r="J266" s="206" t="s">
        <v>18</v>
      </c>
      <c r="K266" s="196"/>
      <c r="L266" s="180"/>
      <c r="M266" s="209"/>
      <c r="N266" s="215"/>
      <c r="O266" s="210"/>
      <c r="P266" s="156"/>
      <c r="Q266" s="57"/>
      <c r="R266" s="179"/>
      <c r="S266" s="157"/>
      <c r="T266" s="157"/>
      <c r="U266" s="157"/>
      <c r="V266" s="157"/>
      <c r="W266" s="157"/>
      <c r="X266" s="157"/>
      <c r="Y266" s="57"/>
      <c r="Z266" s="57"/>
    </row>
    <row r="267">
      <c r="A267" s="57"/>
      <c r="B267" s="105"/>
      <c r="C267" s="235"/>
      <c r="D267" s="149"/>
      <c r="E267" s="272" t="s">
        <v>579</v>
      </c>
      <c r="F267" s="193">
        <v>300.0</v>
      </c>
      <c r="G267" s="297" t="s">
        <v>426</v>
      </c>
      <c r="H267" s="205"/>
      <c r="I267" s="201"/>
      <c r="J267" s="202" t="s">
        <v>377</v>
      </c>
      <c r="K267" s="196"/>
      <c r="L267" s="180">
        <v>232.0</v>
      </c>
      <c r="M267" s="209" t="s">
        <v>443</v>
      </c>
      <c r="N267" s="154"/>
      <c r="O267" s="236"/>
      <c r="P267" s="156"/>
      <c r="Q267" s="57"/>
      <c r="R267" s="179"/>
      <c r="S267" s="157"/>
      <c r="T267" s="157"/>
      <c r="U267" s="157"/>
      <c r="V267" s="157"/>
      <c r="W267" s="157"/>
      <c r="X267" s="157"/>
      <c r="Y267" s="57"/>
      <c r="Z267" s="57"/>
    </row>
    <row r="268">
      <c r="A268" s="57"/>
      <c r="B268" s="105"/>
      <c r="C268" s="235"/>
      <c r="D268" s="149"/>
      <c r="E268" s="272" t="s">
        <v>580</v>
      </c>
      <c r="F268" s="193">
        <v>595.0</v>
      </c>
      <c r="G268" s="297" t="s">
        <v>426</v>
      </c>
      <c r="H268" s="205"/>
      <c r="I268" s="208"/>
      <c r="J268" s="192" t="s">
        <v>418</v>
      </c>
      <c r="K268" s="196"/>
      <c r="L268" s="180"/>
      <c r="M268" s="153"/>
      <c r="N268" s="154"/>
      <c r="O268" s="236"/>
      <c r="P268" s="156"/>
      <c r="Q268" s="57"/>
      <c r="R268" s="179"/>
      <c r="S268" s="157"/>
      <c r="T268" s="157"/>
      <c r="U268" s="157"/>
      <c r="V268" s="157"/>
      <c r="W268" s="157"/>
      <c r="X268" s="157"/>
      <c r="Y268" s="57"/>
      <c r="Z268" s="57"/>
    </row>
    <row r="269">
      <c r="A269" s="57"/>
      <c r="B269" s="105"/>
      <c r="C269" s="235"/>
      <c r="D269" s="149"/>
      <c r="E269" s="272" t="s">
        <v>581</v>
      </c>
      <c r="F269" s="193">
        <v>300.0</v>
      </c>
      <c r="G269" s="200"/>
      <c r="H269" s="205"/>
      <c r="I269" s="208"/>
      <c r="J269" s="192" t="s">
        <v>381</v>
      </c>
      <c r="K269" s="196"/>
      <c r="L269" s="180">
        <v>1130.0</v>
      </c>
      <c r="M269" s="209"/>
      <c r="N269" s="215"/>
      <c r="O269" s="210"/>
      <c r="P269" s="156"/>
      <c r="Q269" s="57"/>
      <c r="R269" s="179"/>
      <c r="S269" s="157"/>
      <c r="T269" s="157"/>
      <c r="U269" s="157"/>
      <c r="V269" s="157"/>
      <c r="W269" s="157"/>
      <c r="X269" s="157"/>
      <c r="Y269" s="57"/>
      <c r="Z269" s="57"/>
    </row>
    <row r="270">
      <c r="A270" s="57"/>
      <c r="B270" s="105"/>
      <c r="C270" s="235"/>
      <c r="D270" s="149"/>
      <c r="E270" s="272" t="s">
        <v>582</v>
      </c>
      <c r="F270" s="193">
        <v>125.0</v>
      </c>
      <c r="G270" s="200"/>
      <c r="H270" s="205"/>
      <c r="I270" s="208"/>
      <c r="J270" s="192" t="s">
        <v>383</v>
      </c>
      <c r="K270" s="237"/>
      <c r="L270" s="180">
        <v>1115.0</v>
      </c>
      <c r="M270" s="209"/>
      <c r="N270" s="215"/>
      <c r="O270" s="210"/>
      <c r="P270" s="156"/>
      <c r="Q270" s="57"/>
      <c r="R270" s="179"/>
      <c r="S270" s="157"/>
      <c r="T270" s="157"/>
      <c r="U270" s="157"/>
      <c r="V270" s="157"/>
      <c r="W270" s="157"/>
      <c r="X270" s="157"/>
      <c r="Y270" s="57"/>
      <c r="Z270" s="57"/>
    </row>
    <row r="271">
      <c r="A271" s="238"/>
      <c r="B271" s="105"/>
      <c r="C271" s="235"/>
      <c r="D271" s="149"/>
      <c r="E271" s="272" t="s">
        <v>583</v>
      </c>
      <c r="F271" s="193">
        <v>50.0</v>
      </c>
      <c r="G271" s="200"/>
      <c r="H271" s="205"/>
      <c r="I271" s="208"/>
      <c r="J271" s="192" t="s">
        <v>202</v>
      </c>
      <c r="K271" s="237"/>
      <c r="L271" s="180">
        <v>90.0</v>
      </c>
      <c r="M271" s="209" t="s">
        <v>385</v>
      </c>
      <c r="N271" s="154"/>
      <c r="O271" s="210"/>
      <c r="P271" s="156"/>
      <c r="Q271" s="57"/>
      <c r="R271" s="179"/>
      <c r="S271" s="242"/>
      <c r="T271" s="242"/>
      <c r="U271" s="242"/>
      <c r="V271" s="242"/>
      <c r="W271" s="242"/>
      <c r="X271" s="242"/>
      <c r="Y271" s="148"/>
      <c r="Z271" s="148"/>
    </row>
    <row r="272">
      <c r="A272" s="239"/>
      <c r="B272" s="105"/>
      <c r="C272" s="235"/>
      <c r="D272" s="149"/>
      <c r="E272" s="272" t="s">
        <v>584</v>
      </c>
      <c r="F272" s="193">
        <v>500.0</v>
      </c>
      <c r="G272" s="297" t="s">
        <v>426</v>
      </c>
      <c r="H272" s="205"/>
      <c r="I272" s="208"/>
      <c r="J272" s="192" t="s">
        <v>274</v>
      </c>
      <c r="K272" s="196"/>
      <c r="L272" s="180">
        <v>213.0</v>
      </c>
      <c r="M272" s="153"/>
      <c r="N272" s="215"/>
      <c r="O272" s="210"/>
      <c r="P272" s="240"/>
      <c r="Q272" s="148"/>
      <c r="R272" s="241"/>
      <c r="S272" s="242"/>
      <c r="T272" s="242"/>
      <c r="U272" s="242"/>
      <c r="V272" s="242"/>
      <c r="W272" s="242"/>
      <c r="X272" s="242"/>
      <c r="Y272" s="148"/>
      <c r="Z272" s="148"/>
    </row>
    <row r="273">
      <c r="A273" s="148"/>
      <c r="B273" s="243"/>
      <c r="C273" s="244"/>
      <c r="D273" s="245"/>
      <c r="E273" s="275" t="s">
        <v>585</v>
      </c>
      <c r="F273" s="247">
        <v>200.0</v>
      </c>
      <c r="G273" s="309" t="s">
        <v>426</v>
      </c>
      <c r="H273" s="249"/>
      <c r="I273" s="208"/>
      <c r="J273" s="192" t="s">
        <v>220</v>
      </c>
      <c r="K273" s="196"/>
      <c r="L273" s="180"/>
      <c r="M273" s="209"/>
      <c r="N273" s="250"/>
      <c r="O273" s="236"/>
      <c r="P273" s="240"/>
      <c r="Q273" s="148"/>
      <c r="R273" s="241"/>
      <c r="S273" s="157"/>
      <c r="T273" s="157"/>
      <c r="U273" s="157"/>
      <c r="V273" s="157"/>
      <c r="W273" s="157"/>
      <c r="X273" s="157"/>
      <c r="Y273" s="57"/>
      <c r="Z273" s="57"/>
    </row>
    <row r="274">
      <c r="A274" s="148"/>
      <c r="B274" s="243"/>
      <c r="C274" s="244"/>
      <c r="D274" s="245"/>
      <c r="E274" s="275" t="s">
        <v>586</v>
      </c>
      <c r="F274" s="247">
        <v>190.0</v>
      </c>
      <c r="G274" s="248"/>
      <c r="H274" s="249"/>
      <c r="I274" s="251"/>
      <c r="J274" s="192" t="s">
        <v>30</v>
      </c>
      <c r="K274" s="196"/>
      <c r="L274" s="180"/>
      <c r="M274" s="295" t="s">
        <v>587</v>
      </c>
      <c r="N274" s="250"/>
      <c r="O274" s="253"/>
      <c r="P274" s="156"/>
      <c r="Q274" s="57"/>
      <c r="R274" s="179"/>
      <c r="S274" s="157"/>
      <c r="T274" s="157"/>
      <c r="U274" s="157"/>
      <c r="V274" s="157"/>
      <c r="W274" s="157"/>
      <c r="X274" s="157"/>
      <c r="Y274" s="57"/>
      <c r="Z274" s="57"/>
    </row>
    <row r="275">
      <c r="A275" s="148"/>
      <c r="B275" s="243"/>
      <c r="C275" s="244"/>
      <c r="D275" s="245"/>
      <c r="E275" s="275" t="s">
        <v>588</v>
      </c>
      <c r="F275" s="247">
        <v>100.0</v>
      </c>
      <c r="G275" s="248"/>
      <c r="H275" s="249"/>
      <c r="I275" s="251"/>
      <c r="J275" s="192" t="s">
        <v>225</v>
      </c>
      <c r="K275" s="196"/>
      <c r="L275" s="180"/>
      <c r="M275" s="252"/>
      <c r="N275" s="250"/>
      <c r="O275" s="253"/>
      <c r="P275" s="156"/>
      <c r="Q275" s="57"/>
      <c r="R275" s="179"/>
      <c r="S275" s="157"/>
      <c r="T275" s="157"/>
      <c r="U275" s="157"/>
      <c r="V275" s="157"/>
      <c r="W275" s="157"/>
      <c r="X275" s="157"/>
      <c r="Y275" s="57"/>
      <c r="Z275" s="57"/>
    </row>
    <row r="276">
      <c r="A276" s="148"/>
      <c r="B276" s="243"/>
      <c r="C276" s="244"/>
      <c r="D276" s="245"/>
      <c r="E276" s="275" t="s">
        <v>589</v>
      </c>
      <c r="F276" s="247">
        <v>500.0</v>
      </c>
      <c r="G276" s="248"/>
      <c r="H276" s="249"/>
      <c r="I276" s="251"/>
      <c r="J276" s="192"/>
      <c r="K276" s="196"/>
      <c r="L276" s="180"/>
      <c r="M276" s="252"/>
      <c r="N276" s="250"/>
      <c r="O276" s="253"/>
      <c r="P276" s="156"/>
      <c r="Q276" s="57"/>
      <c r="R276" s="179"/>
      <c r="S276" s="157"/>
      <c r="T276" s="157"/>
      <c r="U276" s="157"/>
      <c r="V276" s="157"/>
      <c r="W276" s="157"/>
      <c r="X276" s="157"/>
      <c r="Y276" s="57"/>
      <c r="Z276" s="57"/>
    </row>
    <row r="277">
      <c r="A277" s="148"/>
      <c r="B277" s="243"/>
      <c r="C277" s="244"/>
      <c r="D277" s="245"/>
      <c r="E277" s="275" t="s">
        <v>437</v>
      </c>
      <c r="F277" s="247">
        <v>250.0</v>
      </c>
      <c r="G277" s="248"/>
      <c r="H277" s="249"/>
      <c r="I277" s="251"/>
      <c r="J277" s="192"/>
      <c r="K277" s="196"/>
      <c r="L277" s="180"/>
      <c r="M277" s="252"/>
      <c r="N277" s="250"/>
      <c r="O277" s="253"/>
      <c r="P277" s="156"/>
      <c r="Q277" s="57"/>
      <c r="R277" s="179"/>
      <c r="S277" s="157"/>
      <c r="T277" s="157"/>
      <c r="U277" s="157"/>
      <c r="V277" s="157"/>
      <c r="W277" s="157"/>
      <c r="X277" s="157"/>
      <c r="Y277" s="57"/>
      <c r="Z277" s="57"/>
    </row>
    <row r="278">
      <c r="A278" s="148"/>
      <c r="B278" s="243"/>
      <c r="C278" s="244"/>
      <c r="D278" s="245"/>
      <c r="E278" s="275" t="s">
        <v>590</v>
      </c>
      <c r="F278" s="247">
        <v>400.0</v>
      </c>
      <c r="G278" s="248"/>
      <c r="H278" s="249"/>
      <c r="I278" s="251"/>
      <c r="J278" s="192"/>
      <c r="K278" s="196"/>
      <c r="L278" s="180"/>
      <c r="M278" s="252"/>
      <c r="N278" s="250"/>
      <c r="O278" s="253"/>
      <c r="P278" s="156"/>
      <c r="Q278" s="57"/>
      <c r="R278" s="179"/>
      <c r="S278" s="157"/>
      <c r="T278" s="157"/>
      <c r="U278" s="157"/>
      <c r="V278" s="157"/>
      <c r="W278" s="157"/>
      <c r="X278" s="157"/>
      <c r="Y278" s="57"/>
      <c r="Z278" s="57"/>
    </row>
    <row r="279">
      <c r="A279" s="148"/>
      <c r="B279" s="243"/>
      <c r="C279" s="244"/>
      <c r="D279" s="245"/>
      <c r="E279" s="275" t="s">
        <v>402</v>
      </c>
      <c r="F279" s="247">
        <v>800.0</v>
      </c>
      <c r="G279" s="248"/>
      <c r="H279" s="249"/>
      <c r="I279" s="251"/>
      <c r="J279" s="192"/>
      <c r="K279" s="196"/>
      <c r="L279" s="180"/>
      <c r="M279" s="252"/>
      <c r="N279" s="250"/>
      <c r="O279" s="253"/>
      <c r="P279" s="156"/>
      <c r="Q279" s="57"/>
      <c r="R279" s="179"/>
      <c r="S279" s="157"/>
      <c r="T279" s="157"/>
      <c r="U279" s="157"/>
      <c r="V279" s="157"/>
      <c r="W279" s="157"/>
      <c r="X279" s="157"/>
      <c r="Y279" s="57"/>
      <c r="Z279" s="57"/>
    </row>
    <row r="280">
      <c r="A280" s="148"/>
      <c r="B280" s="243"/>
      <c r="C280" s="244"/>
      <c r="D280" s="245"/>
      <c r="E280" s="275" t="s">
        <v>591</v>
      </c>
      <c r="F280" s="247">
        <v>900.0</v>
      </c>
      <c r="G280" s="309" t="s">
        <v>426</v>
      </c>
      <c r="H280" s="249"/>
      <c r="I280" s="251"/>
      <c r="J280" s="192"/>
      <c r="K280" s="196"/>
      <c r="L280" s="180"/>
      <c r="M280" s="252"/>
      <c r="N280" s="250"/>
      <c r="O280" s="253"/>
      <c r="P280" s="156"/>
      <c r="Q280" s="57"/>
      <c r="R280" s="179"/>
      <c r="S280" s="157"/>
      <c r="T280" s="157"/>
      <c r="U280" s="157"/>
      <c r="V280" s="157"/>
      <c r="W280" s="157"/>
      <c r="X280" s="157"/>
      <c r="Y280" s="57"/>
      <c r="Z280" s="57"/>
    </row>
    <row r="281">
      <c r="A281" s="148"/>
      <c r="B281" s="243"/>
      <c r="C281" s="244"/>
      <c r="D281" s="245"/>
      <c r="E281" s="275" t="s">
        <v>592</v>
      </c>
      <c r="F281" s="247">
        <v>200.0</v>
      </c>
      <c r="G281" s="248"/>
      <c r="H281" s="249"/>
      <c r="I281" s="251"/>
      <c r="J281" s="192"/>
      <c r="K281" s="196"/>
      <c r="L281" s="180"/>
      <c r="M281" s="252"/>
      <c r="N281" s="250"/>
      <c r="O281" s="253"/>
      <c r="P281" s="156"/>
      <c r="Q281" s="57"/>
      <c r="R281" s="179"/>
      <c r="S281" s="157"/>
      <c r="T281" s="157"/>
      <c r="U281" s="157"/>
      <c r="V281" s="157"/>
      <c r="W281" s="157"/>
      <c r="X281" s="157"/>
      <c r="Y281" s="57"/>
      <c r="Z281" s="57"/>
    </row>
    <row r="282">
      <c r="A282" s="148"/>
      <c r="B282" s="243"/>
      <c r="C282" s="244"/>
      <c r="D282" s="245"/>
      <c r="E282" s="275" t="s">
        <v>593</v>
      </c>
      <c r="F282" s="247">
        <v>210.0</v>
      </c>
      <c r="G282" s="248"/>
      <c r="H282" s="249"/>
      <c r="I282" s="251"/>
      <c r="J282" s="192"/>
      <c r="K282" s="196"/>
      <c r="L282" s="180"/>
      <c r="M282" s="252"/>
      <c r="N282" s="250"/>
      <c r="O282" s="253"/>
      <c r="P282" s="156"/>
      <c r="Q282" s="57"/>
      <c r="R282" s="179"/>
      <c r="S282" s="157"/>
      <c r="T282" s="157"/>
      <c r="U282" s="157"/>
      <c r="V282" s="157"/>
      <c r="W282" s="157"/>
      <c r="X282" s="157"/>
      <c r="Y282" s="57"/>
      <c r="Z282" s="57"/>
    </row>
    <row r="283">
      <c r="A283" s="148"/>
      <c r="B283" s="243"/>
      <c r="C283" s="244"/>
      <c r="D283" s="245"/>
      <c r="E283" s="275" t="s">
        <v>594</v>
      </c>
      <c r="F283" s="247">
        <v>550.0</v>
      </c>
      <c r="G283" s="301" t="s">
        <v>426</v>
      </c>
      <c r="H283" s="249"/>
      <c r="I283" s="251"/>
      <c r="J283" s="192"/>
      <c r="K283" s="196"/>
      <c r="L283" s="180"/>
      <c r="M283" s="252"/>
      <c r="N283" s="250"/>
      <c r="O283" s="253"/>
      <c r="P283" s="156"/>
      <c r="Q283" s="57"/>
      <c r="R283" s="179"/>
      <c r="S283" s="157"/>
      <c r="T283" s="157"/>
      <c r="U283" s="157"/>
      <c r="V283" s="157"/>
      <c r="W283" s="157"/>
      <c r="X283" s="157"/>
      <c r="Y283" s="57"/>
      <c r="Z283" s="57"/>
    </row>
    <row r="284">
      <c r="A284" s="148"/>
      <c r="B284" s="243"/>
      <c r="C284" s="244"/>
      <c r="D284" s="245"/>
      <c r="E284" s="275" t="s">
        <v>483</v>
      </c>
      <c r="F284" s="247">
        <v>120.0</v>
      </c>
      <c r="G284" s="248"/>
      <c r="H284" s="249"/>
      <c r="I284" s="251"/>
      <c r="J284" s="192"/>
      <c r="K284" s="196"/>
      <c r="L284" s="180"/>
      <c r="M284" s="295" t="s">
        <v>267</v>
      </c>
      <c r="N284" s="250"/>
      <c r="O284" s="253"/>
      <c r="P284" s="156"/>
      <c r="Q284" s="57"/>
      <c r="R284" s="179"/>
      <c r="S284" s="157"/>
      <c r="T284" s="157"/>
      <c r="U284" s="157"/>
      <c r="V284" s="157"/>
      <c r="W284" s="157"/>
      <c r="X284" s="157"/>
      <c r="Y284" s="57"/>
      <c r="Z284" s="57"/>
    </row>
    <row r="285">
      <c r="A285" s="148"/>
      <c r="B285" s="243"/>
      <c r="C285" s="244"/>
      <c r="D285" s="245"/>
      <c r="E285" s="275" t="s">
        <v>595</v>
      </c>
      <c r="F285" s="247">
        <v>540.0</v>
      </c>
      <c r="G285" s="309" t="s">
        <v>426</v>
      </c>
      <c r="H285" s="249"/>
      <c r="I285" s="251"/>
      <c r="J285" s="192"/>
      <c r="K285" s="196"/>
      <c r="L285" s="180"/>
      <c r="M285" s="295"/>
      <c r="N285" s="250"/>
      <c r="O285" s="253"/>
      <c r="P285" s="156"/>
      <c r="Q285" s="57"/>
      <c r="R285" s="179"/>
      <c r="S285" s="157"/>
      <c r="T285" s="157"/>
      <c r="U285" s="157"/>
      <c r="V285" s="157"/>
      <c r="W285" s="157"/>
      <c r="X285" s="157"/>
      <c r="Y285" s="57"/>
      <c r="Z285" s="57"/>
    </row>
    <row r="286">
      <c r="A286" s="148"/>
      <c r="B286" s="243"/>
      <c r="C286" s="244"/>
      <c r="D286" s="245"/>
      <c r="E286" s="275" t="s">
        <v>596</v>
      </c>
      <c r="F286" s="247">
        <v>200.0</v>
      </c>
      <c r="G286" s="248"/>
      <c r="H286" s="249"/>
      <c r="I286" s="251"/>
      <c r="J286" s="192"/>
      <c r="K286" s="196"/>
      <c r="L286" s="180"/>
      <c r="M286" s="295"/>
      <c r="N286" s="250"/>
      <c r="O286" s="253"/>
      <c r="P286" s="156"/>
      <c r="Q286" s="57"/>
      <c r="R286" s="179"/>
      <c r="S286" s="157"/>
      <c r="T286" s="157"/>
      <c r="U286" s="157"/>
      <c r="V286" s="157"/>
      <c r="W286" s="157"/>
      <c r="X286" s="157"/>
      <c r="Y286" s="57"/>
      <c r="Z286" s="57"/>
    </row>
    <row r="287">
      <c r="A287" s="148"/>
      <c r="B287" s="243"/>
      <c r="C287" s="244"/>
      <c r="D287" s="245"/>
      <c r="E287" s="275" t="s">
        <v>391</v>
      </c>
      <c r="F287" s="247">
        <v>480.0</v>
      </c>
      <c r="G287" s="309" t="s">
        <v>426</v>
      </c>
      <c r="H287" s="249"/>
      <c r="I287" s="251"/>
      <c r="J287" s="192"/>
      <c r="K287" s="196"/>
      <c r="L287" s="180"/>
      <c r="M287" s="295"/>
      <c r="N287" s="250"/>
      <c r="O287" s="253"/>
      <c r="P287" s="156"/>
      <c r="Q287" s="57"/>
      <c r="R287" s="179"/>
      <c r="S287" s="157"/>
      <c r="T287" s="157"/>
      <c r="U287" s="157"/>
      <c r="V287" s="157"/>
      <c r="W287" s="157"/>
      <c r="X287" s="157"/>
      <c r="Y287" s="57"/>
      <c r="Z287" s="57"/>
    </row>
    <row r="288">
      <c r="A288" s="148"/>
      <c r="B288" s="243"/>
      <c r="C288" s="244"/>
      <c r="D288" s="245"/>
      <c r="E288" s="275" t="s">
        <v>597</v>
      </c>
      <c r="F288" s="247">
        <v>500.0</v>
      </c>
      <c r="G288" s="248"/>
      <c r="H288" s="249"/>
      <c r="I288" s="251"/>
      <c r="J288" s="192"/>
      <c r="K288" s="196"/>
      <c r="L288" s="180"/>
      <c r="M288" s="295"/>
      <c r="N288" s="250"/>
      <c r="O288" s="253"/>
      <c r="P288" s="156"/>
      <c r="Q288" s="57"/>
      <c r="R288" s="179"/>
      <c r="S288" s="157"/>
      <c r="T288" s="157"/>
      <c r="U288" s="157"/>
      <c r="V288" s="157"/>
      <c r="W288" s="157"/>
      <c r="X288" s="157"/>
      <c r="Y288" s="57"/>
      <c r="Z288" s="57"/>
    </row>
    <row r="289">
      <c r="A289" s="148"/>
      <c r="B289" s="243"/>
      <c r="C289" s="244"/>
      <c r="D289" s="245"/>
      <c r="E289" s="275" t="s">
        <v>598</v>
      </c>
      <c r="F289" s="247">
        <v>1100.0</v>
      </c>
      <c r="G289" s="309" t="s">
        <v>426</v>
      </c>
      <c r="H289" s="249"/>
      <c r="I289" s="251"/>
      <c r="J289" s="192"/>
      <c r="K289" s="196"/>
      <c r="L289" s="180"/>
      <c r="M289" s="252"/>
      <c r="N289" s="250"/>
      <c r="O289" s="253"/>
      <c r="P289" s="156"/>
      <c r="Q289" s="57"/>
      <c r="R289" s="179"/>
      <c r="S289" s="157"/>
      <c r="T289" s="157"/>
      <c r="U289" s="157"/>
      <c r="V289" s="157"/>
      <c r="W289" s="157"/>
      <c r="X289" s="157"/>
      <c r="Y289" s="57"/>
      <c r="Z289" s="57"/>
    </row>
    <row r="290">
      <c r="A290" s="148"/>
      <c r="B290" s="243"/>
      <c r="C290" s="244"/>
      <c r="D290" s="245"/>
      <c r="E290" s="275" t="s">
        <v>599</v>
      </c>
      <c r="F290" s="247">
        <v>450.0</v>
      </c>
      <c r="G290" s="248"/>
      <c r="H290" s="249"/>
      <c r="I290" s="251"/>
      <c r="J290" s="192"/>
      <c r="K290" s="196"/>
      <c r="L290" s="180"/>
      <c r="M290" s="252"/>
      <c r="N290" s="250"/>
      <c r="O290" s="253"/>
      <c r="P290" s="156"/>
      <c r="Q290" s="57"/>
      <c r="R290" s="179"/>
      <c r="S290" s="157"/>
      <c r="T290" s="157"/>
      <c r="U290" s="157"/>
      <c r="V290" s="157"/>
      <c r="W290" s="157"/>
      <c r="X290" s="157"/>
      <c r="Y290" s="57"/>
      <c r="Z290" s="57"/>
    </row>
    <row r="291">
      <c r="A291" s="148"/>
      <c r="B291" s="243"/>
      <c r="C291" s="244"/>
      <c r="D291" s="245"/>
      <c r="E291" s="275" t="s">
        <v>340</v>
      </c>
      <c r="F291" s="247">
        <v>1800.0</v>
      </c>
      <c r="G291" s="309" t="s">
        <v>426</v>
      </c>
      <c r="H291" s="249"/>
      <c r="I291" s="251"/>
      <c r="J291" s="192"/>
      <c r="K291" s="196"/>
      <c r="L291" s="180"/>
      <c r="M291" s="252"/>
      <c r="N291" s="250"/>
      <c r="O291" s="253"/>
      <c r="P291" s="156"/>
      <c r="Q291" s="57"/>
      <c r="R291" s="179"/>
      <c r="S291" s="157"/>
      <c r="T291" s="157"/>
      <c r="U291" s="157"/>
      <c r="V291" s="157"/>
      <c r="W291" s="157"/>
      <c r="X291" s="157"/>
      <c r="Y291" s="57"/>
      <c r="Z291" s="57"/>
    </row>
    <row r="292">
      <c r="A292" s="148"/>
      <c r="B292" s="243"/>
      <c r="C292" s="244"/>
      <c r="D292" s="245"/>
      <c r="E292" s="275" t="s">
        <v>533</v>
      </c>
      <c r="F292" s="247">
        <v>610.0</v>
      </c>
      <c r="G292" s="255"/>
      <c r="H292" s="249"/>
      <c r="I292" s="251"/>
      <c r="J292" s="192"/>
      <c r="K292" s="196"/>
      <c r="L292" s="180"/>
      <c r="M292" s="252"/>
      <c r="N292" s="250"/>
      <c r="O292" s="253"/>
      <c r="P292" s="156"/>
      <c r="Q292" s="57"/>
      <c r="R292" s="179"/>
      <c r="S292" s="157"/>
      <c r="T292" s="157"/>
      <c r="U292" s="157"/>
      <c r="V292" s="157"/>
      <c r="W292" s="157"/>
      <c r="X292" s="157"/>
      <c r="Y292" s="57"/>
      <c r="Z292" s="57"/>
    </row>
    <row r="293">
      <c r="A293" s="148"/>
      <c r="B293" s="243"/>
      <c r="C293" s="243"/>
      <c r="D293" s="245"/>
      <c r="E293" s="276"/>
      <c r="F293" s="277"/>
      <c r="G293" s="248"/>
      <c r="H293" s="249"/>
      <c r="I293" s="251"/>
      <c r="J293" s="192"/>
      <c r="K293" s="196"/>
      <c r="L293" s="254"/>
      <c r="M293" s="252"/>
      <c r="N293" s="250"/>
      <c r="O293" s="155"/>
      <c r="P293" s="156"/>
      <c r="Q293" s="57"/>
      <c r="R293" s="179"/>
      <c r="S293" s="157"/>
      <c r="T293" s="157"/>
      <c r="U293" s="157"/>
      <c r="V293" s="157"/>
      <c r="W293" s="157"/>
      <c r="X293" s="157"/>
      <c r="Y293" s="57"/>
      <c r="Z293" s="57"/>
    </row>
    <row r="294">
      <c r="A294" s="148"/>
      <c r="B294" s="243"/>
      <c r="C294" s="243"/>
      <c r="D294" s="245"/>
      <c r="E294" s="275"/>
      <c r="F294" s="277"/>
      <c r="G294" s="255"/>
      <c r="H294" s="249"/>
      <c r="I294" s="251"/>
      <c r="J294" s="251"/>
      <c r="K294" s="148"/>
      <c r="L294" s="254"/>
      <c r="M294" s="252"/>
      <c r="N294" s="250"/>
      <c r="O294" s="155"/>
      <c r="P294" s="156"/>
      <c r="Q294" s="57"/>
      <c r="R294" s="179"/>
      <c r="S294" s="157"/>
      <c r="T294" s="157"/>
      <c r="U294" s="157"/>
      <c r="V294" s="157"/>
      <c r="W294" s="157"/>
      <c r="X294" s="157"/>
      <c r="Y294" s="57"/>
      <c r="Z294" s="57"/>
    </row>
    <row r="295">
      <c r="A295" s="158"/>
      <c r="B295" s="159"/>
      <c r="C295" s="160"/>
      <c r="D295" s="161"/>
      <c r="E295" s="303"/>
      <c r="F295" s="162"/>
      <c r="G295" s="57"/>
      <c r="H295" s="57"/>
      <c r="I295" s="151"/>
      <c r="J295" s="163"/>
      <c r="K295" s="159"/>
      <c r="L295" s="164"/>
      <c r="M295" s="165"/>
      <c r="N295" s="166"/>
      <c r="O295" s="167"/>
      <c r="P295" s="168"/>
      <c r="Q295" s="159"/>
      <c r="R295" s="57"/>
      <c r="S295" s="157"/>
      <c r="T295" s="157"/>
      <c r="U295" s="157"/>
      <c r="V295" s="157"/>
      <c r="W295" s="157"/>
      <c r="X295" s="157"/>
      <c r="Y295" s="57"/>
      <c r="Z295" s="57"/>
    </row>
    <row r="296">
      <c r="A296" s="169" t="s">
        <v>85</v>
      </c>
      <c r="B296" s="170"/>
      <c r="C296" s="171"/>
      <c r="D296" s="172"/>
      <c r="E296" s="173"/>
      <c r="F296" s="174"/>
      <c r="G296" s="175" t="s">
        <v>333</v>
      </c>
      <c r="H296" s="176"/>
      <c r="I296" s="177"/>
      <c r="J296" s="151"/>
      <c r="K296" s="57"/>
      <c r="L296" s="152"/>
      <c r="M296" s="153"/>
      <c r="N296" s="154"/>
      <c r="O296" s="178" t="s">
        <v>334</v>
      </c>
      <c r="P296" s="156"/>
      <c r="Q296" s="57"/>
      <c r="R296" s="179"/>
      <c r="S296" s="157"/>
      <c r="T296" s="157"/>
      <c r="U296" s="157"/>
      <c r="V296" s="157"/>
      <c r="W296" s="157"/>
      <c r="X296" s="157"/>
      <c r="Y296" s="57"/>
      <c r="Z296" s="57"/>
    </row>
    <row r="297">
      <c r="A297" s="182"/>
      <c r="B297" s="105"/>
      <c r="C297" s="183"/>
      <c r="D297" s="172"/>
      <c r="E297" s="184" t="s">
        <v>335</v>
      </c>
      <c r="F297" s="180" t="s">
        <v>237</v>
      </c>
      <c r="G297" s="185" t="s">
        <v>336</v>
      </c>
      <c r="H297" s="186" t="s">
        <v>337</v>
      </c>
      <c r="I297" s="104"/>
      <c r="J297" s="104" t="s">
        <v>0</v>
      </c>
      <c r="K297" s="57"/>
      <c r="L297" s="152"/>
      <c r="M297" s="187" t="s">
        <v>338</v>
      </c>
      <c r="O297" s="188" t="s">
        <v>600</v>
      </c>
      <c r="P297" s="189">
        <v>120.0</v>
      </c>
      <c r="Q297" s="57"/>
      <c r="R297" s="179"/>
      <c r="S297" s="157"/>
      <c r="T297" s="157"/>
      <c r="U297" s="157"/>
      <c r="V297" s="157"/>
      <c r="W297" s="157"/>
      <c r="X297" s="157"/>
      <c r="Y297" s="57"/>
      <c r="Z297" s="57"/>
    </row>
    <row r="298">
      <c r="A298" s="190" t="s">
        <v>179</v>
      </c>
      <c r="C298" s="191">
        <f>SUM(F298:F322)</f>
        <v>6890</v>
      </c>
      <c r="D298" s="172"/>
      <c r="E298" s="272" t="s">
        <v>601</v>
      </c>
      <c r="F298" s="193">
        <v>90.0</v>
      </c>
      <c r="G298" s="194"/>
      <c r="H298" s="195"/>
      <c r="I298" s="151"/>
      <c r="J298" s="192" t="s">
        <v>341</v>
      </c>
      <c r="K298" s="196"/>
      <c r="L298" s="180">
        <v>115.0</v>
      </c>
      <c r="M298" s="153"/>
      <c r="N298" s="154"/>
      <c r="O298" s="188"/>
      <c r="P298" s="189"/>
      <c r="Q298" s="57"/>
      <c r="R298" s="179"/>
      <c r="S298" s="157"/>
      <c r="T298" s="157"/>
      <c r="U298" s="157"/>
      <c r="V298" s="157"/>
      <c r="W298" s="157"/>
      <c r="X298" s="157"/>
      <c r="Y298" s="57"/>
      <c r="Z298" s="57"/>
    </row>
    <row r="299">
      <c r="A299" s="198" t="s">
        <v>343</v>
      </c>
      <c r="B299" s="199" t="s">
        <v>321</v>
      </c>
      <c r="C299" s="191">
        <f>SUM(P297:P319)</f>
        <v>120</v>
      </c>
      <c r="D299" s="149"/>
      <c r="E299" s="272" t="s">
        <v>602</v>
      </c>
      <c r="F299" s="193">
        <v>150.0</v>
      </c>
      <c r="G299" s="200"/>
      <c r="H299" s="205"/>
      <c r="I299" s="201"/>
      <c r="J299" s="202" t="s">
        <v>345</v>
      </c>
      <c r="K299" s="196"/>
      <c r="L299" s="197"/>
      <c r="M299" s="153"/>
      <c r="N299" s="154"/>
      <c r="O299" s="210"/>
      <c r="P299" s="156"/>
      <c r="Q299" s="57"/>
      <c r="R299" s="179"/>
      <c r="S299" s="157"/>
      <c r="T299" s="157"/>
      <c r="U299" s="157"/>
      <c r="V299" s="157"/>
      <c r="W299" s="157"/>
      <c r="X299" s="157"/>
      <c r="Y299" s="57"/>
      <c r="Z299" s="57"/>
    </row>
    <row r="300">
      <c r="A300" s="203" t="s">
        <v>201</v>
      </c>
      <c r="C300" s="204">
        <f>SUM(L298:L321)</f>
        <v>6034</v>
      </c>
      <c r="D300" s="149"/>
      <c r="E300" s="272" t="s">
        <v>402</v>
      </c>
      <c r="F300" s="193">
        <v>100.0</v>
      </c>
      <c r="G300" s="200"/>
      <c r="H300" s="205"/>
      <c r="I300" s="151"/>
      <c r="J300" s="206" t="s">
        <v>6</v>
      </c>
      <c r="K300" s="196"/>
      <c r="L300" s="197"/>
      <c r="M300" s="153"/>
      <c r="N300" s="154"/>
      <c r="O300" s="210"/>
      <c r="P300" s="156"/>
      <c r="Q300" s="57"/>
      <c r="R300" s="179"/>
      <c r="S300" s="157"/>
      <c r="T300" s="157"/>
      <c r="U300" s="157"/>
      <c r="V300" s="157"/>
      <c r="W300" s="157"/>
      <c r="X300" s="157"/>
      <c r="Y300" s="57"/>
      <c r="Z300" s="57"/>
    </row>
    <row r="301">
      <c r="A301" s="207"/>
      <c r="B301" s="105"/>
      <c r="C301" s="204"/>
      <c r="D301" s="149"/>
      <c r="E301" s="272" t="s">
        <v>603</v>
      </c>
      <c r="F301" s="193">
        <v>120.0</v>
      </c>
      <c r="G301" s="297" t="s">
        <v>426</v>
      </c>
      <c r="H301" s="205"/>
      <c r="I301" s="208"/>
      <c r="J301" s="192" t="s">
        <v>7</v>
      </c>
      <c r="K301" s="196"/>
      <c r="L301" s="180"/>
      <c r="M301" s="153"/>
      <c r="N301" s="154"/>
      <c r="O301" s="210"/>
      <c r="P301" s="189"/>
      <c r="Q301" s="57"/>
      <c r="R301" s="179"/>
      <c r="S301" s="157"/>
      <c r="T301" s="157"/>
      <c r="U301" s="157"/>
      <c r="V301" s="157"/>
      <c r="W301" s="157"/>
      <c r="X301" s="157"/>
      <c r="Y301" s="57"/>
      <c r="Z301" s="57"/>
    </row>
    <row r="302">
      <c r="A302" s="211" t="s">
        <v>350</v>
      </c>
      <c r="C302" s="212">
        <f>C298-C300-B304-B310</f>
        <v>808</v>
      </c>
      <c r="D302" s="149"/>
      <c r="E302" s="272" t="s">
        <v>604</v>
      </c>
      <c r="F302" s="193">
        <v>100.0</v>
      </c>
      <c r="G302" s="200"/>
      <c r="H302" s="205"/>
      <c r="I302" s="201"/>
      <c r="J302" s="202" t="s">
        <v>210</v>
      </c>
      <c r="K302" s="196"/>
      <c r="L302" s="180"/>
      <c r="M302" s="153"/>
      <c r="N302" s="154"/>
      <c r="O302" s="210"/>
      <c r="P302" s="189"/>
      <c r="Q302" s="57"/>
      <c r="R302" s="179"/>
      <c r="S302" s="157"/>
      <c r="T302" s="157"/>
      <c r="U302" s="157"/>
      <c r="V302" s="157"/>
      <c r="W302" s="157"/>
      <c r="X302" s="157"/>
      <c r="Y302" s="57"/>
      <c r="Z302" s="57"/>
    </row>
    <row r="303">
      <c r="A303" s="213"/>
      <c r="C303" s="214"/>
      <c r="D303" s="149"/>
      <c r="E303" s="272" t="s">
        <v>605</v>
      </c>
      <c r="F303" s="193">
        <v>2010.0</v>
      </c>
      <c r="G303" s="200"/>
      <c r="H303" s="205"/>
      <c r="I303" s="201"/>
      <c r="J303" s="202" t="s">
        <v>354</v>
      </c>
      <c r="K303" s="196"/>
      <c r="L303" s="180">
        <v>290.0</v>
      </c>
      <c r="M303" s="209" t="s">
        <v>461</v>
      </c>
      <c r="O303" s="210"/>
      <c r="P303" s="189"/>
      <c r="Q303" s="57"/>
      <c r="R303" s="179"/>
      <c r="S303" s="157"/>
      <c r="T303" s="157"/>
      <c r="U303" s="157"/>
      <c r="V303" s="157"/>
      <c r="W303" s="157"/>
      <c r="X303" s="157"/>
      <c r="Y303" s="57"/>
      <c r="Z303" s="57"/>
    </row>
    <row r="304">
      <c r="A304" s="216" t="s">
        <v>356</v>
      </c>
      <c r="B304" s="217">
        <v>48.0</v>
      </c>
      <c r="C304" s="214"/>
      <c r="D304" s="149"/>
      <c r="E304" s="272" t="s">
        <v>424</v>
      </c>
      <c r="F304" s="193">
        <v>800.0</v>
      </c>
      <c r="G304" s="200"/>
      <c r="H304" s="205"/>
      <c r="I304" s="208"/>
      <c r="J304" s="192" t="s">
        <v>606</v>
      </c>
      <c r="K304" s="196"/>
      <c r="L304" s="180">
        <v>60.0</v>
      </c>
      <c r="M304" s="209" t="s">
        <v>607</v>
      </c>
      <c r="N304" s="154"/>
      <c r="O304" s="210"/>
      <c r="P304" s="156"/>
      <c r="Q304" s="57"/>
      <c r="R304" s="179"/>
      <c r="S304" s="157"/>
      <c r="T304" s="157"/>
      <c r="U304" s="157"/>
      <c r="V304" s="157"/>
      <c r="W304" s="157"/>
      <c r="X304" s="157"/>
      <c r="Y304" s="57"/>
      <c r="Z304" s="57"/>
    </row>
    <row r="305">
      <c r="A305" s="218" t="s">
        <v>214</v>
      </c>
      <c r="B305" s="219">
        <v>600.0</v>
      </c>
      <c r="C305" s="220"/>
      <c r="D305" s="172"/>
      <c r="E305" s="272" t="s">
        <v>548</v>
      </c>
      <c r="F305" s="193">
        <v>500.0</v>
      </c>
      <c r="G305" s="297" t="s">
        <v>426</v>
      </c>
      <c r="H305" s="205"/>
      <c r="I305" s="151"/>
      <c r="J305" s="206" t="s">
        <v>34</v>
      </c>
      <c r="K305" s="196"/>
      <c r="L305" s="180"/>
      <c r="M305" s="153"/>
      <c r="N305" s="154"/>
      <c r="O305" s="210"/>
      <c r="P305" s="156"/>
      <c r="Q305" s="57"/>
      <c r="R305" s="179"/>
      <c r="S305" s="157"/>
      <c r="T305" s="157"/>
      <c r="U305" s="157"/>
      <c r="V305" s="157"/>
      <c r="W305" s="157"/>
      <c r="X305" s="157"/>
      <c r="Y305" s="57"/>
      <c r="Z305" s="57"/>
    </row>
    <row r="306">
      <c r="A306" s="221" t="s">
        <v>272</v>
      </c>
      <c r="B306" s="222">
        <v>3070.0</v>
      </c>
      <c r="C306" s="223"/>
      <c r="D306" s="149"/>
      <c r="E306" s="272" t="s">
        <v>608</v>
      </c>
      <c r="F306" s="193">
        <v>350.0</v>
      </c>
      <c r="G306" s="297" t="s">
        <v>426</v>
      </c>
      <c r="H306" s="205"/>
      <c r="I306" s="208"/>
      <c r="J306" s="192" t="s">
        <v>216</v>
      </c>
      <c r="K306" s="196"/>
      <c r="L306" s="197"/>
      <c r="M306" s="153"/>
      <c r="N306" s="154"/>
      <c r="O306" s="210"/>
      <c r="P306" s="156"/>
      <c r="Q306" s="57"/>
      <c r="R306" s="179"/>
      <c r="S306" s="157"/>
      <c r="T306" s="157"/>
      <c r="U306" s="157"/>
      <c r="V306" s="157"/>
      <c r="W306" s="157"/>
      <c r="X306" s="157"/>
      <c r="Y306" s="57"/>
      <c r="Z306" s="57"/>
    </row>
    <row r="307">
      <c r="A307" s="224" t="s">
        <v>361</v>
      </c>
      <c r="B307" s="225">
        <v>11800.0</v>
      </c>
      <c r="C307" s="226"/>
      <c r="D307" s="149"/>
      <c r="E307" s="272" t="s">
        <v>609</v>
      </c>
      <c r="F307" s="193">
        <v>30.0</v>
      </c>
      <c r="G307" s="200"/>
      <c r="H307" s="205"/>
      <c r="I307" s="151"/>
      <c r="J307" s="206" t="s">
        <v>108</v>
      </c>
      <c r="K307" s="196"/>
      <c r="L307" s="180">
        <v>240.0</v>
      </c>
      <c r="M307" s="209"/>
      <c r="N307" s="215"/>
      <c r="O307" s="210"/>
      <c r="P307" s="156"/>
      <c r="Q307" s="57"/>
      <c r="R307" s="179"/>
      <c r="S307" s="157"/>
      <c r="T307" s="157"/>
      <c r="U307" s="157"/>
      <c r="V307" s="157"/>
      <c r="W307" s="157"/>
      <c r="X307" s="157"/>
      <c r="Y307" s="57"/>
      <c r="Z307" s="57"/>
    </row>
    <row r="308">
      <c r="A308" s="57"/>
      <c r="B308" s="105"/>
      <c r="C308" s="105"/>
      <c r="D308" s="149"/>
      <c r="E308" s="272" t="s">
        <v>610</v>
      </c>
      <c r="F308" s="193">
        <v>100.0</v>
      </c>
      <c r="G308" s="200"/>
      <c r="H308" s="205"/>
      <c r="I308" s="227"/>
      <c r="J308" s="228" t="s">
        <v>156</v>
      </c>
      <c r="K308" s="196"/>
      <c r="L308" s="180">
        <v>1250.0</v>
      </c>
      <c r="M308" s="153"/>
      <c r="N308" s="154"/>
      <c r="O308" s="210"/>
      <c r="P308" s="156"/>
      <c r="Q308" s="57"/>
      <c r="R308" s="179"/>
      <c r="S308" s="157"/>
      <c r="T308" s="157"/>
      <c r="U308" s="157"/>
      <c r="V308" s="157"/>
      <c r="W308" s="157"/>
      <c r="X308" s="157"/>
      <c r="Y308" s="57"/>
      <c r="Z308" s="57"/>
    </row>
    <row r="309">
      <c r="A309" s="57"/>
      <c r="B309" s="105"/>
      <c r="C309" s="105"/>
      <c r="D309" s="149"/>
      <c r="E309" s="272" t="s">
        <v>402</v>
      </c>
      <c r="F309" s="193">
        <v>400.0</v>
      </c>
      <c r="G309" s="200"/>
      <c r="H309" s="205"/>
      <c r="I309" s="201"/>
      <c r="J309" s="202" t="s">
        <v>217</v>
      </c>
      <c r="K309" s="196"/>
      <c r="L309" s="180"/>
      <c r="M309" s="153"/>
      <c r="N309" s="154"/>
      <c r="O309" s="210"/>
      <c r="P309" s="156"/>
      <c r="Q309" s="57"/>
      <c r="R309" s="179"/>
      <c r="S309" s="157"/>
      <c r="T309" s="157"/>
      <c r="U309" s="157"/>
      <c r="V309" s="157"/>
      <c r="W309" s="157"/>
      <c r="X309" s="157"/>
      <c r="Y309" s="57"/>
      <c r="Z309" s="57"/>
    </row>
    <row r="310">
      <c r="A310" s="310" t="s">
        <v>365</v>
      </c>
      <c r="B310" s="230">
        <f>SUM(C311,C312,C313,C314,C315,C316,C317,C318,C319,C320)</f>
        <v>0</v>
      </c>
      <c r="C310" s="231" t="s">
        <v>366</v>
      </c>
      <c r="D310" s="149"/>
      <c r="E310" s="272" t="s">
        <v>433</v>
      </c>
      <c r="F310" s="193">
        <v>210.0</v>
      </c>
      <c r="G310" s="200"/>
      <c r="H310" s="205"/>
      <c r="I310" s="208"/>
      <c r="J310" s="192" t="s">
        <v>368</v>
      </c>
      <c r="K310" s="196"/>
      <c r="L310" s="197"/>
      <c r="M310" s="153"/>
      <c r="N310" s="154"/>
      <c r="O310" s="210"/>
      <c r="P310" s="156"/>
      <c r="Q310" s="57"/>
      <c r="R310" s="179"/>
      <c r="S310" s="157"/>
      <c r="T310" s="157"/>
      <c r="U310" s="157"/>
      <c r="V310" s="157"/>
      <c r="W310" s="157"/>
      <c r="X310" s="157"/>
      <c r="Y310" s="57"/>
      <c r="Z310" s="57"/>
    </row>
    <row r="311">
      <c r="A311" s="232" t="s">
        <v>369</v>
      </c>
      <c r="C311" s="233"/>
      <c r="D311" s="149"/>
      <c r="E311" s="272" t="s">
        <v>410</v>
      </c>
      <c r="F311" s="193">
        <v>290.0</v>
      </c>
      <c r="G311" s="200"/>
      <c r="H311" s="205"/>
      <c r="I311" s="151"/>
      <c r="J311" s="206" t="s">
        <v>131</v>
      </c>
      <c r="K311" s="196"/>
      <c r="L311" s="180">
        <v>813.0</v>
      </c>
      <c r="M311" s="209"/>
      <c r="N311" s="215"/>
      <c r="O311" s="210"/>
      <c r="P311" s="156"/>
      <c r="Q311" s="57"/>
      <c r="R311" s="179"/>
      <c r="S311" s="157"/>
      <c r="T311" s="157"/>
      <c r="U311" s="157"/>
      <c r="V311" s="157"/>
      <c r="W311" s="157"/>
      <c r="X311" s="157"/>
      <c r="Y311" s="57"/>
      <c r="Z311" s="57"/>
    </row>
    <row r="312">
      <c r="C312" s="233"/>
      <c r="D312" s="149"/>
      <c r="E312" s="272" t="s">
        <v>611</v>
      </c>
      <c r="F312" s="193">
        <v>300.0</v>
      </c>
      <c r="G312" s="200"/>
      <c r="H312" s="205"/>
      <c r="I312" s="151"/>
      <c r="J312" s="206" t="s">
        <v>18</v>
      </c>
      <c r="K312" s="196"/>
      <c r="L312" s="180"/>
      <c r="M312" s="209"/>
      <c r="N312" s="215"/>
      <c r="O312" s="210"/>
      <c r="P312" s="156"/>
      <c r="Q312" s="57"/>
      <c r="R312" s="179"/>
      <c r="S312" s="157"/>
      <c r="T312" s="157"/>
      <c r="U312" s="157"/>
      <c r="V312" s="157"/>
      <c r="W312" s="157"/>
      <c r="X312" s="157"/>
      <c r="Y312" s="57"/>
      <c r="Z312" s="57"/>
    </row>
    <row r="313">
      <c r="A313" s="57"/>
      <c r="B313" s="105"/>
      <c r="C313" s="235"/>
      <c r="D313" s="149"/>
      <c r="E313" s="272" t="s">
        <v>612</v>
      </c>
      <c r="F313" s="193">
        <v>500.0</v>
      </c>
      <c r="G313" s="297" t="s">
        <v>426</v>
      </c>
      <c r="H313" s="205"/>
      <c r="I313" s="201"/>
      <c r="J313" s="202" t="s">
        <v>377</v>
      </c>
      <c r="K313" s="196"/>
      <c r="L313" s="197"/>
      <c r="M313" s="153"/>
      <c r="N313" s="154"/>
      <c r="O313" s="236"/>
      <c r="P313" s="156"/>
      <c r="Q313" s="57"/>
      <c r="R313" s="179"/>
      <c r="S313" s="157"/>
      <c r="T313" s="157"/>
      <c r="U313" s="157"/>
      <c r="V313" s="157"/>
      <c r="W313" s="157"/>
      <c r="X313" s="157"/>
      <c r="Y313" s="57"/>
      <c r="Z313" s="57"/>
    </row>
    <row r="314">
      <c r="A314" s="57"/>
      <c r="B314" s="105"/>
      <c r="C314" s="235"/>
      <c r="D314" s="149"/>
      <c r="E314" s="272" t="s">
        <v>584</v>
      </c>
      <c r="F314" s="193">
        <v>250.0</v>
      </c>
      <c r="G314" s="200"/>
      <c r="H314" s="205"/>
      <c r="I314" s="208"/>
      <c r="J314" s="192" t="s">
        <v>418</v>
      </c>
      <c r="K314" s="196"/>
      <c r="L314" s="180"/>
      <c r="M314" s="153"/>
      <c r="N314" s="154"/>
      <c r="O314" s="236"/>
      <c r="P314" s="156"/>
      <c r="Q314" s="57"/>
      <c r="R314" s="179"/>
      <c r="S314" s="242"/>
      <c r="T314" s="242"/>
      <c r="U314" s="242"/>
      <c r="V314" s="242"/>
      <c r="W314" s="242"/>
      <c r="X314" s="242"/>
      <c r="Y314" s="148"/>
      <c r="Z314" s="148"/>
    </row>
    <row r="315">
      <c r="A315" s="57"/>
      <c r="B315" s="105"/>
      <c r="C315" s="235"/>
      <c r="D315" s="149"/>
      <c r="E315" s="272" t="s">
        <v>613</v>
      </c>
      <c r="F315" s="193">
        <v>590.0</v>
      </c>
      <c r="G315" s="200"/>
      <c r="H315" s="205"/>
      <c r="I315" s="208"/>
      <c r="J315" s="192" t="s">
        <v>381</v>
      </c>
      <c r="K315" s="196"/>
      <c r="L315" s="180">
        <v>1425.0</v>
      </c>
      <c r="M315" s="209"/>
      <c r="N315" s="215"/>
      <c r="O315" s="210"/>
      <c r="P315" s="156"/>
      <c r="Q315" s="57"/>
      <c r="R315" s="179"/>
      <c r="S315" s="242"/>
      <c r="T315" s="242"/>
      <c r="U315" s="242"/>
      <c r="V315" s="242"/>
      <c r="W315" s="242"/>
      <c r="X315" s="242"/>
      <c r="Y315" s="148"/>
      <c r="Z315" s="148"/>
    </row>
    <row r="316">
      <c r="A316" s="57"/>
      <c r="B316" s="105"/>
      <c r="C316" s="235"/>
      <c r="D316" s="149"/>
      <c r="E316" s="294"/>
      <c r="F316" s="150"/>
      <c r="G316" s="200"/>
      <c r="H316" s="205"/>
      <c r="I316" s="208"/>
      <c r="J316" s="192" t="s">
        <v>383</v>
      </c>
      <c r="K316" s="237"/>
      <c r="L316" s="180">
        <v>1025.0</v>
      </c>
      <c r="M316" s="209"/>
      <c r="N316" s="215"/>
      <c r="O316" s="210"/>
      <c r="P316" s="156"/>
      <c r="Q316" s="57"/>
      <c r="R316" s="179"/>
      <c r="S316" s="157"/>
      <c r="T316" s="157"/>
      <c r="U316" s="157"/>
      <c r="V316" s="157"/>
      <c r="W316" s="157"/>
      <c r="X316" s="157"/>
      <c r="Y316" s="57"/>
      <c r="Z316" s="57"/>
    </row>
    <row r="317">
      <c r="A317" s="238"/>
      <c r="B317" s="105"/>
      <c r="C317" s="235"/>
      <c r="D317" s="149"/>
      <c r="E317" s="294"/>
      <c r="F317" s="150"/>
      <c r="G317" s="200"/>
      <c r="H317" s="205"/>
      <c r="I317" s="208"/>
      <c r="J317" s="192" t="s">
        <v>202</v>
      </c>
      <c r="K317" s="237"/>
      <c r="L317" s="180"/>
      <c r="M317" s="209" t="s">
        <v>385</v>
      </c>
      <c r="N317" s="154"/>
      <c r="O317" s="210"/>
      <c r="P317" s="156"/>
      <c r="Q317" s="57"/>
      <c r="R317" s="179"/>
      <c r="S317" s="157"/>
      <c r="T317" s="157"/>
      <c r="U317" s="157"/>
      <c r="V317" s="157"/>
      <c r="W317" s="157"/>
      <c r="X317" s="157"/>
      <c r="Y317" s="57"/>
      <c r="Z317" s="57"/>
    </row>
    <row r="318">
      <c r="A318" s="239"/>
      <c r="B318" s="105"/>
      <c r="C318" s="235"/>
      <c r="D318" s="149"/>
      <c r="E318" s="294"/>
      <c r="F318" s="150"/>
      <c r="G318" s="200"/>
      <c r="H318" s="205"/>
      <c r="I318" s="208"/>
      <c r="J318" s="192" t="s">
        <v>274</v>
      </c>
      <c r="K318" s="196"/>
      <c r="L318" s="180">
        <v>216.0</v>
      </c>
      <c r="M318" s="153"/>
      <c r="N318" s="215"/>
      <c r="O318" s="210"/>
      <c r="P318" s="240"/>
      <c r="Q318" s="148"/>
      <c r="R318" s="241"/>
      <c r="S318" s="157"/>
      <c r="T318" s="157"/>
      <c r="U318" s="157"/>
      <c r="V318" s="157"/>
      <c r="W318" s="157"/>
      <c r="X318" s="157"/>
      <c r="Y318" s="57"/>
      <c r="Z318" s="57"/>
    </row>
    <row r="319">
      <c r="A319" s="148"/>
      <c r="B319" s="243"/>
      <c r="C319" s="244"/>
      <c r="D319" s="245"/>
      <c r="E319" s="276"/>
      <c r="F319" s="277"/>
      <c r="G319" s="248"/>
      <c r="H319" s="249"/>
      <c r="I319" s="208"/>
      <c r="J319" s="192" t="s">
        <v>220</v>
      </c>
      <c r="K319" s="196"/>
      <c r="L319" s="180"/>
      <c r="M319" s="209"/>
      <c r="N319" s="250"/>
      <c r="O319" s="236"/>
      <c r="P319" s="240"/>
      <c r="Q319" s="148"/>
      <c r="R319" s="241"/>
      <c r="S319" s="157"/>
      <c r="T319" s="157"/>
      <c r="U319" s="157"/>
      <c r="V319" s="157"/>
      <c r="W319" s="157"/>
      <c r="X319" s="157"/>
      <c r="Y319" s="57"/>
      <c r="Z319" s="57"/>
    </row>
    <row r="320">
      <c r="A320" s="148"/>
      <c r="B320" s="243"/>
      <c r="C320" s="244"/>
      <c r="D320" s="245"/>
      <c r="E320" s="276"/>
      <c r="F320" s="277"/>
      <c r="G320" s="248"/>
      <c r="H320" s="249"/>
      <c r="I320" s="251"/>
      <c r="J320" s="192" t="s">
        <v>30</v>
      </c>
      <c r="K320" s="196"/>
      <c r="L320" s="311">
        <v>600.0</v>
      </c>
      <c r="M320" s="312"/>
      <c r="N320" s="312"/>
      <c r="O320" s="253"/>
      <c r="P320" s="156"/>
      <c r="Q320" s="57"/>
      <c r="R320" s="179"/>
      <c r="S320" s="157"/>
      <c r="T320" s="157"/>
      <c r="U320" s="157"/>
      <c r="V320" s="157"/>
      <c r="W320" s="157"/>
      <c r="X320" s="157"/>
      <c r="Y320" s="57"/>
      <c r="Z320" s="57"/>
    </row>
    <row r="321">
      <c r="A321" s="148"/>
      <c r="B321" s="243"/>
      <c r="C321" s="243"/>
      <c r="D321" s="245"/>
      <c r="E321" s="276"/>
      <c r="F321" s="277"/>
      <c r="G321" s="248"/>
      <c r="H321" s="249"/>
      <c r="I321" s="251"/>
      <c r="J321" s="251"/>
      <c r="K321" s="148"/>
      <c r="L321" s="254"/>
      <c r="M321" s="252"/>
      <c r="N321" s="250"/>
      <c r="O321" s="155"/>
      <c r="P321" s="156"/>
      <c r="Q321" s="57"/>
      <c r="R321" s="179"/>
      <c r="S321" s="157"/>
      <c r="T321" s="157"/>
      <c r="U321" s="157"/>
      <c r="V321" s="157"/>
      <c r="W321" s="157"/>
      <c r="X321" s="157"/>
      <c r="Y321" s="57"/>
      <c r="Z321" s="57"/>
    </row>
    <row r="322">
      <c r="A322" s="158"/>
      <c r="B322" s="159"/>
      <c r="C322" s="160"/>
      <c r="D322" s="161"/>
      <c r="E322" s="303"/>
      <c r="F322" s="162"/>
      <c r="G322" s="57"/>
      <c r="H322" s="57"/>
      <c r="I322" s="151"/>
      <c r="J322" s="163"/>
      <c r="K322" s="159"/>
      <c r="L322" s="164"/>
      <c r="M322" s="165"/>
      <c r="N322" s="166"/>
      <c r="O322" s="167"/>
      <c r="P322" s="168"/>
      <c r="Q322" s="159"/>
      <c r="R322" s="57"/>
      <c r="S322" s="157"/>
      <c r="T322" s="157"/>
      <c r="U322" s="157"/>
      <c r="V322" s="157"/>
      <c r="W322" s="157"/>
      <c r="X322" s="157"/>
      <c r="Y322" s="57"/>
      <c r="Z322" s="57"/>
    </row>
    <row r="323">
      <c r="A323" s="169" t="s">
        <v>614</v>
      </c>
      <c r="B323" s="170"/>
      <c r="C323" s="171"/>
      <c r="D323" s="172"/>
      <c r="E323" s="173"/>
      <c r="F323" s="174"/>
      <c r="G323" s="175" t="s">
        <v>333</v>
      </c>
      <c r="H323" s="176"/>
      <c r="I323" s="177"/>
      <c r="J323" s="151"/>
      <c r="K323" s="57"/>
      <c r="L323" s="152"/>
      <c r="M323" s="153"/>
      <c r="N323" s="154"/>
      <c r="O323" s="178" t="s">
        <v>334</v>
      </c>
      <c r="P323" s="156"/>
      <c r="Q323" s="57"/>
      <c r="R323" s="179"/>
      <c r="S323" s="157"/>
      <c r="T323" s="157"/>
      <c r="U323" s="157"/>
      <c r="V323" s="157"/>
      <c r="W323" s="157"/>
      <c r="X323" s="157"/>
      <c r="Y323" s="57"/>
      <c r="Z323" s="57"/>
    </row>
    <row r="324">
      <c r="A324" s="182"/>
      <c r="B324" s="105"/>
      <c r="C324" s="183"/>
      <c r="D324" s="172"/>
      <c r="E324" s="184" t="s">
        <v>335</v>
      </c>
      <c r="F324" s="180" t="s">
        <v>237</v>
      </c>
      <c r="G324" s="185" t="s">
        <v>336</v>
      </c>
      <c r="H324" s="186" t="s">
        <v>337</v>
      </c>
      <c r="I324" s="104"/>
      <c r="J324" s="104" t="s">
        <v>0</v>
      </c>
      <c r="K324" s="57"/>
      <c r="L324" s="152"/>
      <c r="M324" s="187" t="s">
        <v>338</v>
      </c>
      <c r="O324" s="188" t="s">
        <v>357</v>
      </c>
      <c r="P324" s="189">
        <v>848.0</v>
      </c>
      <c r="Q324" s="57"/>
      <c r="R324" s="179"/>
      <c r="S324" s="157"/>
      <c r="T324" s="157"/>
      <c r="U324" s="157"/>
      <c r="V324" s="157"/>
      <c r="W324" s="157"/>
      <c r="X324" s="157"/>
      <c r="Y324" s="57"/>
      <c r="Z324" s="57"/>
    </row>
    <row r="325">
      <c r="A325" s="190" t="s">
        <v>179</v>
      </c>
      <c r="C325" s="191">
        <f>SUM(F325:F350)</f>
        <v>7360</v>
      </c>
      <c r="D325" s="172"/>
      <c r="E325" s="192" t="s">
        <v>615</v>
      </c>
      <c r="F325" s="193">
        <v>1500.0</v>
      </c>
      <c r="G325" s="297" t="s">
        <v>426</v>
      </c>
      <c r="H325" s="195"/>
      <c r="I325" s="151"/>
      <c r="J325" s="192" t="s">
        <v>341</v>
      </c>
      <c r="K325" s="196"/>
      <c r="L325" s="197"/>
      <c r="M325" s="153"/>
      <c r="N325" s="154"/>
      <c r="O325" s="188" t="s">
        <v>563</v>
      </c>
      <c r="P325" s="189">
        <v>300.0</v>
      </c>
      <c r="Q325" s="57"/>
      <c r="R325" s="179"/>
      <c r="S325" s="157"/>
      <c r="T325" s="157"/>
      <c r="U325" s="157"/>
      <c r="V325" s="157"/>
      <c r="W325" s="157"/>
      <c r="X325" s="157"/>
      <c r="Y325" s="57"/>
      <c r="Z325" s="57"/>
    </row>
    <row r="326">
      <c r="A326" s="198" t="s">
        <v>343</v>
      </c>
      <c r="B326" s="199" t="s">
        <v>321</v>
      </c>
      <c r="C326" s="191">
        <f>SUM(P324:P347)</f>
        <v>6243</v>
      </c>
      <c r="D326" s="149"/>
      <c r="E326" s="313" t="s">
        <v>616</v>
      </c>
      <c r="F326" s="193">
        <v>160.0</v>
      </c>
      <c r="G326" s="200"/>
      <c r="H326" s="205"/>
      <c r="I326" s="201"/>
      <c r="J326" s="202" t="s">
        <v>345</v>
      </c>
      <c r="K326" s="196"/>
      <c r="L326" s="180">
        <v>30.0</v>
      </c>
      <c r="M326" s="153"/>
      <c r="N326" s="154"/>
      <c r="O326" s="188" t="s">
        <v>477</v>
      </c>
      <c r="P326" s="189">
        <v>595.0</v>
      </c>
      <c r="Q326" s="57"/>
      <c r="R326" s="179"/>
      <c r="S326" s="157"/>
      <c r="T326" s="157"/>
      <c r="U326" s="157"/>
      <c r="V326" s="157"/>
      <c r="W326" s="157"/>
      <c r="X326" s="157"/>
      <c r="Y326" s="57"/>
      <c r="Z326" s="57"/>
    </row>
    <row r="327">
      <c r="A327" s="203" t="s">
        <v>201</v>
      </c>
      <c r="C327" s="204">
        <f>SUM(L325:L349)</f>
        <v>8871</v>
      </c>
      <c r="D327" s="149"/>
      <c r="E327" s="272" t="s">
        <v>593</v>
      </c>
      <c r="F327" s="193">
        <v>390.0</v>
      </c>
      <c r="G327" s="200"/>
      <c r="H327" s="205"/>
      <c r="I327" s="151"/>
      <c r="J327" s="206" t="s">
        <v>6</v>
      </c>
      <c r="K327" s="196"/>
      <c r="L327" s="197"/>
      <c r="M327" s="153"/>
      <c r="N327" s="154"/>
      <c r="O327" s="188" t="s">
        <v>617</v>
      </c>
      <c r="P327" s="189">
        <v>500.0</v>
      </c>
      <c r="Q327" s="57"/>
      <c r="R327" s="179"/>
      <c r="S327" s="157"/>
      <c r="T327" s="157"/>
      <c r="U327" s="157"/>
      <c r="V327" s="157"/>
      <c r="W327" s="157"/>
      <c r="X327" s="157"/>
      <c r="Y327" s="57"/>
      <c r="Z327" s="57"/>
    </row>
    <row r="328">
      <c r="A328" s="207"/>
      <c r="B328" s="105"/>
      <c r="C328" s="204"/>
      <c r="D328" s="149"/>
      <c r="E328" s="272" t="s">
        <v>390</v>
      </c>
      <c r="F328" s="193">
        <v>210.0</v>
      </c>
      <c r="G328" s="200"/>
      <c r="H328" s="205"/>
      <c r="I328" s="208"/>
      <c r="J328" s="192" t="s">
        <v>7</v>
      </c>
      <c r="K328" s="196"/>
      <c r="L328" s="180">
        <v>60.0</v>
      </c>
      <c r="M328" s="153"/>
      <c r="N328" s="154"/>
      <c r="O328" s="188" t="s">
        <v>548</v>
      </c>
      <c r="P328" s="189">
        <v>500.0</v>
      </c>
      <c r="Q328" s="57"/>
      <c r="R328" s="179"/>
      <c r="S328" s="157"/>
      <c r="T328" s="157"/>
      <c r="U328" s="157"/>
      <c r="V328" s="157"/>
      <c r="W328" s="157"/>
      <c r="X328" s="157"/>
      <c r="Y328" s="57"/>
      <c r="Z328" s="57"/>
    </row>
    <row r="329">
      <c r="A329" s="211" t="s">
        <v>350</v>
      </c>
      <c r="C329" s="273">
        <f>C325-C327-B331-B337</f>
        <v>-4008</v>
      </c>
      <c r="D329" s="149"/>
      <c r="E329" s="272" t="s">
        <v>348</v>
      </c>
      <c r="F329" s="193">
        <v>300.0</v>
      </c>
      <c r="G329" s="297" t="s">
        <v>426</v>
      </c>
      <c r="H329" s="205"/>
      <c r="I329" s="201"/>
      <c r="J329" s="202" t="s">
        <v>210</v>
      </c>
      <c r="K329" s="196"/>
      <c r="L329" s="180"/>
      <c r="M329" s="153"/>
      <c r="N329" s="154"/>
      <c r="O329" s="188" t="s">
        <v>618</v>
      </c>
      <c r="P329" s="189">
        <v>350.0</v>
      </c>
      <c r="Q329" s="57"/>
      <c r="R329" s="179"/>
      <c r="S329" s="157"/>
      <c r="T329" s="157"/>
      <c r="U329" s="157"/>
      <c r="V329" s="157"/>
      <c r="W329" s="157"/>
      <c r="X329" s="157"/>
      <c r="Y329" s="57"/>
      <c r="Z329" s="57"/>
    </row>
    <row r="330">
      <c r="A330" s="213"/>
      <c r="C330" s="214"/>
      <c r="D330" s="149"/>
      <c r="E330" s="272" t="s">
        <v>413</v>
      </c>
      <c r="F330" s="193">
        <v>130.0</v>
      </c>
      <c r="G330" s="200"/>
      <c r="H330" s="205"/>
      <c r="I330" s="201"/>
      <c r="J330" s="202" t="s">
        <v>354</v>
      </c>
      <c r="K330" s="196"/>
      <c r="L330" s="180">
        <v>430.0</v>
      </c>
      <c r="M330" s="314" t="s">
        <v>619</v>
      </c>
      <c r="O330" s="188" t="s">
        <v>594</v>
      </c>
      <c r="P330" s="189">
        <v>1050.0</v>
      </c>
      <c r="Q330" s="57"/>
      <c r="R330" s="179"/>
      <c r="S330" s="157"/>
      <c r="T330" s="157"/>
      <c r="U330" s="157"/>
      <c r="V330" s="157"/>
      <c r="W330" s="157"/>
      <c r="X330" s="157"/>
      <c r="Y330" s="57"/>
      <c r="Z330" s="57"/>
    </row>
    <row r="331">
      <c r="A331" s="216" t="s">
        <v>356</v>
      </c>
      <c r="B331" s="217">
        <v>2497.0</v>
      </c>
      <c r="C331" s="214"/>
      <c r="D331" s="149"/>
      <c r="E331" s="272" t="s">
        <v>620</v>
      </c>
      <c r="F331" s="193">
        <v>380.0</v>
      </c>
      <c r="G331" s="194"/>
      <c r="H331" s="205"/>
      <c r="I331" s="208"/>
      <c r="J331" s="192" t="s">
        <v>606</v>
      </c>
      <c r="K331" s="196"/>
      <c r="L331" s="180"/>
      <c r="M331" s="153"/>
      <c r="N331" s="154"/>
      <c r="O331" s="188" t="s">
        <v>621</v>
      </c>
      <c r="P331" s="189">
        <v>1500.0</v>
      </c>
      <c r="Q331" s="57"/>
      <c r="R331" s="179"/>
      <c r="S331" s="157"/>
      <c r="T331" s="157"/>
      <c r="U331" s="157"/>
      <c r="V331" s="157"/>
      <c r="W331" s="157"/>
      <c r="X331" s="157"/>
      <c r="Y331" s="57"/>
      <c r="Z331" s="57"/>
    </row>
    <row r="332">
      <c r="A332" s="218" t="s">
        <v>214</v>
      </c>
      <c r="B332" s="219">
        <v>600.0</v>
      </c>
      <c r="C332" s="220"/>
      <c r="D332" s="172"/>
      <c r="E332" s="272" t="s">
        <v>622</v>
      </c>
      <c r="F332" s="193">
        <v>150.0</v>
      </c>
      <c r="G332" s="200"/>
      <c r="H332" s="205"/>
      <c r="I332" s="151"/>
      <c r="J332" s="206" t="s">
        <v>34</v>
      </c>
      <c r="K332" s="196"/>
      <c r="L332" s="180"/>
      <c r="M332" s="153"/>
      <c r="N332" s="154"/>
      <c r="O332" s="188" t="s">
        <v>348</v>
      </c>
      <c r="P332" s="189">
        <v>300.0</v>
      </c>
      <c r="Q332" s="57"/>
      <c r="R332" s="179"/>
      <c r="S332" s="157"/>
      <c r="T332" s="157"/>
      <c r="U332" s="157"/>
      <c r="V332" s="157"/>
      <c r="W332" s="157"/>
      <c r="X332" s="157"/>
      <c r="Y332" s="57"/>
      <c r="Z332" s="57"/>
    </row>
    <row r="333">
      <c r="A333" s="221" t="s">
        <v>272</v>
      </c>
      <c r="B333" s="222">
        <v>100.0</v>
      </c>
      <c r="C333" s="223"/>
      <c r="D333" s="149"/>
      <c r="E333" s="272" t="s">
        <v>623</v>
      </c>
      <c r="F333" s="193">
        <v>300.0</v>
      </c>
      <c r="G333" s="297" t="s">
        <v>426</v>
      </c>
      <c r="H333" s="205"/>
      <c r="I333" s="208"/>
      <c r="J333" s="192" t="s">
        <v>216</v>
      </c>
      <c r="K333" s="196"/>
      <c r="L333" s="180">
        <v>127.0</v>
      </c>
      <c r="M333" s="209" t="s">
        <v>624</v>
      </c>
      <c r="N333" s="154"/>
      <c r="O333" s="188" t="s">
        <v>625</v>
      </c>
      <c r="P333" s="189">
        <v>300.0</v>
      </c>
      <c r="Q333" s="57"/>
      <c r="R333" s="179"/>
      <c r="S333" s="157"/>
      <c r="T333" s="157"/>
      <c r="U333" s="157"/>
      <c r="V333" s="157"/>
      <c r="W333" s="157"/>
      <c r="X333" s="157"/>
      <c r="Y333" s="57"/>
      <c r="Z333" s="57"/>
    </row>
    <row r="334">
      <c r="A334" s="224" t="s">
        <v>361</v>
      </c>
      <c r="B334" s="225">
        <v>4400.0</v>
      </c>
      <c r="C334" s="226"/>
      <c r="D334" s="149"/>
      <c r="E334" s="272" t="s">
        <v>417</v>
      </c>
      <c r="F334" s="193">
        <v>1000.0</v>
      </c>
      <c r="G334" s="200"/>
      <c r="H334" s="205"/>
      <c r="I334" s="151"/>
      <c r="J334" s="206" t="s">
        <v>108</v>
      </c>
      <c r="K334" s="196"/>
      <c r="L334" s="180">
        <v>360.0</v>
      </c>
      <c r="M334" s="209"/>
      <c r="N334" s="215"/>
      <c r="O334" s="210"/>
      <c r="P334" s="156"/>
      <c r="Q334" s="57"/>
      <c r="R334" s="179"/>
      <c r="S334" s="157"/>
      <c r="T334" s="157"/>
      <c r="U334" s="157"/>
      <c r="V334" s="157"/>
      <c r="W334" s="157"/>
      <c r="X334" s="157"/>
      <c r="Y334" s="57"/>
      <c r="Z334" s="57"/>
    </row>
    <row r="335">
      <c r="A335" s="57"/>
      <c r="B335" s="105"/>
      <c r="C335" s="105"/>
      <c r="D335" s="149"/>
      <c r="E335" s="294"/>
      <c r="F335" s="193"/>
      <c r="G335" s="200"/>
      <c r="H335" s="205"/>
      <c r="I335" s="227"/>
      <c r="J335" s="228" t="s">
        <v>156</v>
      </c>
      <c r="K335" s="196"/>
      <c r="L335" s="180">
        <v>2500.0</v>
      </c>
      <c r="M335" s="153"/>
      <c r="N335" s="154"/>
      <c r="O335" s="210"/>
      <c r="P335" s="156"/>
      <c r="Q335" s="57"/>
      <c r="R335" s="179"/>
      <c r="S335" s="157"/>
      <c r="T335" s="157"/>
      <c r="U335" s="157"/>
      <c r="V335" s="157"/>
      <c r="W335" s="157"/>
      <c r="X335" s="157"/>
      <c r="Y335" s="57"/>
      <c r="Z335" s="57"/>
    </row>
    <row r="336">
      <c r="A336" s="57"/>
      <c r="B336" s="105"/>
      <c r="C336" s="105"/>
      <c r="D336" s="149"/>
      <c r="E336" s="294"/>
      <c r="F336" s="193"/>
      <c r="G336" s="200"/>
      <c r="H336" s="205"/>
      <c r="I336" s="201"/>
      <c r="J336" s="202" t="s">
        <v>217</v>
      </c>
      <c r="K336" s="196"/>
      <c r="L336" s="180"/>
      <c r="M336" s="153"/>
      <c r="N336" s="154"/>
      <c r="O336" s="210"/>
      <c r="P336" s="156"/>
      <c r="Q336" s="57"/>
      <c r="R336" s="179"/>
      <c r="S336" s="157"/>
      <c r="T336" s="157"/>
      <c r="U336" s="157"/>
      <c r="V336" s="157"/>
      <c r="W336" s="157"/>
      <c r="X336" s="157"/>
      <c r="Y336" s="57"/>
      <c r="Z336" s="57"/>
    </row>
    <row r="337">
      <c r="A337" s="229" t="s">
        <v>365</v>
      </c>
      <c r="B337" s="230">
        <f>SUM(C338,C339,C340,C341,C342,C343,C345,C346,C347,C348)</f>
        <v>0</v>
      </c>
      <c r="C337" s="231" t="s">
        <v>366</v>
      </c>
      <c r="D337" s="149"/>
      <c r="E337" s="294"/>
      <c r="F337" s="150"/>
      <c r="G337" s="200"/>
      <c r="H337" s="205"/>
      <c r="I337" s="208"/>
      <c r="J337" s="192" t="s">
        <v>368</v>
      </c>
      <c r="K337" s="196"/>
      <c r="L337" s="197"/>
      <c r="M337" s="153"/>
      <c r="N337" s="154"/>
      <c r="O337" s="210"/>
      <c r="P337" s="156"/>
      <c r="Q337" s="57"/>
      <c r="R337" s="179"/>
      <c r="S337" s="157"/>
      <c r="T337" s="157"/>
      <c r="U337" s="157"/>
      <c r="V337" s="157"/>
      <c r="W337" s="157"/>
      <c r="X337" s="157"/>
      <c r="Y337" s="57"/>
      <c r="Z337" s="57"/>
    </row>
    <row r="338">
      <c r="A338" s="232" t="s">
        <v>369</v>
      </c>
      <c r="C338" s="233"/>
      <c r="D338" s="149"/>
      <c r="E338" s="294"/>
      <c r="F338" s="150"/>
      <c r="G338" s="200"/>
      <c r="H338" s="205"/>
      <c r="I338" s="151"/>
      <c r="J338" s="206" t="s">
        <v>131</v>
      </c>
      <c r="K338" s="196"/>
      <c r="L338" s="180">
        <v>1025.0</v>
      </c>
      <c r="M338" s="209" t="s">
        <v>626</v>
      </c>
      <c r="O338" s="210"/>
      <c r="P338" s="156"/>
      <c r="Q338" s="57"/>
      <c r="R338" s="179"/>
      <c r="S338" s="157"/>
      <c r="T338" s="157"/>
      <c r="U338" s="157"/>
      <c r="V338" s="157"/>
      <c r="W338" s="157"/>
      <c r="X338" s="157"/>
      <c r="Y338" s="57"/>
      <c r="Z338" s="57"/>
    </row>
    <row r="339">
      <c r="C339" s="233"/>
      <c r="D339" s="149"/>
      <c r="E339" s="294"/>
      <c r="F339" s="150"/>
      <c r="G339" s="200"/>
      <c r="H339" s="205"/>
      <c r="I339" s="151"/>
      <c r="J339" s="206" t="s">
        <v>18</v>
      </c>
      <c r="K339" s="196"/>
      <c r="L339" s="180"/>
      <c r="M339" s="209"/>
      <c r="N339" s="215"/>
      <c r="O339" s="210"/>
      <c r="P339" s="156"/>
      <c r="Q339" s="57"/>
      <c r="R339" s="179"/>
      <c r="S339" s="242"/>
      <c r="T339" s="242"/>
      <c r="U339" s="242"/>
      <c r="V339" s="242"/>
      <c r="W339" s="242"/>
      <c r="X339" s="242"/>
      <c r="Y339" s="148"/>
      <c r="Z339" s="148"/>
    </row>
    <row r="340">
      <c r="A340" s="57"/>
      <c r="B340" s="105"/>
      <c r="C340" s="235"/>
      <c r="D340" s="149"/>
      <c r="E340" s="294"/>
      <c r="F340" s="150"/>
      <c r="G340" s="200"/>
      <c r="H340" s="205"/>
      <c r="I340" s="201"/>
      <c r="J340" s="202" t="s">
        <v>377</v>
      </c>
      <c r="K340" s="196"/>
      <c r="L340" s="180">
        <v>222.0</v>
      </c>
      <c r="M340" s="209" t="s">
        <v>443</v>
      </c>
      <c r="N340" s="154"/>
      <c r="O340" s="236"/>
      <c r="P340" s="156"/>
      <c r="Q340" s="57"/>
      <c r="R340" s="179"/>
      <c r="S340" s="242"/>
      <c r="T340" s="242"/>
      <c r="U340" s="242"/>
      <c r="V340" s="242"/>
      <c r="W340" s="242"/>
      <c r="X340" s="242"/>
      <c r="Y340" s="148"/>
      <c r="Z340" s="148"/>
    </row>
    <row r="341">
      <c r="A341" s="57"/>
      <c r="B341" s="105"/>
      <c r="C341" s="235"/>
      <c r="D341" s="149"/>
      <c r="E341" s="294"/>
      <c r="F341" s="150"/>
      <c r="G341" s="200"/>
      <c r="H341" s="205"/>
      <c r="I341" s="208"/>
      <c r="J341" s="192" t="s">
        <v>418</v>
      </c>
      <c r="K341" s="196"/>
      <c r="L341" s="180">
        <v>222.0</v>
      </c>
      <c r="M341" s="209" t="s">
        <v>627</v>
      </c>
      <c r="O341" s="236"/>
      <c r="P341" s="156"/>
      <c r="Q341" s="57"/>
      <c r="R341" s="179"/>
      <c r="S341" s="242"/>
      <c r="T341" s="242"/>
      <c r="U341" s="242"/>
      <c r="V341" s="242"/>
      <c r="W341" s="242"/>
      <c r="X341" s="242"/>
      <c r="Y341" s="148"/>
      <c r="Z341" s="148"/>
    </row>
    <row r="342">
      <c r="A342" s="57"/>
      <c r="B342" s="105"/>
      <c r="C342" s="235"/>
      <c r="D342" s="149"/>
      <c r="E342" s="294"/>
      <c r="F342" s="150"/>
      <c r="G342" s="200"/>
      <c r="H342" s="205"/>
      <c r="I342" s="208"/>
      <c r="J342" s="192" t="s">
        <v>381</v>
      </c>
      <c r="K342" s="196"/>
      <c r="L342" s="180">
        <v>920.0</v>
      </c>
      <c r="M342" s="209"/>
      <c r="N342" s="215"/>
      <c r="O342" s="210"/>
      <c r="P342" s="156"/>
      <c r="Q342" s="57"/>
      <c r="R342" s="179"/>
      <c r="S342" s="242"/>
      <c r="T342" s="242"/>
      <c r="U342" s="242"/>
      <c r="V342" s="242"/>
      <c r="W342" s="242"/>
      <c r="X342" s="242"/>
      <c r="Y342" s="148"/>
      <c r="Z342" s="148"/>
    </row>
    <row r="343">
      <c r="A343" s="57"/>
      <c r="B343" s="105"/>
      <c r="C343" s="235"/>
      <c r="D343" s="149"/>
      <c r="E343" s="294"/>
      <c r="F343" s="150"/>
      <c r="G343" s="200"/>
      <c r="H343" s="205"/>
      <c r="I343" s="208"/>
      <c r="J343" s="192" t="s">
        <v>383</v>
      </c>
      <c r="K343" s="237"/>
      <c r="L343" s="180">
        <v>1085.0</v>
      </c>
      <c r="M343" s="209"/>
      <c r="N343" s="215"/>
      <c r="O343" s="210"/>
      <c r="P343" s="156"/>
      <c r="Q343" s="57"/>
      <c r="R343" s="179"/>
      <c r="S343" s="242"/>
      <c r="T343" s="242"/>
      <c r="U343" s="242"/>
      <c r="V343" s="242"/>
      <c r="W343" s="242"/>
      <c r="X343" s="242"/>
      <c r="Y343" s="148"/>
      <c r="Z343" s="148"/>
    </row>
    <row r="344">
      <c r="A344" s="238"/>
      <c r="B344" s="105"/>
      <c r="C344" s="235"/>
      <c r="D344" s="149"/>
      <c r="E344" s="294"/>
      <c r="F344" s="150"/>
      <c r="G344" s="200"/>
      <c r="H344" s="205"/>
      <c r="I344" s="208"/>
      <c r="J344" s="192" t="s">
        <v>628</v>
      </c>
      <c r="K344" s="237"/>
      <c r="L344" s="180">
        <v>200.0</v>
      </c>
      <c r="M344" s="209"/>
      <c r="N344" s="154"/>
      <c r="O344" s="210"/>
      <c r="P344" s="156"/>
      <c r="Q344" s="57"/>
      <c r="R344" s="179"/>
      <c r="S344" s="242"/>
      <c r="T344" s="242"/>
      <c r="U344" s="242"/>
      <c r="V344" s="242"/>
      <c r="W344" s="242"/>
      <c r="X344" s="242"/>
      <c r="Y344" s="148"/>
      <c r="Z344" s="148"/>
    </row>
    <row r="345">
      <c r="A345" s="238"/>
      <c r="B345" s="105"/>
      <c r="C345" s="235"/>
      <c r="D345" s="149"/>
      <c r="E345" s="294"/>
      <c r="F345" s="150"/>
      <c r="G345" s="200"/>
      <c r="H345" s="205"/>
      <c r="I345" s="208"/>
      <c r="J345" s="192" t="s">
        <v>202</v>
      </c>
      <c r="K345" s="237"/>
      <c r="L345" s="180">
        <v>274.0</v>
      </c>
      <c r="M345" s="209" t="s">
        <v>385</v>
      </c>
      <c r="N345" s="154"/>
      <c r="O345" s="210"/>
      <c r="P345" s="156"/>
      <c r="Q345" s="57"/>
      <c r="R345" s="179"/>
      <c r="S345" s="242"/>
      <c r="T345" s="242"/>
      <c r="U345" s="242"/>
      <c r="V345" s="242"/>
      <c r="W345" s="242"/>
      <c r="X345" s="242"/>
      <c r="Y345" s="148"/>
      <c r="Z345" s="148"/>
    </row>
    <row r="346">
      <c r="A346" s="239"/>
      <c r="B346" s="105"/>
      <c r="C346" s="235"/>
      <c r="D346" s="149"/>
      <c r="E346" s="294"/>
      <c r="F346" s="150"/>
      <c r="G346" s="200"/>
      <c r="H346" s="205"/>
      <c r="I346" s="208"/>
      <c r="J346" s="192" t="s">
        <v>274</v>
      </c>
      <c r="K346" s="196"/>
      <c r="L346" s="180">
        <v>416.0</v>
      </c>
      <c r="M346" s="153"/>
      <c r="N346" s="215"/>
      <c r="O346" s="210"/>
      <c r="P346" s="240"/>
      <c r="Q346" s="148"/>
      <c r="R346" s="241"/>
      <c r="S346" s="242"/>
      <c r="T346" s="242"/>
      <c r="U346" s="242"/>
      <c r="V346" s="242"/>
      <c r="W346" s="242"/>
      <c r="X346" s="242"/>
      <c r="Y346" s="148"/>
      <c r="Z346" s="148"/>
    </row>
    <row r="347">
      <c r="A347" s="148"/>
      <c r="B347" s="243"/>
      <c r="C347" s="244"/>
      <c r="D347" s="245"/>
      <c r="E347" s="275" t="s">
        <v>629</v>
      </c>
      <c r="F347" s="277"/>
      <c r="G347" s="248"/>
      <c r="H347" s="249"/>
      <c r="I347" s="208"/>
      <c r="J347" s="192" t="s">
        <v>220</v>
      </c>
      <c r="K347" s="196"/>
      <c r="L347" s="180">
        <v>1000.0</v>
      </c>
      <c r="M347" s="209" t="s">
        <v>630</v>
      </c>
      <c r="O347" s="236"/>
      <c r="P347" s="240"/>
      <c r="Q347" s="148"/>
      <c r="R347" s="241"/>
      <c r="S347" s="242"/>
      <c r="T347" s="242"/>
      <c r="U347" s="242"/>
      <c r="V347" s="242"/>
      <c r="W347" s="242"/>
      <c r="X347" s="242"/>
      <c r="Y347" s="148"/>
      <c r="Z347" s="148"/>
    </row>
    <row r="348">
      <c r="A348" s="148"/>
      <c r="B348" s="243"/>
      <c r="C348" s="244"/>
      <c r="D348" s="245"/>
      <c r="E348" s="275" t="s">
        <v>631</v>
      </c>
      <c r="F348" s="247">
        <v>270.0</v>
      </c>
      <c r="G348" s="248"/>
      <c r="H348" s="249"/>
      <c r="I348" s="251"/>
      <c r="J348" s="192" t="s">
        <v>30</v>
      </c>
      <c r="K348" s="196"/>
      <c r="L348" s="180"/>
      <c r="M348" s="295"/>
      <c r="N348" s="250"/>
      <c r="O348" s="253"/>
      <c r="P348" s="156"/>
      <c r="Q348" s="57"/>
      <c r="R348" s="179"/>
      <c r="S348" s="242"/>
      <c r="T348" s="242"/>
      <c r="U348" s="242"/>
      <c r="V348" s="242"/>
      <c r="W348" s="242"/>
      <c r="X348" s="242"/>
      <c r="Y348" s="148"/>
      <c r="Z348" s="148"/>
    </row>
    <row r="349">
      <c r="A349" s="148"/>
      <c r="B349" s="243"/>
      <c r="C349" s="243"/>
      <c r="D349" s="245"/>
      <c r="E349" s="315" t="s">
        <v>632</v>
      </c>
      <c r="F349" s="247">
        <v>2570.0</v>
      </c>
      <c r="G349" s="248"/>
      <c r="H349" s="249"/>
      <c r="I349" s="251"/>
      <c r="J349" s="192" t="s">
        <v>225</v>
      </c>
      <c r="K349" s="196"/>
      <c r="L349" s="254"/>
      <c r="M349" s="252"/>
      <c r="N349" s="250"/>
      <c r="O349" s="155"/>
      <c r="P349" s="156"/>
      <c r="Q349" s="57"/>
      <c r="R349" s="179"/>
      <c r="S349" s="242"/>
      <c r="T349" s="242"/>
      <c r="U349" s="242"/>
      <c r="V349" s="242"/>
      <c r="W349" s="242"/>
      <c r="X349" s="242"/>
      <c r="Y349" s="148"/>
      <c r="Z349" s="148"/>
    </row>
    <row r="350">
      <c r="A350" s="148"/>
      <c r="B350" s="243"/>
      <c r="C350" s="243"/>
      <c r="D350" s="245"/>
      <c r="E350" s="276"/>
      <c r="F350" s="247"/>
      <c r="G350" s="248"/>
      <c r="H350" s="249"/>
      <c r="I350" s="251"/>
      <c r="J350" s="316"/>
      <c r="K350" s="148"/>
      <c r="L350" s="296"/>
      <c r="M350" s="252"/>
      <c r="N350" s="250"/>
      <c r="O350" s="155"/>
      <c r="P350" s="156"/>
      <c r="Q350" s="57"/>
      <c r="R350" s="179"/>
      <c r="S350" s="242"/>
      <c r="T350" s="242"/>
      <c r="U350" s="242"/>
      <c r="V350" s="242"/>
      <c r="W350" s="242"/>
      <c r="X350" s="242"/>
      <c r="Y350" s="148"/>
      <c r="Z350" s="148"/>
    </row>
    <row r="351">
      <c r="A351" s="147"/>
      <c r="B351" s="243"/>
      <c r="C351" s="243"/>
      <c r="D351" s="149"/>
      <c r="E351" s="279"/>
      <c r="F351" s="150"/>
      <c r="G351" s="57"/>
      <c r="H351" s="57"/>
      <c r="I351" s="151"/>
      <c r="J351" s="151"/>
      <c r="K351" s="57"/>
      <c r="L351" s="152"/>
      <c r="M351" s="153"/>
      <c r="N351" s="154"/>
      <c r="O351" s="155"/>
      <c r="P351" s="156"/>
      <c r="Q351" s="57"/>
      <c r="R351" s="179"/>
      <c r="S351" s="242"/>
      <c r="T351" s="242"/>
      <c r="U351" s="242"/>
      <c r="V351" s="242"/>
      <c r="W351" s="242"/>
      <c r="X351" s="242"/>
      <c r="Y351" s="148"/>
      <c r="Z351" s="148"/>
    </row>
    <row r="352">
      <c r="A352" s="148"/>
      <c r="B352" s="148"/>
      <c r="C352" s="148"/>
      <c r="D352" s="245"/>
      <c r="E352" s="148"/>
      <c r="F352" s="277"/>
      <c r="G352" s="148"/>
      <c r="H352" s="148"/>
      <c r="I352" s="251"/>
      <c r="J352" s="251"/>
      <c r="K352" s="148"/>
      <c r="L352" s="317"/>
      <c r="M352" s="252"/>
      <c r="N352" s="250"/>
      <c r="O352" s="253"/>
      <c r="P352" s="240"/>
      <c r="Q352" s="148"/>
      <c r="R352" s="148"/>
      <c r="S352" s="242"/>
      <c r="T352" s="242"/>
      <c r="U352" s="242"/>
      <c r="V352" s="242"/>
      <c r="W352" s="242"/>
      <c r="X352" s="242"/>
      <c r="Y352" s="148"/>
      <c r="Z352" s="148"/>
    </row>
    <row r="353">
      <c r="A353" s="318" t="s">
        <v>633</v>
      </c>
      <c r="B353" s="319"/>
      <c r="C353" s="319"/>
      <c r="D353" s="319"/>
      <c r="E353" s="26"/>
      <c r="F353" s="277"/>
      <c r="G353" s="148"/>
      <c r="H353" s="148"/>
      <c r="I353" s="251"/>
      <c r="J353" s="251"/>
      <c r="K353" s="148"/>
      <c r="L353" s="317"/>
      <c r="M353" s="252"/>
      <c r="N353" s="250"/>
      <c r="O353" s="253"/>
      <c r="P353" s="240"/>
      <c r="Q353" s="148"/>
      <c r="R353" s="148"/>
      <c r="S353" s="242"/>
      <c r="T353" s="242"/>
      <c r="U353" s="242"/>
      <c r="V353" s="242"/>
      <c r="W353" s="242"/>
      <c r="X353" s="242"/>
      <c r="Y353" s="148"/>
      <c r="Z353" s="148"/>
    </row>
    <row r="354" ht="31.5" customHeight="1">
      <c r="A354" s="320" t="s">
        <v>634</v>
      </c>
      <c r="D354" s="321">
        <f>SUM(C325,C298,C252,C223,C196,C163,C133,C101,C72,C35,C5)</f>
        <v>82360</v>
      </c>
      <c r="E354" s="322"/>
      <c r="F354" s="323"/>
      <c r="G354" s="324"/>
      <c r="H354" s="324"/>
      <c r="I354" s="324"/>
      <c r="J354" s="324"/>
      <c r="K354" s="325"/>
      <c r="L354" s="326"/>
      <c r="M354" s="308"/>
      <c r="N354" s="324"/>
      <c r="O354" s="253"/>
      <c r="P354" s="324"/>
      <c r="Q354" s="324"/>
      <c r="R354" s="324"/>
      <c r="S354" s="326"/>
      <c r="T354" s="326"/>
      <c r="U354" s="326"/>
      <c r="V354" s="326"/>
      <c r="W354" s="326"/>
      <c r="X354" s="326"/>
      <c r="Y354" s="324"/>
      <c r="Z354" s="324"/>
    </row>
    <row r="355">
      <c r="A355" s="327"/>
      <c r="B355" s="328"/>
      <c r="C355" s="299"/>
      <c r="D355" s="329"/>
      <c r="E355" s="330"/>
      <c r="F355" s="323"/>
      <c r="G355" s="148"/>
      <c r="H355" s="148"/>
      <c r="I355" s="148"/>
      <c r="J355" s="148"/>
      <c r="K355" s="181"/>
      <c r="L355" s="242"/>
      <c r="M355" s="308"/>
      <c r="N355" s="148"/>
      <c r="O355" s="253"/>
      <c r="P355" s="148"/>
      <c r="Q355" s="148"/>
      <c r="R355" s="148"/>
      <c r="S355" s="242"/>
      <c r="T355" s="242"/>
      <c r="U355" s="242"/>
      <c r="V355" s="242"/>
      <c r="W355" s="242"/>
      <c r="X355" s="242"/>
      <c r="Y355" s="148"/>
      <c r="Z355" s="148"/>
    </row>
    <row r="356">
      <c r="A356" s="327" t="s">
        <v>418</v>
      </c>
      <c r="B356" s="331">
        <f>SUM(L341,L314,L268,L239,L212,L179,L149,L117,L88,L52,L21)</f>
        <v>327</v>
      </c>
      <c r="C356" s="299" t="s">
        <v>635</v>
      </c>
      <c r="D356" s="329"/>
      <c r="E356" s="332">
        <f>SUM(L11,L42,L78,L107,L139,L169,L202,L229,L258,L304,L331,)</f>
        <v>60</v>
      </c>
      <c r="F356" s="323"/>
      <c r="G356" s="148"/>
      <c r="H356" s="148"/>
      <c r="I356" s="148"/>
      <c r="J356" s="333"/>
      <c r="K356" s="181"/>
      <c r="L356" s="242"/>
      <c r="M356" s="308"/>
      <c r="N356" s="148"/>
      <c r="O356" s="253"/>
      <c r="P356" s="148"/>
      <c r="Q356" s="148"/>
      <c r="R356" s="148"/>
      <c r="S356" s="242"/>
      <c r="T356" s="242"/>
      <c r="U356" s="242"/>
      <c r="V356" s="242"/>
      <c r="W356" s="242"/>
      <c r="X356" s="242"/>
      <c r="Y356" s="148"/>
      <c r="Z356" s="148"/>
    </row>
    <row r="357">
      <c r="A357" s="327" t="s">
        <v>636</v>
      </c>
      <c r="B357" s="331">
        <f>SUM(L15,L46,L82,L111,L142,L173,L206,L233,L262,L308,L335)</f>
        <v>10620</v>
      </c>
      <c r="C357" s="334" t="s">
        <v>30</v>
      </c>
      <c r="D357" s="329"/>
      <c r="E357" s="335">
        <f>SUM(L348,L320,L274,L245,L218,L185,L155,L123,L94,L58,L27)</f>
        <v>1200</v>
      </c>
      <c r="F357" s="323"/>
      <c r="G357" s="148"/>
      <c r="H357" s="148"/>
      <c r="I357" s="148"/>
      <c r="J357" s="333"/>
      <c r="K357" s="181"/>
      <c r="L357" s="242"/>
      <c r="M357" s="308"/>
      <c r="N357" s="148"/>
      <c r="O357" s="253"/>
      <c r="P357" s="148"/>
      <c r="Q357" s="148"/>
      <c r="R357" s="148"/>
      <c r="S357" s="242"/>
      <c r="T357" s="242"/>
      <c r="U357" s="242"/>
      <c r="V357" s="242"/>
      <c r="W357" s="242"/>
      <c r="X357" s="242"/>
      <c r="Y357" s="148"/>
      <c r="Z357" s="148"/>
    </row>
    <row r="358">
      <c r="A358" s="327" t="s">
        <v>637</v>
      </c>
      <c r="B358" s="336">
        <f>SUM(L327,L300,L254,L225,L198,L165,L135,L103,L74,L38,L7)</f>
        <v>0</v>
      </c>
      <c r="C358" s="299" t="s">
        <v>638</v>
      </c>
      <c r="D358" s="329"/>
      <c r="E358" s="335">
        <f>SUM(L347,L319,L273,L244,L217,L184,L154,L122,L93,L57,L26)</f>
        <v>3088</v>
      </c>
      <c r="F358" s="323"/>
      <c r="G358" s="148"/>
      <c r="H358" s="148"/>
      <c r="I358" s="148"/>
      <c r="J358" s="333"/>
      <c r="K358" s="181"/>
      <c r="L358" s="242"/>
      <c r="M358" s="308"/>
      <c r="N358" s="148"/>
      <c r="O358" s="253"/>
      <c r="P358" s="148"/>
      <c r="Q358" s="148"/>
      <c r="R358" s="148"/>
      <c r="S358" s="242"/>
      <c r="T358" s="242"/>
      <c r="U358" s="242"/>
      <c r="V358" s="242"/>
      <c r="W358" s="242"/>
      <c r="X358" s="242"/>
      <c r="Y358" s="148"/>
      <c r="Z358" s="148"/>
    </row>
    <row r="359">
      <c r="A359" s="327" t="s">
        <v>639</v>
      </c>
      <c r="B359" s="331">
        <f t="shared" ref="B359:B361" si="1">SUM(L8,L39,L75,L104,L136,L166,L199,L226,L255,L301,L328)</f>
        <v>1311</v>
      </c>
      <c r="C359" s="299" t="s">
        <v>640</v>
      </c>
      <c r="D359" s="329"/>
      <c r="E359" s="332">
        <f>SUM(L13,L44,L80,L109,L141,L171,L204,L231,L260,L306,L333)</f>
        <v>127</v>
      </c>
      <c r="F359" s="323"/>
      <c r="G359" s="148"/>
      <c r="H359" s="148"/>
      <c r="I359" s="148"/>
      <c r="J359" s="333"/>
      <c r="K359" s="181" t="s">
        <v>232</v>
      </c>
      <c r="L359" s="242"/>
      <c r="M359" s="308"/>
      <c r="N359" s="148"/>
      <c r="O359" s="253"/>
      <c r="P359" s="148"/>
      <c r="Q359" s="148"/>
      <c r="R359" s="148"/>
      <c r="S359" s="242"/>
      <c r="T359" s="242"/>
      <c r="U359" s="242"/>
      <c r="V359" s="242"/>
      <c r="W359" s="242"/>
      <c r="X359" s="242"/>
      <c r="Y359" s="148"/>
      <c r="Z359" s="148"/>
    </row>
    <row r="360">
      <c r="A360" s="327" t="s">
        <v>641</v>
      </c>
      <c r="B360" s="331">
        <f t="shared" si="1"/>
        <v>756</v>
      </c>
      <c r="C360" s="299" t="s">
        <v>642</v>
      </c>
      <c r="D360" s="329"/>
      <c r="E360" s="332">
        <f>SUM(L20,L51,L87,L116,L148,L178,L211,L238,L267,L313,L340)</f>
        <v>1337</v>
      </c>
      <c r="F360" s="277"/>
      <c r="G360" s="148"/>
      <c r="H360" s="148"/>
      <c r="I360" s="251"/>
      <c r="J360" s="251"/>
      <c r="K360" s="148"/>
      <c r="L360" s="317"/>
      <c r="M360" s="252"/>
      <c r="N360" s="250"/>
      <c r="O360" s="253"/>
      <c r="P360" s="240"/>
      <c r="Q360" s="148"/>
      <c r="R360" s="148"/>
      <c r="S360" s="242"/>
      <c r="T360" s="242"/>
      <c r="U360" s="242"/>
      <c r="V360" s="242"/>
      <c r="W360" s="242"/>
      <c r="X360" s="242"/>
      <c r="Y360" s="148"/>
      <c r="Z360" s="148"/>
    </row>
    <row r="361">
      <c r="A361" s="327" t="s">
        <v>643</v>
      </c>
      <c r="B361" s="331">
        <f t="shared" si="1"/>
        <v>7897</v>
      </c>
      <c r="C361" s="299" t="s">
        <v>341</v>
      </c>
      <c r="D361" s="329"/>
      <c r="E361" s="332">
        <f t="shared" ref="E361:E362" si="2">SUM(L5,L36,L72,L101,L133,L163,L196,L223,L252,L298,L325)</f>
        <v>685</v>
      </c>
      <c r="F361" s="277"/>
      <c r="G361" s="148"/>
      <c r="H361" s="148"/>
      <c r="I361" s="251"/>
      <c r="J361" s="316"/>
      <c r="K361" s="148"/>
      <c r="L361" s="317"/>
      <c r="M361" s="252"/>
      <c r="N361" s="250"/>
      <c r="O361" s="253"/>
      <c r="P361" s="240"/>
      <c r="Q361" s="148"/>
      <c r="R361" s="148"/>
      <c r="S361" s="242"/>
      <c r="T361" s="242"/>
      <c r="U361" s="242"/>
      <c r="V361" s="242"/>
      <c r="W361" s="242"/>
      <c r="X361" s="242"/>
      <c r="Y361" s="148"/>
      <c r="Z361" s="148"/>
    </row>
    <row r="362">
      <c r="A362" s="327" t="s">
        <v>644</v>
      </c>
      <c r="B362" s="331">
        <f>SUM(L14,L45,L81,L110,L142,L172,L205,L232,L261,L307,L334)</f>
        <v>2507</v>
      </c>
      <c r="C362" s="299" t="s">
        <v>345</v>
      </c>
      <c r="D362" s="329"/>
      <c r="E362" s="332">
        <f t="shared" si="2"/>
        <v>693.78</v>
      </c>
      <c r="F362" s="277"/>
      <c r="G362" s="148"/>
      <c r="H362" s="148"/>
      <c r="I362" s="251"/>
      <c r="J362" s="251"/>
      <c r="K362" s="148"/>
      <c r="L362" s="317"/>
      <c r="M362" s="252"/>
      <c r="N362" s="250"/>
      <c r="O362" s="253"/>
      <c r="P362" s="240"/>
      <c r="Q362" s="148"/>
      <c r="R362" s="148"/>
      <c r="S362" s="242"/>
      <c r="T362" s="242"/>
      <c r="U362" s="242"/>
      <c r="V362" s="242"/>
      <c r="W362" s="242"/>
      <c r="X362" s="242"/>
      <c r="Y362" s="148"/>
      <c r="Z362" s="148"/>
    </row>
    <row r="363">
      <c r="A363" s="327" t="s">
        <v>274</v>
      </c>
      <c r="B363" s="331">
        <f>SUM(L346,L318,L272,L243,L216,L183,L153,L121,L92,L56,L25)</f>
        <v>1910</v>
      </c>
      <c r="C363" s="299" t="s">
        <v>645</v>
      </c>
      <c r="D363" s="329"/>
      <c r="E363" s="332">
        <f>SUM(L23,L54,L90,L119,L151,L181,L214,L270,L316,L343)</f>
        <v>9975</v>
      </c>
      <c r="F363" s="277"/>
      <c r="G363" s="148"/>
      <c r="H363" s="148"/>
      <c r="I363" s="251"/>
      <c r="J363" s="251"/>
      <c r="K363" s="148"/>
      <c r="L363" s="317"/>
      <c r="M363" s="252"/>
      <c r="N363" s="250"/>
      <c r="O363" s="253"/>
      <c r="P363" s="240"/>
      <c r="Q363" s="148"/>
      <c r="R363" s="148"/>
      <c r="S363" s="242"/>
      <c r="T363" s="242"/>
      <c r="U363" s="242"/>
      <c r="V363" s="242"/>
      <c r="W363" s="242"/>
      <c r="X363" s="242"/>
      <c r="Y363" s="148"/>
      <c r="Z363" s="148"/>
    </row>
    <row r="364">
      <c r="A364" s="337" t="s">
        <v>34</v>
      </c>
      <c r="B364" s="331">
        <f>SUM(L332,L305,L259,L230,L203,L170,L140,L108,L79,L43,L12)</f>
        <v>248</v>
      </c>
      <c r="C364" s="338" t="s">
        <v>232</v>
      </c>
      <c r="D364" s="329"/>
      <c r="E364" s="332">
        <f>SUM(L22,L53,L89,L118,L150,L180,L213,L240,L269,L315,L342)</f>
        <v>11790</v>
      </c>
      <c r="F364" s="277"/>
      <c r="G364" s="148"/>
      <c r="H364" s="148"/>
      <c r="I364" s="251"/>
      <c r="J364" s="251"/>
      <c r="K364" s="148"/>
      <c r="L364" s="317"/>
      <c r="M364" s="252"/>
      <c r="N364" s="250"/>
      <c r="O364" s="253"/>
      <c r="P364" s="240"/>
      <c r="Q364" s="148"/>
      <c r="R364" s="148"/>
      <c r="S364" s="242"/>
      <c r="T364" s="242"/>
      <c r="U364" s="242"/>
      <c r="V364" s="242"/>
      <c r="W364" s="242"/>
      <c r="X364" s="242"/>
      <c r="Y364" s="148"/>
      <c r="Z364" s="148"/>
    </row>
    <row r="365">
      <c r="A365" s="337" t="s">
        <v>646</v>
      </c>
      <c r="B365" s="331">
        <f>SUM(L18,L49,L85,L114,L146,L176,L209,L236,L265,L311,L338)</f>
        <v>3605</v>
      </c>
      <c r="C365" s="299" t="s">
        <v>202</v>
      </c>
      <c r="D365" s="329"/>
      <c r="E365" s="332">
        <f>SUM(L345,L317,L271,L242,L215,L182,L152,L120,L91,L55,L24)</f>
        <v>1084</v>
      </c>
      <c r="F365" s="277"/>
      <c r="G365" s="148"/>
      <c r="H365" s="148"/>
      <c r="I365" s="251"/>
      <c r="J365" s="251"/>
      <c r="K365" s="148"/>
      <c r="L365" s="317"/>
      <c r="M365" s="252"/>
      <c r="N365" s="250"/>
      <c r="O365" s="253"/>
      <c r="P365" s="240"/>
      <c r="Q365" s="148"/>
      <c r="R365" s="148"/>
      <c r="S365" s="242"/>
      <c r="T365" s="242"/>
      <c r="U365" s="242"/>
      <c r="V365" s="242"/>
      <c r="W365" s="242"/>
      <c r="X365" s="242"/>
      <c r="Y365" s="148"/>
      <c r="Z365" s="148"/>
    </row>
    <row r="366">
      <c r="A366" s="337" t="s">
        <v>647</v>
      </c>
      <c r="B366" s="331">
        <f>SUM(L16,L17,L47,L48,L83,L84,L112,L113,L144,L145,L174,L175,L207,L208,L234,L235,L263,L264,L309,L310,L336,L337)</f>
        <v>325</v>
      </c>
      <c r="C366" s="299" t="s">
        <v>648</v>
      </c>
      <c r="D366" s="329"/>
      <c r="E366" s="332">
        <f>SUM(L19,L50,L86,L115,L147,L177,L210,L237,L266,L312,L339)</f>
        <v>3091</v>
      </c>
      <c r="F366" s="277"/>
      <c r="G366" s="148"/>
      <c r="H366" s="148"/>
      <c r="I366" s="251"/>
      <c r="J366" s="251"/>
      <c r="K366" s="148"/>
      <c r="L366" s="317"/>
      <c r="M366" s="252"/>
      <c r="N366" s="250"/>
      <c r="O366" s="253"/>
      <c r="P366" s="240"/>
      <c r="Q366" s="148"/>
      <c r="R366" s="148"/>
      <c r="S366" s="242"/>
      <c r="T366" s="242"/>
      <c r="U366" s="242"/>
      <c r="V366" s="242"/>
      <c r="W366" s="242"/>
      <c r="X366" s="242"/>
      <c r="Y366" s="148"/>
      <c r="Z366" s="148"/>
    </row>
    <row r="367">
      <c r="A367" s="339"/>
      <c r="B367" s="328"/>
      <c r="C367" s="340" t="s">
        <v>649</v>
      </c>
      <c r="D367" s="341">
        <f>SUM(B357,B358,B359,B360,B361,B362,B363,B364,B365,B366,E357,E358,E359,E360,E361,E362,E363,E364,E365,E366,B356,E356)</f>
        <v>62636.78</v>
      </c>
      <c r="E367" s="330"/>
      <c r="F367" s="277"/>
      <c r="G367" s="148"/>
      <c r="H367" s="148"/>
      <c r="I367" s="251"/>
      <c r="J367" s="251"/>
      <c r="K367" s="148"/>
      <c r="L367" s="317"/>
      <c r="M367" s="252"/>
      <c r="N367" s="250"/>
      <c r="O367" s="253"/>
      <c r="P367" s="240"/>
      <c r="Q367" s="148"/>
      <c r="R367" s="148"/>
      <c r="S367" s="242"/>
      <c r="T367" s="242"/>
      <c r="U367" s="242"/>
      <c r="V367" s="242"/>
      <c r="W367" s="242"/>
      <c r="X367" s="242"/>
      <c r="Y367" s="148"/>
      <c r="Z367" s="148"/>
    </row>
    <row r="368">
      <c r="A368" s="342"/>
      <c r="B368" s="328"/>
      <c r="C368" s="343"/>
      <c r="D368" s="329"/>
      <c r="E368" s="330"/>
      <c r="F368" s="277"/>
      <c r="G368" s="148"/>
      <c r="H368" s="148"/>
      <c r="I368" s="251"/>
      <c r="J368" s="251"/>
      <c r="K368" s="148"/>
      <c r="L368" s="317"/>
      <c r="M368" s="252"/>
      <c r="N368" s="250"/>
      <c r="O368" s="253"/>
      <c r="P368" s="240"/>
      <c r="Q368" s="148"/>
      <c r="R368" s="148"/>
      <c r="S368" s="242"/>
      <c r="T368" s="242"/>
      <c r="U368" s="242"/>
      <c r="V368" s="242"/>
      <c r="W368" s="242"/>
      <c r="X368" s="242"/>
      <c r="Y368" s="148"/>
      <c r="Z368" s="148"/>
    </row>
    <row r="369">
      <c r="A369" s="342" t="s">
        <v>650</v>
      </c>
      <c r="B369" s="344">
        <f>SUM(B337,B310,B264,B235,B208,B175,B145,B113,B84,B47,B17)</f>
        <v>2181</v>
      </c>
      <c r="C369" s="343"/>
      <c r="D369" s="329"/>
      <c r="E369" s="330"/>
      <c r="F369" s="277"/>
      <c r="G369" s="148"/>
      <c r="H369" s="148"/>
      <c r="I369" s="251"/>
      <c r="J369" s="251"/>
      <c r="K369" s="148"/>
      <c r="L369" s="317"/>
      <c r="M369" s="252"/>
      <c r="N369" s="250"/>
      <c r="O369" s="253"/>
      <c r="P369" s="240"/>
      <c r="Q369" s="148"/>
      <c r="R369" s="148"/>
      <c r="S369" s="242"/>
      <c r="T369" s="242"/>
      <c r="U369" s="242"/>
      <c r="V369" s="242"/>
      <c r="W369" s="242"/>
      <c r="X369" s="242"/>
      <c r="Y369" s="148"/>
      <c r="Z369" s="148"/>
    </row>
    <row r="370">
      <c r="A370" s="345" t="s">
        <v>651</v>
      </c>
      <c r="B370" s="344">
        <f>SUM(B11,B41,B78,B107,B139,B169,B202,B229,B258,B304,B331)</f>
        <v>9261</v>
      </c>
      <c r="C370" s="343"/>
      <c r="D370" s="329"/>
      <c r="E370" s="330"/>
      <c r="F370" s="277"/>
      <c r="G370" s="148"/>
      <c r="H370" s="148"/>
      <c r="I370" s="251"/>
      <c r="J370" s="251"/>
      <c r="K370" s="148"/>
      <c r="L370" s="317"/>
      <c r="M370" s="252"/>
      <c r="N370" s="250"/>
      <c r="O370" s="253"/>
      <c r="P370" s="240"/>
      <c r="Q370" s="148"/>
      <c r="R370" s="148"/>
      <c r="S370" s="242"/>
      <c r="T370" s="242"/>
      <c r="U370" s="242"/>
      <c r="V370" s="242"/>
      <c r="W370" s="242"/>
      <c r="X370" s="242"/>
      <c r="Y370" s="148"/>
      <c r="Z370" s="148"/>
    </row>
    <row r="371">
      <c r="A371" s="339"/>
      <c r="B371" s="328"/>
      <c r="C371" s="346"/>
      <c r="D371" s="341"/>
      <c r="E371" s="330"/>
      <c r="F371" s="277"/>
      <c r="G371" s="148"/>
      <c r="H371" s="148"/>
      <c r="I371" s="251"/>
      <c r="J371" s="251"/>
      <c r="K371" s="148"/>
      <c r="L371" s="317"/>
      <c r="M371" s="252"/>
      <c r="N371" s="250"/>
      <c r="O371" s="253"/>
      <c r="P371" s="240"/>
      <c r="Q371" s="148"/>
      <c r="R371" s="148"/>
      <c r="S371" s="242"/>
      <c r="T371" s="242"/>
      <c r="U371" s="242"/>
      <c r="V371" s="242"/>
      <c r="W371" s="242"/>
      <c r="X371" s="242"/>
      <c r="Y371" s="148"/>
      <c r="Z371" s="148"/>
    </row>
    <row r="372">
      <c r="A372" s="347" t="s">
        <v>652</v>
      </c>
      <c r="D372" s="348">
        <f>SUM(D367,B369,B370)</f>
        <v>74078.78</v>
      </c>
      <c r="E372" s="322"/>
      <c r="F372" s="277"/>
      <c r="G372" s="324"/>
      <c r="H372" s="324"/>
      <c r="I372" s="349"/>
      <c r="J372" s="349"/>
      <c r="K372" s="324"/>
      <c r="L372" s="350"/>
      <c r="M372" s="252"/>
      <c r="N372" s="351"/>
      <c r="O372" s="253"/>
      <c r="P372" s="352"/>
      <c r="Q372" s="324"/>
      <c r="R372" s="324"/>
      <c r="S372" s="326"/>
      <c r="T372" s="326"/>
      <c r="U372" s="326"/>
      <c r="V372" s="326"/>
      <c r="W372" s="326"/>
      <c r="X372" s="326"/>
      <c r="Y372" s="324"/>
      <c r="Z372" s="324"/>
    </row>
    <row r="373">
      <c r="A373" s="339"/>
      <c r="B373" s="328"/>
      <c r="C373" s="343"/>
      <c r="D373" s="329"/>
      <c r="E373" s="330"/>
      <c r="F373" s="277"/>
      <c r="G373" s="148"/>
      <c r="H373" s="148"/>
      <c r="I373" s="251"/>
      <c r="J373" s="251"/>
      <c r="K373" s="148"/>
      <c r="L373" s="317"/>
      <c r="M373" s="252"/>
      <c r="N373" s="250"/>
      <c r="O373" s="253"/>
      <c r="P373" s="240"/>
      <c r="Q373" s="148"/>
      <c r="R373" s="148"/>
      <c r="S373" s="242"/>
      <c r="T373" s="242"/>
      <c r="U373" s="242"/>
      <c r="V373" s="242"/>
      <c r="W373" s="242"/>
      <c r="X373" s="242"/>
      <c r="Y373" s="148"/>
      <c r="Z373" s="148"/>
    </row>
    <row r="374">
      <c r="A374" s="353" t="s">
        <v>653</v>
      </c>
      <c r="D374" s="354">
        <f>D354-D372</f>
        <v>8281.22</v>
      </c>
      <c r="E374" s="330"/>
      <c r="F374" s="277"/>
      <c r="G374" s="148"/>
      <c r="H374" s="148"/>
      <c r="I374" s="251"/>
      <c r="J374" s="251"/>
      <c r="K374" s="148"/>
      <c r="L374" s="317"/>
      <c r="M374" s="252"/>
      <c r="N374" s="250"/>
      <c r="O374" s="253"/>
      <c r="P374" s="240"/>
      <c r="Q374" s="148"/>
      <c r="R374" s="148"/>
      <c r="S374" s="242"/>
      <c r="T374" s="242"/>
      <c r="U374" s="242"/>
      <c r="V374" s="242"/>
      <c r="W374" s="242"/>
      <c r="X374" s="242"/>
      <c r="Y374" s="148"/>
      <c r="Z374" s="148"/>
    </row>
    <row r="375">
      <c r="A375" s="355" t="s">
        <v>654</v>
      </c>
      <c r="B375" s="356">
        <f>AVERAGE(B333,B306,B260,B231,B204,B171,B141,B109,B80,B43,B13)</f>
        <v>4559.636364</v>
      </c>
      <c r="C375" s="357"/>
      <c r="D375" s="245"/>
      <c r="E375" s="358"/>
      <c r="F375" s="277"/>
      <c r="G375" s="148"/>
      <c r="H375" s="148"/>
      <c r="I375" s="251"/>
      <c r="J375" s="251"/>
      <c r="K375" s="148"/>
      <c r="L375" s="317"/>
      <c r="M375" s="252"/>
      <c r="N375" s="250"/>
      <c r="O375" s="253"/>
      <c r="P375" s="240"/>
      <c r="Q375" s="148"/>
      <c r="R375" s="148"/>
      <c r="S375" s="242"/>
      <c r="T375" s="242"/>
      <c r="U375" s="242"/>
      <c r="V375" s="242"/>
      <c r="W375" s="242"/>
      <c r="X375" s="242"/>
      <c r="Y375" s="148"/>
      <c r="Z375" s="148"/>
    </row>
    <row r="376">
      <c r="A376" s="359"/>
      <c r="B376" s="328"/>
      <c r="C376" s="357"/>
      <c r="D376" s="245"/>
      <c r="E376" s="360"/>
      <c r="F376" s="277"/>
      <c r="G376" s="148"/>
      <c r="H376" s="148"/>
      <c r="I376" s="251"/>
      <c r="J376" s="251"/>
      <c r="K376" s="148"/>
      <c r="L376" s="317"/>
      <c r="M376" s="252"/>
      <c r="N376" s="250"/>
      <c r="O376" s="253"/>
      <c r="P376" s="240"/>
      <c r="Q376" s="148"/>
      <c r="R376" s="148"/>
      <c r="S376" s="242"/>
      <c r="T376" s="242"/>
      <c r="U376" s="242"/>
      <c r="V376" s="242"/>
      <c r="W376" s="242"/>
      <c r="X376" s="242"/>
      <c r="Y376" s="148"/>
      <c r="Z376" s="148"/>
    </row>
    <row r="377">
      <c r="A377" s="359"/>
      <c r="B377" s="328"/>
      <c r="C377" s="357"/>
      <c r="D377" s="245"/>
      <c r="E377" s="361"/>
      <c r="F377" s="277"/>
      <c r="G377" s="148"/>
      <c r="H377" s="148"/>
      <c r="I377" s="251"/>
      <c r="J377" s="251"/>
      <c r="K377" s="148"/>
      <c r="L377" s="317"/>
      <c r="M377" s="252"/>
      <c r="N377" s="250"/>
      <c r="O377" s="253"/>
      <c r="P377" s="240"/>
      <c r="Q377" s="148"/>
      <c r="R377" s="148"/>
      <c r="S377" s="242"/>
      <c r="T377" s="242"/>
      <c r="U377" s="242"/>
      <c r="V377" s="242"/>
      <c r="W377" s="242"/>
      <c r="X377" s="242"/>
      <c r="Y377" s="148"/>
      <c r="Z377" s="148"/>
    </row>
    <row r="378">
      <c r="A378" s="359"/>
      <c r="B378" s="328"/>
      <c r="C378" s="357"/>
      <c r="D378" s="245"/>
      <c r="E378" s="361"/>
      <c r="F378" s="277"/>
      <c r="G378" s="148"/>
      <c r="H378" s="148"/>
      <c r="I378" s="251"/>
      <c r="J378" s="251"/>
      <c r="K378" s="148"/>
      <c r="L378" s="317"/>
      <c r="M378" s="252"/>
      <c r="N378" s="250"/>
      <c r="O378" s="253"/>
      <c r="P378" s="240"/>
      <c r="Q378" s="148"/>
      <c r="R378" s="148"/>
      <c r="S378" s="242"/>
      <c r="T378" s="242"/>
      <c r="U378" s="242"/>
      <c r="V378" s="242"/>
      <c r="W378" s="242"/>
      <c r="X378" s="242"/>
      <c r="Y378" s="148"/>
      <c r="Z378" s="148"/>
    </row>
    <row r="379">
      <c r="A379" s="362"/>
      <c r="B379" s="363"/>
      <c r="C379" s="364"/>
      <c r="D379" s="365"/>
      <c r="E379" s="366"/>
      <c r="F379" s="277"/>
      <c r="G379" s="148"/>
      <c r="H379" s="148"/>
      <c r="I379" s="251"/>
      <c r="J379" s="251"/>
      <c r="K379" s="148"/>
      <c r="L379" s="317"/>
      <c r="M379" s="252"/>
      <c r="N379" s="250"/>
      <c r="O379" s="253"/>
      <c r="P379" s="240"/>
      <c r="Q379" s="148"/>
      <c r="R379" s="148"/>
      <c r="S379" s="242"/>
      <c r="T379" s="242"/>
      <c r="U379" s="242"/>
      <c r="V379" s="242"/>
      <c r="W379" s="242"/>
      <c r="X379" s="242"/>
      <c r="Y379" s="148"/>
      <c r="Z379" s="148"/>
    </row>
    <row r="380">
      <c r="A380" s="148"/>
      <c r="B380" s="148"/>
      <c r="C380" s="148"/>
      <c r="D380" s="245"/>
      <c r="E380" s="148"/>
      <c r="F380" s="277"/>
      <c r="G380" s="148"/>
      <c r="H380" s="148"/>
      <c r="I380" s="251"/>
      <c r="J380" s="251"/>
      <c r="K380" s="148"/>
      <c r="L380" s="317"/>
      <c r="M380" s="252"/>
      <c r="N380" s="250"/>
      <c r="O380" s="253"/>
      <c r="P380" s="240"/>
      <c r="Q380" s="148"/>
      <c r="R380" s="148"/>
      <c r="S380" s="242"/>
      <c r="T380" s="242"/>
      <c r="U380" s="242"/>
      <c r="V380" s="242"/>
      <c r="W380" s="242"/>
      <c r="X380" s="242"/>
      <c r="Y380" s="148"/>
      <c r="Z380" s="148"/>
    </row>
    <row r="381">
      <c r="A381" s="148"/>
      <c r="B381" s="148"/>
      <c r="C381" s="148"/>
      <c r="D381" s="245"/>
      <c r="E381" s="148"/>
      <c r="F381" s="277"/>
      <c r="G381" s="148"/>
      <c r="H381" s="148"/>
      <c r="I381" s="251"/>
      <c r="J381" s="251"/>
      <c r="K381" s="148"/>
      <c r="L381" s="317"/>
      <c r="M381" s="252"/>
      <c r="N381" s="250"/>
      <c r="O381" s="253"/>
      <c r="P381" s="240"/>
      <c r="Q381" s="148"/>
      <c r="R381" s="148"/>
      <c r="S381" s="242"/>
      <c r="T381" s="242"/>
      <c r="U381" s="242"/>
      <c r="V381" s="242"/>
      <c r="W381" s="242"/>
      <c r="X381" s="242"/>
      <c r="Y381" s="148"/>
      <c r="Z381" s="148"/>
    </row>
    <row r="382">
      <c r="A382" s="148"/>
      <c r="B382" s="148"/>
      <c r="C382" s="148"/>
      <c r="D382" s="245"/>
      <c r="E382" s="148"/>
      <c r="F382" s="277"/>
      <c r="G382" s="148"/>
      <c r="H382" s="148"/>
      <c r="I382" s="251"/>
      <c r="J382" s="251"/>
      <c r="K382" s="148"/>
      <c r="L382" s="317"/>
      <c r="M382" s="252"/>
      <c r="N382" s="250"/>
      <c r="O382" s="253"/>
      <c r="P382" s="240"/>
      <c r="Q382" s="148"/>
      <c r="R382" s="148"/>
      <c r="S382" s="242"/>
      <c r="T382" s="242"/>
      <c r="U382" s="242"/>
      <c r="V382" s="242"/>
      <c r="W382" s="242"/>
      <c r="X382" s="242"/>
      <c r="Y382" s="148"/>
      <c r="Z382" s="148"/>
    </row>
    <row r="383">
      <c r="A383" s="148"/>
      <c r="B383" s="148"/>
      <c r="C383" s="148"/>
      <c r="D383" s="245"/>
      <c r="E383" s="148"/>
      <c r="F383" s="277"/>
      <c r="G383" s="148"/>
      <c r="H383" s="148"/>
      <c r="I383" s="251"/>
      <c r="J383" s="251"/>
      <c r="K383" s="148"/>
      <c r="L383" s="317"/>
      <c r="M383" s="252"/>
      <c r="N383" s="250"/>
      <c r="O383" s="253"/>
      <c r="P383" s="240"/>
      <c r="Q383" s="148"/>
      <c r="R383" s="148"/>
      <c r="S383" s="242"/>
      <c r="T383" s="242"/>
      <c r="U383" s="242"/>
      <c r="V383" s="242"/>
      <c r="W383" s="242"/>
      <c r="X383" s="242"/>
      <c r="Y383" s="148"/>
      <c r="Z383" s="148"/>
    </row>
    <row r="384">
      <c r="A384" s="148"/>
      <c r="B384" s="148"/>
      <c r="C384" s="148"/>
      <c r="D384" s="245"/>
      <c r="E384" s="148"/>
      <c r="F384" s="277"/>
      <c r="G384" s="148"/>
      <c r="H384" s="148"/>
      <c r="I384" s="251"/>
      <c r="J384" s="251"/>
      <c r="K384" s="148"/>
      <c r="L384" s="317"/>
      <c r="M384" s="252"/>
      <c r="N384" s="250"/>
      <c r="O384" s="253"/>
      <c r="P384" s="240"/>
      <c r="Q384" s="148"/>
      <c r="R384" s="148"/>
      <c r="S384" s="242"/>
      <c r="T384" s="242"/>
      <c r="U384" s="242"/>
      <c r="V384" s="242"/>
      <c r="W384" s="242"/>
      <c r="X384" s="242"/>
      <c r="Y384" s="148"/>
      <c r="Z384" s="148"/>
    </row>
    <row r="385">
      <c r="A385" s="148"/>
      <c r="B385" s="148"/>
      <c r="C385" s="148"/>
      <c r="D385" s="245"/>
      <c r="E385" s="148"/>
      <c r="F385" s="277"/>
      <c r="G385" s="148"/>
      <c r="H385" s="148"/>
      <c r="I385" s="251"/>
      <c r="J385" s="251"/>
      <c r="K385" s="148"/>
      <c r="L385" s="317"/>
      <c r="M385" s="252"/>
      <c r="N385" s="250"/>
      <c r="O385" s="253"/>
      <c r="P385" s="240"/>
      <c r="Q385" s="148"/>
      <c r="R385" s="148"/>
      <c r="S385" s="242"/>
      <c r="T385" s="242"/>
      <c r="U385" s="242"/>
      <c r="V385" s="242"/>
      <c r="W385" s="242"/>
      <c r="X385" s="242"/>
      <c r="Y385" s="148"/>
      <c r="Z385" s="148"/>
    </row>
    <row r="386">
      <c r="A386" s="148"/>
      <c r="B386" s="148"/>
      <c r="C386" s="148"/>
      <c r="D386" s="245"/>
      <c r="E386" s="148"/>
      <c r="F386" s="277"/>
      <c r="G386" s="148"/>
      <c r="H386" s="148"/>
      <c r="I386" s="251"/>
      <c r="J386" s="251"/>
      <c r="K386" s="148"/>
      <c r="L386" s="317"/>
      <c r="M386" s="252"/>
      <c r="N386" s="250"/>
      <c r="O386" s="253"/>
      <c r="P386" s="240"/>
      <c r="Q386" s="148"/>
      <c r="R386" s="148"/>
      <c r="S386" s="242"/>
      <c r="T386" s="242"/>
      <c r="U386" s="242"/>
      <c r="V386" s="242"/>
      <c r="W386" s="242"/>
      <c r="X386" s="242"/>
      <c r="Y386" s="148"/>
      <c r="Z386" s="148"/>
    </row>
    <row r="387">
      <c r="A387" s="148"/>
      <c r="B387" s="148"/>
      <c r="C387" s="148"/>
      <c r="D387" s="245"/>
      <c r="E387" s="148"/>
      <c r="F387" s="277"/>
      <c r="G387" s="148"/>
      <c r="H387" s="148"/>
      <c r="I387" s="251"/>
      <c r="J387" s="251"/>
      <c r="K387" s="148"/>
      <c r="L387" s="317"/>
      <c r="M387" s="252"/>
      <c r="N387" s="250"/>
      <c r="O387" s="253"/>
      <c r="P387" s="240"/>
      <c r="Q387" s="148"/>
      <c r="R387" s="148"/>
      <c r="S387" s="242"/>
      <c r="T387" s="242"/>
      <c r="U387" s="242"/>
      <c r="V387" s="242"/>
      <c r="W387" s="242"/>
      <c r="X387" s="242"/>
      <c r="Y387" s="148"/>
      <c r="Z387" s="148"/>
    </row>
    <row r="388">
      <c r="A388" s="148"/>
      <c r="B388" s="148"/>
      <c r="C388" s="148"/>
      <c r="D388" s="245"/>
      <c r="E388" s="148"/>
      <c r="F388" s="277"/>
      <c r="G388" s="148"/>
      <c r="H388" s="148"/>
      <c r="I388" s="251"/>
      <c r="J388" s="251"/>
      <c r="K388" s="148"/>
      <c r="L388" s="317"/>
      <c r="M388" s="252"/>
      <c r="N388" s="250"/>
      <c r="O388" s="253"/>
      <c r="P388" s="240"/>
      <c r="Q388" s="148"/>
      <c r="R388" s="148"/>
      <c r="S388" s="242"/>
      <c r="T388" s="242"/>
      <c r="U388" s="242"/>
      <c r="V388" s="242"/>
      <c r="W388" s="242"/>
      <c r="X388" s="242"/>
      <c r="Y388" s="148"/>
      <c r="Z388" s="148"/>
    </row>
    <row r="389">
      <c r="A389" s="148"/>
      <c r="B389" s="148"/>
      <c r="C389" s="148"/>
      <c r="D389" s="245"/>
      <c r="E389" s="148"/>
      <c r="F389" s="277"/>
      <c r="G389" s="148"/>
      <c r="H389" s="148"/>
      <c r="I389" s="251"/>
      <c r="J389" s="251"/>
      <c r="K389" s="148"/>
      <c r="L389" s="317"/>
      <c r="M389" s="252"/>
      <c r="N389" s="250"/>
      <c r="O389" s="253"/>
      <c r="P389" s="240"/>
      <c r="Q389" s="148"/>
      <c r="R389" s="148"/>
      <c r="S389" s="242"/>
      <c r="T389" s="242"/>
      <c r="U389" s="242"/>
      <c r="V389" s="242"/>
      <c r="W389" s="242"/>
      <c r="X389" s="242"/>
      <c r="Y389" s="148"/>
      <c r="Z389" s="148"/>
    </row>
    <row r="390">
      <c r="A390" s="148"/>
      <c r="B390" s="148"/>
      <c r="C390" s="148"/>
      <c r="D390" s="245"/>
      <c r="E390" s="148"/>
      <c r="F390" s="277"/>
      <c r="G390" s="148"/>
      <c r="H390" s="148"/>
      <c r="I390" s="251"/>
      <c r="J390" s="251"/>
      <c r="K390" s="148"/>
      <c r="L390" s="317"/>
      <c r="M390" s="252"/>
      <c r="N390" s="250"/>
      <c r="O390" s="253"/>
      <c r="P390" s="240"/>
      <c r="Q390" s="148"/>
      <c r="R390" s="148"/>
      <c r="S390" s="242"/>
      <c r="T390" s="242"/>
      <c r="U390" s="242"/>
      <c r="V390" s="242"/>
      <c r="W390" s="242"/>
      <c r="X390" s="242"/>
      <c r="Y390" s="148"/>
      <c r="Z390" s="148"/>
    </row>
    <row r="391">
      <c r="A391" s="148"/>
      <c r="B391" s="148"/>
      <c r="C391" s="148"/>
      <c r="D391" s="245"/>
      <c r="E391" s="148"/>
      <c r="F391" s="277"/>
      <c r="G391" s="148"/>
      <c r="H391" s="148"/>
      <c r="I391" s="251"/>
      <c r="J391" s="251"/>
      <c r="K391" s="148"/>
      <c r="L391" s="317"/>
      <c r="M391" s="252"/>
      <c r="N391" s="250"/>
      <c r="O391" s="253"/>
      <c r="P391" s="240"/>
      <c r="Q391" s="148"/>
      <c r="R391" s="148"/>
      <c r="S391" s="242"/>
      <c r="T391" s="242"/>
      <c r="U391" s="242"/>
      <c r="V391" s="242"/>
      <c r="W391" s="242"/>
      <c r="X391" s="242"/>
      <c r="Y391" s="148"/>
      <c r="Z391" s="148"/>
    </row>
    <row r="392">
      <c r="A392" s="148"/>
      <c r="B392" s="148"/>
      <c r="C392" s="148"/>
      <c r="D392" s="245"/>
      <c r="E392" s="148"/>
      <c r="F392" s="277"/>
      <c r="G392" s="148"/>
      <c r="H392" s="148"/>
      <c r="I392" s="251"/>
      <c r="J392" s="251"/>
      <c r="K392" s="148"/>
      <c r="L392" s="317"/>
      <c r="M392" s="252"/>
      <c r="N392" s="250"/>
      <c r="O392" s="253"/>
      <c r="P392" s="240"/>
      <c r="Q392" s="148"/>
      <c r="R392" s="148"/>
      <c r="S392" s="242"/>
      <c r="T392" s="242"/>
      <c r="U392" s="242"/>
      <c r="V392" s="242"/>
      <c r="W392" s="242"/>
      <c r="X392" s="242"/>
      <c r="Y392" s="148"/>
      <c r="Z392" s="148"/>
    </row>
    <row r="393">
      <c r="A393" s="148"/>
      <c r="B393" s="148"/>
      <c r="C393" s="148"/>
      <c r="D393" s="245"/>
      <c r="E393" s="148"/>
      <c r="F393" s="277"/>
      <c r="G393" s="148"/>
      <c r="H393" s="148"/>
      <c r="I393" s="251"/>
      <c r="J393" s="251"/>
      <c r="K393" s="148"/>
      <c r="L393" s="317"/>
      <c r="M393" s="252"/>
      <c r="N393" s="250"/>
      <c r="O393" s="253"/>
      <c r="P393" s="240"/>
      <c r="Q393" s="148"/>
      <c r="R393" s="148"/>
      <c r="S393" s="242"/>
      <c r="T393" s="242"/>
      <c r="U393" s="242"/>
      <c r="V393" s="242"/>
      <c r="W393" s="242"/>
      <c r="X393" s="242"/>
      <c r="Y393" s="148"/>
      <c r="Z393" s="148"/>
    </row>
    <row r="394">
      <c r="A394" s="148"/>
      <c r="B394" s="148"/>
      <c r="C394" s="148"/>
      <c r="D394" s="245"/>
      <c r="E394" s="148"/>
      <c r="F394" s="277"/>
      <c r="G394" s="148"/>
      <c r="H394" s="148"/>
      <c r="I394" s="251"/>
      <c r="J394" s="251"/>
      <c r="K394" s="148"/>
      <c r="L394" s="317"/>
      <c r="M394" s="252"/>
      <c r="N394" s="250"/>
      <c r="O394" s="253"/>
      <c r="P394" s="240"/>
      <c r="Q394" s="148"/>
      <c r="R394" s="148"/>
      <c r="S394" s="242"/>
      <c r="T394" s="242"/>
      <c r="U394" s="242"/>
      <c r="V394" s="242"/>
      <c r="W394" s="242"/>
      <c r="X394" s="242"/>
      <c r="Y394" s="148"/>
      <c r="Z394" s="148"/>
    </row>
    <row r="395">
      <c r="A395" s="148"/>
      <c r="B395" s="148"/>
      <c r="C395" s="148"/>
      <c r="D395" s="245"/>
      <c r="E395" s="148"/>
      <c r="F395" s="277"/>
      <c r="G395" s="148"/>
      <c r="H395" s="148"/>
      <c r="I395" s="251"/>
      <c r="J395" s="251"/>
      <c r="K395" s="148"/>
      <c r="L395" s="317"/>
      <c r="M395" s="252"/>
      <c r="N395" s="250"/>
      <c r="O395" s="253"/>
      <c r="P395" s="240"/>
      <c r="Q395" s="148"/>
      <c r="R395" s="148"/>
      <c r="S395" s="242"/>
      <c r="T395" s="242"/>
      <c r="U395" s="242"/>
      <c r="V395" s="242"/>
      <c r="W395" s="242"/>
      <c r="X395" s="242"/>
      <c r="Y395" s="148"/>
      <c r="Z395" s="148"/>
    </row>
    <row r="396">
      <c r="A396" s="148"/>
      <c r="B396" s="148"/>
      <c r="C396" s="148"/>
      <c r="D396" s="245"/>
      <c r="E396" s="148"/>
      <c r="F396" s="277"/>
      <c r="G396" s="148"/>
      <c r="H396" s="148"/>
      <c r="I396" s="251"/>
      <c r="J396" s="251"/>
      <c r="K396" s="148"/>
      <c r="L396" s="317"/>
      <c r="M396" s="252"/>
      <c r="N396" s="250"/>
      <c r="O396" s="253"/>
      <c r="P396" s="240"/>
      <c r="Q396" s="148"/>
      <c r="R396" s="148"/>
      <c r="S396" s="242"/>
      <c r="T396" s="242"/>
      <c r="U396" s="242"/>
      <c r="V396" s="242"/>
      <c r="W396" s="242"/>
      <c r="X396" s="242"/>
      <c r="Y396" s="148"/>
      <c r="Z396" s="148"/>
    </row>
    <row r="397">
      <c r="A397" s="148"/>
      <c r="B397" s="148"/>
      <c r="C397" s="148"/>
      <c r="D397" s="245"/>
      <c r="E397" s="148"/>
      <c r="F397" s="277"/>
      <c r="G397" s="148"/>
      <c r="H397" s="148"/>
      <c r="I397" s="251"/>
      <c r="J397" s="251"/>
      <c r="K397" s="148"/>
      <c r="L397" s="317"/>
      <c r="M397" s="252"/>
      <c r="N397" s="250"/>
      <c r="O397" s="253"/>
      <c r="P397" s="240"/>
      <c r="Q397" s="148"/>
      <c r="R397" s="148"/>
      <c r="S397" s="242"/>
      <c r="T397" s="242"/>
      <c r="U397" s="242"/>
      <c r="V397" s="242"/>
      <c r="W397" s="242"/>
      <c r="X397" s="242"/>
      <c r="Y397" s="148"/>
      <c r="Z397" s="148"/>
    </row>
    <row r="398">
      <c r="A398" s="148"/>
      <c r="B398" s="148"/>
      <c r="C398" s="148"/>
      <c r="D398" s="245"/>
      <c r="E398" s="148"/>
      <c r="F398" s="277"/>
      <c r="G398" s="148"/>
      <c r="H398" s="148"/>
      <c r="I398" s="251"/>
      <c r="J398" s="251"/>
      <c r="K398" s="148"/>
      <c r="L398" s="317"/>
      <c r="M398" s="252"/>
      <c r="N398" s="250"/>
      <c r="O398" s="253"/>
      <c r="P398" s="240"/>
      <c r="Q398" s="148"/>
      <c r="R398" s="148"/>
      <c r="S398" s="242"/>
      <c r="T398" s="242"/>
      <c r="U398" s="242"/>
      <c r="V398" s="242"/>
      <c r="W398" s="242"/>
      <c r="X398" s="242"/>
      <c r="Y398" s="148"/>
      <c r="Z398" s="148"/>
    </row>
    <row r="399">
      <c r="A399" s="148"/>
      <c r="B399" s="148"/>
      <c r="C399" s="148"/>
      <c r="D399" s="245"/>
      <c r="E399" s="148"/>
      <c r="F399" s="277"/>
      <c r="G399" s="148"/>
      <c r="H399" s="148"/>
      <c r="I399" s="251"/>
      <c r="J399" s="251"/>
      <c r="K399" s="148"/>
      <c r="L399" s="317"/>
      <c r="M399" s="252"/>
      <c r="N399" s="250"/>
      <c r="O399" s="253"/>
      <c r="P399" s="240"/>
      <c r="Q399" s="148"/>
      <c r="R399" s="148"/>
      <c r="S399" s="242"/>
      <c r="T399" s="242"/>
      <c r="U399" s="242"/>
      <c r="V399" s="242"/>
      <c r="W399" s="242"/>
      <c r="X399" s="242"/>
      <c r="Y399" s="148"/>
      <c r="Z399" s="148"/>
    </row>
    <row r="400">
      <c r="A400" s="148"/>
      <c r="B400" s="148"/>
      <c r="C400" s="148"/>
      <c r="D400" s="245"/>
      <c r="E400" s="148"/>
      <c r="F400" s="277"/>
      <c r="G400" s="148"/>
      <c r="H400" s="148"/>
      <c r="I400" s="251"/>
      <c r="J400" s="251"/>
      <c r="K400" s="148"/>
      <c r="L400" s="317"/>
      <c r="M400" s="252"/>
      <c r="N400" s="250"/>
      <c r="O400" s="253"/>
      <c r="P400" s="240"/>
      <c r="Q400" s="148"/>
      <c r="R400" s="148"/>
      <c r="S400" s="242"/>
      <c r="T400" s="242"/>
      <c r="U400" s="242"/>
      <c r="V400" s="242"/>
      <c r="W400" s="242"/>
      <c r="X400" s="242"/>
      <c r="Y400" s="148"/>
      <c r="Z400" s="148"/>
    </row>
    <row r="401">
      <c r="A401" s="148"/>
      <c r="B401" s="148"/>
      <c r="C401" s="148"/>
      <c r="D401" s="245"/>
      <c r="E401" s="148"/>
      <c r="F401" s="277"/>
      <c r="G401" s="148"/>
      <c r="H401" s="148"/>
      <c r="I401" s="251"/>
      <c r="J401" s="251"/>
      <c r="K401" s="148"/>
      <c r="L401" s="317"/>
      <c r="M401" s="252"/>
      <c r="N401" s="250"/>
      <c r="O401" s="253"/>
      <c r="P401" s="240"/>
      <c r="Q401" s="148"/>
      <c r="R401" s="148"/>
      <c r="S401" s="242"/>
      <c r="T401" s="242"/>
      <c r="U401" s="242"/>
      <c r="V401" s="242"/>
      <c r="W401" s="242"/>
      <c r="X401" s="242"/>
      <c r="Y401" s="148"/>
      <c r="Z401" s="148"/>
    </row>
    <row r="402">
      <c r="A402" s="148"/>
      <c r="B402" s="148"/>
      <c r="C402" s="148"/>
      <c r="D402" s="245"/>
      <c r="E402" s="148"/>
      <c r="F402" s="277"/>
      <c r="G402" s="148"/>
      <c r="H402" s="148"/>
      <c r="I402" s="251"/>
      <c r="J402" s="251"/>
      <c r="K402" s="148"/>
      <c r="L402" s="317"/>
      <c r="M402" s="252"/>
      <c r="N402" s="250"/>
      <c r="O402" s="253"/>
      <c r="P402" s="240"/>
      <c r="Q402" s="148"/>
      <c r="R402" s="148"/>
      <c r="S402" s="242"/>
      <c r="T402" s="242"/>
      <c r="U402" s="242"/>
      <c r="V402" s="242"/>
      <c r="W402" s="242"/>
      <c r="X402" s="242"/>
      <c r="Y402" s="148"/>
      <c r="Z402" s="148"/>
    </row>
    <row r="403">
      <c r="A403" s="148"/>
      <c r="B403" s="148"/>
      <c r="C403" s="148"/>
      <c r="D403" s="245"/>
      <c r="E403" s="148"/>
      <c r="F403" s="277"/>
      <c r="G403" s="148"/>
      <c r="H403" s="148"/>
      <c r="I403" s="251"/>
      <c r="J403" s="251"/>
      <c r="K403" s="148"/>
      <c r="L403" s="317"/>
      <c r="M403" s="252"/>
      <c r="N403" s="250"/>
      <c r="O403" s="253"/>
      <c r="P403" s="240"/>
      <c r="Q403" s="148"/>
      <c r="R403" s="148"/>
      <c r="S403" s="242"/>
      <c r="T403" s="242"/>
      <c r="U403" s="242"/>
      <c r="V403" s="242"/>
      <c r="W403" s="242"/>
      <c r="X403" s="242"/>
      <c r="Y403" s="148"/>
      <c r="Z403" s="148"/>
    </row>
    <row r="404">
      <c r="A404" s="148"/>
      <c r="B404" s="148"/>
      <c r="C404" s="148"/>
      <c r="D404" s="245"/>
      <c r="E404" s="148"/>
      <c r="F404" s="277"/>
      <c r="G404" s="148"/>
      <c r="H404" s="148"/>
      <c r="I404" s="251"/>
      <c r="J404" s="251"/>
      <c r="K404" s="148"/>
      <c r="L404" s="317"/>
      <c r="M404" s="252"/>
      <c r="N404" s="250"/>
      <c r="O404" s="253"/>
      <c r="P404" s="240"/>
      <c r="Q404" s="148"/>
      <c r="R404" s="148"/>
      <c r="S404" s="242"/>
      <c r="T404" s="242"/>
      <c r="U404" s="242"/>
      <c r="V404" s="242"/>
      <c r="W404" s="242"/>
      <c r="X404" s="242"/>
      <c r="Y404" s="148"/>
      <c r="Z404" s="148"/>
    </row>
    <row r="405">
      <c r="A405" s="148"/>
      <c r="B405" s="148"/>
      <c r="C405" s="148"/>
      <c r="D405" s="245"/>
      <c r="E405" s="148"/>
      <c r="F405" s="277"/>
      <c r="G405" s="148"/>
      <c r="H405" s="148"/>
      <c r="I405" s="251"/>
      <c r="J405" s="251"/>
      <c r="K405" s="148"/>
      <c r="L405" s="317"/>
      <c r="M405" s="252"/>
      <c r="N405" s="250"/>
      <c r="O405" s="253"/>
      <c r="P405" s="240"/>
      <c r="Q405" s="148"/>
      <c r="R405" s="148"/>
      <c r="S405" s="242"/>
      <c r="T405" s="242"/>
      <c r="U405" s="242"/>
      <c r="V405" s="242"/>
      <c r="W405" s="242"/>
      <c r="X405" s="242"/>
      <c r="Y405" s="148"/>
      <c r="Z405" s="148"/>
    </row>
    <row r="406">
      <c r="A406" s="148"/>
      <c r="B406" s="148"/>
      <c r="C406" s="148"/>
      <c r="D406" s="245"/>
      <c r="E406" s="148"/>
      <c r="F406" s="277"/>
      <c r="G406" s="148"/>
      <c r="H406" s="148"/>
      <c r="I406" s="251"/>
      <c r="J406" s="251"/>
      <c r="K406" s="148"/>
      <c r="L406" s="317"/>
      <c r="M406" s="252"/>
      <c r="N406" s="250"/>
      <c r="O406" s="253"/>
      <c r="P406" s="240"/>
      <c r="Q406" s="148"/>
      <c r="R406" s="148"/>
      <c r="S406" s="242"/>
      <c r="T406" s="242"/>
      <c r="U406" s="242"/>
      <c r="V406" s="242"/>
      <c r="W406" s="242"/>
      <c r="X406" s="242"/>
      <c r="Y406" s="148"/>
      <c r="Z406" s="148"/>
    </row>
    <row r="407">
      <c r="A407" s="148"/>
      <c r="B407" s="148"/>
      <c r="C407" s="148"/>
      <c r="D407" s="245"/>
      <c r="E407" s="148"/>
      <c r="F407" s="277"/>
      <c r="G407" s="148"/>
      <c r="H407" s="148"/>
      <c r="I407" s="251"/>
      <c r="J407" s="251"/>
      <c r="K407" s="148"/>
      <c r="L407" s="317"/>
      <c r="M407" s="252"/>
      <c r="N407" s="250"/>
      <c r="O407" s="253"/>
      <c r="P407" s="240"/>
      <c r="Q407" s="148"/>
      <c r="R407" s="148"/>
      <c r="S407" s="242"/>
      <c r="T407" s="242"/>
      <c r="U407" s="242"/>
      <c r="V407" s="242"/>
      <c r="W407" s="242"/>
      <c r="X407" s="242"/>
      <c r="Y407" s="148"/>
      <c r="Z407" s="148"/>
    </row>
    <row r="408">
      <c r="A408" s="148"/>
      <c r="B408" s="148"/>
      <c r="C408" s="148"/>
      <c r="D408" s="245"/>
      <c r="E408" s="148"/>
      <c r="F408" s="277"/>
      <c r="G408" s="148"/>
      <c r="H408" s="148"/>
      <c r="I408" s="251"/>
      <c r="J408" s="251"/>
      <c r="K408" s="148"/>
      <c r="L408" s="317"/>
      <c r="M408" s="252"/>
      <c r="N408" s="250"/>
      <c r="O408" s="253"/>
      <c r="P408" s="240"/>
      <c r="Q408" s="148"/>
      <c r="R408" s="148"/>
      <c r="S408" s="242"/>
      <c r="T408" s="242"/>
      <c r="U408" s="242"/>
      <c r="V408" s="242"/>
      <c r="W408" s="242"/>
      <c r="X408" s="242"/>
      <c r="Y408" s="148"/>
      <c r="Z408" s="148"/>
    </row>
    <row r="409">
      <c r="A409" s="148"/>
      <c r="B409" s="148"/>
      <c r="C409" s="148"/>
      <c r="D409" s="245"/>
      <c r="E409" s="148"/>
      <c r="F409" s="277"/>
      <c r="G409" s="148"/>
      <c r="H409" s="148"/>
      <c r="I409" s="251"/>
      <c r="J409" s="251"/>
      <c r="K409" s="148"/>
      <c r="L409" s="317"/>
      <c r="M409" s="252"/>
      <c r="N409" s="250"/>
      <c r="O409" s="253"/>
      <c r="P409" s="240"/>
      <c r="Q409" s="148"/>
      <c r="R409" s="148"/>
      <c r="S409" s="242"/>
      <c r="T409" s="242"/>
      <c r="U409" s="242"/>
      <c r="V409" s="242"/>
      <c r="W409" s="242"/>
      <c r="X409" s="242"/>
      <c r="Y409" s="148"/>
      <c r="Z409" s="148"/>
    </row>
    <row r="410">
      <c r="A410" s="148"/>
      <c r="B410" s="148"/>
      <c r="C410" s="148"/>
      <c r="D410" s="245"/>
      <c r="E410" s="148"/>
      <c r="F410" s="277"/>
      <c r="G410" s="148"/>
      <c r="H410" s="148"/>
      <c r="I410" s="251"/>
      <c r="J410" s="251"/>
      <c r="K410" s="148"/>
      <c r="L410" s="317"/>
      <c r="M410" s="252"/>
      <c r="N410" s="250"/>
      <c r="O410" s="253"/>
      <c r="P410" s="240"/>
      <c r="Q410" s="148"/>
      <c r="R410" s="148"/>
      <c r="S410" s="242"/>
      <c r="T410" s="242"/>
      <c r="U410" s="242"/>
      <c r="V410" s="242"/>
      <c r="W410" s="242"/>
      <c r="X410" s="242"/>
      <c r="Y410" s="148"/>
      <c r="Z410" s="148"/>
    </row>
    <row r="411">
      <c r="A411" s="148"/>
      <c r="B411" s="148"/>
      <c r="C411" s="148"/>
      <c r="D411" s="245"/>
      <c r="E411" s="148"/>
      <c r="F411" s="277"/>
      <c r="G411" s="148"/>
      <c r="H411" s="148"/>
      <c r="I411" s="251"/>
      <c r="J411" s="251"/>
      <c r="K411" s="148"/>
      <c r="L411" s="317"/>
      <c r="M411" s="252"/>
      <c r="N411" s="250"/>
      <c r="O411" s="253"/>
      <c r="P411" s="240"/>
      <c r="Q411" s="148"/>
      <c r="R411" s="148"/>
      <c r="S411" s="242"/>
      <c r="T411" s="242"/>
      <c r="U411" s="242"/>
      <c r="V411" s="242"/>
      <c r="W411" s="242"/>
      <c r="X411" s="242"/>
      <c r="Y411" s="148"/>
      <c r="Z411" s="148"/>
    </row>
    <row r="412">
      <c r="A412" s="148"/>
      <c r="B412" s="148"/>
      <c r="C412" s="148"/>
      <c r="D412" s="245"/>
      <c r="E412" s="148"/>
      <c r="F412" s="277"/>
      <c r="G412" s="148"/>
      <c r="H412" s="148"/>
      <c r="I412" s="251"/>
      <c r="J412" s="251"/>
      <c r="K412" s="148"/>
      <c r="L412" s="317"/>
      <c r="M412" s="252"/>
      <c r="N412" s="250"/>
      <c r="O412" s="253"/>
      <c r="P412" s="240"/>
      <c r="Q412" s="148"/>
      <c r="R412" s="148"/>
      <c r="S412" s="242"/>
      <c r="T412" s="242"/>
      <c r="U412" s="242"/>
      <c r="V412" s="242"/>
      <c r="W412" s="242"/>
      <c r="X412" s="242"/>
      <c r="Y412" s="148"/>
      <c r="Z412" s="148"/>
    </row>
    <row r="413">
      <c r="A413" s="148"/>
      <c r="B413" s="148"/>
      <c r="C413" s="148"/>
      <c r="D413" s="245"/>
      <c r="E413" s="148"/>
      <c r="F413" s="277"/>
      <c r="G413" s="148"/>
      <c r="H413" s="148"/>
      <c r="I413" s="251"/>
      <c r="J413" s="251"/>
      <c r="K413" s="148"/>
      <c r="L413" s="317"/>
      <c r="M413" s="252"/>
      <c r="N413" s="250"/>
      <c r="O413" s="253"/>
      <c r="P413" s="240"/>
      <c r="Q413" s="148"/>
      <c r="R413" s="148"/>
      <c r="S413" s="242"/>
      <c r="T413" s="242"/>
      <c r="U413" s="242"/>
      <c r="V413" s="242"/>
      <c r="W413" s="242"/>
      <c r="X413" s="242"/>
      <c r="Y413" s="148"/>
      <c r="Z413" s="148"/>
    </row>
    <row r="414">
      <c r="A414" s="148"/>
      <c r="B414" s="148"/>
      <c r="C414" s="148"/>
      <c r="D414" s="245"/>
      <c r="E414" s="148"/>
      <c r="F414" s="277"/>
      <c r="G414" s="148"/>
      <c r="H414" s="148"/>
      <c r="I414" s="251"/>
      <c r="J414" s="251"/>
      <c r="K414" s="148"/>
      <c r="L414" s="317"/>
      <c r="M414" s="252"/>
      <c r="N414" s="250"/>
      <c r="O414" s="253"/>
      <c r="P414" s="240"/>
      <c r="Q414" s="148"/>
      <c r="R414" s="148"/>
      <c r="S414" s="242"/>
      <c r="T414" s="242"/>
      <c r="U414" s="242"/>
      <c r="V414" s="242"/>
      <c r="W414" s="242"/>
      <c r="X414" s="242"/>
      <c r="Y414" s="148"/>
      <c r="Z414" s="148"/>
    </row>
    <row r="415">
      <c r="A415" s="148"/>
      <c r="B415" s="148"/>
      <c r="C415" s="148"/>
      <c r="D415" s="245"/>
      <c r="E415" s="148"/>
      <c r="F415" s="277"/>
      <c r="G415" s="148"/>
      <c r="H415" s="148"/>
      <c r="I415" s="251"/>
      <c r="J415" s="251"/>
      <c r="K415" s="148"/>
      <c r="L415" s="317"/>
      <c r="M415" s="252"/>
      <c r="N415" s="250"/>
      <c r="O415" s="253"/>
      <c r="P415" s="240"/>
      <c r="Q415" s="148"/>
      <c r="R415" s="148"/>
      <c r="S415" s="242"/>
      <c r="T415" s="242"/>
      <c r="U415" s="242"/>
      <c r="V415" s="242"/>
      <c r="W415" s="242"/>
      <c r="X415" s="242"/>
      <c r="Y415" s="148"/>
      <c r="Z415" s="148"/>
    </row>
    <row r="416">
      <c r="A416" s="148"/>
      <c r="B416" s="148"/>
      <c r="C416" s="148"/>
      <c r="D416" s="245"/>
      <c r="E416" s="148"/>
      <c r="F416" s="277"/>
      <c r="G416" s="148"/>
      <c r="H416" s="148"/>
      <c r="I416" s="251"/>
      <c r="J416" s="251"/>
      <c r="K416" s="148"/>
      <c r="L416" s="317"/>
      <c r="M416" s="252"/>
      <c r="N416" s="250"/>
      <c r="O416" s="253"/>
      <c r="P416" s="240"/>
      <c r="Q416" s="148"/>
      <c r="R416" s="148"/>
      <c r="S416" s="242"/>
      <c r="T416" s="242"/>
      <c r="U416" s="242"/>
      <c r="V416" s="242"/>
      <c r="W416" s="242"/>
      <c r="X416" s="242"/>
      <c r="Y416" s="148"/>
      <c r="Z416" s="148"/>
    </row>
    <row r="417">
      <c r="A417" s="148"/>
      <c r="B417" s="148"/>
      <c r="C417" s="148"/>
      <c r="D417" s="245"/>
      <c r="E417" s="148"/>
      <c r="F417" s="277"/>
      <c r="G417" s="148"/>
      <c r="H417" s="148"/>
      <c r="I417" s="251"/>
      <c r="J417" s="251"/>
      <c r="K417" s="148"/>
      <c r="L417" s="317"/>
      <c r="M417" s="252"/>
      <c r="N417" s="250"/>
      <c r="O417" s="253"/>
      <c r="P417" s="240"/>
      <c r="Q417" s="148"/>
      <c r="R417" s="148"/>
      <c r="S417" s="242"/>
      <c r="T417" s="242"/>
      <c r="U417" s="242"/>
      <c r="V417" s="242"/>
      <c r="W417" s="242"/>
      <c r="X417" s="242"/>
      <c r="Y417" s="148"/>
      <c r="Z417" s="148"/>
    </row>
    <row r="418">
      <c r="A418" s="148"/>
      <c r="B418" s="148"/>
      <c r="C418" s="148"/>
      <c r="D418" s="245"/>
      <c r="E418" s="148"/>
      <c r="F418" s="277"/>
      <c r="G418" s="148"/>
      <c r="H418" s="148"/>
      <c r="I418" s="251"/>
      <c r="J418" s="251"/>
      <c r="K418" s="148"/>
      <c r="L418" s="317"/>
      <c r="M418" s="252"/>
      <c r="N418" s="250"/>
      <c r="O418" s="253"/>
      <c r="P418" s="240"/>
      <c r="Q418" s="148"/>
      <c r="R418" s="148"/>
      <c r="S418" s="242"/>
      <c r="T418" s="242"/>
      <c r="U418" s="242"/>
      <c r="V418" s="242"/>
      <c r="W418" s="242"/>
      <c r="X418" s="242"/>
      <c r="Y418" s="148"/>
      <c r="Z418" s="148"/>
    </row>
    <row r="419">
      <c r="A419" s="148"/>
      <c r="B419" s="148"/>
      <c r="C419" s="148"/>
      <c r="D419" s="245"/>
      <c r="E419" s="148"/>
      <c r="F419" s="277"/>
      <c r="G419" s="148"/>
      <c r="H419" s="148"/>
      <c r="I419" s="251"/>
      <c r="J419" s="251"/>
      <c r="K419" s="148"/>
      <c r="L419" s="317"/>
      <c r="M419" s="252"/>
      <c r="N419" s="250"/>
      <c r="O419" s="253"/>
      <c r="P419" s="240"/>
      <c r="Q419" s="148"/>
      <c r="R419" s="148"/>
      <c r="S419" s="242"/>
      <c r="T419" s="242"/>
      <c r="U419" s="242"/>
      <c r="V419" s="242"/>
      <c r="W419" s="242"/>
      <c r="X419" s="242"/>
      <c r="Y419" s="148"/>
      <c r="Z419" s="148"/>
    </row>
    <row r="420">
      <c r="A420" s="148"/>
      <c r="B420" s="148"/>
      <c r="C420" s="148"/>
      <c r="D420" s="245"/>
      <c r="E420" s="148"/>
      <c r="F420" s="277"/>
      <c r="G420" s="148"/>
      <c r="H420" s="148"/>
      <c r="I420" s="251"/>
      <c r="J420" s="251"/>
      <c r="K420" s="148"/>
      <c r="L420" s="317"/>
      <c r="M420" s="252"/>
      <c r="N420" s="250"/>
      <c r="O420" s="253"/>
      <c r="P420" s="240"/>
      <c r="Q420" s="148"/>
      <c r="R420" s="148"/>
      <c r="S420" s="242"/>
      <c r="T420" s="242"/>
      <c r="U420" s="242"/>
      <c r="V420" s="242"/>
      <c r="W420" s="242"/>
      <c r="X420" s="242"/>
      <c r="Y420" s="148"/>
      <c r="Z420" s="148"/>
    </row>
    <row r="421">
      <c r="A421" s="148"/>
      <c r="B421" s="148"/>
      <c r="C421" s="148"/>
      <c r="D421" s="245"/>
      <c r="E421" s="148"/>
      <c r="F421" s="277"/>
      <c r="G421" s="148"/>
      <c r="H421" s="148"/>
      <c r="I421" s="251"/>
      <c r="J421" s="251"/>
      <c r="K421" s="148"/>
      <c r="L421" s="317"/>
      <c r="M421" s="252"/>
      <c r="N421" s="250"/>
      <c r="O421" s="253"/>
      <c r="P421" s="240"/>
      <c r="Q421" s="148"/>
      <c r="R421" s="148"/>
      <c r="S421" s="242"/>
      <c r="T421" s="242"/>
      <c r="U421" s="242"/>
      <c r="V421" s="242"/>
      <c r="W421" s="242"/>
      <c r="X421" s="242"/>
      <c r="Y421" s="148"/>
      <c r="Z421" s="148"/>
    </row>
    <row r="422">
      <c r="A422" s="148"/>
      <c r="B422" s="148"/>
      <c r="C422" s="148"/>
      <c r="D422" s="245"/>
      <c r="E422" s="148"/>
      <c r="F422" s="277"/>
      <c r="G422" s="148"/>
      <c r="H422" s="148"/>
      <c r="I422" s="251"/>
      <c r="J422" s="251"/>
      <c r="K422" s="148"/>
      <c r="L422" s="317"/>
      <c r="M422" s="252"/>
      <c r="N422" s="250"/>
      <c r="O422" s="253"/>
      <c r="P422" s="240"/>
      <c r="Q422" s="148"/>
      <c r="R422" s="148"/>
      <c r="S422" s="242"/>
      <c r="T422" s="242"/>
      <c r="U422" s="242"/>
      <c r="V422" s="242"/>
      <c r="W422" s="242"/>
      <c r="X422" s="242"/>
      <c r="Y422" s="148"/>
      <c r="Z422" s="148"/>
    </row>
    <row r="423">
      <c r="A423" s="148"/>
      <c r="B423" s="148"/>
      <c r="C423" s="148"/>
      <c r="D423" s="245"/>
      <c r="E423" s="148"/>
      <c r="F423" s="277"/>
      <c r="G423" s="148"/>
      <c r="H423" s="148"/>
      <c r="I423" s="251"/>
      <c r="J423" s="251"/>
      <c r="K423" s="148"/>
      <c r="L423" s="317"/>
      <c r="M423" s="252"/>
      <c r="N423" s="250"/>
      <c r="O423" s="253"/>
      <c r="P423" s="240"/>
      <c r="Q423" s="148"/>
      <c r="R423" s="148"/>
      <c r="S423" s="242"/>
      <c r="T423" s="242"/>
      <c r="U423" s="242"/>
      <c r="V423" s="242"/>
      <c r="W423" s="242"/>
      <c r="X423" s="242"/>
      <c r="Y423" s="148"/>
      <c r="Z423" s="148"/>
    </row>
    <row r="424">
      <c r="A424" s="148"/>
      <c r="B424" s="148"/>
      <c r="C424" s="148"/>
      <c r="D424" s="245"/>
      <c r="E424" s="148"/>
      <c r="F424" s="277"/>
      <c r="G424" s="148"/>
      <c r="H424" s="148"/>
      <c r="I424" s="251"/>
      <c r="J424" s="251"/>
      <c r="K424" s="148"/>
      <c r="L424" s="317"/>
      <c r="M424" s="252"/>
      <c r="N424" s="250"/>
      <c r="O424" s="253"/>
      <c r="P424" s="240"/>
      <c r="Q424" s="148"/>
      <c r="R424" s="148"/>
      <c r="S424" s="242"/>
      <c r="T424" s="242"/>
      <c r="U424" s="242"/>
      <c r="V424" s="242"/>
      <c r="W424" s="242"/>
      <c r="X424" s="242"/>
      <c r="Y424" s="148"/>
      <c r="Z424" s="148"/>
    </row>
    <row r="425">
      <c r="A425" s="148"/>
      <c r="B425" s="148"/>
      <c r="C425" s="148"/>
      <c r="D425" s="245"/>
      <c r="E425" s="148"/>
      <c r="F425" s="277"/>
      <c r="G425" s="148"/>
      <c r="H425" s="148"/>
      <c r="I425" s="251"/>
      <c r="J425" s="251"/>
      <c r="K425" s="148"/>
      <c r="L425" s="317"/>
      <c r="M425" s="252"/>
      <c r="N425" s="250"/>
      <c r="O425" s="253"/>
      <c r="P425" s="240"/>
      <c r="Q425" s="148"/>
      <c r="R425" s="148"/>
      <c r="S425" s="242"/>
      <c r="T425" s="242"/>
      <c r="U425" s="242"/>
      <c r="V425" s="242"/>
      <c r="W425" s="242"/>
      <c r="X425" s="242"/>
      <c r="Y425" s="148"/>
      <c r="Z425" s="148"/>
    </row>
    <row r="426">
      <c r="A426" s="148"/>
      <c r="B426" s="148"/>
      <c r="C426" s="148"/>
      <c r="D426" s="245"/>
      <c r="E426" s="148"/>
      <c r="F426" s="277"/>
      <c r="G426" s="148"/>
      <c r="H426" s="148"/>
      <c r="I426" s="251"/>
      <c r="J426" s="251"/>
      <c r="K426" s="148"/>
      <c r="L426" s="317"/>
      <c r="M426" s="252"/>
      <c r="N426" s="250"/>
      <c r="O426" s="253"/>
      <c r="P426" s="240"/>
      <c r="Q426" s="148"/>
      <c r="R426" s="148"/>
      <c r="S426" s="242"/>
      <c r="T426" s="242"/>
      <c r="U426" s="242"/>
      <c r="V426" s="242"/>
      <c r="W426" s="242"/>
      <c r="X426" s="242"/>
      <c r="Y426" s="148"/>
      <c r="Z426" s="148"/>
    </row>
    <row r="427">
      <c r="A427" s="148"/>
      <c r="B427" s="148"/>
      <c r="C427" s="148"/>
      <c r="D427" s="245"/>
      <c r="E427" s="148"/>
      <c r="F427" s="277"/>
      <c r="G427" s="148"/>
      <c r="H427" s="148"/>
      <c r="I427" s="251"/>
      <c r="J427" s="251"/>
      <c r="K427" s="148"/>
      <c r="L427" s="317"/>
      <c r="M427" s="252"/>
      <c r="N427" s="250"/>
      <c r="O427" s="253"/>
      <c r="P427" s="240"/>
      <c r="Q427" s="148"/>
      <c r="R427" s="148"/>
      <c r="S427" s="242"/>
      <c r="T427" s="242"/>
      <c r="U427" s="242"/>
      <c r="V427" s="242"/>
      <c r="W427" s="242"/>
      <c r="X427" s="242"/>
      <c r="Y427" s="148"/>
      <c r="Z427" s="148"/>
    </row>
    <row r="428">
      <c r="A428" s="148"/>
      <c r="B428" s="148"/>
      <c r="C428" s="148"/>
      <c r="D428" s="245"/>
      <c r="E428" s="148"/>
      <c r="F428" s="277"/>
      <c r="G428" s="148"/>
      <c r="H428" s="148"/>
      <c r="I428" s="251"/>
      <c r="J428" s="251"/>
      <c r="K428" s="148"/>
      <c r="L428" s="317"/>
      <c r="M428" s="252"/>
      <c r="N428" s="250"/>
      <c r="O428" s="253"/>
      <c r="P428" s="240"/>
      <c r="Q428" s="148"/>
      <c r="R428" s="148"/>
      <c r="S428" s="242"/>
      <c r="T428" s="242"/>
      <c r="U428" s="242"/>
      <c r="V428" s="242"/>
      <c r="W428" s="242"/>
      <c r="X428" s="242"/>
      <c r="Y428" s="148"/>
      <c r="Z428" s="148"/>
    </row>
    <row r="429">
      <c r="A429" s="148"/>
      <c r="B429" s="148"/>
      <c r="C429" s="148"/>
      <c r="D429" s="245"/>
      <c r="E429" s="148"/>
      <c r="F429" s="277"/>
      <c r="G429" s="148"/>
      <c r="H429" s="148"/>
      <c r="I429" s="251"/>
      <c r="J429" s="251"/>
      <c r="K429" s="148"/>
      <c r="L429" s="317"/>
      <c r="M429" s="252"/>
      <c r="N429" s="250"/>
      <c r="O429" s="253"/>
      <c r="P429" s="240"/>
      <c r="Q429" s="148"/>
      <c r="R429" s="148"/>
      <c r="S429" s="242"/>
      <c r="T429" s="242"/>
      <c r="U429" s="242"/>
      <c r="V429" s="242"/>
      <c r="W429" s="242"/>
      <c r="X429" s="242"/>
      <c r="Y429" s="148"/>
      <c r="Z429" s="148"/>
    </row>
    <row r="430">
      <c r="A430" s="148"/>
      <c r="B430" s="148"/>
      <c r="C430" s="148"/>
      <c r="D430" s="245"/>
      <c r="E430" s="148"/>
      <c r="F430" s="277"/>
      <c r="G430" s="148"/>
      <c r="H430" s="148"/>
      <c r="I430" s="251"/>
      <c r="J430" s="251"/>
      <c r="K430" s="148"/>
      <c r="L430" s="317"/>
      <c r="M430" s="252"/>
      <c r="N430" s="250"/>
      <c r="O430" s="253"/>
      <c r="P430" s="240"/>
      <c r="Q430" s="148"/>
      <c r="R430" s="148"/>
      <c r="S430" s="242"/>
      <c r="T430" s="242"/>
      <c r="U430" s="242"/>
      <c r="V430" s="242"/>
      <c r="W430" s="242"/>
      <c r="X430" s="242"/>
      <c r="Y430" s="148"/>
      <c r="Z430" s="148"/>
    </row>
    <row r="431">
      <c r="A431" s="148"/>
      <c r="B431" s="148"/>
      <c r="C431" s="148"/>
      <c r="D431" s="245"/>
      <c r="E431" s="148"/>
      <c r="F431" s="277"/>
      <c r="G431" s="148"/>
      <c r="H431" s="148"/>
      <c r="I431" s="251"/>
      <c r="J431" s="251"/>
      <c r="K431" s="148"/>
      <c r="L431" s="317"/>
      <c r="M431" s="252"/>
      <c r="N431" s="250"/>
      <c r="O431" s="253"/>
      <c r="P431" s="240"/>
      <c r="Q431" s="148"/>
      <c r="R431" s="148"/>
      <c r="S431" s="242"/>
      <c r="T431" s="242"/>
      <c r="U431" s="242"/>
      <c r="V431" s="242"/>
      <c r="W431" s="242"/>
      <c r="X431" s="242"/>
      <c r="Y431" s="148"/>
      <c r="Z431" s="148"/>
    </row>
    <row r="432">
      <c r="A432" s="148"/>
      <c r="B432" s="148"/>
      <c r="C432" s="148"/>
      <c r="D432" s="245"/>
      <c r="E432" s="148"/>
      <c r="F432" s="277"/>
      <c r="G432" s="148"/>
      <c r="H432" s="148"/>
      <c r="I432" s="251"/>
      <c r="J432" s="251"/>
      <c r="K432" s="148"/>
      <c r="L432" s="317"/>
      <c r="M432" s="252"/>
      <c r="N432" s="250"/>
      <c r="O432" s="253"/>
      <c r="P432" s="240"/>
      <c r="Q432" s="148"/>
      <c r="R432" s="148"/>
      <c r="S432" s="242"/>
      <c r="T432" s="242"/>
      <c r="U432" s="242"/>
      <c r="V432" s="242"/>
      <c r="W432" s="242"/>
      <c r="X432" s="242"/>
      <c r="Y432" s="148"/>
      <c r="Z432" s="148"/>
    </row>
    <row r="433">
      <c r="A433" s="148"/>
      <c r="B433" s="148"/>
      <c r="C433" s="148"/>
      <c r="D433" s="245"/>
      <c r="E433" s="148"/>
      <c r="F433" s="277"/>
      <c r="G433" s="148"/>
      <c r="H433" s="148"/>
      <c r="I433" s="251"/>
      <c r="J433" s="251"/>
      <c r="K433" s="148"/>
      <c r="L433" s="317"/>
      <c r="M433" s="252"/>
      <c r="N433" s="250"/>
      <c r="O433" s="253"/>
      <c r="P433" s="240"/>
      <c r="Q433" s="148"/>
      <c r="R433" s="148"/>
      <c r="S433" s="242"/>
      <c r="T433" s="242"/>
      <c r="U433" s="242"/>
      <c r="V433" s="242"/>
      <c r="W433" s="242"/>
      <c r="X433" s="242"/>
      <c r="Y433" s="148"/>
      <c r="Z433" s="148"/>
    </row>
    <row r="434">
      <c r="A434" s="148"/>
      <c r="B434" s="148"/>
      <c r="C434" s="148"/>
      <c r="D434" s="245"/>
      <c r="E434" s="148"/>
      <c r="F434" s="277"/>
      <c r="G434" s="148"/>
      <c r="H434" s="148"/>
      <c r="I434" s="251"/>
      <c r="J434" s="251"/>
      <c r="K434" s="148"/>
      <c r="L434" s="317"/>
      <c r="M434" s="252"/>
      <c r="N434" s="250"/>
      <c r="O434" s="253"/>
      <c r="P434" s="240"/>
      <c r="Q434" s="148"/>
      <c r="R434" s="148"/>
      <c r="S434" s="242"/>
      <c r="T434" s="242"/>
      <c r="U434" s="242"/>
      <c r="V434" s="242"/>
      <c r="W434" s="242"/>
      <c r="X434" s="242"/>
      <c r="Y434" s="148"/>
      <c r="Z434" s="148"/>
    </row>
    <row r="435">
      <c r="A435" s="148"/>
      <c r="B435" s="148"/>
      <c r="C435" s="148"/>
      <c r="D435" s="245"/>
      <c r="E435" s="148"/>
      <c r="F435" s="277"/>
      <c r="G435" s="148"/>
      <c r="H435" s="148"/>
      <c r="I435" s="251"/>
      <c r="J435" s="251"/>
      <c r="K435" s="148"/>
      <c r="L435" s="317"/>
      <c r="M435" s="252"/>
      <c r="N435" s="250"/>
      <c r="O435" s="253"/>
      <c r="P435" s="240"/>
      <c r="Q435" s="148"/>
      <c r="R435" s="148"/>
      <c r="S435" s="242"/>
      <c r="T435" s="242"/>
      <c r="U435" s="242"/>
      <c r="V435" s="242"/>
      <c r="W435" s="242"/>
      <c r="X435" s="242"/>
      <c r="Y435" s="148"/>
      <c r="Z435" s="148"/>
    </row>
    <row r="436">
      <c r="A436" s="148"/>
      <c r="B436" s="148"/>
      <c r="C436" s="148"/>
      <c r="D436" s="245"/>
      <c r="E436" s="148"/>
      <c r="F436" s="277"/>
      <c r="G436" s="148"/>
      <c r="H436" s="148"/>
      <c r="I436" s="251"/>
      <c r="J436" s="251"/>
      <c r="K436" s="148"/>
      <c r="L436" s="317"/>
      <c r="M436" s="252"/>
      <c r="N436" s="250"/>
      <c r="O436" s="253"/>
      <c r="P436" s="240"/>
      <c r="Q436" s="148"/>
      <c r="R436" s="148"/>
      <c r="S436" s="242"/>
      <c r="T436" s="242"/>
      <c r="U436" s="242"/>
      <c r="V436" s="242"/>
      <c r="W436" s="242"/>
      <c r="X436" s="242"/>
      <c r="Y436" s="148"/>
      <c r="Z436" s="148"/>
    </row>
    <row r="437">
      <c r="A437" s="148"/>
      <c r="B437" s="148"/>
      <c r="C437" s="148"/>
      <c r="D437" s="245"/>
      <c r="E437" s="148"/>
      <c r="F437" s="277"/>
      <c r="G437" s="148"/>
      <c r="H437" s="148"/>
      <c r="I437" s="251"/>
      <c r="J437" s="251"/>
      <c r="K437" s="148"/>
      <c r="L437" s="317"/>
      <c r="M437" s="252"/>
      <c r="N437" s="250"/>
      <c r="O437" s="253"/>
      <c r="P437" s="240"/>
      <c r="Q437" s="148"/>
      <c r="R437" s="148"/>
      <c r="S437" s="242"/>
      <c r="T437" s="242"/>
      <c r="U437" s="242"/>
      <c r="V437" s="242"/>
      <c r="W437" s="242"/>
      <c r="X437" s="242"/>
      <c r="Y437" s="148"/>
      <c r="Z437" s="148"/>
    </row>
    <row r="438">
      <c r="A438" s="148"/>
      <c r="B438" s="148"/>
      <c r="C438" s="148"/>
      <c r="D438" s="245"/>
      <c r="E438" s="148"/>
      <c r="F438" s="277"/>
      <c r="G438" s="148"/>
      <c r="H438" s="148"/>
      <c r="I438" s="251"/>
      <c r="J438" s="251"/>
      <c r="K438" s="148"/>
      <c r="L438" s="317"/>
      <c r="M438" s="252"/>
      <c r="N438" s="250"/>
      <c r="O438" s="253"/>
      <c r="P438" s="240"/>
      <c r="Q438" s="148"/>
      <c r="R438" s="148"/>
      <c r="S438" s="242"/>
      <c r="T438" s="242"/>
      <c r="U438" s="242"/>
      <c r="V438" s="242"/>
      <c r="W438" s="242"/>
      <c r="X438" s="242"/>
      <c r="Y438" s="148"/>
      <c r="Z438" s="148"/>
    </row>
    <row r="439">
      <c r="A439" s="148"/>
      <c r="B439" s="148"/>
      <c r="C439" s="148"/>
      <c r="D439" s="245"/>
      <c r="E439" s="148"/>
      <c r="F439" s="277"/>
      <c r="G439" s="148"/>
      <c r="H439" s="148"/>
      <c r="I439" s="251"/>
      <c r="J439" s="251"/>
      <c r="K439" s="148"/>
      <c r="L439" s="317"/>
      <c r="M439" s="252"/>
      <c r="N439" s="250"/>
      <c r="O439" s="253"/>
      <c r="P439" s="240"/>
      <c r="Q439" s="148"/>
      <c r="R439" s="148"/>
      <c r="S439" s="242"/>
      <c r="T439" s="242"/>
      <c r="U439" s="242"/>
      <c r="V439" s="242"/>
      <c r="W439" s="242"/>
      <c r="X439" s="242"/>
      <c r="Y439" s="148"/>
      <c r="Z439" s="148"/>
    </row>
    <row r="440">
      <c r="A440" s="148"/>
      <c r="B440" s="148"/>
      <c r="C440" s="148"/>
      <c r="D440" s="245"/>
      <c r="E440" s="148"/>
      <c r="F440" s="277"/>
      <c r="G440" s="148"/>
      <c r="H440" s="148"/>
      <c r="I440" s="251"/>
      <c r="J440" s="251"/>
      <c r="K440" s="148"/>
      <c r="L440" s="317"/>
      <c r="M440" s="252"/>
      <c r="N440" s="250"/>
      <c r="O440" s="253"/>
      <c r="P440" s="240"/>
      <c r="Q440" s="148"/>
      <c r="R440" s="148"/>
      <c r="S440" s="242"/>
      <c r="T440" s="242"/>
      <c r="U440" s="242"/>
      <c r="V440" s="242"/>
      <c r="W440" s="242"/>
      <c r="X440" s="242"/>
      <c r="Y440" s="148"/>
      <c r="Z440" s="148"/>
    </row>
    <row r="441">
      <c r="A441" s="148"/>
      <c r="B441" s="148"/>
      <c r="C441" s="148"/>
      <c r="D441" s="245"/>
      <c r="E441" s="148"/>
      <c r="F441" s="277"/>
      <c r="G441" s="148"/>
      <c r="H441" s="148"/>
      <c r="I441" s="251"/>
      <c r="J441" s="251"/>
      <c r="K441" s="148"/>
      <c r="L441" s="317"/>
      <c r="M441" s="252"/>
      <c r="N441" s="250"/>
      <c r="O441" s="253"/>
      <c r="P441" s="240"/>
      <c r="Q441" s="148"/>
      <c r="R441" s="148"/>
      <c r="S441" s="242"/>
      <c r="T441" s="242"/>
      <c r="U441" s="242"/>
      <c r="V441" s="242"/>
      <c r="W441" s="242"/>
      <c r="X441" s="242"/>
      <c r="Y441" s="148"/>
      <c r="Z441" s="148"/>
    </row>
    <row r="442">
      <c r="A442" s="148"/>
      <c r="B442" s="148"/>
      <c r="C442" s="148"/>
      <c r="D442" s="245"/>
      <c r="E442" s="148"/>
      <c r="F442" s="277"/>
      <c r="G442" s="148"/>
      <c r="H442" s="148"/>
      <c r="I442" s="251"/>
      <c r="J442" s="251"/>
      <c r="K442" s="148"/>
      <c r="L442" s="317"/>
      <c r="M442" s="252"/>
      <c r="N442" s="250"/>
      <c r="O442" s="253"/>
      <c r="P442" s="240"/>
      <c r="Q442" s="148"/>
      <c r="R442" s="148"/>
      <c r="S442" s="242"/>
      <c r="T442" s="242"/>
      <c r="U442" s="242"/>
      <c r="V442" s="242"/>
      <c r="W442" s="242"/>
      <c r="X442" s="242"/>
      <c r="Y442" s="148"/>
      <c r="Z442" s="148"/>
    </row>
    <row r="443">
      <c r="A443" s="148"/>
      <c r="B443" s="148"/>
      <c r="C443" s="148"/>
      <c r="D443" s="245"/>
      <c r="E443" s="148"/>
      <c r="F443" s="277"/>
      <c r="G443" s="148"/>
      <c r="H443" s="148"/>
      <c r="I443" s="251"/>
      <c r="J443" s="251"/>
      <c r="K443" s="148"/>
      <c r="L443" s="317"/>
      <c r="M443" s="252"/>
      <c r="N443" s="250"/>
      <c r="O443" s="253"/>
      <c r="P443" s="240"/>
      <c r="Q443" s="148"/>
      <c r="R443" s="148"/>
      <c r="S443" s="242"/>
      <c r="T443" s="242"/>
      <c r="U443" s="242"/>
      <c r="V443" s="242"/>
      <c r="W443" s="242"/>
      <c r="X443" s="242"/>
      <c r="Y443" s="148"/>
      <c r="Z443" s="148"/>
    </row>
    <row r="444">
      <c r="A444" s="148"/>
      <c r="B444" s="148"/>
      <c r="C444" s="148"/>
      <c r="D444" s="245"/>
      <c r="E444" s="148"/>
      <c r="F444" s="277"/>
      <c r="G444" s="148"/>
      <c r="H444" s="148"/>
      <c r="I444" s="251"/>
      <c r="J444" s="251"/>
      <c r="K444" s="148"/>
      <c r="L444" s="317"/>
      <c r="M444" s="252"/>
      <c r="N444" s="250"/>
      <c r="O444" s="253"/>
      <c r="P444" s="240"/>
      <c r="Q444" s="148"/>
      <c r="R444" s="148"/>
      <c r="S444" s="242"/>
      <c r="T444" s="242"/>
      <c r="U444" s="242"/>
      <c r="V444" s="242"/>
      <c r="W444" s="242"/>
      <c r="X444" s="242"/>
      <c r="Y444" s="148"/>
      <c r="Z444" s="148"/>
    </row>
    <row r="445">
      <c r="A445" s="148"/>
      <c r="B445" s="148"/>
      <c r="C445" s="148"/>
      <c r="D445" s="245"/>
      <c r="E445" s="148"/>
      <c r="F445" s="277"/>
      <c r="G445" s="148"/>
      <c r="H445" s="148"/>
      <c r="I445" s="251"/>
      <c r="J445" s="251"/>
      <c r="K445" s="148"/>
      <c r="L445" s="317"/>
      <c r="M445" s="252"/>
      <c r="N445" s="250"/>
      <c r="O445" s="253"/>
      <c r="P445" s="240"/>
      <c r="Q445" s="148"/>
      <c r="R445" s="148"/>
      <c r="S445" s="242"/>
      <c r="T445" s="242"/>
      <c r="U445" s="242"/>
      <c r="V445" s="242"/>
      <c r="W445" s="242"/>
      <c r="X445" s="242"/>
      <c r="Y445" s="148"/>
      <c r="Z445" s="148"/>
    </row>
    <row r="446">
      <c r="A446" s="148"/>
      <c r="B446" s="148"/>
      <c r="C446" s="148"/>
      <c r="D446" s="245"/>
      <c r="E446" s="148"/>
      <c r="F446" s="277"/>
      <c r="G446" s="148"/>
      <c r="H446" s="148"/>
      <c r="I446" s="251"/>
      <c r="J446" s="251"/>
      <c r="K446" s="148"/>
      <c r="L446" s="317"/>
      <c r="M446" s="252"/>
      <c r="N446" s="250"/>
      <c r="O446" s="253"/>
      <c r="P446" s="240"/>
      <c r="Q446" s="148"/>
      <c r="R446" s="148"/>
      <c r="S446" s="242"/>
      <c r="T446" s="242"/>
      <c r="U446" s="242"/>
      <c r="V446" s="242"/>
      <c r="W446" s="242"/>
      <c r="X446" s="242"/>
      <c r="Y446" s="148"/>
      <c r="Z446" s="148"/>
    </row>
    <row r="447">
      <c r="A447" s="148"/>
      <c r="B447" s="148"/>
      <c r="C447" s="148"/>
      <c r="D447" s="245"/>
      <c r="E447" s="148"/>
      <c r="F447" s="277"/>
      <c r="G447" s="148"/>
      <c r="H447" s="148"/>
      <c r="I447" s="251"/>
      <c r="J447" s="251"/>
      <c r="K447" s="148"/>
      <c r="L447" s="317"/>
      <c r="M447" s="252"/>
      <c r="N447" s="250"/>
      <c r="O447" s="253"/>
      <c r="P447" s="240"/>
      <c r="Q447" s="148"/>
      <c r="R447" s="148"/>
      <c r="S447" s="242"/>
      <c r="T447" s="242"/>
      <c r="U447" s="242"/>
      <c r="V447" s="242"/>
      <c r="W447" s="242"/>
      <c r="X447" s="242"/>
      <c r="Y447" s="148"/>
      <c r="Z447" s="148"/>
    </row>
    <row r="448">
      <c r="A448" s="148"/>
      <c r="B448" s="148"/>
      <c r="C448" s="148"/>
      <c r="D448" s="245"/>
      <c r="E448" s="148"/>
      <c r="F448" s="277"/>
      <c r="G448" s="148"/>
      <c r="H448" s="148"/>
      <c r="I448" s="251"/>
      <c r="J448" s="251"/>
      <c r="K448" s="148"/>
      <c r="L448" s="317"/>
      <c r="M448" s="252"/>
      <c r="N448" s="250"/>
      <c r="O448" s="253"/>
      <c r="P448" s="240"/>
      <c r="Q448" s="148"/>
      <c r="R448" s="148"/>
      <c r="S448" s="242"/>
      <c r="T448" s="242"/>
      <c r="U448" s="242"/>
      <c r="V448" s="242"/>
      <c r="W448" s="242"/>
      <c r="X448" s="242"/>
      <c r="Y448" s="148"/>
      <c r="Z448" s="148"/>
    </row>
    <row r="449">
      <c r="A449" s="148"/>
      <c r="B449" s="148"/>
      <c r="C449" s="148"/>
      <c r="D449" s="245"/>
      <c r="E449" s="148"/>
      <c r="F449" s="277"/>
      <c r="G449" s="148"/>
      <c r="H449" s="148"/>
      <c r="I449" s="251"/>
      <c r="J449" s="251"/>
      <c r="K449" s="148"/>
      <c r="L449" s="317"/>
      <c r="M449" s="252"/>
      <c r="N449" s="250"/>
      <c r="O449" s="253"/>
      <c r="P449" s="240"/>
      <c r="Q449" s="148"/>
      <c r="R449" s="148"/>
      <c r="S449" s="242"/>
      <c r="T449" s="242"/>
      <c r="U449" s="242"/>
      <c r="V449" s="242"/>
      <c r="W449" s="242"/>
      <c r="X449" s="242"/>
      <c r="Y449" s="148"/>
      <c r="Z449" s="148"/>
    </row>
    <row r="450">
      <c r="A450" s="148"/>
      <c r="B450" s="148"/>
      <c r="C450" s="148"/>
      <c r="D450" s="245"/>
      <c r="E450" s="148"/>
      <c r="F450" s="277"/>
      <c r="G450" s="148"/>
      <c r="H450" s="148"/>
      <c r="I450" s="251"/>
      <c r="J450" s="251"/>
      <c r="K450" s="148"/>
      <c r="L450" s="317"/>
      <c r="M450" s="252"/>
      <c r="N450" s="250"/>
      <c r="O450" s="253"/>
      <c r="P450" s="240"/>
      <c r="Q450" s="148"/>
      <c r="R450" s="148"/>
      <c r="S450" s="242"/>
      <c r="T450" s="242"/>
      <c r="U450" s="242"/>
      <c r="V450" s="242"/>
      <c r="W450" s="242"/>
      <c r="X450" s="242"/>
      <c r="Y450" s="148"/>
      <c r="Z450" s="148"/>
    </row>
    <row r="451">
      <c r="A451" s="148"/>
      <c r="B451" s="148"/>
      <c r="C451" s="148"/>
      <c r="D451" s="245"/>
      <c r="E451" s="148"/>
      <c r="F451" s="277"/>
      <c r="G451" s="148"/>
      <c r="H451" s="148"/>
      <c r="I451" s="251"/>
      <c r="J451" s="251"/>
      <c r="K451" s="148"/>
      <c r="L451" s="317"/>
      <c r="M451" s="252"/>
      <c r="N451" s="250"/>
      <c r="O451" s="253"/>
      <c r="P451" s="240"/>
      <c r="Q451" s="148"/>
      <c r="R451" s="148"/>
      <c r="S451" s="242"/>
      <c r="T451" s="242"/>
      <c r="U451" s="242"/>
      <c r="V451" s="242"/>
      <c r="W451" s="242"/>
      <c r="X451" s="242"/>
      <c r="Y451" s="148"/>
      <c r="Z451" s="148"/>
    </row>
    <row r="452">
      <c r="A452" s="148"/>
      <c r="B452" s="148"/>
      <c r="C452" s="148"/>
      <c r="D452" s="245"/>
      <c r="E452" s="148"/>
      <c r="F452" s="277"/>
      <c r="G452" s="148"/>
      <c r="H452" s="148"/>
      <c r="I452" s="251"/>
      <c r="J452" s="251"/>
      <c r="K452" s="148"/>
      <c r="L452" s="317"/>
      <c r="M452" s="252"/>
      <c r="N452" s="250"/>
      <c r="O452" s="253"/>
      <c r="P452" s="240"/>
      <c r="Q452" s="148"/>
      <c r="R452" s="148"/>
      <c r="S452" s="242"/>
      <c r="T452" s="242"/>
      <c r="U452" s="242"/>
      <c r="V452" s="242"/>
      <c r="W452" s="242"/>
      <c r="X452" s="242"/>
      <c r="Y452" s="148"/>
      <c r="Z452" s="148"/>
    </row>
    <row r="453">
      <c r="A453" s="148"/>
      <c r="B453" s="148"/>
      <c r="C453" s="148"/>
      <c r="D453" s="245"/>
      <c r="E453" s="148"/>
      <c r="F453" s="277"/>
      <c r="G453" s="148"/>
      <c r="H453" s="148"/>
      <c r="I453" s="251"/>
      <c r="J453" s="251"/>
      <c r="K453" s="148"/>
      <c r="L453" s="317"/>
      <c r="M453" s="252"/>
      <c r="N453" s="250"/>
      <c r="O453" s="253"/>
      <c r="P453" s="240"/>
      <c r="Q453" s="148"/>
      <c r="R453" s="148"/>
      <c r="S453" s="242"/>
      <c r="T453" s="242"/>
      <c r="U453" s="242"/>
      <c r="V453" s="242"/>
      <c r="W453" s="242"/>
      <c r="X453" s="242"/>
      <c r="Y453" s="148"/>
      <c r="Z453" s="148"/>
    </row>
    <row r="454">
      <c r="A454" s="148"/>
      <c r="B454" s="148"/>
      <c r="C454" s="148"/>
      <c r="D454" s="245"/>
      <c r="E454" s="148"/>
      <c r="F454" s="277"/>
      <c r="G454" s="148"/>
      <c r="H454" s="148"/>
      <c r="I454" s="251"/>
      <c r="J454" s="251"/>
      <c r="K454" s="148"/>
      <c r="L454" s="317"/>
      <c r="M454" s="252"/>
      <c r="N454" s="250"/>
      <c r="O454" s="253"/>
      <c r="P454" s="240"/>
      <c r="Q454" s="148"/>
      <c r="R454" s="148"/>
      <c r="S454" s="242"/>
      <c r="T454" s="242"/>
      <c r="U454" s="242"/>
      <c r="V454" s="242"/>
      <c r="W454" s="242"/>
      <c r="X454" s="242"/>
      <c r="Y454" s="148"/>
      <c r="Z454" s="148"/>
    </row>
    <row r="455">
      <c r="A455" s="148"/>
      <c r="B455" s="148"/>
      <c r="C455" s="148"/>
      <c r="D455" s="245"/>
      <c r="E455" s="148"/>
      <c r="F455" s="277"/>
      <c r="G455" s="148"/>
      <c r="H455" s="148"/>
      <c r="I455" s="251"/>
      <c r="J455" s="251"/>
      <c r="K455" s="148"/>
      <c r="L455" s="317"/>
      <c r="M455" s="252"/>
      <c r="N455" s="250"/>
      <c r="O455" s="253"/>
      <c r="P455" s="240"/>
      <c r="Q455" s="148"/>
      <c r="R455" s="148"/>
      <c r="S455" s="242"/>
      <c r="T455" s="242"/>
      <c r="U455" s="242"/>
      <c r="V455" s="242"/>
      <c r="W455" s="242"/>
      <c r="X455" s="242"/>
      <c r="Y455" s="148"/>
      <c r="Z455" s="148"/>
    </row>
    <row r="456">
      <c r="A456" s="148"/>
      <c r="B456" s="148"/>
      <c r="C456" s="148"/>
      <c r="D456" s="245"/>
      <c r="E456" s="148"/>
      <c r="F456" s="277"/>
      <c r="G456" s="148"/>
      <c r="H456" s="148"/>
      <c r="I456" s="251"/>
      <c r="J456" s="251"/>
      <c r="K456" s="148"/>
      <c r="L456" s="317"/>
      <c r="M456" s="252"/>
      <c r="N456" s="250"/>
      <c r="O456" s="253"/>
      <c r="P456" s="240"/>
      <c r="Q456" s="148"/>
      <c r="R456" s="148"/>
      <c r="S456" s="242"/>
      <c r="T456" s="242"/>
      <c r="U456" s="242"/>
      <c r="V456" s="242"/>
      <c r="W456" s="242"/>
      <c r="X456" s="242"/>
      <c r="Y456" s="148"/>
      <c r="Z456" s="148"/>
    </row>
    <row r="457">
      <c r="A457" s="148"/>
      <c r="B457" s="148"/>
      <c r="C457" s="148"/>
      <c r="D457" s="245"/>
      <c r="E457" s="148"/>
      <c r="F457" s="277"/>
      <c r="G457" s="148"/>
      <c r="H457" s="148"/>
      <c r="I457" s="251"/>
      <c r="J457" s="251"/>
      <c r="K457" s="148"/>
      <c r="L457" s="317"/>
      <c r="M457" s="252"/>
      <c r="N457" s="250"/>
      <c r="O457" s="253"/>
      <c r="P457" s="240"/>
      <c r="Q457" s="148"/>
      <c r="R457" s="148"/>
      <c r="S457" s="242"/>
      <c r="T457" s="242"/>
      <c r="U457" s="242"/>
      <c r="V457" s="242"/>
      <c r="W457" s="242"/>
      <c r="X457" s="242"/>
      <c r="Y457" s="148"/>
      <c r="Z457" s="148"/>
    </row>
    <row r="458">
      <c r="A458" s="148"/>
      <c r="B458" s="148"/>
      <c r="C458" s="148"/>
      <c r="D458" s="245"/>
      <c r="E458" s="148"/>
      <c r="F458" s="277"/>
      <c r="G458" s="148"/>
      <c r="H458" s="148"/>
      <c r="I458" s="251"/>
      <c r="J458" s="251"/>
      <c r="K458" s="148"/>
      <c r="L458" s="317"/>
      <c r="M458" s="252"/>
      <c r="N458" s="250"/>
      <c r="O458" s="253"/>
      <c r="P458" s="240"/>
      <c r="Q458" s="148"/>
      <c r="R458" s="148"/>
      <c r="S458" s="242"/>
      <c r="T458" s="242"/>
      <c r="U458" s="242"/>
      <c r="V458" s="242"/>
      <c r="W458" s="242"/>
      <c r="X458" s="242"/>
      <c r="Y458" s="148"/>
      <c r="Z458" s="148"/>
    </row>
    <row r="459">
      <c r="A459" s="148"/>
      <c r="B459" s="148"/>
      <c r="C459" s="148"/>
      <c r="D459" s="245"/>
      <c r="E459" s="148"/>
      <c r="F459" s="277"/>
      <c r="G459" s="148"/>
      <c r="H459" s="148"/>
      <c r="I459" s="251"/>
      <c r="J459" s="251"/>
      <c r="K459" s="148"/>
      <c r="L459" s="317"/>
      <c r="M459" s="252"/>
      <c r="N459" s="250"/>
      <c r="O459" s="253"/>
      <c r="P459" s="240"/>
      <c r="Q459" s="148"/>
      <c r="R459" s="148"/>
      <c r="S459" s="242"/>
      <c r="T459" s="242"/>
      <c r="U459" s="242"/>
      <c r="V459" s="242"/>
      <c r="W459" s="242"/>
      <c r="X459" s="242"/>
      <c r="Y459" s="148"/>
      <c r="Z459" s="148"/>
    </row>
    <row r="460">
      <c r="A460" s="148"/>
      <c r="B460" s="148"/>
      <c r="C460" s="148"/>
      <c r="D460" s="245"/>
      <c r="E460" s="148"/>
      <c r="F460" s="277"/>
      <c r="G460" s="148"/>
      <c r="H460" s="148"/>
      <c r="I460" s="251"/>
      <c r="J460" s="251"/>
      <c r="K460" s="148"/>
      <c r="L460" s="317"/>
      <c r="M460" s="252"/>
      <c r="N460" s="250"/>
      <c r="O460" s="253"/>
      <c r="P460" s="240"/>
      <c r="Q460" s="148"/>
      <c r="R460" s="148"/>
      <c r="S460" s="242"/>
      <c r="T460" s="242"/>
      <c r="U460" s="242"/>
      <c r="V460" s="242"/>
      <c r="W460" s="242"/>
      <c r="X460" s="242"/>
      <c r="Y460" s="148"/>
      <c r="Z460" s="148"/>
    </row>
    <row r="461">
      <c r="A461" s="148"/>
      <c r="B461" s="148"/>
      <c r="C461" s="148"/>
      <c r="D461" s="245"/>
      <c r="E461" s="148"/>
      <c r="F461" s="277"/>
      <c r="G461" s="148"/>
      <c r="H461" s="148"/>
      <c r="I461" s="251"/>
      <c r="J461" s="251"/>
      <c r="K461" s="148"/>
      <c r="L461" s="317"/>
      <c r="M461" s="252"/>
      <c r="N461" s="250"/>
      <c r="O461" s="253"/>
      <c r="P461" s="240"/>
      <c r="Q461" s="148"/>
      <c r="R461" s="148"/>
      <c r="S461" s="242"/>
      <c r="T461" s="242"/>
      <c r="U461" s="242"/>
      <c r="V461" s="242"/>
      <c r="W461" s="242"/>
      <c r="X461" s="242"/>
      <c r="Y461" s="148"/>
      <c r="Z461" s="148"/>
    </row>
    <row r="462">
      <c r="A462" s="148"/>
      <c r="B462" s="148"/>
      <c r="C462" s="148"/>
      <c r="D462" s="245"/>
      <c r="E462" s="148"/>
      <c r="F462" s="277"/>
      <c r="G462" s="148"/>
      <c r="H462" s="148"/>
      <c r="I462" s="251"/>
      <c r="J462" s="251"/>
      <c r="K462" s="148"/>
      <c r="L462" s="317"/>
      <c r="M462" s="252"/>
      <c r="N462" s="250"/>
      <c r="O462" s="253"/>
      <c r="P462" s="240"/>
      <c r="Q462" s="148"/>
      <c r="R462" s="148"/>
      <c r="S462" s="242"/>
      <c r="T462" s="242"/>
      <c r="U462" s="242"/>
      <c r="V462" s="242"/>
      <c r="W462" s="242"/>
      <c r="X462" s="242"/>
      <c r="Y462" s="148"/>
      <c r="Z462" s="148"/>
    </row>
    <row r="463">
      <c r="A463" s="148"/>
      <c r="B463" s="148"/>
      <c r="C463" s="148"/>
      <c r="D463" s="245"/>
      <c r="E463" s="148"/>
      <c r="F463" s="277"/>
      <c r="G463" s="148"/>
      <c r="H463" s="148"/>
      <c r="I463" s="251"/>
      <c r="J463" s="251"/>
      <c r="K463" s="148"/>
      <c r="L463" s="317"/>
      <c r="M463" s="252"/>
      <c r="N463" s="250"/>
      <c r="O463" s="253"/>
      <c r="P463" s="240"/>
      <c r="Q463" s="148"/>
      <c r="R463" s="148"/>
      <c r="S463" s="242"/>
      <c r="T463" s="242"/>
      <c r="U463" s="242"/>
      <c r="V463" s="242"/>
      <c r="W463" s="242"/>
      <c r="X463" s="242"/>
      <c r="Y463" s="148"/>
      <c r="Z463" s="148"/>
    </row>
    <row r="464">
      <c r="A464" s="148"/>
      <c r="B464" s="148"/>
      <c r="C464" s="148"/>
      <c r="D464" s="245"/>
      <c r="E464" s="148"/>
      <c r="F464" s="277"/>
      <c r="G464" s="148"/>
      <c r="H464" s="148"/>
      <c r="I464" s="251"/>
      <c r="J464" s="251"/>
      <c r="K464" s="148"/>
      <c r="L464" s="317"/>
      <c r="M464" s="252"/>
      <c r="N464" s="250"/>
      <c r="O464" s="253"/>
      <c r="P464" s="240"/>
      <c r="Q464" s="148"/>
      <c r="R464" s="148"/>
      <c r="S464" s="242"/>
      <c r="T464" s="242"/>
      <c r="U464" s="242"/>
      <c r="V464" s="242"/>
      <c r="W464" s="242"/>
      <c r="X464" s="242"/>
      <c r="Y464" s="148"/>
      <c r="Z464" s="148"/>
    </row>
    <row r="465">
      <c r="A465" s="148"/>
      <c r="B465" s="148"/>
      <c r="C465" s="148"/>
      <c r="D465" s="245"/>
      <c r="E465" s="148"/>
      <c r="F465" s="277"/>
      <c r="G465" s="148"/>
      <c r="H465" s="148"/>
      <c r="I465" s="251"/>
      <c r="J465" s="251"/>
      <c r="K465" s="148"/>
      <c r="L465" s="317"/>
      <c r="M465" s="252"/>
      <c r="N465" s="250"/>
      <c r="O465" s="253"/>
      <c r="P465" s="240"/>
      <c r="Q465" s="148"/>
      <c r="R465" s="148"/>
      <c r="S465" s="242"/>
      <c r="T465" s="242"/>
      <c r="U465" s="242"/>
      <c r="V465" s="242"/>
      <c r="W465" s="242"/>
      <c r="X465" s="242"/>
      <c r="Y465" s="148"/>
      <c r="Z465" s="148"/>
    </row>
    <row r="466">
      <c r="A466" s="148"/>
      <c r="B466" s="148"/>
      <c r="C466" s="148"/>
      <c r="D466" s="245"/>
      <c r="E466" s="148"/>
      <c r="F466" s="277"/>
      <c r="G466" s="148"/>
      <c r="H466" s="148"/>
      <c r="I466" s="251"/>
      <c r="J466" s="251"/>
      <c r="K466" s="148"/>
      <c r="L466" s="317"/>
      <c r="M466" s="252"/>
      <c r="N466" s="250"/>
      <c r="O466" s="253"/>
      <c r="P466" s="240"/>
      <c r="Q466" s="148"/>
      <c r="R466" s="148"/>
      <c r="S466" s="242"/>
      <c r="T466" s="242"/>
      <c r="U466" s="242"/>
      <c r="V466" s="242"/>
      <c r="W466" s="242"/>
      <c r="X466" s="242"/>
      <c r="Y466" s="148"/>
      <c r="Z466" s="148"/>
    </row>
    <row r="467">
      <c r="A467" s="148"/>
      <c r="B467" s="148"/>
      <c r="C467" s="148"/>
      <c r="D467" s="245"/>
      <c r="E467" s="148"/>
      <c r="F467" s="277"/>
      <c r="G467" s="148"/>
      <c r="H467" s="148"/>
      <c r="I467" s="251"/>
      <c r="J467" s="251"/>
      <c r="K467" s="148"/>
      <c r="L467" s="317"/>
      <c r="M467" s="252"/>
      <c r="N467" s="250"/>
      <c r="O467" s="253"/>
      <c r="P467" s="240"/>
      <c r="Q467" s="148"/>
      <c r="R467" s="148"/>
      <c r="S467" s="242"/>
      <c r="T467" s="242"/>
      <c r="U467" s="242"/>
      <c r="V467" s="242"/>
      <c r="W467" s="242"/>
      <c r="X467" s="242"/>
      <c r="Y467" s="148"/>
      <c r="Z467" s="148"/>
    </row>
    <row r="468">
      <c r="A468" s="148"/>
      <c r="B468" s="148"/>
      <c r="C468" s="148"/>
      <c r="D468" s="245"/>
      <c r="E468" s="148"/>
      <c r="F468" s="277"/>
      <c r="G468" s="148"/>
      <c r="H468" s="148"/>
      <c r="I468" s="251"/>
      <c r="J468" s="251"/>
      <c r="K468" s="148"/>
      <c r="L468" s="317"/>
      <c r="M468" s="252"/>
      <c r="N468" s="250"/>
      <c r="O468" s="253"/>
      <c r="P468" s="240"/>
      <c r="Q468" s="148"/>
      <c r="R468" s="148"/>
      <c r="S468" s="242"/>
      <c r="T468" s="242"/>
      <c r="U468" s="242"/>
      <c r="V468" s="242"/>
      <c r="W468" s="242"/>
      <c r="X468" s="242"/>
      <c r="Y468" s="148"/>
      <c r="Z468" s="148"/>
    </row>
    <row r="469">
      <c r="A469" s="148"/>
      <c r="B469" s="148"/>
      <c r="C469" s="148"/>
      <c r="D469" s="245"/>
      <c r="E469" s="148"/>
      <c r="F469" s="277"/>
      <c r="G469" s="148"/>
      <c r="H469" s="148"/>
      <c r="I469" s="251"/>
      <c r="J469" s="251"/>
      <c r="K469" s="148"/>
      <c r="L469" s="317"/>
      <c r="M469" s="252"/>
      <c r="N469" s="250"/>
      <c r="O469" s="253"/>
      <c r="P469" s="240"/>
      <c r="Q469" s="148"/>
      <c r="R469" s="148"/>
      <c r="S469" s="242"/>
      <c r="T469" s="242"/>
      <c r="U469" s="242"/>
      <c r="V469" s="242"/>
      <c r="W469" s="242"/>
      <c r="X469" s="242"/>
      <c r="Y469" s="148"/>
      <c r="Z469" s="148"/>
    </row>
    <row r="470">
      <c r="A470" s="148"/>
      <c r="B470" s="148"/>
      <c r="C470" s="148"/>
      <c r="D470" s="245"/>
      <c r="E470" s="148"/>
      <c r="F470" s="277"/>
      <c r="G470" s="148"/>
      <c r="H470" s="148"/>
      <c r="I470" s="251"/>
      <c r="J470" s="251"/>
      <c r="K470" s="148"/>
      <c r="L470" s="317"/>
      <c r="M470" s="252"/>
      <c r="N470" s="250"/>
      <c r="O470" s="253"/>
      <c r="P470" s="240"/>
      <c r="Q470" s="148"/>
      <c r="R470" s="148"/>
      <c r="S470" s="242"/>
      <c r="T470" s="242"/>
      <c r="U470" s="242"/>
      <c r="V470" s="242"/>
      <c r="W470" s="242"/>
      <c r="X470" s="242"/>
      <c r="Y470" s="148"/>
      <c r="Z470" s="148"/>
    </row>
    <row r="471">
      <c r="A471" s="148"/>
      <c r="B471" s="148"/>
      <c r="C471" s="148"/>
      <c r="D471" s="245"/>
      <c r="E471" s="148"/>
      <c r="F471" s="277"/>
      <c r="G471" s="148"/>
      <c r="H471" s="148"/>
      <c r="I471" s="251"/>
      <c r="J471" s="251"/>
      <c r="K471" s="148"/>
      <c r="L471" s="317"/>
      <c r="M471" s="252"/>
      <c r="N471" s="250"/>
      <c r="O471" s="253"/>
      <c r="P471" s="240"/>
      <c r="Q471" s="148"/>
      <c r="R471" s="148"/>
      <c r="S471" s="242"/>
      <c r="T471" s="242"/>
      <c r="U471" s="242"/>
      <c r="V471" s="242"/>
      <c r="W471" s="242"/>
      <c r="X471" s="242"/>
      <c r="Y471" s="148"/>
      <c r="Z471" s="148"/>
    </row>
    <row r="472">
      <c r="A472" s="148"/>
      <c r="B472" s="148"/>
      <c r="C472" s="148"/>
      <c r="D472" s="245"/>
      <c r="E472" s="148"/>
      <c r="F472" s="277"/>
      <c r="G472" s="148"/>
      <c r="H472" s="148"/>
      <c r="I472" s="251"/>
      <c r="J472" s="251"/>
      <c r="K472" s="148"/>
      <c r="L472" s="317"/>
      <c r="M472" s="252"/>
      <c r="N472" s="250"/>
      <c r="O472" s="253"/>
      <c r="P472" s="240"/>
      <c r="Q472" s="148"/>
      <c r="R472" s="148"/>
      <c r="S472" s="242"/>
      <c r="T472" s="242"/>
      <c r="U472" s="242"/>
      <c r="V472" s="242"/>
      <c r="W472" s="242"/>
      <c r="X472" s="242"/>
      <c r="Y472" s="148"/>
      <c r="Z472" s="148"/>
    </row>
    <row r="473">
      <c r="A473" s="148"/>
      <c r="B473" s="148"/>
      <c r="C473" s="148"/>
      <c r="D473" s="245"/>
      <c r="E473" s="148"/>
      <c r="F473" s="277"/>
      <c r="G473" s="148"/>
      <c r="H473" s="148"/>
      <c r="I473" s="251"/>
      <c r="J473" s="251"/>
      <c r="K473" s="148"/>
      <c r="L473" s="317"/>
      <c r="M473" s="252"/>
      <c r="N473" s="250"/>
      <c r="O473" s="253"/>
      <c r="P473" s="240"/>
      <c r="Q473" s="148"/>
      <c r="R473" s="148"/>
      <c r="S473" s="242"/>
      <c r="T473" s="242"/>
      <c r="U473" s="242"/>
      <c r="V473" s="242"/>
      <c r="W473" s="242"/>
      <c r="X473" s="242"/>
      <c r="Y473" s="148"/>
      <c r="Z473" s="148"/>
    </row>
    <row r="474">
      <c r="A474" s="148"/>
      <c r="B474" s="148"/>
      <c r="C474" s="148"/>
      <c r="D474" s="245"/>
      <c r="E474" s="148"/>
      <c r="F474" s="277"/>
      <c r="G474" s="148"/>
      <c r="H474" s="148"/>
      <c r="I474" s="251"/>
      <c r="J474" s="251"/>
      <c r="K474" s="148"/>
      <c r="L474" s="317"/>
      <c r="M474" s="252"/>
      <c r="N474" s="250"/>
      <c r="O474" s="253"/>
      <c r="P474" s="240"/>
      <c r="Q474" s="148"/>
      <c r="R474" s="148"/>
      <c r="S474" s="242"/>
      <c r="T474" s="242"/>
      <c r="U474" s="242"/>
      <c r="V474" s="242"/>
      <c r="W474" s="242"/>
      <c r="X474" s="242"/>
      <c r="Y474" s="148"/>
      <c r="Z474" s="148"/>
    </row>
    <row r="475">
      <c r="A475" s="148"/>
      <c r="B475" s="148"/>
      <c r="C475" s="148"/>
      <c r="D475" s="245"/>
      <c r="E475" s="148"/>
      <c r="F475" s="277"/>
      <c r="G475" s="148"/>
      <c r="H475" s="148"/>
      <c r="I475" s="251"/>
      <c r="J475" s="251"/>
      <c r="K475" s="148"/>
      <c r="L475" s="317"/>
      <c r="M475" s="252"/>
      <c r="N475" s="250"/>
      <c r="O475" s="253"/>
      <c r="P475" s="240"/>
      <c r="Q475" s="148"/>
      <c r="R475" s="148"/>
      <c r="S475" s="242"/>
      <c r="T475" s="242"/>
      <c r="U475" s="242"/>
      <c r="V475" s="242"/>
      <c r="W475" s="242"/>
      <c r="X475" s="242"/>
      <c r="Y475" s="148"/>
      <c r="Z475" s="148"/>
    </row>
    <row r="476">
      <c r="A476" s="148"/>
      <c r="B476" s="148"/>
      <c r="C476" s="148"/>
      <c r="D476" s="245"/>
      <c r="E476" s="148"/>
      <c r="F476" s="277"/>
      <c r="G476" s="148"/>
      <c r="H476" s="148"/>
      <c r="I476" s="251"/>
      <c r="J476" s="251"/>
      <c r="K476" s="148"/>
      <c r="L476" s="317"/>
      <c r="M476" s="252"/>
      <c r="N476" s="250"/>
      <c r="O476" s="253"/>
      <c r="P476" s="240"/>
      <c r="Q476" s="148"/>
      <c r="R476" s="148"/>
      <c r="S476" s="242"/>
      <c r="T476" s="242"/>
      <c r="U476" s="242"/>
      <c r="V476" s="242"/>
      <c r="W476" s="242"/>
      <c r="X476" s="242"/>
      <c r="Y476" s="148"/>
      <c r="Z476" s="148"/>
    </row>
    <row r="477">
      <c r="A477" s="148"/>
      <c r="B477" s="148"/>
      <c r="C477" s="148"/>
      <c r="D477" s="245"/>
      <c r="E477" s="148"/>
      <c r="F477" s="277"/>
      <c r="G477" s="148"/>
      <c r="H477" s="148"/>
      <c r="I477" s="251"/>
      <c r="J477" s="251"/>
      <c r="K477" s="148"/>
      <c r="L477" s="317"/>
      <c r="M477" s="252"/>
      <c r="N477" s="250"/>
      <c r="O477" s="253"/>
      <c r="P477" s="240"/>
      <c r="Q477" s="148"/>
      <c r="R477" s="148"/>
      <c r="S477" s="242"/>
      <c r="T477" s="242"/>
      <c r="U477" s="242"/>
      <c r="V477" s="242"/>
      <c r="W477" s="242"/>
      <c r="X477" s="242"/>
      <c r="Y477" s="148"/>
      <c r="Z477" s="148"/>
    </row>
    <row r="478">
      <c r="A478" s="148"/>
      <c r="B478" s="148"/>
      <c r="C478" s="148"/>
      <c r="D478" s="245"/>
      <c r="E478" s="148"/>
      <c r="F478" s="277"/>
      <c r="G478" s="148"/>
      <c r="H478" s="148"/>
      <c r="I478" s="251"/>
      <c r="J478" s="251"/>
      <c r="K478" s="148"/>
      <c r="L478" s="317"/>
      <c r="M478" s="252"/>
      <c r="N478" s="250"/>
      <c r="O478" s="253"/>
      <c r="P478" s="240"/>
      <c r="Q478" s="148"/>
      <c r="R478" s="148"/>
      <c r="S478" s="242"/>
      <c r="T478" s="242"/>
      <c r="U478" s="242"/>
      <c r="V478" s="242"/>
      <c r="W478" s="242"/>
      <c r="X478" s="242"/>
      <c r="Y478" s="148"/>
      <c r="Z478" s="148"/>
    </row>
    <row r="479">
      <c r="A479" s="148"/>
      <c r="B479" s="148"/>
      <c r="C479" s="148"/>
      <c r="D479" s="245"/>
      <c r="E479" s="148"/>
      <c r="F479" s="277"/>
      <c r="G479" s="148"/>
      <c r="H479" s="148"/>
      <c r="I479" s="251"/>
      <c r="J479" s="251"/>
      <c r="K479" s="148"/>
      <c r="L479" s="317"/>
      <c r="M479" s="252"/>
      <c r="N479" s="250"/>
      <c r="O479" s="253"/>
      <c r="P479" s="240"/>
      <c r="Q479" s="148"/>
      <c r="R479" s="148"/>
      <c r="S479" s="242"/>
      <c r="T479" s="242"/>
      <c r="U479" s="242"/>
      <c r="V479" s="242"/>
      <c r="W479" s="242"/>
      <c r="X479" s="242"/>
      <c r="Y479" s="148"/>
      <c r="Z479" s="148"/>
    </row>
    <row r="480">
      <c r="A480" s="148"/>
      <c r="B480" s="148"/>
      <c r="C480" s="148"/>
      <c r="D480" s="245"/>
      <c r="E480" s="148"/>
      <c r="F480" s="277"/>
      <c r="G480" s="148"/>
      <c r="H480" s="148"/>
      <c r="I480" s="251"/>
      <c r="J480" s="251"/>
      <c r="K480" s="148"/>
      <c r="L480" s="317"/>
      <c r="M480" s="252"/>
      <c r="N480" s="250"/>
      <c r="O480" s="253"/>
      <c r="P480" s="240"/>
      <c r="Q480" s="148"/>
      <c r="R480" s="148"/>
      <c r="S480" s="242"/>
      <c r="T480" s="242"/>
      <c r="U480" s="242"/>
      <c r="V480" s="242"/>
      <c r="W480" s="242"/>
      <c r="X480" s="242"/>
      <c r="Y480" s="148"/>
      <c r="Z480" s="148"/>
    </row>
    <row r="481">
      <c r="A481" s="148"/>
      <c r="B481" s="148"/>
      <c r="C481" s="148"/>
      <c r="D481" s="245"/>
      <c r="E481" s="148"/>
      <c r="F481" s="277"/>
      <c r="G481" s="148"/>
      <c r="H481" s="148"/>
      <c r="I481" s="251"/>
      <c r="J481" s="251"/>
      <c r="K481" s="148"/>
      <c r="L481" s="317"/>
      <c r="M481" s="252"/>
      <c r="N481" s="250"/>
      <c r="O481" s="253"/>
      <c r="P481" s="240"/>
      <c r="Q481" s="148"/>
      <c r="R481" s="148"/>
      <c r="S481" s="242"/>
      <c r="T481" s="242"/>
      <c r="U481" s="242"/>
      <c r="V481" s="242"/>
      <c r="W481" s="242"/>
      <c r="X481" s="242"/>
      <c r="Y481" s="148"/>
      <c r="Z481" s="148"/>
    </row>
    <row r="482">
      <c r="A482" s="148"/>
      <c r="B482" s="148"/>
      <c r="C482" s="148"/>
      <c r="D482" s="245"/>
      <c r="E482" s="148"/>
      <c r="F482" s="277"/>
      <c r="G482" s="148"/>
      <c r="H482" s="148"/>
      <c r="I482" s="251"/>
      <c r="J482" s="251"/>
      <c r="K482" s="148"/>
      <c r="L482" s="317"/>
      <c r="M482" s="252"/>
      <c r="N482" s="250"/>
      <c r="O482" s="253"/>
      <c r="P482" s="240"/>
      <c r="Q482" s="148"/>
      <c r="R482" s="148"/>
      <c r="S482" s="242"/>
      <c r="T482" s="242"/>
      <c r="U482" s="242"/>
      <c r="V482" s="242"/>
      <c r="W482" s="242"/>
      <c r="X482" s="242"/>
      <c r="Y482" s="148"/>
      <c r="Z482" s="148"/>
    </row>
    <row r="483">
      <c r="A483" s="148"/>
      <c r="B483" s="148"/>
      <c r="C483" s="148"/>
      <c r="D483" s="245"/>
      <c r="E483" s="148"/>
      <c r="F483" s="277"/>
      <c r="G483" s="148"/>
      <c r="H483" s="148"/>
      <c r="I483" s="251"/>
      <c r="J483" s="251"/>
      <c r="K483" s="148"/>
      <c r="L483" s="317"/>
      <c r="M483" s="252"/>
      <c r="N483" s="250"/>
      <c r="O483" s="253"/>
      <c r="P483" s="240"/>
      <c r="Q483" s="148"/>
      <c r="R483" s="148"/>
      <c r="S483" s="242"/>
      <c r="T483" s="242"/>
      <c r="U483" s="242"/>
      <c r="V483" s="242"/>
      <c r="W483" s="242"/>
      <c r="X483" s="242"/>
      <c r="Y483" s="148"/>
      <c r="Z483" s="148"/>
    </row>
    <row r="484">
      <c r="A484" s="148"/>
      <c r="B484" s="148"/>
      <c r="C484" s="148"/>
      <c r="D484" s="245"/>
      <c r="E484" s="148"/>
      <c r="F484" s="277"/>
      <c r="G484" s="148"/>
      <c r="H484" s="148"/>
      <c r="I484" s="251"/>
      <c r="J484" s="251"/>
      <c r="K484" s="148"/>
      <c r="L484" s="317"/>
      <c r="M484" s="252"/>
      <c r="N484" s="250"/>
      <c r="O484" s="253"/>
      <c r="P484" s="240"/>
      <c r="Q484" s="148"/>
      <c r="R484" s="148"/>
      <c r="S484" s="242"/>
      <c r="T484" s="242"/>
      <c r="U484" s="242"/>
      <c r="V484" s="242"/>
      <c r="W484" s="242"/>
      <c r="X484" s="242"/>
      <c r="Y484" s="148"/>
      <c r="Z484" s="148"/>
    </row>
    <row r="485">
      <c r="A485" s="148"/>
      <c r="B485" s="148"/>
      <c r="C485" s="148"/>
      <c r="D485" s="245"/>
      <c r="E485" s="148"/>
      <c r="F485" s="277"/>
      <c r="G485" s="148"/>
      <c r="H485" s="148"/>
      <c r="I485" s="251"/>
      <c r="J485" s="251"/>
      <c r="K485" s="148"/>
      <c r="L485" s="317"/>
      <c r="M485" s="252"/>
      <c r="N485" s="250"/>
      <c r="O485" s="253"/>
      <c r="P485" s="240"/>
      <c r="Q485" s="148"/>
      <c r="R485" s="148"/>
      <c r="S485" s="242"/>
      <c r="T485" s="242"/>
      <c r="U485" s="242"/>
      <c r="V485" s="242"/>
      <c r="W485" s="242"/>
      <c r="X485" s="242"/>
      <c r="Y485" s="148"/>
      <c r="Z485" s="148"/>
    </row>
    <row r="486">
      <c r="A486" s="148"/>
      <c r="B486" s="148"/>
      <c r="C486" s="148"/>
      <c r="D486" s="245"/>
      <c r="E486" s="148"/>
      <c r="F486" s="277"/>
      <c r="G486" s="148"/>
      <c r="H486" s="148"/>
      <c r="I486" s="251"/>
      <c r="J486" s="251"/>
      <c r="K486" s="148"/>
      <c r="L486" s="317"/>
      <c r="M486" s="252"/>
      <c r="N486" s="250"/>
      <c r="O486" s="253"/>
      <c r="P486" s="240"/>
      <c r="Q486" s="148"/>
      <c r="R486" s="148"/>
      <c r="S486" s="242"/>
      <c r="T486" s="242"/>
      <c r="U486" s="242"/>
      <c r="V486" s="242"/>
      <c r="W486" s="242"/>
      <c r="X486" s="242"/>
      <c r="Y486" s="148"/>
      <c r="Z486" s="148"/>
    </row>
    <row r="487">
      <c r="A487" s="148"/>
      <c r="B487" s="148"/>
      <c r="C487" s="148"/>
      <c r="D487" s="245"/>
      <c r="E487" s="148"/>
      <c r="F487" s="277"/>
      <c r="G487" s="148"/>
      <c r="H487" s="148"/>
      <c r="I487" s="251"/>
      <c r="J487" s="251"/>
      <c r="K487" s="148"/>
      <c r="L487" s="317"/>
      <c r="M487" s="252"/>
      <c r="N487" s="250"/>
      <c r="O487" s="253"/>
      <c r="P487" s="240"/>
      <c r="Q487" s="148"/>
      <c r="R487" s="148"/>
      <c r="S487" s="242"/>
      <c r="T487" s="242"/>
      <c r="U487" s="242"/>
      <c r="V487" s="242"/>
      <c r="W487" s="242"/>
      <c r="X487" s="242"/>
      <c r="Y487" s="148"/>
      <c r="Z487" s="148"/>
    </row>
    <row r="488">
      <c r="A488" s="148"/>
      <c r="B488" s="148"/>
      <c r="C488" s="148"/>
      <c r="D488" s="245"/>
      <c r="E488" s="148"/>
      <c r="F488" s="277"/>
      <c r="G488" s="148"/>
      <c r="H488" s="148"/>
      <c r="I488" s="251"/>
      <c r="J488" s="251"/>
      <c r="K488" s="148"/>
      <c r="L488" s="317"/>
      <c r="M488" s="252"/>
      <c r="N488" s="250"/>
      <c r="O488" s="253"/>
      <c r="P488" s="240"/>
      <c r="Q488" s="148"/>
      <c r="R488" s="148"/>
      <c r="S488" s="242"/>
      <c r="T488" s="242"/>
      <c r="U488" s="242"/>
      <c r="V488" s="242"/>
      <c r="W488" s="242"/>
      <c r="X488" s="242"/>
      <c r="Y488" s="148"/>
      <c r="Z488" s="148"/>
    </row>
    <row r="489">
      <c r="A489" s="148"/>
      <c r="B489" s="148"/>
      <c r="C489" s="148"/>
      <c r="D489" s="245"/>
      <c r="E489" s="148"/>
      <c r="F489" s="277"/>
      <c r="G489" s="148"/>
      <c r="H489" s="148"/>
      <c r="I489" s="251"/>
      <c r="J489" s="251"/>
      <c r="K489" s="148"/>
      <c r="L489" s="317"/>
      <c r="M489" s="252"/>
      <c r="N489" s="250"/>
      <c r="O489" s="253"/>
      <c r="P489" s="240"/>
      <c r="Q489" s="148"/>
      <c r="R489" s="148"/>
      <c r="S489" s="242"/>
      <c r="T489" s="242"/>
      <c r="U489" s="242"/>
      <c r="V489" s="242"/>
      <c r="W489" s="242"/>
      <c r="X489" s="242"/>
      <c r="Y489" s="148"/>
      <c r="Z489" s="148"/>
    </row>
    <row r="490">
      <c r="A490" s="148"/>
      <c r="B490" s="148"/>
      <c r="C490" s="148"/>
      <c r="D490" s="245"/>
      <c r="E490" s="148"/>
      <c r="F490" s="277"/>
      <c r="G490" s="148"/>
      <c r="H490" s="148"/>
      <c r="I490" s="251"/>
      <c r="J490" s="251"/>
      <c r="K490" s="148"/>
      <c r="L490" s="317"/>
      <c r="M490" s="252"/>
      <c r="N490" s="250"/>
      <c r="O490" s="253"/>
      <c r="P490" s="240"/>
      <c r="Q490" s="148"/>
      <c r="R490" s="148"/>
      <c r="S490" s="242"/>
      <c r="T490" s="242"/>
      <c r="U490" s="242"/>
      <c r="V490" s="242"/>
      <c r="W490" s="242"/>
      <c r="X490" s="242"/>
      <c r="Y490" s="148"/>
      <c r="Z490" s="148"/>
    </row>
    <row r="491">
      <c r="A491" s="148"/>
      <c r="B491" s="148"/>
      <c r="C491" s="148"/>
      <c r="D491" s="245"/>
      <c r="E491" s="148"/>
      <c r="F491" s="277"/>
      <c r="G491" s="148"/>
      <c r="H491" s="148"/>
      <c r="I491" s="251"/>
      <c r="J491" s="251"/>
      <c r="K491" s="148"/>
      <c r="L491" s="317"/>
      <c r="M491" s="252"/>
      <c r="N491" s="250"/>
      <c r="O491" s="253"/>
      <c r="P491" s="240"/>
      <c r="Q491" s="148"/>
      <c r="R491" s="148"/>
      <c r="S491" s="242"/>
      <c r="T491" s="242"/>
      <c r="U491" s="242"/>
      <c r="V491" s="242"/>
      <c r="W491" s="242"/>
      <c r="X491" s="242"/>
      <c r="Y491" s="148"/>
      <c r="Z491" s="148"/>
    </row>
    <row r="492">
      <c r="A492" s="148"/>
      <c r="B492" s="148"/>
      <c r="C492" s="148"/>
      <c r="D492" s="245"/>
      <c r="E492" s="148"/>
      <c r="F492" s="277"/>
      <c r="G492" s="148"/>
      <c r="H492" s="148"/>
      <c r="I492" s="251"/>
      <c r="J492" s="251"/>
      <c r="K492" s="148"/>
      <c r="L492" s="317"/>
      <c r="M492" s="252"/>
      <c r="N492" s="250"/>
      <c r="O492" s="253"/>
      <c r="P492" s="240"/>
      <c r="Q492" s="148"/>
      <c r="R492" s="148"/>
      <c r="S492" s="242"/>
      <c r="T492" s="242"/>
      <c r="U492" s="242"/>
      <c r="V492" s="242"/>
      <c r="W492" s="242"/>
      <c r="X492" s="242"/>
      <c r="Y492" s="148"/>
      <c r="Z492" s="148"/>
    </row>
    <row r="493">
      <c r="A493" s="148"/>
      <c r="B493" s="148"/>
      <c r="C493" s="148"/>
      <c r="D493" s="245"/>
      <c r="E493" s="148"/>
      <c r="F493" s="277"/>
      <c r="G493" s="148"/>
      <c r="H493" s="148"/>
      <c r="I493" s="251"/>
      <c r="J493" s="251"/>
      <c r="K493" s="148"/>
      <c r="L493" s="317"/>
      <c r="M493" s="252"/>
      <c r="N493" s="250"/>
      <c r="O493" s="253"/>
      <c r="P493" s="240"/>
      <c r="Q493" s="148"/>
      <c r="R493" s="148"/>
      <c r="S493" s="242"/>
      <c r="T493" s="242"/>
      <c r="U493" s="242"/>
      <c r="V493" s="242"/>
      <c r="W493" s="242"/>
      <c r="X493" s="242"/>
      <c r="Y493" s="148"/>
      <c r="Z493" s="148"/>
    </row>
    <row r="494">
      <c r="A494" s="148"/>
      <c r="B494" s="148"/>
      <c r="C494" s="148"/>
      <c r="D494" s="245"/>
      <c r="E494" s="148"/>
      <c r="F494" s="277"/>
      <c r="G494" s="148"/>
      <c r="H494" s="148"/>
      <c r="I494" s="251"/>
      <c r="J494" s="251"/>
      <c r="K494" s="148"/>
      <c r="L494" s="317"/>
      <c r="M494" s="252"/>
      <c r="N494" s="250"/>
      <c r="O494" s="253"/>
      <c r="P494" s="240"/>
      <c r="Q494" s="148"/>
      <c r="R494" s="148"/>
      <c r="S494" s="242"/>
      <c r="T494" s="242"/>
      <c r="U494" s="242"/>
      <c r="V494" s="242"/>
      <c r="W494" s="242"/>
      <c r="X494" s="242"/>
      <c r="Y494" s="148"/>
      <c r="Z494" s="148"/>
    </row>
    <row r="495">
      <c r="A495" s="148"/>
      <c r="B495" s="148"/>
      <c r="C495" s="148"/>
      <c r="D495" s="245"/>
      <c r="E495" s="148"/>
      <c r="F495" s="277"/>
      <c r="G495" s="148"/>
      <c r="H495" s="148"/>
      <c r="I495" s="251"/>
      <c r="J495" s="251"/>
      <c r="K495" s="148"/>
      <c r="L495" s="317"/>
      <c r="M495" s="252"/>
      <c r="N495" s="250"/>
      <c r="O495" s="253"/>
      <c r="P495" s="240"/>
      <c r="Q495" s="148"/>
      <c r="R495" s="148"/>
      <c r="S495" s="242"/>
      <c r="T495" s="242"/>
      <c r="U495" s="242"/>
      <c r="V495" s="242"/>
      <c r="W495" s="242"/>
      <c r="X495" s="242"/>
      <c r="Y495" s="148"/>
      <c r="Z495" s="148"/>
    </row>
    <row r="496">
      <c r="A496" s="148"/>
      <c r="B496" s="148"/>
      <c r="C496" s="148"/>
      <c r="D496" s="245"/>
      <c r="E496" s="148"/>
      <c r="F496" s="277"/>
      <c r="G496" s="148"/>
      <c r="H496" s="148"/>
      <c r="I496" s="251"/>
      <c r="J496" s="251"/>
      <c r="K496" s="148"/>
      <c r="L496" s="317"/>
      <c r="M496" s="252"/>
      <c r="N496" s="250"/>
      <c r="O496" s="253"/>
      <c r="P496" s="240"/>
      <c r="Q496" s="148"/>
      <c r="R496" s="148"/>
      <c r="S496" s="242"/>
      <c r="T496" s="242"/>
      <c r="U496" s="242"/>
      <c r="V496" s="242"/>
      <c r="W496" s="242"/>
      <c r="X496" s="242"/>
      <c r="Y496" s="148"/>
      <c r="Z496" s="148"/>
    </row>
    <row r="497">
      <c r="A497" s="148"/>
      <c r="B497" s="148"/>
      <c r="C497" s="148"/>
      <c r="D497" s="245"/>
      <c r="E497" s="148"/>
      <c r="F497" s="277"/>
      <c r="G497" s="148"/>
      <c r="H497" s="148"/>
      <c r="I497" s="251"/>
      <c r="J497" s="251"/>
      <c r="K497" s="148"/>
      <c r="L497" s="317"/>
      <c r="M497" s="252"/>
      <c r="N497" s="250"/>
      <c r="O497" s="253"/>
      <c r="P497" s="240"/>
      <c r="Q497" s="148"/>
      <c r="R497" s="148"/>
      <c r="S497" s="242"/>
      <c r="T497" s="242"/>
      <c r="U497" s="242"/>
      <c r="V497" s="242"/>
      <c r="W497" s="242"/>
      <c r="X497" s="242"/>
      <c r="Y497" s="148"/>
      <c r="Z497" s="148"/>
    </row>
    <row r="498">
      <c r="A498" s="148"/>
      <c r="B498" s="148"/>
      <c r="C498" s="148"/>
      <c r="D498" s="245"/>
      <c r="E498" s="148"/>
      <c r="F498" s="277"/>
      <c r="G498" s="148"/>
      <c r="H498" s="148"/>
      <c r="I498" s="251"/>
      <c r="J498" s="251"/>
      <c r="K498" s="148"/>
      <c r="L498" s="317"/>
      <c r="M498" s="252"/>
      <c r="N498" s="250"/>
      <c r="O498" s="253"/>
      <c r="P498" s="240"/>
      <c r="Q498" s="148"/>
      <c r="R498" s="148"/>
      <c r="S498" s="242"/>
      <c r="T498" s="242"/>
      <c r="U498" s="242"/>
      <c r="V498" s="242"/>
      <c r="W498" s="242"/>
      <c r="X498" s="242"/>
      <c r="Y498" s="148"/>
      <c r="Z498" s="148"/>
    </row>
    <row r="499">
      <c r="A499" s="148"/>
      <c r="B499" s="148"/>
      <c r="C499" s="148"/>
      <c r="D499" s="245"/>
      <c r="E499" s="148"/>
      <c r="F499" s="277"/>
      <c r="G499" s="148"/>
      <c r="H499" s="148"/>
      <c r="I499" s="251"/>
      <c r="J499" s="251"/>
      <c r="K499" s="148"/>
      <c r="L499" s="317"/>
      <c r="M499" s="252"/>
      <c r="N499" s="250"/>
      <c r="O499" s="253"/>
      <c r="P499" s="240"/>
      <c r="Q499" s="148"/>
      <c r="R499" s="148"/>
      <c r="S499" s="242"/>
      <c r="T499" s="242"/>
      <c r="U499" s="242"/>
      <c r="V499" s="242"/>
      <c r="W499" s="242"/>
      <c r="X499" s="242"/>
      <c r="Y499" s="148"/>
      <c r="Z499" s="148"/>
    </row>
    <row r="500">
      <c r="A500" s="148"/>
      <c r="B500" s="148"/>
      <c r="C500" s="148"/>
      <c r="D500" s="245"/>
      <c r="E500" s="148"/>
      <c r="F500" s="277"/>
      <c r="G500" s="148"/>
      <c r="H500" s="148"/>
      <c r="I500" s="251"/>
      <c r="J500" s="251"/>
      <c r="K500" s="148"/>
      <c r="L500" s="317"/>
      <c r="M500" s="252"/>
      <c r="N500" s="250"/>
      <c r="O500" s="253"/>
      <c r="P500" s="240"/>
      <c r="Q500" s="148"/>
      <c r="R500" s="148"/>
      <c r="S500" s="242"/>
      <c r="T500" s="242"/>
      <c r="U500" s="242"/>
      <c r="V500" s="242"/>
      <c r="W500" s="242"/>
      <c r="X500" s="242"/>
      <c r="Y500" s="148"/>
      <c r="Z500" s="148"/>
    </row>
    <row r="501">
      <c r="A501" s="148"/>
      <c r="B501" s="148"/>
      <c r="C501" s="148"/>
      <c r="D501" s="245"/>
      <c r="E501" s="148"/>
      <c r="F501" s="277"/>
      <c r="G501" s="148"/>
      <c r="H501" s="148"/>
      <c r="I501" s="251"/>
      <c r="J501" s="251"/>
      <c r="K501" s="148"/>
      <c r="L501" s="317"/>
      <c r="M501" s="252"/>
      <c r="N501" s="250"/>
      <c r="O501" s="253"/>
      <c r="P501" s="240"/>
      <c r="Q501" s="148"/>
      <c r="R501" s="148"/>
      <c r="S501" s="242"/>
      <c r="T501" s="242"/>
      <c r="U501" s="242"/>
      <c r="V501" s="242"/>
      <c r="W501" s="242"/>
      <c r="X501" s="242"/>
      <c r="Y501" s="148"/>
      <c r="Z501" s="148"/>
    </row>
    <row r="502">
      <c r="A502" s="148"/>
      <c r="B502" s="148"/>
      <c r="C502" s="148"/>
      <c r="D502" s="245"/>
      <c r="E502" s="148"/>
      <c r="F502" s="277"/>
      <c r="G502" s="148"/>
      <c r="H502" s="148"/>
      <c r="I502" s="251"/>
      <c r="J502" s="251"/>
      <c r="K502" s="148"/>
      <c r="L502" s="317"/>
      <c r="M502" s="252"/>
      <c r="N502" s="250"/>
      <c r="O502" s="253"/>
      <c r="P502" s="240"/>
      <c r="Q502" s="148"/>
      <c r="R502" s="148"/>
      <c r="S502" s="242"/>
      <c r="T502" s="242"/>
      <c r="U502" s="242"/>
      <c r="V502" s="242"/>
      <c r="W502" s="242"/>
      <c r="X502" s="242"/>
      <c r="Y502" s="148"/>
      <c r="Z502" s="148"/>
    </row>
    <row r="503">
      <c r="A503" s="148"/>
      <c r="B503" s="148"/>
      <c r="C503" s="148"/>
      <c r="D503" s="245"/>
      <c r="E503" s="148"/>
      <c r="F503" s="277"/>
      <c r="G503" s="148"/>
      <c r="H503" s="148"/>
      <c r="I503" s="251"/>
      <c r="J503" s="251"/>
      <c r="K503" s="148"/>
      <c r="L503" s="317"/>
      <c r="M503" s="252"/>
      <c r="N503" s="250"/>
      <c r="O503" s="253"/>
      <c r="P503" s="240"/>
      <c r="Q503" s="148"/>
      <c r="R503" s="148"/>
      <c r="S503" s="242"/>
      <c r="T503" s="242"/>
      <c r="U503" s="242"/>
      <c r="V503" s="242"/>
      <c r="W503" s="242"/>
      <c r="X503" s="242"/>
      <c r="Y503" s="148"/>
      <c r="Z503" s="148"/>
    </row>
    <row r="504">
      <c r="A504" s="148"/>
      <c r="B504" s="148"/>
      <c r="C504" s="148"/>
      <c r="D504" s="245"/>
      <c r="E504" s="148"/>
      <c r="F504" s="277"/>
      <c r="G504" s="148"/>
      <c r="H504" s="148"/>
      <c r="I504" s="251"/>
      <c r="J504" s="251"/>
      <c r="K504" s="148"/>
      <c r="L504" s="317"/>
      <c r="M504" s="252"/>
      <c r="N504" s="250"/>
      <c r="O504" s="253"/>
      <c r="P504" s="240"/>
      <c r="Q504" s="148"/>
      <c r="R504" s="148"/>
      <c r="S504" s="242"/>
      <c r="T504" s="242"/>
      <c r="U504" s="242"/>
      <c r="V504" s="242"/>
      <c r="W504" s="242"/>
      <c r="X504" s="242"/>
      <c r="Y504" s="148"/>
      <c r="Z504" s="148"/>
    </row>
    <row r="505">
      <c r="A505" s="148"/>
      <c r="B505" s="148"/>
      <c r="C505" s="148"/>
      <c r="D505" s="245"/>
      <c r="E505" s="148"/>
      <c r="F505" s="277"/>
      <c r="G505" s="148"/>
      <c r="H505" s="148"/>
      <c r="I505" s="251"/>
      <c r="J505" s="251"/>
      <c r="K505" s="148"/>
      <c r="L505" s="317"/>
      <c r="M505" s="252"/>
      <c r="N505" s="250"/>
      <c r="O505" s="253"/>
      <c r="P505" s="240"/>
      <c r="Q505" s="148"/>
      <c r="R505" s="148"/>
      <c r="S505" s="242"/>
      <c r="T505" s="242"/>
      <c r="U505" s="242"/>
      <c r="V505" s="242"/>
      <c r="W505" s="242"/>
      <c r="X505" s="242"/>
      <c r="Y505" s="148"/>
      <c r="Z505" s="148"/>
    </row>
    <row r="506">
      <c r="A506" s="148"/>
      <c r="B506" s="148"/>
      <c r="C506" s="148"/>
      <c r="D506" s="245"/>
      <c r="E506" s="148"/>
      <c r="F506" s="277"/>
      <c r="G506" s="148"/>
      <c r="H506" s="148"/>
      <c r="I506" s="251"/>
      <c r="J506" s="251"/>
      <c r="K506" s="148"/>
      <c r="L506" s="317"/>
      <c r="M506" s="252"/>
      <c r="N506" s="250"/>
      <c r="O506" s="253"/>
      <c r="P506" s="240"/>
      <c r="Q506" s="148"/>
      <c r="R506" s="148"/>
      <c r="S506" s="242"/>
      <c r="T506" s="242"/>
      <c r="U506" s="242"/>
      <c r="V506" s="242"/>
      <c r="W506" s="242"/>
      <c r="X506" s="242"/>
      <c r="Y506" s="148"/>
      <c r="Z506" s="148"/>
    </row>
    <row r="507">
      <c r="A507" s="148"/>
      <c r="B507" s="148"/>
      <c r="C507" s="148"/>
      <c r="D507" s="245"/>
      <c r="E507" s="148"/>
      <c r="F507" s="277"/>
      <c r="G507" s="148"/>
      <c r="H507" s="148"/>
      <c r="I507" s="251"/>
      <c r="J507" s="251"/>
      <c r="K507" s="148"/>
      <c r="L507" s="317"/>
      <c r="M507" s="252"/>
      <c r="N507" s="250"/>
      <c r="O507" s="253"/>
      <c r="P507" s="240"/>
      <c r="Q507" s="148"/>
      <c r="R507" s="148"/>
      <c r="S507" s="242"/>
      <c r="T507" s="242"/>
      <c r="U507" s="242"/>
      <c r="V507" s="242"/>
      <c r="W507" s="242"/>
      <c r="X507" s="242"/>
      <c r="Y507" s="148"/>
      <c r="Z507" s="148"/>
    </row>
    <row r="508">
      <c r="A508" s="148"/>
      <c r="B508" s="148"/>
      <c r="C508" s="148"/>
      <c r="D508" s="245"/>
      <c r="E508" s="148"/>
      <c r="F508" s="277"/>
      <c r="G508" s="148"/>
      <c r="H508" s="148"/>
      <c r="I508" s="251"/>
      <c r="J508" s="251"/>
      <c r="K508" s="148"/>
      <c r="L508" s="317"/>
      <c r="M508" s="252"/>
      <c r="N508" s="250"/>
      <c r="O508" s="253"/>
      <c r="P508" s="240"/>
      <c r="Q508" s="148"/>
      <c r="R508" s="148"/>
      <c r="S508" s="242"/>
      <c r="T508" s="242"/>
      <c r="U508" s="242"/>
      <c r="V508" s="242"/>
      <c r="W508" s="242"/>
      <c r="X508" s="242"/>
      <c r="Y508" s="148"/>
      <c r="Z508" s="148"/>
    </row>
    <row r="509">
      <c r="A509" s="148"/>
      <c r="B509" s="148"/>
      <c r="C509" s="148"/>
      <c r="D509" s="245"/>
      <c r="E509" s="148"/>
      <c r="F509" s="277"/>
      <c r="G509" s="148"/>
      <c r="H509" s="148"/>
      <c r="I509" s="251"/>
      <c r="J509" s="251"/>
      <c r="K509" s="148"/>
      <c r="L509" s="317"/>
      <c r="M509" s="252"/>
      <c r="N509" s="250"/>
      <c r="O509" s="253"/>
      <c r="P509" s="240"/>
      <c r="Q509" s="148"/>
      <c r="R509" s="148"/>
      <c r="S509" s="242"/>
      <c r="T509" s="242"/>
      <c r="U509" s="242"/>
      <c r="V509" s="242"/>
      <c r="W509" s="242"/>
      <c r="X509" s="242"/>
      <c r="Y509" s="148"/>
      <c r="Z509" s="148"/>
    </row>
    <row r="510">
      <c r="A510" s="148"/>
      <c r="B510" s="148"/>
      <c r="C510" s="148"/>
      <c r="D510" s="245"/>
      <c r="E510" s="148"/>
      <c r="F510" s="277"/>
      <c r="G510" s="148"/>
      <c r="H510" s="148"/>
      <c r="I510" s="251"/>
      <c r="J510" s="251"/>
      <c r="K510" s="148"/>
      <c r="L510" s="317"/>
      <c r="M510" s="252"/>
      <c r="N510" s="250"/>
      <c r="O510" s="253"/>
      <c r="P510" s="240"/>
      <c r="Q510" s="148"/>
      <c r="R510" s="148"/>
      <c r="S510" s="242"/>
      <c r="T510" s="242"/>
      <c r="U510" s="242"/>
      <c r="V510" s="242"/>
      <c r="W510" s="242"/>
      <c r="X510" s="242"/>
      <c r="Y510" s="148"/>
      <c r="Z510" s="148"/>
    </row>
    <row r="511">
      <c r="A511" s="148"/>
      <c r="B511" s="148"/>
      <c r="C511" s="148"/>
      <c r="D511" s="245"/>
      <c r="E511" s="148"/>
      <c r="F511" s="277"/>
      <c r="G511" s="148"/>
      <c r="H511" s="148"/>
      <c r="I511" s="251"/>
      <c r="J511" s="251"/>
      <c r="K511" s="148"/>
      <c r="L511" s="317"/>
      <c r="M511" s="252"/>
      <c r="N511" s="250"/>
      <c r="O511" s="253"/>
      <c r="P511" s="240"/>
      <c r="Q511" s="148"/>
      <c r="R511" s="148"/>
      <c r="S511" s="242"/>
      <c r="T511" s="242"/>
      <c r="U511" s="242"/>
      <c r="V511" s="242"/>
      <c r="W511" s="242"/>
      <c r="X511" s="242"/>
      <c r="Y511" s="148"/>
      <c r="Z511" s="148"/>
    </row>
    <row r="512">
      <c r="A512" s="148"/>
      <c r="B512" s="148"/>
      <c r="C512" s="148"/>
      <c r="D512" s="245"/>
      <c r="E512" s="148"/>
      <c r="F512" s="277"/>
      <c r="G512" s="148"/>
      <c r="H512" s="148"/>
      <c r="I512" s="251"/>
      <c r="J512" s="251"/>
      <c r="K512" s="148"/>
      <c r="L512" s="317"/>
      <c r="M512" s="252"/>
      <c r="N512" s="250"/>
      <c r="O512" s="253"/>
      <c r="P512" s="240"/>
      <c r="Q512" s="148"/>
      <c r="R512" s="148"/>
      <c r="S512" s="242"/>
      <c r="T512" s="242"/>
      <c r="U512" s="242"/>
      <c r="V512" s="242"/>
      <c r="W512" s="242"/>
      <c r="X512" s="242"/>
      <c r="Y512" s="148"/>
      <c r="Z512" s="148"/>
    </row>
    <row r="513">
      <c r="A513" s="148"/>
      <c r="B513" s="148"/>
      <c r="C513" s="148"/>
      <c r="D513" s="245"/>
      <c r="E513" s="148"/>
      <c r="F513" s="277"/>
      <c r="G513" s="148"/>
      <c r="H513" s="148"/>
      <c r="I513" s="251"/>
      <c r="J513" s="251"/>
      <c r="K513" s="148"/>
      <c r="L513" s="317"/>
      <c r="M513" s="252"/>
      <c r="N513" s="250"/>
      <c r="O513" s="253"/>
      <c r="P513" s="240"/>
      <c r="Q513" s="148"/>
      <c r="R513" s="148"/>
      <c r="S513" s="242"/>
      <c r="T513" s="242"/>
      <c r="U513" s="242"/>
      <c r="V513" s="242"/>
      <c r="W513" s="242"/>
      <c r="X513" s="242"/>
      <c r="Y513" s="148"/>
      <c r="Z513" s="148"/>
    </row>
    <row r="514">
      <c r="A514" s="148"/>
      <c r="B514" s="148"/>
      <c r="C514" s="148"/>
      <c r="D514" s="245"/>
      <c r="E514" s="148"/>
      <c r="F514" s="277"/>
      <c r="G514" s="148"/>
      <c r="H514" s="148"/>
      <c r="I514" s="251"/>
      <c r="J514" s="251"/>
      <c r="K514" s="148"/>
      <c r="L514" s="317"/>
      <c r="M514" s="252"/>
      <c r="N514" s="250"/>
      <c r="O514" s="253"/>
      <c r="P514" s="240"/>
      <c r="Q514" s="148"/>
      <c r="R514" s="148"/>
      <c r="S514" s="242"/>
      <c r="T514" s="242"/>
      <c r="U514" s="242"/>
      <c r="V514" s="242"/>
      <c r="W514" s="242"/>
      <c r="X514" s="242"/>
      <c r="Y514" s="148"/>
      <c r="Z514" s="148"/>
    </row>
    <row r="515">
      <c r="A515" s="148"/>
      <c r="B515" s="148"/>
      <c r="C515" s="148"/>
      <c r="D515" s="245"/>
      <c r="E515" s="148"/>
      <c r="F515" s="277"/>
      <c r="G515" s="148"/>
      <c r="H515" s="148"/>
      <c r="I515" s="251"/>
      <c r="J515" s="251"/>
      <c r="K515" s="148"/>
      <c r="L515" s="317"/>
      <c r="M515" s="252"/>
      <c r="N515" s="250"/>
      <c r="O515" s="253"/>
      <c r="P515" s="240"/>
      <c r="Q515" s="148"/>
      <c r="R515" s="148"/>
      <c r="S515" s="242"/>
      <c r="T515" s="242"/>
      <c r="U515" s="242"/>
      <c r="V515" s="242"/>
      <c r="W515" s="242"/>
      <c r="X515" s="242"/>
      <c r="Y515" s="148"/>
      <c r="Z515" s="148"/>
    </row>
    <row r="516">
      <c r="A516" s="148"/>
      <c r="B516" s="148"/>
      <c r="C516" s="148"/>
      <c r="D516" s="245"/>
      <c r="E516" s="148"/>
      <c r="F516" s="277"/>
      <c r="G516" s="148"/>
      <c r="H516" s="148"/>
      <c r="I516" s="251"/>
      <c r="J516" s="251"/>
      <c r="K516" s="148"/>
      <c r="L516" s="317"/>
      <c r="M516" s="252"/>
      <c r="N516" s="250"/>
      <c r="O516" s="253"/>
      <c r="P516" s="240"/>
      <c r="Q516" s="148"/>
      <c r="R516" s="148"/>
      <c r="S516" s="242"/>
      <c r="T516" s="242"/>
      <c r="U516" s="242"/>
      <c r="V516" s="242"/>
      <c r="W516" s="242"/>
      <c r="X516" s="242"/>
      <c r="Y516" s="148"/>
      <c r="Z516" s="148"/>
    </row>
    <row r="517">
      <c r="A517" s="148"/>
      <c r="B517" s="148"/>
      <c r="C517" s="148"/>
      <c r="D517" s="245"/>
      <c r="E517" s="148"/>
      <c r="F517" s="277"/>
      <c r="G517" s="148"/>
      <c r="H517" s="148"/>
      <c r="I517" s="251"/>
      <c r="J517" s="251"/>
      <c r="K517" s="148"/>
      <c r="L517" s="317"/>
      <c r="M517" s="252"/>
      <c r="N517" s="250"/>
      <c r="O517" s="253"/>
      <c r="P517" s="240"/>
      <c r="Q517" s="148"/>
      <c r="R517" s="148"/>
      <c r="S517" s="242"/>
      <c r="T517" s="242"/>
      <c r="U517" s="242"/>
      <c r="V517" s="242"/>
      <c r="W517" s="242"/>
      <c r="X517" s="242"/>
      <c r="Y517" s="148"/>
      <c r="Z517" s="148"/>
    </row>
    <row r="518">
      <c r="A518" s="148"/>
      <c r="B518" s="148"/>
      <c r="C518" s="148"/>
      <c r="D518" s="245"/>
      <c r="E518" s="148"/>
      <c r="F518" s="277"/>
      <c r="G518" s="148"/>
      <c r="H518" s="148"/>
      <c r="I518" s="251"/>
      <c r="J518" s="251"/>
      <c r="K518" s="148"/>
      <c r="L518" s="317"/>
      <c r="M518" s="252"/>
      <c r="N518" s="250"/>
      <c r="O518" s="253"/>
      <c r="P518" s="240"/>
      <c r="Q518" s="148"/>
      <c r="R518" s="148"/>
      <c r="S518" s="242"/>
      <c r="T518" s="242"/>
      <c r="U518" s="242"/>
      <c r="V518" s="242"/>
      <c r="W518" s="242"/>
      <c r="X518" s="242"/>
      <c r="Y518" s="148"/>
      <c r="Z518" s="148"/>
    </row>
    <row r="519">
      <c r="A519" s="148"/>
      <c r="B519" s="148"/>
      <c r="C519" s="148"/>
      <c r="D519" s="245"/>
      <c r="E519" s="148"/>
      <c r="F519" s="277"/>
      <c r="G519" s="148"/>
      <c r="H519" s="148"/>
      <c r="I519" s="251"/>
      <c r="J519" s="251"/>
      <c r="K519" s="148"/>
      <c r="L519" s="317"/>
      <c r="M519" s="252"/>
      <c r="N519" s="250"/>
      <c r="O519" s="253"/>
      <c r="P519" s="240"/>
      <c r="Q519" s="148"/>
      <c r="R519" s="148"/>
      <c r="S519" s="242"/>
      <c r="T519" s="242"/>
      <c r="U519" s="242"/>
      <c r="V519" s="242"/>
      <c r="W519" s="242"/>
      <c r="X519" s="242"/>
      <c r="Y519" s="148"/>
      <c r="Z519" s="148"/>
    </row>
    <row r="520">
      <c r="A520" s="148"/>
      <c r="B520" s="148"/>
      <c r="C520" s="148"/>
      <c r="D520" s="245"/>
      <c r="E520" s="148"/>
      <c r="F520" s="277"/>
      <c r="G520" s="148"/>
      <c r="H520" s="148"/>
      <c r="I520" s="251"/>
      <c r="J520" s="251"/>
      <c r="K520" s="148"/>
      <c r="L520" s="317"/>
      <c r="M520" s="252"/>
      <c r="N520" s="250"/>
      <c r="O520" s="253"/>
      <c r="P520" s="240"/>
      <c r="Q520" s="148"/>
      <c r="R520" s="148"/>
      <c r="S520" s="242"/>
      <c r="T520" s="242"/>
      <c r="U520" s="242"/>
      <c r="V520" s="242"/>
      <c r="W520" s="242"/>
      <c r="X520" s="242"/>
      <c r="Y520" s="148"/>
      <c r="Z520" s="148"/>
    </row>
    <row r="521">
      <c r="A521" s="148"/>
      <c r="B521" s="148"/>
      <c r="C521" s="148"/>
      <c r="D521" s="245"/>
      <c r="E521" s="148"/>
      <c r="F521" s="277"/>
      <c r="G521" s="148"/>
      <c r="H521" s="148"/>
      <c r="I521" s="251"/>
      <c r="J521" s="251"/>
      <c r="K521" s="148"/>
      <c r="L521" s="317"/>
      <c r="M521" s="252"/>
      <c r="N521" s="250"/>
      <c r="O521" s="253"/>
      <c r="P521" s="240"/>
      <c r="Q521" s="148"/>
      <c r="R521" s="148"/>
      <c r="S521" s="242"/>
      <c r="T521" s="242"/>
      <c r="U521" s="242"/>
      <c r="V521" s="242"/>
      <c r="W521" s="242"/>
      <c r="X521" s="242"/>
      <c r="Y521" s="148"/>
      <c r="Z521" s="148"/>
    </row>
    <row r="522">
      <c r="A522" s="148"/>
      <c r="B522" s="148"/>
      <c r="C522" s="148"/>
      <c r="D522" s="245"/>
      <c r="E522" s="148"/>
      <c r="F522" s="277"/>
      <c r="G522" s="148"/>
      <c r="H522" s="148"/>
      <c r="I522" s="251"/>
      <c r="J522" s="251"/>
      <c r="K522" s="148"/>
      <c r="L522" s="317"/>
      <c r="M522" s="252"/>
      <c r="N522" s="250"/>
      <c r="O522" s="253"/>
      <c r="P522" s="240"/>
      <c r="Q522" s="148"/>
      <c r="R522" s="148"/>
      <c r="S522" s="242"/>
      <c r="T522" s="242"/>
      <c r="U522" s="242"/>
      <c r="V522" s="242"/>
      <c r="W522" s="242"/>
      <c r="X522" s="242"/>
      <c r="Y522" s="148"/>
      <c r="Z522" s="148"/>
    </row>
    <row r="523">
      <c r="A523" s="148"/>
      <c r="B523" s="148"/>
      <c r="C523" s="148"/>
      <c r="D523" s="245"/>
      <c r="E523" s="148"/>
      <c r="F523" s="277"/>
      <c r="G523" s="148"/>
      <c r="H523" s="148"/>
      <c r="I523" s="251"/>
      <c r="J523" s="251"/>
      <c r="K523" s="148"/>
      <c r="L523" s="317"/>
      <c r="M523" s="252"/>
      <c r="N523" s="250"/>
      <c r="O523" s="253"/>
      <c r="P523" s="240"/>
      <c r="Q523" s="148"/>
      <c r="R523" s="148"/>
      <c r="S523" s="242"/>
      <c r="T523" s="242"/>
      <c r="U523" s="242"/>
      <c r="V523" s="242"/>
      <c r="W523" s="242"/>
      <c r="X523" s="242"/>
      <c r="Y523" s="148"/>
      <c r="Z523" s="148"/>
    </row>
    <row r="524">
      <c r="A524" s="148"/>
      <c r="B524" s="148"/>
      <c r="C524" s="148"/>
      <c r="D524" s="245"/>
      <c r="E524" s="148"/>
      <c r="F524" s="277"/>
      <c r="G524" s="148"/>
      <c r="H524" s="148"/>
      <c r="I524" s="251"/>
      <c r="J524" s="251"/>
      <c r="K524" s="148"/>
      <c r="L524" s="317"/>
      <c r="M524" s="252"/>
      <c r="N524" s="250"/>
      <c r="O524" s="253"/>
      <c r="P524" s="240"/>
      <c r="Q524" s="148"/>
      <c r="R524" s="148"/>
      <c r="S524" s="242"/>
      <c r="T524" s="242"/>
      <c r="U524" s="242"/>
      <c r="V524" s="242"/>
      <c r="W524" s="242"/>
      <c r="X524" s="242"/>
      <c r="Y524" s="148"/>
      <c r="Z524" s="148"/>
    </row>
    <row r="525">
      <c r="A525" s="148"/>
      <c r="B525" s="148"/>
      <c r="C525" s="148"/>
      <c r="D525" s="245"/>
      <c r="E525" s="148"/>
      <c r="F525" s="277"/>
      <c r="G525" s="148"/>
      <c r="H525" s="148"/>
      <c r="I525" s="251"/>
      <c r="J525" s="251"/>
      <c r="K525" s="148"/>
      <c r="L525" s="317"/>
      <c r="M525" s="252"/>
      <c r="N525" s="250"/>
      <c r="O525" s="253"/>
      <c r="P525" s="240"/>
      <c r="Q525" s="148"/>
      <c r="R525" s="148"/>
      <c r="S525" s="242"/>
      <c r="T525" s="242"/>
      <c r="U525" s="242"/>
      <c r="V525" s="242"/>
      <c r="W525" s="242"/>
      <c r="X525" s="242"/>
      <c r="Y525" s="148"/>
      <c r="Z525" s="148"/>
    </row>
    <row r="526">
      <c r="A526" s="148"/>
      <c r="B526" s="148"/>
      <c r="C526" s="148"/>
      <c r="D526" s="245"/>
      <c r="E526" s="148"/>
      <c r="F526" s="277"/>
      <c r="G526" s="148"/>
      <c r="H526" s="148"/>
      <c r="I526" s="251"/>
      <c r="J526" s="251"/>
      <c r="K526" s="148"/>
      <c r="L526" s="317"/>
      <c r="M526" s="252"/>
      <c r="N526" s="250"/>
      <c r="O526" s="253"/>
      <c r="P526" s="240"/>
      <c r="Q526" s="148"/>
      <c r="R526" s="148"/>
      <c r="S526" s="242"/>
      <c r="T526" s="242"/>
      <c r="U526" s="242"/>
      <c r="V526" s="242"/>
      <c r="W526" s="242"/>
      <c r="X526" s="242"/>
      <c r="Y526" s="148"/>
      <c r="Z526" s="148"/>
    </row>
    <row r="527">
      <c r="A527" s="148"/>
      <c r="B527" s="148"/>
      <c r="C527" s="148"/>
      <c r="D527" s="245"/>
      <c r="E527" s="148"/>
      <c r="F527" s="277"/>
      <c r="G527" s="148"/>
      <c r="H527" s="148"/>
      <c r="I527" s="251"/>
      <c r="J527" s="251"/>
      <c r="K527" s="148"/>
      <c r="L527" s="317"/>
      <c r="M527" s="252"/>
      <c r="N527" s="250"/>
      <c r="O527" s="253"/>
      <c r="P527" s="240"/>
      <c r="Q527" s="148"/>
      <c r="R527" s="148"/>
      <c r="S527" s="242"/>
      <c r="T527" s="242"/>
      <c r="U527" s="242"/>
      <c r="V527" s="242"/>
      <c r="W527" s="242"/>
      <c r="X527" s="242"/>
      <c r="Y527" s="148"/>
      <c r="Z527" s="148"/>
    </row>
    <row r="528">
      <c r="A528" s="148"/>
      <c r="B528" s="148"/>
      <c r="C528" s="148"/>
      <c r="D528" s="245"/>
      <c r="E528" s="148"/>
      <c r="F528" s="277"/>
      <c r="G528" s="148"/>
      <c r="H528" s="148"/>
      <c r="I528" s="251"/>
      <c r="J528" s="251"/>
      <c r="K528" s="148"/>
      <c r="L528" s="317"/>
      <c r="M528" s="252"/>
      <c r="N528" s="250"/>
      <c r="O528" s="253"/>
      <c r="P528" s="240"/>
      <c r="Q528" s="148"/>
      <c r="R528" s="148"/>
      <c r="S528" s="242"/>
      <c r="T528" s="242"/>
      <c r="U528" s="242"/>
      <c r="V528" s="242"/>
      <c r="W528" s="242"/>
      <c r="X528" s="242"/>
      <c r="Y528" s="148"/>
      <c r="Z528" s="148"/>
    </row>
    <row r="529">
      <c r="A529" s="148"/>
      <c r="B529" s="148"/>
      <c r="C529" s="148"/>
      <c r="D529" s="245"/>
      <c r="E529" s="148"/>
      <c r="F529" s="277"/>
      <c r="G529" s="148"/>
      <c r="H529" s="148"/>
      <c r="I529" s="251"/>
      <c r="J529" s="251"/>
      <c r="K529" s="148"/>
      <c r="L529" s="317"/>
      <c r="M529" s="252"/>
      <c r="N529" s="250"/>
      <c r="O529" s="253"/>
      <c r="P529" s="240"/>
      <c r="Q529" s="148"/>
      <c r="R529" s="148"/>
      <c r="S529" s="242"/>
      <c r="T529" s="242"/>
      <c r="U529" s="242"/>
      <c r="V529" s="242"/>
      <c r="W529" s="242"/>
      <c r="X529" s="242"/>
      <c r="Y529" s="148"/>
      <c r="Z529" s="148"/>
    </row>
    <row r="530">
      <c r="A530" s="148"/>
      <c r="B530" s="148"/>
      <c r="C530" s="148"/>
      <c r="D530" s="245"/>
      <c r="E530" s="148"/>
      <c r="F530" s="277"/>
      <c r="G530" s="148"/>
      <c r="H530" s="148"/>
      <c r="I530" s="251"/>
      <c r="J530" s="251"/>
      <c r="K530" s="148"/>
      <c r="L530" s="317"/>
      <c r="M530" s="252"/>
      <c r="N530" s="250"/>
      <c r="O530" s="253"/>
      <c r="P530" s="240"/>
      <c r="Q530" s="148"/>
      <c r="R530" s="148"/>
      <c r="S530" s="242"/>
      <c r="T530" s="242"/>
      <c r="U530" s="242"/>
      <c r="V530" s="242"/>
      <c r="W530" s="242"/>
      <c r="X530" s="242"/>
      <c r="Y530" s="148"/>
      <c r="Z530" s="148"/>
    </row>
    <row r="531">
      <c r="A531" s="148"/>
      <c r="B531" s="148"/>
      <c r="C531" s="148"/>
      <c r="D531" s="245"/>
      <c r="E531" s="148"/>
      <c r="F531" s="277"/>
      <c r="G531" s="148"/>
      <c r="H531" s="148"/>
      <c r="I531" s="251"/>
      <c r="J531" s="251"/>
      <c r="K531" s="148"/>
      <c r="L531" s="317"/>
      <c r="M531" s="252"/>
      <c r="N531" s="250"/>
      <c r="O531" s="253"/>
      <c r="P531" s="240"/>
      <c r="Q531" s="148"/>
      <c r="R531" s="148"/>
      <c r="S531" s="242"/>
      <c r="T531" s="242"/>
      <c r="U531" s="242"/>
      <c r="V531" s="242"/>
      <c r="W531" s="242"/>
      <c r="X531" s="242"/>
      <c r="Y531" s="148"/>
      <c r="Z531" s="148"/>
    </row>
    <row r="532">
      <c r="A532" s="148"/>
      <c r="B532" s="148"/>
      <c r="C532" s="148"/>
      <c r="D532" s="245"/>
      <c r="E532" s="148"/>
      <c r="F532" s="277"/>
      <c r="G532" s="148"/>
      <c r="H532" s="148"/>
      <c r="I532" s="251"/>
      <c r="J532" s="251"/>
      <c r="K532" s="148"/>
      <c r="L532" s="317"/>
      <c r="M532" s="252"/>
      <c r="N532" s="250"/>
      <c r="O532" s="253"/>
      <c r="P532" s="240"/>
      <c r="Q532" s="148"/>
      <c r="R532" s="148"/>
      <c r="S532" s="242"/>
      <c r="T532" s="242"/>
      <c r="U532" s="242"/>
      <c r="V532" s="242"/>
      <c r="W532" s="242"/>
      <c r="X532" s="242"/>
      <c r="Y532" s="148"/>
      <c r="Z532" s="148"/>
    </row>
    <row r="533">
      <c r="A533" s="148"/>
      <c r="B533" s="148"/>
      <c r="C533" s="148"/>
      <c r="D533" s="245"/>
      <c r="E533" s="148"/>
      <c r="F533" s="277"/>
      <c r="G533" s="148"/>
      <c r="H533" s="148"/>
      <c r="I533" s="251"/>
      <c r="J533" s="251"/>
      <c r="K533" s="148"/>
      <c r="L533" s="317"/>
      <c r="M533" s="252"/>
      <c r="N533" s="250"/>
      <c r="O533" s="253"/>
      <c r="P533" s="240"/>
      <c r="Q533" s="148"/>
      <c r="R533" s="148"/>
      <c r="S533" s="242"/>
      <c r="T533" s="242"/>
      <c r="U533" s="242"/>
      <c r="V533" s="242"/>
      <c r="W533" s="242"/>
      <c r="X533" s="242"/>
      <c r="Y533" s="148"/>
      <c r="Z533" s="148"/>
    </row>
    <row r="534">
      <c r="A534" s="148"/>
      <c r="B534" s="148"/>
      <c r="C534" s="148"/>
      <c r="D534" s="245"/>
      <c r="E534" s="148"/>
      <c r="F534" s="277"/>
      <c r="G534" s="148"/>
      <c r="H534" s="148"/>
      <c r="I534" s="251"/>
      <c r="J534" s="251"/>
      <c r="K534" s="148"/>
      <c r="L534" s="254"/>
      <c r="M534" s="252"/>
      <c r="N534" s="250"/>
      <c r="O534" s="253"/>
      <c r="P534" s="240"/>
      <c r="Q534" s="148"/>
      <c r="R534" s="148"/>
      <c r="S534" s="242"/>
      <c r="T534" s="242"/>
      <c r="U534" s="242"/>
      <c r="V534" s="242"/>
      <c r="W534" s="242"/>
      <c r="X534" s="242"/>
      <c r="Y534" s="148"/>
      <c r="Z534" s="148"/>
    </row>
    <row r="535">
      <c r="A535" s="148"/>
      <c r="B535" s="148"/>
      <c r="C535" s="148"/>
      <c r="D535" s="245"/>
      <c r="E535" s="148"/>
      <c r="F535" s="277"/>
      <c r="G535" s="148"/>
      <c r="H535" s="148"/>
      <c r="I535" s="251"/>
      <c r="J535" s="251"/>
      <c r="K535" s="148"/>
      <c r="L535" s="254"/>
      <c r="M535" s="252"/>
      <c r="N535" s="250"/>
      <c r="O535" s="253"/>
      <c r="P535" s="240"/>
      <c r="Q535" s="148"/>
      <c r="R535" s="148"/>
      <c r="S535" s="242"/>
      <c r="T535" s="242"/>
      <c r="U535" s="242"/>
      <c r="V535" s="242"/>
      <c r="W535" s="242"/>
      <c r="X535" s="242"/>
      <c r="Y535" s="148"/>
      <c r="Z535" s="148"/>
    </row>
    <row r="536">
      <c r="A536" s="148"/>
      <c r="B536" s="148"/>
      <c r="C536" s="148"/>
      <c r="D536" s="245"/>
      <c r="E536" s="148"/>
      <c r="F536" s="277"/>
      <c r="G536" s="148"/>
      <c r="H536" s="148"/>
      <c r="I536" s="251"/>
      <c r="J536" s="251"/>
      <c r="K536" s="148"/>
      <c r="L536" s="254"/>
      <c r="M536" s="252"/>
      <c r="N536" s="250"/>
      <c r="O536" s="253"/>
      <c r="P536" s="240"/>
      <c r="Q536" s="148"/>
      <c r="R536" s="148"/>
      <c r="S536" s="242"/>
      <c r="T536" s="242"/>
      <c r="U536" s="242"/>
      <c r="V536" s="242"/>
      <c r="W536" s="242"/>
      <c r="X536" s="242"/>
      <c r="Y536" s="148"/>
      <c r="Z536" s="148"/>
    </row>
    <row r="537">
      <c r="A537" s="148"/>
      <c r="B537" s="148"/>
      <c r="C537" s="148"/>
      <c r="D537" s="245"/>
      <c r="E537" s="148"/>
      <c r="F537" s="277"/>
      <c r="G537" s="148"/>
      <c r="H537" s="148"/>
      <c r="I537" s="251"/>
      <c r="J537" s="251"/>
      <c r="K537" s="148"/>
      <c r="L537" s="254"/>
      <c r="M537" s="252"/>
      <c r="N537" s="250"/>
      <c r="O537" s="253"/>
      <c r="P537" s="240"/>
      <c r="Q537" s="148"/>
      <c r="R537" s="148"/>
      <c r="S537" s="242"/>
      <c r="T537" s="242"/>
      <c r="U537" s="242"/>
      <c r="V537" s="242"/>
      <c r="W537" s="242"/>
      <c r="X537" s="242"/>
      <c r="Y537" s="148"/>
      <c r="Z537" s="148"/>
    </row>
    <row r="538">
      <c r="A538" s="148"/>
      <c r="B538" s="148"/>
      <c r="C538" s="148"/>
      <c r="D538" s="245"/>
      <c r="E538" s="148"/>
      <c r="F538" s="277"/>
      <c r="G538" s="148"/>
      <c r="H538" s="148"/>
      <c r="I538" s="251"/>
      <c r="J538" s="251"/>
      <c r="K538" s="148"/>
      <c r="L538" s="254"/>
      <c r="M538" s="252"/>
      <c r="N538" s="250"/>
      <c r="O538" s="253"/>
      <c r="P538" s="240"/>
      <c r="Q538" s="148"/>
      <c r="R538" s="148"/>
      <c r="S538" s="242"/>
      <c r="T538" s="242"/>
      <c r="U538" s="242"/>
      <c r="V538" s="242"/>
      <c r="W538" s="242"/>
      <c r="X538" s="242"/>
      <c r="Y538" s="148"/>
      <c r="Z538" s="148"/>
    </row>
    <row r="539">
      <c r="A539" s="148"/>
      <c r="B539" s="148"/>
      <c r="C539" s="148"/>
      <c r="D539" s="245"/>
      <c r="E539" s="148"/>
      <c r="F539" s="277"/>
      <c r="G539" s="148"/>
      <c r="H539" s="148"/>
      <c r="I539" s="251"/>
      <c r="J539" s="251"/>
      <c r="K539" s="148"/>
      <c r="L539" s="254"/>
      <c r="M539" s="252"/>
      <c r="N539" s="250"/>
      <c r="O539" s="253"/>
      <c r="P539" s="240"/>
      <c r="Q539" s="148"/>
      <c r="R539" s="148"/>
      <c r="S539" s="242"/>
      <c r="T539" s="242"/>
      <c r="U539" s="242"/>
      <c r="V539" s="242"/>
      <c r="W539" s="242"/>
      <c r="X539" s="242"/>
      <c r="Y539" s="148"/>
      <c r="Z539" s="148"/>
    </row>
    <row r="540">
      <c r="A540" s="148"/>
      <c r="B540" s="148"/>
      <c r="C540" s="148"/>
      <c r="D540" s="245"/>
      <c r="E540" s="148"/>
      <c r="F540" s="277"/>
      <c r="G540" s="148"/>
      <c r="H540" s="148"/>
      <c r="I540" s="251"/>
      <c r="J540" s="251"/>
      <c r="K540" s="148"/>
      <c r="L540" s="254"/>
      <c r="M540" s="252"/>
      <c r="N540" s="250"/>
      <c r="O540" s="253"/>
      <c r="P540" s="240"/>
      <c r="Q540" s="148"/>
      <c r="R540" s="148"/>
      <c r="S540" s="242"/>
      <c r="T540" s="242"/>
      <c r="U540" s="242"/>
      <c r="V540" s="242"/>
      <c r="W540" s="242"/>
      <c r="X540" s="242"/>
      <c r="Y540" s="148"/>
      <c r="Z540" s="148"/>
    </row>
    <row r="541">
      <c r="A541" s="148"/>
      <c r="B541" s="148"/>
      <c r="C541" s="148"/>
      <c r="D541" s="245"/>
      <c r="E541" s="148"/>
      <c r="F541" s="277"/>
      <c r="G541" s="148"/>
      <c r="H541" s="148"/>
      <c r="I541" s="251"/>
      <c r="J541" s="251"/>
      <c r="K541" s="148"/>
      <c r="L541" s="254"/>
      <c r="M541" s="252"/>
      <c r="N541" s="250"/>
      <c r="O541" s="253"/>
      <c r="P541" s="240"/>
      <c r="Q541" s="148"/>
      <c r="R541" s="148"/>
      <c r="S541" s="242"/>
      <c r="T541" s="242"/>
      <c r="U541" s="242"/>
      <c r="V541" s="242"/>
      <c r="W541" s="242"/>
      <c r="X541" s="242"/>
      <c r="Y541" s="148"/>
      <c r="Z541" s="148"/>
    </row>
    <row r="542">
      <c r="A542" s="148"/>
      <c r="B542" s="148"/>
      <c r="C542" s="148"/>
      <c r="D542" s="245"/>
      <c r="E542" s="148"/>
      <c r="F542" s="277"/>
      <c r="G542" s="148"/>
      <c r="H542" s="148"/>
      <c r="I542" s="251"/>
      <c r="J542" s="251"/>
      <c r="K542" s="148"/>
      <c r="L542" s="254"/>
      <c r="M542" s="252"/>
      <c r="N542" s="250"/>
      <c r="O542" s="253"/>
      <c r="P542" s="240"/>
      <c r="Q542" s="148"/>
      <c r="R542" s="148"/>
      <c r="S542" s="242"/>
      <c r="T542" s="242"/>
      <c r="U542" s="242"/>
      <c r="V542" s="242"/>
      <c r="W542" s="242"/>
      <c r="X542" s="242"/>
      <c r="Y542" s="148"/>
      <c r="Z542" s="148"/>
    </row>
    <row r="543">
      <c r="A543" s="148"/>
      <c r="B543" s="148"/>
      <c r="C543" s="148"/>
      <c r="D543" s="245"/>
      <c r="E543" s="148"/>
      <c r="F543" s="277"/>
      <c r="G543" s="148"/>
      <c r="H543" s="148"/>
      <c r="I543" s="251"/>
      <c r="J543" s="251"/>
      <c r="K543" s="148"/>
      <c r="L543" s="254"/>
      <c r="M543" s="252"/>
      <c r="N543" s="250"/>
      <c r="O543" s="253"/>
      <c r="P543" s="240"/>
      <c r="Q543" s="148"/>
      <c r="R543" s="148"/>
      <c r="S543" s="242"/>
      <c r="T543" s="242"/>
      <c r="U543" s="242"/>
      <c r="V543" s="242"/>
      <c r="W543" s="242"/>
      <c r="X543" s="242"/>
      <c r="Y543" s="148"/>
      <c r="Z543" s="148"/>
    </row>
    <row r="544">
      <c r="A544" s="148"/>
      <c r="B544" s="148"/>
      <c r="C544" s="148"/>
      <c r="D544" s="245"/>
      <c r="E544" s="148"/>
      <c r="F544" s="277"/>
      <c r="G544" s="148"/>
      <c r="H544" s="148"/>
      <c r="I544" s="251"/>
      <c r="J544" s="251"/>
      <c r="K544" s="148"/>
      <c r="L544" s="254"/>
      <c r="M544" s="252"/>
      <c r="N544" s="250"/>
      <c r="O544" s="253"/>
      <c r="P544" s="240"/>
      <c r="Q544" s="148"/>
      <c r="R544" s="148"/>
      <c r="S544" s="242"/>
      <c r="T544" s="242"/>
      <c r="U544" s="242"/>
      <c r="V544" s="242"/>
      <c r="W544" s="242"/>
      <c r="X544" s="242"/>
      <c r="Y544" s="148"/>
      <c r="Z544" s="148"/>
    </row>
    <row r="545">
      <c r="A545" s="148"/>
      <c r="B545" s="148"/>
      <c r="C545" s="148"/>
      <c r="D545" s="245"/>
      <c r="E545" s="148"/>
      <c r="F545" s="277"/>
      <c r="G545" s="148"/>
      <c r="H545" s="148"/>
      <c r="I545" s="251"/>
      <c r="J545" s="251"/>
      <c r="K545" s="148"/>
      <c r="L545" s="254"/>
      <c r="M545" s="252"/>
      <c r="N545" s="250"/>
      <c r="O545" s="253"/>
      <c r="P545" s="240"/>
      <c r="Q545" s="148"/>
      <c r="R545" s="148"/>
      <c r="S545" s="242"/>
      <c r="T545" s="242"/>
      <c r="U545" s="242"/>
      <c r="V545" s="242"/>
      <c r="W545" s="242"/>
      <c r="X545" s="242"/>
      <c r="Y545" s="148"/>
      <c r="Z545" s="148"/>
    </row>
    <row r="546">
      <c r="A546" s="148"/>
      <c r="B546" s="148"/>
      <c r="C546" s="148"/>
      <c r="D546" s="245"/>
      <c r="E546" s="148"/>
      <c r="F546" s="277"/>
      <c r="G546" s="148"/>
      <c r="H546" s="148"/>
      <c r="I546" s="251"/>
      <c r="J546" s="251"/>
      <c r="K546" s="148"/>
      <c r="L546" s="254"/>
      <c r="M546" s="252"/>
      <c r="N546" s="250"/>
      <c r="O546" s="253"/>
      <c r="P546" s="240"/>
      <c r="Q546" s="148"/>
      <c r="R546" s="148"/>
      <c r="S546" s="242"/>
      <c r="T546" s="242"/>
      <c r="U546" s="242"/>
      <c r="V546" s="242"/>
      <c r="W546" s="242"/>
      <c r="X546" s="242"/>
      <c r="Y546" s="148"/>
      <c r="Z546" s="148"/>
    </row>
    <row r="547">
      <c r="A547" s="148"/>
      <c r="B547" s="148"/>
      <c r="C547" s="148"/>
      <c r="D547" s="245"/>
      <c r="E547" s="148"/>
      <c r="F547" s="277"/>
      <c r="G547" s="148"/>
      <c r="H547" s="148"/>
      <c r="I547" s="251"/>
      <c r="J547" s="251"/>
      <c r="K547" s="148"/>
      <c r="L547" s="254"/>
      <c r="M547" s="252"/>
      <c r="N547" s="250"/>
      <c r="O547" s="253"/>
      <c r="P547" s="240"/>
      <c r="Q547" s="148"/>
      <c r="R547" s="148"/>
      <c r="S547" s="242"/>
      <c r="T547" s="242"/>
      <c r="U547" s="242"/>
      <c r="V547" s="242"/>
      <c r="W547" s="242"/>
      <c r="X547" s="242"/>
      <c r="Y547" s="148"/>
      <c r="Z547" s="148"/>
    </row>
    <row r="548">
      <c r="A548" s="148"/>
      <c r="B548" s="148"/>
      <c r="C548" s="148"/>
      <c r="D548" s="245"/>
      <c r="E548" s="148"/>
      <c r="F548" s="277"/>
      <c r="G548" s="148"/>
      <c r="H548" s="148"/>
      <c r="I548" s="251"/>
      <c r="J548" s="251"/>
      <c r="K548" s="148"/>
      <c r="L548" s="254"/>
      <c r="M548" s="252"/>
      <c r="N548" s="250"/>
      <c r="O548" s="253"/>
      <c r="P548" s="240"/>
      <c r="Q548" s="148"/>
      <c r="R548" s="148"/>
      <c r="S548" s="242"/>
      <c r="T548" s="242"/>
      <c r="U548" s="242"/>
      <c r="V548" s="242"/>
      <c r="W548" s="242"/>
      <c r="X548" s="242"/>
      <c r="Y548" s="148"/>
      <c r="Z548" s="148"/>
    </row>
    <row r="549">
      <c r="A549" s="148"/>
      <c r="B549" s="148"/>
      <c r="C549" s="148"/>
      <c r="D549" s="245"/>
      <c r="E549" s="148"/>
      <c r="F549" s="277"/>
      <c r="G549" s="148"/>
      <c r="H549" s="148"/>
      <c r="I549" s="251"/>
      <c r="J549" s="251"/>
      <c r="K549" s="148"/>
      <c r="L549" s="254"/>
      <c r="M549" s="252"/>
      <c r="N549" s="250"/>
      <c r="O549" s="253"/>
      <c r="P549" s="240"/>
      <c r="Q549" s="148"/>
      <c r="R549" s="148"/>
      <c r="S549" s="242"/>
      <c r="T549" s="242"/>
      <c r="U549" s="242"/>
      <c r="V549" s="242"/>
      <c r="W549" s="242"/>
      <c r="X549" s="242"/>
      <c r="Y549" s="148"/>
      <c r="Z549" s="148"/>
    </row>
    <row r="550">
      <c r="A550" s="148"/>
      <c r="B550" s="148"/>
      <c r="C550" s="148"/>
      <c r="D550" s="245"/>
      <c r="E550" s="148"/>
      <c r="F550" s="277"/>
      <c r="G550" s="148"/>
      <c r="H550" s="148"/>
      <c r="I550" s="251"/>
      <c r="J550" s="251"/>
      <c r="K550" s="148"/>
      <c r="L550" s="254"/>
      <c r="M550" s="252"/>
      <c r="N550" s="250"/>
      <c r="O550" s="253"/>
      <c r="P550" s="240"/>
      <c r="Q550" s="148"/>
      <c r="R550" s="148"/>
      <c r="S550" s="242"/>
      <c r="T550" s="242"/>
      <c r="U550" s="242"/>
      <c r="V550" s="242"/>
      <c r="W550" s="242"/>
      <c r="X550" s="242"/>
      <c r="Y550" s="148"/>
      <c r="Z550" s="148"/>
    </row>
    <row r="551">
      <c r="A551" s="148"/>
      <c r="B551" s="148"/>
      <c r="C551" s="148"/>
      <c r="D551" s="245"/>
      <c r="E551" s="148"/>
      <c r="F551" s="277"/>
      <c r="G551" s="148"/>
      <c r="H551" s="148"/>
      <c r="I551" s="251"/>
      <c r="J551" s="251"/>
      <c r="K551" s="148"/>
      <c r="L551" s="254"/>
      <c r="M551" s="252"/>
      <c r="N551" s="250"/>
      <c r="O551" s="253"/>
      <c r="P551" s="240"/>
      <c r="Q551" s="148"/>
      <c r="R551" s="148"/>
      <c r="S551" s="242"/>
      <c r="T551" s="242"/>
      <c r="U551" s="242"/>
      <c r="V551" s="242"/>
      <c r="W551" s="242"/>
      <c r="X551" s="242"/>
      <c r="Y551" s="148"/>
      <c r="Z551" s="148"/>
    </row>
    <row r="552">
      <c r="A552" s="148"/>
      <c r="B552" s="148"/>
      <c r="C552" s="148"/>
      <c r="D552" s="245"/>
      <c r="E552" s="148"/>
      <c r="F552" s="277"/>
      <c r="G552" s="148"/>
      <c r="H552" s="148"/>
      <c r="I552" s="251"/>
      <c r="J552" s="251"/>
      <c r="K552" s="148"/>
      <c r="L552" s="254"/>
      <c r="M552" s="252"/>
      <c r="N552" s="250"/>
      <c r="O552" s="253"/>
      <c r="P552" s="240"/>
      <c r="Q552" s="148"/>
      <c r="R552" s="148"/>
      <c r="S552" s="242"/>
      <c r="T552" s="242"/>
      <c r="U552" s="242"/>
      <c r="V552" s="242"/>
      <c r="W552" s="242"/>
      <c r="X552" s="242"/>
      <c r="Y552" s="148"/>
      <c r="Z552" s="148"/>
    </row>
    <row r="553">
      <c r="A553" s="148"/>
      <c r="B553" s="148"/>
      <c r="C553" s="148"/>
      <c r="D553" s="245"/>
      <c r="E553" s="148"/>
      <c r="F553" s="277"/>
      <c r="G553" s="148"/>
      <c r="H553" s="148"/>
      <c r="I553" s="251"/>
      <c r="J553" s="251"/>
      <c r="K553" s="148"/>
      <c r="L553" s="254"/>
      <c r="M553" s="252"/>
      <c r="N553" s="250"/>
      <c r="O553" s="253"/>
      <c r="P553" s="240"/>
      <c r="Q553" s="148"/>
      <c r="R553" s="148"/>
      <c r="S553" s="242"/>
      <c r="T553" s="242"/>
      <c r="U553" s="242"/>
      <c r="V553" s="242"/>
      <c r="W553" s="242"/>
      <c r="X553" s="242"/>
      <c r="Y553" s="148"/>
      <c r="Z553" s="148"/>
    </row>
    <row r="554">
      <c r="A554" s="148"/>
      <c r="B554" s="148"/>
      <c r="C554" s="148"/>
      <c r="D554" s="245"/>
      <c r="E554" s="148"/>
      <c r="F554" s="277"/>
      <c r="G554" s="148"/>
      <c r="H554" s="148"/>
      <c r="I554" s="251"/>
      <c r="J554" s="251"/>
      <c r="K554" s="148"/>
      <c r="L554" s="254"/>
      <c r="M554" s="252"/>
      <c r="N554" s="250"/>
      <c r="O554" s="253"/>
      <c r="P554" s="240"/>
      <c r="Q554" s="148"/>
      <c r="R554" s="148"/>
      <c r="S554" s="242"/>
      <c r="T554" s="242"/>
      <c r="U554" s="242"/>
      <c r="V554" s="242"/>
      <c r="W554" s="242"/>
      <c r="X554" s="242"/>
      <c r="Y554" s="148"/>
      <c r="Z554" s="148"/>
    </row>
    <row r="555">
      <c r="A555" s="148"/>
      <c r="B555" s="148"/>
      <c r="C555" s="148"/>
      <c r="D555" s="245"/>
      <c r="E555" s="148"/>
      <c r="F555" s="277"/>
      <c r="G555" s="148"/>
      <c r="H555" s="148"/>
      <c r="I555" s="251"/>
      <c r="J555" s="251"/>
      <c r="K555" s="148"/>
      <c r="L555" s="254"/>
      <c r="M555" s="252"/>
      <c r="N555" s="250"/>
      <c r="O555" s="253"/>
      <c r="P555" s="240"/>
      <c r="Q555" s="148"/>
      <c r="R555" s="148"/>
      <c r="S555" s="242"/>
      <c r="T555" s="242"/>
      <c r="U555" s="242"/>
      <c r="V555" s="242"/>
      <c r="W555" s="242"/>
      <c r="X555" s="242"/>
      <c r="Y555" s="148"/>
      <c r="Z555" s="148"/>
    </row>
    <row r="556">
      <c r="A556" s="148"/>
      <c r="B556" s="148"/>
      <c r="C556" s="148"/>
      <c r="D556" s="245"/>
      <c r="E556" s="148"/>
      <c r="F556" s="277"/>
      <c r="G556" s="148"/>
      <c r="H556" s="148"/>
      <c r="I556" s="251"/>
      <c r="J556" s="251"/>
      <c r="K556" s="148"/>
      <c r="L556" s="254"/>
      <c r="M556" s="252"/>
      <c r="N556" s="250"/>
      <c r="O556" s="253"/>
      <c r="P556" s="240"/>
      <c r="Q556" s="148"/>
      <c r="R556" s="148"/>
      <c r="S556" s="242"/>
      <c r="T556" s="242"/>
      <c r="U556" s="242"/>
      <c r="V556" s="242"/>
      <c r="W556" s="242"/>
      <c r="X556" s="242"/>
      <c r="Y556" s="148"/>
      <c r="Z556" s="148"/>
    </row>
    <row r="557">
      <c r="A557" s="148"/>
      <c r="B557" s="148"/>
      <c r="C557" s="148"/>
      <c r="D557" s="245"/>
      <c r="E557" s="148"/>
      <c r="F557" s="277"/>
      <c r="G557" s="148"/>
      <c r="H557" s="148"/>
      <c r="I557" s="251"/>
      <c r="J557" s="251"/>
      <c r="K557" s="148"/>
      <c r="L557" s="254"/>
      <c r="M557" s="252"/>
      <c r="N557" s="250"/>
      <c r="O557" s="253"/>
      <c r="P557" s="240"/>
      <c r="Q557" s="148"/>
      <c r="R557" s="148"/>
      <c r="S557" s="242"/>
      <c r="T557" s="242"/>
      <c r="U557" s="242"/>
      <c r="V557" s="242"/>
      <c r="W557" s="242"/>
      <c r="X557" s="242"/>
      <c r="Y557" s="148"/>
      <c r="Z557" s="148"/>
    </row>
    <row r="558">
      <c r="A558" s="148"/>
      <c r="B558" s="148"/>
      <c r="C558" s="148"/>
      <c r="D558" s="245"/>
      <c r="E558" s="148"/>
      <c r="F558" s="277"/>
      <c r="G558" s="148"/>
      <c r="H558" s="148"/>
      <c r="I558" s="251"/>
      <c r="J558" s="251"/>
      <c r="K558" s="148"/>
      <c r="L558" s="254"/>
      <c r="M558" s="252"/>
      <c r="N558" s="250"/>
      <c r="O558" s="253"/>
      <c r="P558" s="240"/>
      <c r="Q558" s="148"/>
      <c r="R558" s="148"/>
      <c r="S558" s="242"/>
      <c r="T558" s="242"/>
      <c r="U558" s="242"/>
      <c r="V558" s="242"/>
      <c r="W558" s="242"/>
      <c r="X558" s="242"/>
      <c r="Y558" s="148"/>
      <c r="Z558" s="148"/>
    </row>
    <row r="559">
      <c r="A559" s="148"/>
      <c r="B559" s="148"/>
      <c r="C559" s="148"/>
      <c r="D559" s="245"/>
      <c r="E559" s="148"/>
      <c r="F559" s="277"/>
      <c r="G559" s="148"/>
      <c r="H559" s="148"/>
      <c r="I559" s="251"/>
      <c r="J559" s="251"/>
      <c r="K559" s="148"/>
      <c r="L559" s="254"/>
      <c r="M559" s="252"/>
      <c r="N559" s="250"/>
      <c r="O559" s="253"/>
      <c r="P559" s="240"/>
      <c r="Q559" s="148"/>
      <c r="R559" s="148"/>
      <c r="S559" s="242"/>
      <c r="T559" s="242"/>
      <c r="U559" s="242"/>
      <c r="V559" s="242"/>
      <c r="W559" s="242"/>
      <c r="X559" s="242"/>
      <c r="Y559" s="148"/>
      <c r="Z559" s="148"/>
    </row>
    <row r="560">
      <c r="A560" s="148"/>
      <c r="B560" s="148"/>
      <c r="C560" s="148"/>
      <c r="D560" s="245"/>
      <c r="E560" s="148"/>
      <c r="F560" s="277"/>
      <c r="G560" s="148"/>
      <c r="H560" s="148"/>
      <c r="I560" s="251"/>
      <c r="J560" s="251"/>
      <c r="K560" s="148"/>
      <c r="L560" s="254"/>
      <c r="M560" s="252"/>
      <c r="N560" s="250"/>
      <c r="O560" s="253"/>
      <c r="P560" s="240"/>
      <c r="Q560" s="148"/>
      <c r="R560" s="148"/>
      <c r="S560" s="242"/>
      <c r="T560" s="242"/>
      <c r="U560" s="242"/>
      <c r="V560" s="242"/>
      <c r="W560" s="242"/>
      <c r="X560" s="242"/>
      <c r="Y560" s="148"/>
      <c r="Z560" s="148"/>
    </row>
    <row r="561">
      <c r="A561" s="148"/>
      <c r="B561" s="148"/>
      <c r="C561" s="148"/>
      <c r="D561" s="245"/>
      <c r="E561" s="148"/>
      <c r="F561" s="277"/>
      <c r="G561" s="148"/>
      <c r="H561" s="148"/>
      <c r="I561" s="251"/>
      <c r="J561" s="251"/>
      <c r="K561" s="148"/>
      <c r="L561" s="254"/>
      <c r="M561" s="252"/>
      <c r="N561" s="250"/>
      <c r="O561" s="253"/>
      <c r="P561" s="240"/>
      <c r="Q561" s="148"/>
      <c r="R561" s="148"/>
      <c r="S561" s="242"/>
      <c r="T561" s="242"/>
      <c r="U561" s="242"/>
      <c r="V561" s="242"/>
      <c r="W561" s="242"/>
      <c r="X561" s="242"/>
      <c r="Y561" s="148"/>
      <c r="Z561" s="148"/>
    </row>
    <row r="562">
      <c r="A562" s="148"/>
      <c r="B562" s="148"/>
      <c r="C562" s="148"/>
      <c r="D562" s="245"/>
      <c r="E562" s="148"/>
      <c r="F562" s="277"/>
      <c r="G562" s="148"/>
      <c r="H562" s="148"/>
      <c r="I562" s="251"/>
      <c r="J562" s="251"/>
      <c r="K562" s="148"/>
      <c r="L562" s="254"/>
      <c r="M562" s="252"/>
      <c r="N562" s="250"/>
      <c r="O562" s="253"/>
      <c r="P562" s="240"/>
      <c r="Q562" s="148"/>
      <c r="R562" s="148"/>
      <c r="S562" s="242"/>
      <c r="T562" s="242"/>
      <c r="U562" s="242"/>
      <c r="V562" s="242"/>
      <c r="W562" s="242"/>
      <c r="X562" s="242"/>
      <c r="Y562" s="148"/>
      <c r="Z562" s="148"/>
    </row>
    <row r="563">
      <c r="A563" s="148"/>
      <c r="B563" s="148"/>
      <c r="C563" s="148"/>
      <c r="D563" s="245"/>
      <c r="E563" s="148"/>
      <c r="F563" s="277"/>
      <c r="G563" s="148"/>
      <c r="H563" s="148"/>
      <c r="I563" s="251"/>
      <c r="J563" s="251"/>
      <c r="K563" s="148"/>
      <c r="L563" s="254"/>
      <c r="M563" s="252"/>
      <c r="N563" s="250"/>
      <c r="O563" s="253"/>
      <c r="P563" s="240"/>
      <c r="Q563" s="148"/>
      <c r="R563" s="148"/>
      <c r="S563" s="242"/>
      <c r="T563" s="242"/>
      <c r="U563" s="242"/>
      <c r="V563" s="242"/>
      <c r="W563" s="242"/>
      <c r="X563" s="242"/>
      <c r="Y563" s="148"/>
      <c r="Z563" s="148"/>
    </row>
    <row r="564">
      <c r="A564" s="148"/>
      <c r="B564" s="148"/>
      <c r="C564" s="148"/>
      <c r="D564" s="245"/>
      <c r="E564" s="148"/>
      <c r="F564" s="277"/>
      <c r="G564" s="148"/>
      <c r="H564" s="148"/>
      <c r="I564" s="251"/>
      <c r="J564" s="251"/>
      <c r="K564" s="148"/>
      <c r="L564" s="254"/>
      <c r="M564" s="252"/>
      <c r="N564" s="250"/>
      <c r="O564" s="253"/>
      <c r="P564" s="240"/>
      <c r="Q564" s="148"/>
      <c r="R564" s="148"/>
      <c r="S564" s="242"/>
      <c r="T564" s="242"/>
      <c r="U564" s="242"/>
      <c r="V564" s="242"/>
      <c r="W564" s="242"/>
      <c r="X564" s="242"/>
      <c r="Y564" s="148"/>
      <c r="Z564" s="148"/>
    </row>
    <row r="565">
      <c r="A565" s="148"/>
      <c r="B565" s="148"/>
      <c r="C565" s="148"/>
      <c r="D565" s="245"/>
      <c r="E565" s="148"/>
      <c r="F565" s="277"/>
      <c r="G565" s="148"/>
      <c r="H565" s="148"/>
      <c r="I565" s="251"/>
      <c r="J565" s="251"/>
      <c r="K565" s="148"/>
      <c r="L565" s="254"/>
      <c r="M565" s="252"/>
      <c r="N565" s="250"/>
      <c r="O565" s="253"/>
      <c r="P565" s="240"/>
      <c r="Q565" s="148"/>
      <c r="R565" s="148"/>
      <c r="S565" s="242"/>
      <c r="T565" s="242"/>
      <c r="U565" s="242"/>
      <c r="V565" s="242"/>
      <c r="W565" s="242"/>
      <c r="X565" s="242"/>
      <c r="Y565" s="148"/>
      <c r="Z565" s="148"/>
    </row>
    <row r="566">
      <c r="A566" s="148"/>
      <c r="B566" s="148"/>
      <c r="C566" s="148"/>
      <c r="D566" s="245"/>
      <c r="E566" s="148"/>
      <c r="F566" s="277"/>
      <c r="G566" s="148"/>
      <c r="H566" s="148"/>
      <c r="I566" s="251"/>
      <c r="J566" s="251"/>
      <c r="K566" s="148"/>
      <c r="L566" s="254"/>
      <c r="M566" s="252"/>
      <c r="N566" s="250"/>
      <c r="O566" s="253"/>
      <c r="P566" s="240"/>
      <c r="Q566" s="148"/>
      <c r="R566" s="148"/>
      <c r="S566" s="242"/>
      <c r="T566" s="242"/>
      <c r="U566" s="242"/>
      <c r="V566" s="242"/>
      <c r="W566" s="242"/>
      <c r="X566" s="242"/>
      <c r="Y566" s="148"/>
      <c r="Z566" s="148"/>
    </row>
    <row r="567">
      <c r="A567" s="148"/>
      <c r="B567" s="148"/>
      <c r="C567" s="148"/>
      <c r="D567" s="245"/>
      <c r="E567" s="148"/>
      <c r="F567" s="277"/>
      <c r="G567" s="148"/>
      <c r="H567" s="148"/>
      <c r="I567" s="251"/>
      <c r="J567" s="251"/>
      <c r="K567" s="148"/>
      <c r="L567" s="254"/>
      <c r="M567" s="252"/>
      <c r="N567" s="250"/>
      <c r="O567" s="253"/>
      <c r="P567" s="240"/>
      <c r="Q567" s="148"/>
      <c r="R567" s="148"/>
      <c r="S567" s="242"/>
      <c r="T567" s="242"/>
      <c r="U567" s="242"/>
      <c r="V567" s="242"/>
      <c r="W567" s="242"/>
      <c r="X567" s="242"/>
      <c r="Y567" s="148"/>
      <c r="Z567" s="148"/>
    </row>
    <row r="568">
      <c r="A568" s="148"/>
      <c r="B568" s="148"/>
      <c r="C568" s="148"/>
      <c r="D568" s="245"/>
      <c r="E568" s="148"/>
      <c r="F568" s="277"/>
      <c r="G568" s="148"/>
      <c r="H568" s="148"/>
      <c r="I568" s="251"/>
      <c r="J568" s="251"/>
      <c r="K568" s="148"/>
      <c r="L568" s="254"/>
      <c r="M568" s="252"/>
      <c r="N568" s="250"/>
      <c r="O568" s="253"/>
      <c r="P568" s="240"/>
      <c r="Q568" s="148"/>
      <c r="R568" s="148"/>
      <c r="S568" s="242"/>
      <c r="T568" s="242"/>
      <c r="U568" s="242"/>
      <c r="V568" s="242"/>
      <c r="W568" s="242"/>
      <c r="X568" s="242"/>
      <c r="Y568" s="148"/>
      <c r="Z568" s="148"/>
    </row>
    <row r="569">
      <c r="A569" s="148"/>
      <c r="B569" s="148"/>
      <c r="C569" s="148"/>
      <c r="D569" s="245"/>
      <c r="E569" s="148"/>
      <c r="F569" s="277"/>
      <c r="G569" s="148"/>
      <c r="H569" s="148"/>
      <c r="I569" s="251"/>
      <c r="J569" s="251"/>
      <c r="K569" s="148"/>
      <c r="L569" s="254"/>
      <c r="M569" s="252"/>
      <c r="N569" s="250"/>
      <c r="O569" s="253"/>
      <c r="P569" s="240"/>
      <c r="Q569" s="148"/>
      <c r="R569" s="148"/>
      <c r="S569" s="242"/>
      <c r="T569" s="242"/>
      <c r="U569" s="242"/>
      <c r="V569" s="242"/>
      <c r="W569" s="242"/>
      <c r="X569" s="242"/>
      <c r="Y569" s="148"/>
      <c r="Z569" s="148"/>
    </row>
    <row r="570">
      <c r="A570" s="148"/>
      <c r="B570" s="148"/>
      <c r="C570" s="148"/>
      <c r="D570" s="245"/>
      <c r="E570" s="148"/>
      <c r="F570" s="277"/>
      <c r="G570" s="148"/>
      <c r="H570" s="148"/>
      <c r="I570" s="251"/>
      <c r="J570" s="251"/>
      <c r="K570" s="148"/>
      <c r="L570" s="254"/>
      <c r="M570" s="252"/>
      <c r="N570" s="250"/>
      <c r="O570" s="253"/>
      <c r="P570" s="240"/>
      <c r="Q570" s="148"/>
      <c r="R570" s="148"/>
      <c r="S570" s="242"/>
      <c r="T570" s="242"/>
      <c r="U570" s="242"/>
      <c r="V570" s="242"/>
      <c r="W570" s="242"/>
      <c r="X570" s="242"/>
      <c r="Y570" s="148"/>
      <c r="Z570" s="148"/>
    </row>
    <row r="571">
      <c r="A571" s="148"/>
      <c r="B571" s="148"/>
      <c r="C571" s="148"/>
      <c r="D571" s="245"/>
      <c r="E571" s="148"/>
      <c r="F571" s="277"/>
      <c r="G571" s="148"/>
      <c r="H571" s="148"/>
      <c r="I571" s="251"/>
      <c r="J571" s="251"/>
      <c r="K571" s="148"/>
      <c r="L571" s="254"/>
      <c r="M571" s="252"/>
      <c r="N571" s="250"/>
      <c r="O571" s="253"/>
      <c r="P571" s="240"/>
      <c r="Q571" s="148"/>
      <c r="R571" s="148"/>
      <c r="S571" s="242"/>
      <c r="T571" s="242"/>
      <c r="U571" s="242"/>
      <c r="V571" s="242"/>
      <c r="W571" s="242"/>
      <c r="X571" s="242"/>
      <c r="Y571" s="148"/>
      <c r="Z571" s="148"/>
    </row>
    <row r="572">
      <c r="A572" s="148"/>
      <c r="B572" s="148"/>
      <c r="C572" s="148"/>
      <c r="D572" s="245"/>
      <c r="E572" s="148"/>
      <c r="F572" s="277"/>
      <c r="G572" s="148"/>
      <c r="H572" s="148"/>
      <c r="I572" s="251"/>
      <c r="J572" s="251"/>
      <c r="K572" s="148"/>
      <c r="L572" s="254"/>
      <c r="M572" s="252"/>
      <c r="N572" s="250"/>
      <c r="O572" s="253"/>
      <c r="P572" s="240"/>
      <c r="Q572" s="148"/>
      <c r="R572" s="148"/>
      <c r="S572" s="242"/>
      <c r="T572" s="242"/>
      <c r="U572" s="242"/>
      <c r="V572" s="242"/>
      <c r="W572" s="242"/>
      <c r="X572" s="242"/>
      <c r="Y572" s="148"/>
      <c r="Z572" s="148"/>
    </row>
    <row r="573">
      <c r="A573" s="148"/>
      <c r="B573" s="148"/>
      <c r="C573" s="148"/>
      <c r="D573" s="245"/>
      <c r="E573" s="148"/>
      <c r="F573" s="277"/>
      <c r="G573" s="148"/>
      <c r="H573" s="148"/>
      <c r="I573" s="251"/>
      <c r="J573" s="251"/>
      <c r="K573" s="148"/>
      <c r="L573" s="254"/>
      <c r="M573" s="252"/>
      <c r="N573" s="250"/>
      <c r="O573" s="253"/>
      <c r="P573" s="240"/>
      <c r="Q573" s="148"/>
      <c r="R573" s="148"/>
      <c r="S573" s="242"/>
      <c r="T573" s="242"/>
      <c r="U573" s="242"/>
      <c r="V573" s="242"/>
      <c r="W573" s="242"/>
      <c r="X573" s="242"/>
      <c r="Y573" s="148"/>
      <c r="Z573" s="148"/>
    </row>
    <row r="574">
      <c r="A574" s="148"/>
      <c r="B574" s="148"/>
      <c r="C574" s="148"/>
      <c r="D574" s="245"/>
      <c r="E574" s="148"/>
      <c r="F574" s="277"/>
      <c r="G574" s="148"/>
      <c r="H574" s="148"/>
      <c r="I574" s="251"/>
      <c r="J574" s="251"/>
      <c r="K574" s="148"/>
      <c r="L574" s="254"/>
      <c r="M574" s="252"/>
      <c r="N574" s="250"/>
      <c r="O574" s="253"/>
      <c r="P574" s="240"/>
      <c r="Q574" s="148"/>
      <c r="R574" s="148"/>
      <c r="S574" s="242"/>
      <c r="T574" s="242"/>
      <c r="U574" s="242"/>
      <c r="V574" s="242"/>
      <c r="W574" s="242"/>
      <c r="X574" s="242"/>
      <c r="Y574" s="148"/>
      <c r="Z574" s="148"/>
    </row>
    <row r="575">
      <c r="A575" s="148"/>
      <c r="B575" s="148"/>
      <c r="C575" s="148"/>
      <c r="D575" s="245"/>
      <c r="E575" s="148"/>
      <c r="F575" s="277"/>
      <c r="G575" s="148"/>
      <c r="H575" s="148"/>
      <c r="I575" s="251"/>
      <c r="J575" s="251"/>
      <c r="K575" s="148"/>
      <c r="L575" s="254"/>
      <c r="M575" s="252"/>
      <c r="N575" s="250"/>
      <c r="O575" s="253"/>
      <c r="P575" s="240"/>
      <c r="Q575" s="148"/>
      <c r="R575" s="148"/>
      <c r="S575" s="242"/>
      <c r="T575" s="242"/>
      <c r="U575" s="242"/>
      <c r="V575" s="242"/>
      <c r="W575" s="242"/>
      <c r="X575" s="242"/>
      <c r="Y575" s="148"/>
      <c r="Z575" s="148"/>
    </row>
    <row r="576">
      <c r="A576" s="148"/>
      <c r="B576" s="148"/>
      <c r="C576" s="148"/>
      <c r="D576" s="245"/>
      <c r="E576" s="148"/>
      <c r="F576" s="277"/>
      <c r="G576" s="148"/>
      <c r="H576" s="148"/>
      <c r="I576" s="251"/>
      <c r="J576" s="251"/>
      <c r="K576" s="148"/>
      <c r="L576" s="254"/>
      <c r="M576" s="252"/>
      <c r="N576" s="250"/>
      <c r="O576" s="253"/>
      <c r="P576" s="240"/>
      <c r="Q576" s="148"/>
      <c r="R576" s="148"/>
      <c r="S576" s="242"/>
      <c r="T576" s="242"/>
      <c r="U576" s="242"/>
      <c r="V576" s="242"/>
      <c r="W576" s="242"/>
      <c r="X576" s="242"/>
      <c r="Y576" s="148"/>
      <c r="Z576" s="148"/>
    </row>
    <row r="577">
      <c r="A577" s="148"/>
      <c r="B577" s="148"/>
      <c r="C577" s="148"/>
      <c r="D577" s="245"/>
      <c r="E577" s="148"/>
      <c r="F577" s="277"/>
      <c r="G577" s="148"/>
      <c r="H577" s="148"/>
      <c r="I577" s="251"/>
      <c r="J577" s="251"/>
      <c r="K577" s="148"/>
      <c r="L577" s="254"/>
      <c r="M577" s="252"/>
      <c r="N577" s="250"/>
      <c r="O577" s="253"/>
      <c r="P577" s="240"/>
      <c r="Q577" s="148"/>
      <c r="R577" s="148"/>
      <c r="S577" s="242"/>
      <c r="T577" s="242"/>
      <c r="U577" s="242"/>
      <c r="V577" s="242"/>
      <c r="W577" s="242"/>
      <c r="X577" s="242"/>
      <c r="Y577" s="148"/>
      <c r="Z577" s="148"/>
    </row>
    <row r="578">
      <c r="A578" s="148"/>
      <c r="B578" s="148"/>
      <c r="C578" s="148"/>
      <c r="D578" s="245"/>
      <c r="E578" s="148"/>
      <c r="F578" s="277"/>
      <c r="G578" s="148"/>
      <c r="H578" s="148"/>
      <c r="I578" s="251"/>
      <c r="J578" s="251"/>
      <c r="K578" s="148"/>
      <c r="L578" s="254"/>
      <c r="M578" s="252"/>
      <c r="N578" s="250"/>
      <c r="O578" s="253"/>
      <c r="P578" s="240"/>
      <c r="Q578" s="148"/>
      <c r="R578" s="148"/>
      <c r="S578" s="242"/>
      <c r="T578" s="242"/>
      <c r="U578" s="242"/>
      <c r="V578" s="242"/>
      <c r="W578" s="242"/>
      <c r="X578" s="242"/>
      <c r="Y578" s="148"/>
      <c r="Z578" s="148"/>
    </row>
    <row r="579">
      <c r="A579" s="148"/>
      <c r="B579" s="148"/>
      <c r="C579" s="148"/>
      <c r="D579" s="245"/>
      <c r="E579" s="148"/>
      <c r="F579" s="277"/>
      <c r="G579" s="148"/>
      <c r="H579" s="148"/>
      <c r="I579" s="251"/>
      <c r="J579" s="251"/>
      <c r="K579" s="148"/>
      <c r="L579" s="254"/>
      <c r="M579" s="252"/>
      <c r="N579" s="250"/>
      <c r="O579" s="253"/>
      <c r="P579" s="240"/>
      <c r="Q579" s="148"/>
      <c r="R579" s="148"/>
      <c r="S579" s="242"/>
      <c r="T579" s="242"/>
      <c r="U579" s="242"/>
      <c r="V579" s="242"/>
      <c r="W579" s="242"/>
      <c r="X579" s="242"/>
      <c r="Y579" s="148"/>
      <c r="Z579" s="148"/>
    </row>
    <row r="580">
      <c r="A580" s="148"/>
      <c r="B580" s="148"/>
      <c r="C580" s="148"/>
      <c r="D580" s="245"/>
      <c r="E580" s="148"/>
      <c r="F580" s="277"/>
      <c r="G580" s="148"/>
      <c r="H580" s="148"/>
      <c r="I580" s="251"/>
      <c r="J580" s="251"/>
      <c r="K580" s="148"/>
      <c r="L580" s="254"/>
      <c r="M580" s="252"/>
      <c r="N580" s="250"/>
      <c r="O580" s="253"/>
      <c r="P580" s="240"/>
      <c r="Q580" s="148"/>
      <c r="R580" s="148"/>
      <c r="S580" s="242"/>
      <c r="T580" s="242"/>
      <c r="U580" s="242"/>
      <c r="V580" s="242"/>
      <c r="W580" s="242"/>
      <c r="X580" s="242"/>
      <c r="Y580" s="148"/>
      <c r="Z580" s="148"/>
    </row>
    <row r="581">
      <c r="A581" s="148"/>
      <c r="B581" s="148"/>
      <c r="C581" s="148"/>
      <c r="D581" s="245"/>
      <c r="E581" s="148"/>
      <c r="F581" s="277"/>
      <c r="G581" s="148"/>
      <c r="H581" s="148"/>
      <c r="I581" s="251"/>
      <c r="J581" s="251"/>
      <c r="K581" s="148"/>
      <c r="L581" s="254"/>
      <c r="M581" s="252"/>
      <c r="N581" s="250"/>
      <c r="O581" s="253"/>
      <c r="P581" s="240"/>
      <c r="Q581" s="148"/>
      <c r="R581" s="148"/>
      <c r="S581" s="242"/>
      <c r="T581" s="242"/>
      <c r="U581" s="242"/>
      <c r="V581" s="242"/>
      <c r="W581" s="242"/>
      <c r="X581" s="242"/>
      <c r="Y581" s="148"/>
      <c r="Z581" s="148"/>
    </row>
    <row r="582">
      <c r="A582" s="148"/>
      <c r="B582" s="148"/>
      <c r="C582" s="148"/>
      <c r="D582" s="245"/>
      <c r="E582" s="148"/>
      <c r="F582" s="277"/>
      <c r="G582" s="148"/>
      <c r="H582" s="148"/>
      <c r="I582" s="251"/>
      <c r="J582" s="251"/>
      <c r="K582" s="148"/>
      <c r="L582" s="254"/>
      <c r="M582" s="252"/>
      <c r="N582" s="250"/>
      <c r="O582" s="253"/>
      <c r="P582" s="240"/>
      <c r="Q582" s="148"/>
      <c r="R582" s="148"/>
      <c r="S582" s="242"/>
      <c r="T582" s="242"/>
      <c r="U582" s="242"/>
      <c r="V582" s="242"/>
      <c r="W582" s="242"/>
      <c r="X582" s="242"/>
      <c r="Y582" s="148"/>
      <c r="Z582" s="148"/>
    </row>
    <row r="583">
      <c r="A583" s="148"/>
      <c r="B583" s="148"/>
      <c r="C583" s="148"/>
      <c r="D583" s="245"/>
      <c r="E583" s="148"/>
      <c r="F583" s="277"/>
      <c r="G583" s="148"/>
      <c r="H583" s="148"/>
      <c r="I583" s="251"/>
      <c r="J583" s="251"/>
      <c r="K583" s="148"/>
      <c r="L583" s="254"/>
      <c r="M583" s="252"/>
      <c r="N583" s="250"/>
      <c r="O583" s="253"/>
      <c r="P583" s="240"/>
      <c r="Q583" s="148"/>
      <c r="R583" s="148"/>
      <c r="S583" s="242"/>
      <c r="T583" s="242"/>
      <c r="U583" s="242"/>
      <c r="V583" s="242"/>
      <c r="W583" s="242"/>
      <c r="X583" s="242"/>
      <c r="Y583" s="148"/>
      <c r="Z583" s="148"/>
    </row>
    <row r="584">
      <c r="A584" s="148"/>
      <c r="B584" s="148"/>
      <c r="C584" s="148"/>
      <c r="D584" s="245"/>
      <c r="E584" s="148"/>
      <c r="F584" s="277"/>
      <c r="G584" s="148"/>
      <c r="H584" s="148"/>
      <c r="I584" s="251"/>
      <c r="J584" s="251"/>
      <c r="K584" s="148"/>
      <c r="L584" s="254"/>
      <c r="M584" s="252"/>
      <c r="N584" s="250"/>
      <c r="O584" s="253"/>
      <c r="P584" s="240"/>
      <c r="Q584" s="148"/>
      <c r="R584" s="148"/>
      <c r="S584" s="242"/>
      <c r="T584" s="242"/>
      <c r="U584" s="242"/>
      <c r="V584" s="242"/>
      <c r="W584" s="242"/>
      <c r="X584" s="242"/>
      <c r="Y584" s="148"/>
      <c r="Z584" s="148"/>
    </row>
    <row r="585">
      <c r="A585" s="148"/>
      <c r="B585" s="148"/>
      <c r="C585" s="148"/>
      <c r="D585" s="245"/>
      <c r="E585" s="148"/>
      <c r="F585" s="277"/>
      <c r="G585" s="148"/>
      <c r="H585" s="148"/>
      <c r="I585" s="251"/>
      <c r="J585" s="251"/>
      <c r="K585" s="148"/>
      <c r="L585" s="254"/>
      <c r="M585" s="252"/>
      <c r="N585" s="250"/>
      <c r="O585" s="253"/>
      <c r="P585" s="240"/>
      <c r="Q585" s="148"/>
      <c r="R585" s="148"/>
      <c r="S585" s="242"/>
      <c r="T585" s="242"/>
      <c r="U585" s="242"/>
      <c r="V585" s="242"/>
      <c r="W585" s="242"/>
      <c r="X585" s="242"/>
      <c r="Y585" s="148"/>
      <c r="Z585" s="148"/>
    </row>
    <row r="586">
      <c r="A586" s="148"/>
      <c r="B586" s="148"/>
      <c r="C586" s="148"/>
      <c r="D586" s="245"/>
      <c r="E586" s="148"/>
      <c r="F586" s="277"/>
      <c r="G586" s="148"/>
      <c r="H586" s="148"/>
      <c r="I586" s="251"/>
      <c r="J586" s="251"/>
      <c r="K586" s="148"/>
      <c r="L586" s="254"/>
      <c r="M586" s="252"/>
      <c r="N586" s="250"/>
      <c r="O586" s="253"/>
      <c r="P586" s="240"/>
      <c r="Q586" s="148"/>
      <c r="R586" s="148"/>
      <c r="S586" s="242"/>
      <c r="T586" s="242"/>
      <c r="U586" s="242"/>
      <c r="V586" s="242"/>
      <c r="W586" s="242"/>
      <c r="X586" s="242"/>
      <c r="Y586" s="148"/>
      <c r="Z586" s="148"/>
    </row>
    <row r="587">
      <c r="A587" s="148"/>
      <c r="B587" s="148"/>
      <c r="C587" s="148"/>
      <c r="D587" s="245"/>
      <c r="E587" s="148"/>
      <c r="F587" s="277"/>
      <c r="G587" s="148"/>
      <c r="H587" s="148"/>
      <c r="I587" s="251"/>
      <c r="J587" s="251"/>
      <c r="K587" s="148"/>
      <c r="L587" s="254"/>
      <c r="M587" s="252"/>
      <c r="N587" s="250"/>
      <c r="O587" s="253"/>
      <c r="P587" s="240"/>
      <c r="Q587" s="148"/>
      <c r="R587" s="148"/>
      <c r="S587" s="242"/>
      <c r="T587" s="242"/>
      <c r="U587" s="242"/>
      <c r="V587" s="242"/>
      <c r="W587" s="242"/>
      <c r="X587" s="242"/>
      <c r="Y587" s="148"/>
      <c r="Z587" s="148"/>
    </row>
    <row r="588">
      <c r="A588" s="148"/>
      <c r="B588" s="148"/>
      <c r="C588" s="148"/>
      <c r="D588" s="245"/>
      <c r="E588" s="148"/>
      <c r="F588" s="277"/>
      <c r="G588" s="148"/>
      <c r="H588" s="148"/>
      <c r="I588" s="251"/>
      <c r="J588" s="251"/>
      <c r="K588" s="148"/>
      <c r="L588" s="254"/>
      <c r="M588" s="252"/>
      <c r="N588" s="250"/>
      <c r="O588" s="253"/>
      <c r="P588" s="240"/>
      <c r="Q588" s="148"/>
      <c r="R588" s="148"/>
      <c r="S588" s="242"/>
      <c r="T588" s="242"/>
      <c r="U588" s="242"/>
      <c r="V588" s="242"/>
      <c r="W588" s="242"/>
      <c r="X588" s="242"/>
      <c r="Y588" s="148"/>
      <c r="Z588" s="148"/>
    </row>
    <row r="589">
      <c r="A589" s="148"/>
      <c r="B589" s="148"/>
      <c r="C589" s="148"/>
      <c r="D589" s="245"/>
      <c r="E589" s="148"/>
      <c r="F589" s="277"/>
      <c r="G589" s="148"/>
      <c r="H589" s="148"/>
      <c r="I589" s="251"/>
      <c r="J589" s="251"/>
      <c r="K589" s="148"/>
      <c r="L589" s="254"/>
      <c r="M589" s="252"/>
      <c r="N589" s="250"/>
      <c r="O589" s="253"/>
      <c r="P589" s="240"/>
      <c r="Q589" s="148"/>
      <c r="R589" s="148"/>
      <c r="S589" s="242"/>
      <c r="T589" s="242"/>
      <c r="U589" s="242"/>
      <c r="V589" s="242"/>
      <c r="W589" s="242"/>
      <c r="X589" s="242"/>
      <c r="Y589" s="148"/>
      <c r="Z589" s="148"/>
    </row>
    <row r="590">
      <c r="A590" s="148"/>
      <c r="B590" s="148"/>
      <c r="C590" s="148"/>
      <c r="D590" s="245"/>
      <c r="E590" s="148"/>
      <c r="F590" s="277"/>
      <c r="G590" s="148"/>
      <c r="H590" s="148"/>
      <c r="I590" s="251"/>
      <c r="J590" s="251"/>
      <c r="K590" s="148"/>
      <c r="L590" s="254"/>
      <c r="M590" s="252"/>
      <c r="N590" s="250"/>
      <c r="O590" s="253"/>
      <c r="P590" s="240"/>
      <c r="Q590" s="148"/>
      <c r="R590" s="148"/>
      <c r="S590" s="242"/>
      <c r="T590" s="242"/>
      <c r="U590" s="242"/>
      <c r="V590" s="242"/>
      <c r="W590" s="242"/>
      <c r="X590" s="242"/>
      <c r="Y590" s="148"/>
      <c r="Z590" s="148"/>
    </row>
    <row r="591">
      <c r="A591" s="148"/>
      <c r="B591" s="148"/>
      <c r="C591" s="148"/>
      <c r="D591" s="245"/>
      <c r="E591" s="148"/>
      <c r="F591" s="277"/>
      <c r="G591" s="148"/>
      <c r="H591" s="148"/>
      <c r="I591" s="251"/>
      <c r="J591" s="251"/>
      <c r="K591" s="148"/>
      <c r="L591" s="254"/>
      <c r="M591" s="252"/>
      <c r="N591" s="250"/>
      <c r="O591" s="253"/>
      <c r="P591" s="240"/>
      <c r="Q591" s="148"/>
      <c r="R591" s="148"/>
      <c r="S591" s="242"/>
      <c r="T591" s="242"/>
      <c r="U591" s="242"/>
      <c r="V591" s="242"/>
      <c r="W591" s="242"/>
      <c r="X591" s="242"/>
      <c r="Y591" s="148"/>
      <c r="Z591" s="148"/>
    </row>
    <row r="592">
      <c r="A592" s="148"/>
      <c r="B592" s="148"/>
      <c r="C592" s="148"/>
      <c r="D592" s="245"/>
      <c r="E592" s="148"/>
      <c r="F592" s="277"/>
      <c r="G592" s="148"/>
      <c r="H592" s="148"/>
      <c r="I592" s="251"/>
      <c r="J592" s="251"/>
      <c r="K592" s="148"/>
      <c r="L592" s="254"/>
      <c r="M592" s="252"/>
      <c r="N592" s="250"/>
      <c r="O592" s="253"/>
      <c r="P592" s="240"/>
      <c r="Q592" s="148"/>
      <c r="R592" s="148"/>
      <c r="S592" s="242"/>
      <c r="T592" s="242"/>
      <c r="U592" s="242"/>
      <c r="V592" s="242"/>
      <c r="W592" s="242"/>
      <c r="X592" s="242"/>
      <c r="Y592" s="148"/>
      <c r="Z592" s="148"/>
    </row>
    <row r="593">
      <c r="A593" s="148"/>
      <c r="B593" s="148"/>
      <c r="C593" s="148"/>
      <c r="D593" s="245"/>
      <c r="E593" s="148"/>
      <c r="F593" s="277"/>
      <c r="G593" s="148"/>
      <c r="H593" s="148"/>
      <c r="I593" s="251"/>
      <c r="J593" s="251"/>
      <c r="K593" s="148"/>
      <c r="L593" s="254"/>
      <c r="M593" s="252"/>
      <c r="N593" s="250"/>
      <c r="O593" s="253"/>
      <c r="P593" s="240"/>
      <c r="Q593" s="148"/>
      <c r="R593" s="148"/>
      <c r="S593" s="242"/>
      <c r="T593" s="242"/>
      <c r="U593" s="242"/>
      <c r="V593" s="242"/>
      <c r="W593" s="242"/>
      <c r="X593" s="242"/>
      <c r="Y593" s="148"/>
      <c r="Z593" s="148"/>
    </row>
    <row r="594">
      <c r="A594" s="148"/>
      <c r="B594" s="148"/>
      <c r="C594" s="148"/>
      <c r="D594" s="245"/>
      <c r="E594" s="148"/>
      <c r="F594" s="277"/>
      <c r="G594" s="148"/>
      <c r="H594" s="148"/>
      <c r="I594" s="251"/>
      <c r="J594" s="251"/>
      <c r="K594" s="148"/>
      <c r="L594" s="254"/>
      <c r="M594" s="252"/>
      <c r="N594" s="250"/>
      <c r="O594" s="253"/>
      <c r="P594" s="240"/>
      <c r="Q594" s="148"/>
      <c r="R594" s="148"/>
      <c r="S594" s="242"/>
      <c r="T594" s="242"/>
      <c r="U594" s="242"/>
      <c r="V594" s="242"/>
      <c r="W594" s="242"/>
      <c r="X594" s="242"/>
      <c r="Y594" s="148"/>
      <c r="Z594" s="148"/>
    </row>
    <row r="595">
      <c r="A595" s="148"/>
      <c r="B595" s="148"/>
      <c r="C595" s="148"/>
      <c r="D595" s="245"/>
      <c r="E595" s="148"/>
      <c r="F595" s="277"/>
      <c r="G595" s="148"/>
      <c r="H595" s="148"/>
      <c r="I595" s="251"/>
      <c r="J595" s="251"/>
      <c r="K595" s="148"/>
      <c r="L595" s="254"/>
      <c r="M595" s="252"/>
      <c r="N595" s="250"/>
      <c r="O595" s="253"/>
      <c r="P595" s="240"/>
      <c r="Q595" s="148"/>
      <c r="R595" s="148"/>
      <c r="S595" s="242"/>
      <c r="T595" s="242"/>
      <c r="U595" s="242"/>
      <c r="V595" s="242"/>
      <c r="W595" s="242"/>
      <c r="X595" s="242"/>
      <c r="Y595" s="148"/>
      <c r="Z595" s="148"/>
    </row>
    <row r="596">
      <c r="A596" s="148"/>
      <c r="B596" s="148"/>
      <c r="C596" s="148"/>
      <c r="D596" s="245"/>
      <c r="E596" s="148"/>
      <c r="F596" s="277"/>
      <c r="G596" s="148"/>
      <c r="H596" s="148"/>
      <c r="I596" s="251"/>
      <c r="J596" s="251"/>
      <c r="K596" s="148"/>
      <c r="L596" s="254"/>
      <c r="M596" s="252"/>
      <c r="N596" s="250"/>
      <c r="O596" s="253"/>
      <c r="P596" s="240"/>
      <c r="Q596" s="148"/>
      <c r="R596" s="148"/>
      <c r="S596" s="242"/>
      <c r="T596" s="242"/>
      <c r="U596" s="242"/>
      <c r="V596" s="242"/>
      <c r="W596" s="242"/>
      <c r="X596" s="242"/>
      <c r="Y596" s="148"/>
      <c r="Z596" s="148"/>
    </row>
    <row r="597">
      <c r="A597" s="148"/>
      <c r="B597" s="148"/>
      <c r="C597" s="148"/>
      <c r="D597" s="245"/>
      <c r="E597" s="148"/>
      <c r="F597" s="277"/>
      <c r="G597" s="148"/>
      <c r="H597" s="148"/>
      <c r="I597" s="251"/>
      <c r="J597" s="251"/>
      <c r="K597" s="148"/>
      <c r="L597" s="254"/>
      <c r="M597" s="252"/>
      <c r="N597" s="250"/>
      <c r="O597" s="253"/>
      <c r="P597" s="240"/>
      <c r="Q597" s="148"/>
      <c r="R597" s="148"/>
      <c r="S597" s="242"/>
      <c r="T597" s="242"/>
      <c r="U597" s="242"/>
      <c r="V597" s="242"/>
      <c r="W597" s="242"/>
      <c r="X597" s="242"/>
      <c r="Y597" s="148"/>
      <c r="Z597" s="148"/>
    </row>
    <row r="598">
      <c r="A598" s="148"/>
      <c r="B598" s="148"/>
      <c r="C598" s="148"/>
      <c r="D598" s="245"/>
      <c r="E598" s="148"/>
      <c r="F598" s="277"/>
      <c r="G598" s="148"/>
      <c r="H598" s="148"/>
      <c r="I598" s="251"/>
      <c r="J598" s="251"/>
      <c r="K598" s="148"/>
      <c r="L598" s="254"/>
      <c r="M598" s="252"/>
      <c r="N598" s="250"/>
      <c r="O598" s="253"/>
      <c r="P598" s="240"/>
      <c r="Q598" s="148"/>
      <c r="R598" s="148"/>
      <c r="S598" s="242"/>
      <c r="T598" s="242"/>
      <c r="U598" s="242"/>
      <c r="V598" s="242"/>
      <c r="W598" s="242"/>
      <c r="X598" s="242"/>
      <c r="Y598" s="148"/>
      <c r="Z598" s="148"/>
    </row>
    <row r="599">
      <c r="A599" s="148"/>
      <c r="B599" s="148"/>
      <c r="C599" s="148"/>
      <c r="D599" s="245"/>
      <c r="E599" s="148"/>
      <c r="F599" s="277"/>
      <c r="G599" s="148"/>
      <c r="H599" s="148"/>
      <c r="I599" s="251"/>
      <c r="J599" s="251"/>
      <c r="K599" s="148"/>
      <c r="L599" s="254"/>
      <c r="M599" s="252"/>
      <c r="N599" s="250"/>
      <c r="O599" s="253"/>
      <c r="P599" s="240"/>
      <c r="Q599" s="148"/>
      <c r="R599" s="148"/>
      <c r="S599" s="242"/>
      <c r="T599" s="242"/>
      <c r="U599" s="242"/>
      <c r="V599" s="242"/>
      <c r="W599" s="242"/>
      <c r="X599" s="242"/>
      <c r="Y599" s="148"/>
      <c r="Z599" s="148"/>
    </row>
    <row r="600">
      <c r="A600" s="148"/>
      <c r="B600" s="148"/>
      <c r="C600" s="148"/>
      <c r="D600" s="245"/>
      <c r="E600" s="148"/>
      <c r="F600" s="277"/>
      <c r="G600" s="148"/>
      <c r="H600" s="148"/>
      <c r="I600" s="251"/>
      <c r="J600" s="251"/>
      <c r="K600" s="148"/>
      <c r="L600" s="254"/>
      <c r="M600" s="252"/>
      <c r="N600" s="250"/>
      <c r="O600" s="253"/>
      <c r="P600" s="240"/>
      <c r="Q600" s="148"/>
      <c r="R600" s="148"/>
      <c r="S600" s="242"/>
      <c r="T600" s="242"/>
      <c r="U600" s="242"/>
      <c r="V600" s="242"/>
      <c r="W600" s="242"/>
      <c r="X600" s="242"/>
      <c r="Y600" s="148"/>
      <c r="Z600" s="148"/>
    </row>
    <row r="601">
      <c r="A601" s="148"/>
      <c r="B601" s="148"/>
      <c r="C601" s="148"/>
      <c r="D601" s="245"/>
      <c r="E601" s="148"/>
      <c r="F601" s="277"/>
      <c r="G601" s="148"/>
      <c r="H601" s="148"/>
      <c r="I601" s="251"/>
      <c r="J601" s="251"/>
      <c r="K601" s="148"/>
      <c r="L601" s="254"/>
      <c r="M601" s="252"/>
      <c r="N601" s="250"/>
      <c r="O601" s="253"/>
      <c r="P601" s="240"/>
      <c r="Q601" s="148"/>
      <c r="R601" s="148"/>
      <c r="S601" s="242"/>
      <c r="T601" s="242"/>
      <c r="U601" s="242"/>
      <c r="V601" s="242"/>
      <c r="W601" s="242"/>
      <c r="X601" s="242"/>
      <c r="Y601" s="148"/>
      <c r="Z601" s="148"/>
    </row>
    <row r="602">
      <c r="A602" s="148"/>
      <c r="B602" s="148"/>
      <c r="C602" s="148"/>
      <c r="D602" s="245"/>
      <c r="E602" s="148"/>
      <c r="F602" s="277"/>
      <c r="G602" s="148"/>
      <c r="H602" s="148"/>
      <c r="I602" s="251"/>
      <c r="J602" s="251"/>
      <c r="K602" s="148"/>
      <c r="L602" s="254"/>
      <c r="M602" s="252"/>
      <c r="N602" s="250"/>
      <c r="O602" s="253"/>
      <c r="P602" s="240"/>
      <c r="Q602" s="148"/>
      <c r="R602" s="148"/>
      <c r="S602" s="242"/>
      <c r="T602" s="242"/>
      <c r="U602" s="242"/>
      <c r="V602" s="242"/>
      <c r="W602" s="242"/>
      <c r="X602" s="242"/>
      <c r="Y602" s="148"/>
      <c r="Z602" s="148"/>
    </row>
    <row r="603">
      <c r="A603" s="148"/>
      <c r="B603" s="148"/>
      <c r="C603" s="148"/>
      <c r="D603" s="245"/>
      <c r="E603" s="148"/>
      <c r="F603" s="277"/>
      <c r="G603" s="148"/>
      <c r="H603" s="148"/>
      <c r="I603" s="251"/>
      <c r="J603" s="251"/>
      <c r="K603" s="148"/>
      <c r="L603" s="254"/>
      <c r="M603" s="252"/>
      <c r="N603" s="250"/>
      <c r="O603" s="253"/>
      <c r="P603" s="240"/>
      <c r="Q603" s="148"/>
      <c r="R603" s="148"/>
      <c r="S603" s="242"/>
      <c r="T603" s="242"/>
      <c r="U603" s="242"/>
      <c r="V603" s="242"/>
      <c r="W603" s="242"/>
      <c r="X603" s="242"/>
      <c r="Y603" s="148"/>
      <c r="Z603" s="148"/>
    </row>
    <row r="604">
      <c r="A604" s="148"/>
      <c r="B604" s="148"/>
      <c r="C604" s="148"/>
      <c r="D604" s="245"/>
      <c r="E604" s="148"/>
      <c r="F604" s="277"/>
      <c r="G604" s="148"/>
      <c r="H604" s="148"/>
      <c r="I604" s="251"/>
      <c r="J604" s="251"/>
      <c r="K604" s="148"/>
      <c r="L604" s="254"/>
      <c r="M604" s="252"/>
      <c r="N604" s="250"/>
      <c r="O604" s="253"/>
      <c r="P604" s="240"/>
      <c r="Q604" s="148"/>
      <c r="R604" s="148"/>
      <c r="S604" s="242"/>
      <c r="T604" s="242"/>
      <c r="U604" s="242"/>
      <c r="V604" s="242"/>
      <c r="W604" s="242"/>
      <c r="X604" s="242"/>
      <c r="Y604" s="148"/>
      <c r="Z604" s="148"/>
    </row>
    <row r="605">
      <c r="A605" s="148"/>
      <c r="B605" s="148"/>
      <c r="C605" s="148"/>
      <c r="D605" s="245"/>
      <c r="E605" s="148"/>
      <c r="F605" s="277"/>
      <c r="G605" s="148"/>
      <c r="H605" s="148"/>
      <c r="I605" s="251"/>
      <c r="J605" s="251"/>
      <c r="K605" s="148"/>
      <c r="L605" s="254"/>
      <c r="M605" s="252"/>
      <c r="N605" s="250"/>
      <c r="O605" s="253"/>
      <c r="P605" s="240"/>
      <c r="Q605" s="148"/>
      <c r="R605" s="148"/>
      <c r="S605" s="242"/>
      <c r="T605" s="242"/>
      <c r="U605" s="242"/>
      <c r="V605" s="242"/>
      <c r="W605" s="242"/>
      <c r="X605" s="242"/>
      <c r="Y605" s="148"/>
      <c r="Z605" s="148"/>
    </row>
    <row r="606">
      <c r="A606" s="148"/>
      <c r="B606" s="148"/>
      <c r="C606" s="148"/>
      <c r="D606" s="245"/>
      <c r="E606" s="148"/>
      <c r="F606" s="277"/>
      <c r="G606" s="148"/>
      <c r="H606" s="148"/>
      <c r="I606" s="251"/>
      <c r="J606" s="251"/>
      <c r="K606" s="148"/>
      <c r="L606" s="254"/>
      <c r="M606" s="252"/>
      <c r="N606" s="250"/>
      <c r="O606" s="253"/>
      <c r="P606" s="240"/>
      <c r="Q606" s="148"/>
      <c r="R606" s="148"/>
      <c r="S606" s="242"/>
      <c r="T606" s="242"/>
      <c r="U606" s="242"/>
      <c r="V606" s="242"/>
      <c r="W606" s="242"/>
      <c r="X606" s="242"/>
      <c r="Y606" s="148"/>
      <c r="Z606" s="148"/>
    </row>
    <row r="607">
      <c r="A607" s="148"/>
      <c r="B607" s="148"/>
      <c r="C607" s="148"/>
      <c r="D607" s="245"/>
      <c r="E607" s="148"/>
      <c r="F607" s="277"/>
      <c r="G607" s="148"/>
      <c r="H607" s="148"/>
      <c r="I607" s="251"/>
      <c r="J607" s="251"/>
      <c r="K607" s="148"/>
      <c r="L607" s="254"/>
      <c r="M607" s="252"/>
      <c r="N607" s="250"/>
      <c r="O607" s="253"/>
      <c r="P607" s="240"/>
      <c r="Q607" s="148"/>
      <c r="R607" s="148"/>
      <c r="S607" s="242"/>
      <c r="T607" s="242"/>
      <c r="U607" s="242"/>
      <c r="V607" s="242"/>
      <c r="W607" s="242"/>
      <c r="X607" s="242"/>
      <c r="Y607" s="148"/>
      <c r="Z607" s="148"/>
    </row>
    <row r="608">
      <c r="A608" s="148"/>
      <c r="B608" s="148"/>
      <c r="C608" s="148"/>
      <c r="D608" s="245"/>
      <c r="E608" s="148"/>
      <c r="F608" s="277"/>
      <c r="G608" s="148"/>
      <c r="H608" s="148"/>
      <c r="I608" s="251"/>
      <c r="J608" s="251"/>
      <c r="K608" s="148"/>
      <c r="L608" s="254"/>
      <c r="M608" s="252"/>
      <c r="N608" s="250"/>
      <c r="O608" s="253"/>
      <c r="P608" s="240"/>
      <c r="Q608" s="148"/>
      <c r="R608" s="148"/>
      <c r="S608" s="242"/>
      <c r="T608" s="242"/>
      <c r="U608" s="242"/>
      <c r="V608" s="242"/>
      <c r="W608" s="242"/>
      <c r="X608" s="242"/>
      <c r="Y608" s="148"/>
      <c r="Z608" s="148"/>
    </row>
    <row r="609">
      <c r="A609" s="148"/>
      <c r="B609" s="148"/>
      <c r="C609" s="148"/>
      <c r="D609" s="245"/>
      <c r="E609" s="148"/>
      <c r="F609" s="277"/>
      <c r="G609" s="148"/>
      <c r="H609" s="148"/>
      <c r="I609" s="251"/>
      <c r="J609" s="251"/>
      <c r="K609" s="148"/>
      <c r="L609" s="254"/>
      <c r="M609" s="252"/>
      <c r="N609" s="250"/>
      <c r="O609" s="253"/>
      <c r="P609" s="240"/>
      <c r="Q609" s="148"/>
      <c r="R609" s="148"/>
      <c r="S609" s="242"/>
      <c r="T609" s="242"/>
      <c r="U609" s="242"/>
      <c r="V609" s="242"/>
      <c r="W609" s="242"/>
      <c r="X609" s="242"/>
      <c r="Y609" s="148"/>
      <c r="Z609" s="148"/>
    </row>
    <row r="610">
      <c r="A610" s="148"/>
      <c r="B610" s="148"/>
      <c r="C610" s="148"/>
      <c r="D610" s="245"/>
      <c r="E610" s="148"/>
      <c r="F610" s="277"/>
      <c r="G610" s="148"/>
      <c r="H610" s="148"/>
      <c r="I610" s="251"/>
      <c r="J610" s="251"/>
      <c r="K610" s="148"/>
      <c r="L610" s="254"/>
      <c r="M610" s="252"/>
      <c r="N610" s="250"/>
      <c r="O610" s="253"/>
      <c r="P610" s="240"/>
      <c r="Q610" s="148"/>
      <c r="R610" s="148"/>
      <c r="S610" s="242"/>
      <c r="T610" s="242"/>
      <c r="U610" s="242"/>
      <c r="V610" s="242"/>
      <c r="W610" s="242"/>
      <c r="X610" s="242"/>
      <c r="Y610" s="148"/>
      <c r="Z610" s="148"/>
    </row>
    <row r="611">
      <c r="A611" s="148"/>
      <c r="B611" s="148"/>
      <c r="C611" s="148"/>
      <c r="D611" s="245"/>
      <c r="E611" s="148"/>
      <c r="F611" s="277"/>
      <c r="G611" s="148"/>
      <c r="H611" s="148"/>
      <c r="I611" s="251"/>
      <c r="J611" s="251"/>
      <c r="K611" s="148"/>
      <c r="L611" s="254"/>
      <c r="M611" s="252"/>
      <c r="N611" s="250"/>
      <c r="O611" s="253"/>
      <c r="P611" s="240"/>
      <c r="Q611" s="148"/>
      <c r="R611" s="148"/>
      <c r="S611" s="242"/>
      <c r="T611" s="242"/>
      <c r="U611" s="242"/>
      <c r="V611" s="242"/>
      <c r="W611" s="242"/>
      <c r="X611" s="242"/>
      <c r="Y611" s="148"/>
      <c r="Z611" s="148"/>
    </row>
    <row r="612">
      <c r="A612" s="148"/>
      <c r="B612" s="148"/>
      <c r="C612" s="148"/>
      <c r="D612" s="245"/>
      <c r="E612" s="148"/>
      <c r="F612" s="277"/>
      <c r="G612" s="148"/>
      <c r="H612" s="148"/>
      <c r="I612" s="251"/>
      <c r="J612" s="251"/>
      <c r="K612" s="148"/>
      <c r="L612" s="254"/>
      <c r="M612" s="252"/>
      <c r="N612" s="250"/>
      <c r="O612" s="253"/>
      <c r="P612" s="240"/>
      <c r="Q612" s="148"/>
      <c r="R612" s="148"/>
      <c r="S612" s="242"/>
      <c r="T612" s="242"/>
      <c r="U612" s="242"/>
      <c r="V612" s="242"/>
      <c r="W612" s="242"/>
      <c r="X612" s="242"/>
      <c r="Y612" s="148"/>
      <c r="Z612" s="148"/>
    </row>
    <row r="613">
      <c r="A613" s="148"/>
      <c r="B613" s="148"/>
      <c r="C613" s="148"/>
      <c r="D613" s="245"/>
      <c r="E613" s="148"/>
      <c r="F613" s="277"/>
      <c r="G613" s="148"/>
      <c r="H613" s="148"/>
      <c r="I613" s="251"/>
      <c r="J613" s="251"/>
      <c r="K613" s="148"/>
      <c r="L613" s="254"/>
      <c r="M613" s="252"/>
      <c r="N613" s="250"/>
      <c r="O613" s="253"/>
      <c r="P613" s="240"/>
      <c r="Q613" s="148"/>
      <c r="R613" s="148"/>
      <c r="S613" s="242"/>
      <c r="T613" s="242"/>
      <c r="U613" s="242"/>
      <c r="V613" s="242"/>
      <c r="W613" s="242"/>
      <c r="X613" s="242"/>
      <c r="Y613" s="148"/>
      <c r="Z613" s="148"/>
    </row>
    <row r="614">
      <c r="A614" s="148"/>
      <c r="B614" s="148"/>
      <c r="C614" s="148"/>
      <c r="D614" s="245"/>
      <c r="E614" s="148"/>
      <c r="F614" s="277"/>
      <c r="G614" s="148"/>
      <c r="H614" s="148"/>
      <c r="I614" s="251"/>
      <c r="J614" s="251"/>
      <c r="K614" s="148"/>
      <c r="L614" s="254"/>
      <c r="M614" s="252"/>
      <c r="N614" s="250"/>
      <c r="O614" s="253"/>
      <c r="P614" s="240"/>
      <c r="Q614" s="148"/>
      <c r="R614" s="148"/>
      <c r="S614" s="242"/>
      <c r="T614" s="242"/>
      <c r="U614" s="242"/>
      <c r="V614" s="242"/>
      <c r="W614" s="242"/>
      <c r="X614" s="242"/>
      <c r="Y614" s="148"/>
      <c r="Z614" s="148"/>
    </row>
    <row r="615">
      <c r="A615" s="148"/>
      <c r="B615" s="148"/>
      <c r="C615" s="148"/>
      <c r="D615" s="245"/>
      <c r="E615" s="148"/>
      <c r="F615" s="277"/>
      <c r="G615" s="148"/>
      <c r="H615" s="148"/>
      <c r="I615" s="251"/>
      <c r="J615" s="251"/>
      <c r="K615" s="148"/>
      <c r="L615" s="254"/>
      <c r="M615" s="252"/>
      <c r="N615" s="250"/>
      <c r="O615" s="253"/>
      <c r="P615" s="240"/>
      <c r="Q615" s="148"/>
      <c r="R615" s="148"/>
      <c r="S615" s="242"/>
      <c r="T615" s="242"/>
      <c r="U615" s="242"/>
      <c r="V615" s="242"/>
      <c r="W615" s="242"/>
      <c r="X615" s="242"/>
      <c r="Y615" s="148"/>
      <c r="Z615" s="148"/>
    </row>
    <row r="616">
      <c r="A616" s="148"/>
      <c r="B616" s="148"/>
      <c r="C616" s="148"/>
      <c r="D616" s="245"/>
      <c r="E616" s="148"/>
      <c r="F616" s="277"/>
      <c r="G616" s="148"/>
      <c r="H616" s="148"/>
      <c r="I616" s="251"/>
      <c r="J616" s="251"/>
      <c r="K616" s="148"/>
      <c r="L616" s="254"/>
      <c r="M616" s="252"/>
      <c r="N616" s="250"/>
      <c r="O616" s="253"/>
      <c r="P616" s="240"/>
      <c r="Q616" s="148"/>
      <c r="R616" s="148"/>
      <c r="S616" s="242"/>
      <c r="T616" s="242"/>
      <c r="U616" s="242"/>
      <c r="V616" s="242"/>
      <c r="W616" s="242"/>
      <c r="X616" s="242"/>
      <c r="Y616" s="148"/>
      <c r="Z616" s="148"/>
    </row>
    <row r="617">
      <c r="A617" s="148"/>
      <c r="B617" s="148"/>
      <c r="C617" s="148"/>
      <c r="D617" s="245"/>
      <c r="E617" s="148"/>
      <c r="F617" s="277"/>
      <c r="G617" s="148"/>
      <c r="H617" s="148"/>
      <c r="I617" s="251"/>
      <c r="J617" s="251"/>
      <c r="K617" s="148"/>
      <c r="L617" s="254"/>
      <c r="M617" s="252"/>
      <c r="N617" s="250"/>
      <c r="O617" s="253"/>
      <c r="P617" s="240"/>
      <c r="Q617" s="148"/>
      <c r="R617" s="148"/>
      <c r="S617" s="242"/>
      <c r="T617" s="242"/>
      <c r="U617" s="242"/>
      <c r="V617" s="242"/>
      <c r="W617" s="242"/>
      <c r="X617" s="242"/>
      <c r="Y617" s="148"/>
      <c r="Z617" s="148"/>
    </row>
    <row r="618">
      <c r="A618" s="148"/>
      <c r="B618" s="148"/>
      <c r="C618" s="148"/>
      <c r="D618" s="245"/>
      <c r="E618" s="148"/>
      <c r="F618" s="277"/>
      <c r="G618" s="148"/>
      <c r="H618" s="148"/>
      <c r="I618" s="251"/>
      <c r="J618" s="251"/>
      <c r="K618" s="148"/>
      <c r="L618" s="254"/>
      <c r="M618" s="252"/>
      <c r="N618" s="250"/>
      <c r="O618" s="253"/>
      <c r="P618" s="240"/>
      <c r="Q618" s="148"/>
      <c r="R618" s="148"/>
      <c r="S618" s="242"/>
      <c r="T618" s="242"/>
      <c r="U618" s="242"/>
      <c r="V618" s="242"/>
      <c r="W618" s="242"/>
      <c r="X618" s="242"/>
      <c r="Y618" s="148"/>
      <c r="Z618" s="148"/>
    </row>
    <row r="619">
      <c r="A619" s="148"/>
      <c r="B619" s="148"/>
      <c r="C619" s="148"/>
      <c r="D619" s="245"/>
      <c r="E619" s="148"/>
      <c r="F619" s="277"/>
      <c r="G619" s="148"/>
      <c r="H619" s="148"/>
      <c r="I619" s="251"/>
      <c r="J619" s="251"/>
      <c r="K619" s="148"/>
      <c r="L619" s="254"/>
      <c r="M619" s="252"/>
      <c r="N619" s="250"/>
      <c r="O619" s="253"/>
      <c r="P619" s="240"/>
      <c r="Q619" s="148"/>
      <c r="R619" s="148"/>
      <c r="S619" s="242"/>
      <c r="T619" s="242"/>
      <c r="U619" s="242"/>
      <c r="V619" s="242"/>
      <c r="W619" s="242"/>
      <c r="X619" s="242"/>
      <c r="Y619" s="148"/>
      <c r="Z619" s="148"/>
    </row>
    <row r="620">
      <c r="A620" s="148"/>
      <c r="B620" s="148"/>
      <c r="C620" s="148"/>
      <c r="D620" s="245"/>
      <c r="E620" s="148"/>
      <c r="F620" s="277"/>
      <c r="G620" s="148"/>
      <c r="H620" s="148"/>
      <c r="I620" s="251"/>
      <c r="J620" s="251"/>
      <c r="K620" s="148"/>
      <c r="L620" s="254"/>
      <c r="M620" s="252"/>
      <c r="N620" s="250"/>
      <c r="O620" s="253"/>
      <c r="P620" s="240"/>
      <c r="Q620" s="148"/>
      <c r="R620" s="148"/>
      <c r="S620" s="242"/>
      <c r="T620" s="242"/>
      <c r="U620" s="242"/>
      <c r="V620" s="242"/>
      <c r="W620" s="242"/>
      <c r="X620" s="242"/>
      <c r="Y620" s="148"/>
      <c r="Z620" s="148"/>
    </row>
    <row r="621">
      <c r="A621" s="148"/>
      <c r="B621" s="148"/>
      <c r="C621" s="148"/>
      <c r="D621" s="245"/>
      <c r="E621" s="148"/>
      <c r="F621" s="277"/>
      <c r="G621" s="148"/>
      <c r="H621" s="148"/>
      <c r="I621" s="251"/>
      <c r="J621" s="251"/>
      <c r="K621" s="148"/>
      <c r="L621" s="254"/>
      <c r="M621" s="252"/>
      <c r="N621" s="250"/>
      <c r="O621" s="253"/>
      <c r="P621" s="240"/>
      <c r="Q621" s="148"/>
      <c r="R621" s="148"/>
      <c r="S621" s="242"/>
      <c r="T621" s="242"/>
      <c r="U621" s="242"/>
      <c r="V621" s="242"/>
      <c r="W621" s="242"/>
      <c r="X621" s="242"/>
      <c r="Y621" s="148"/>
      <c r="Z621" s="148"/>
    </row>
    <row r="622">
      <c r="A622" s="148"/>
      <c r="B622" s="148"/>
      <c r="C622" s="148"/>
      <c r="D622" s="245"/>
      <c r="E622" s="148"/>
      <c r="F622" s="277"/>
      <c r="G622" s="148"/>
      <c r="H622" s="148"/>
      <c r="I622" s="251"/>
      <c r="J622" s="251"/>
      <c r="K622" s="148"/>
      <c r="L622" s="254"/>
      <c r="M622" s="252"/>
      <c r="N622" s="250"/>
      <c r="O622" s="253"/>
      <c r="P622" s="240"/>
      <c r="Q622" s="148"/>
      <c r="R622" s="148"/>
      <c r="S622" s="242"/>
      <c r="T622" s="242"/>
      <c r="U622" s="242"/>
      <c r="V622" s="242"/>
      <c r="W622" s="242"/>
      <c r="X622" s="242"/>
      <c r="Y622" s="148"/>
      <c r="Z622" s="148"/>
    </row>
    <row r="623">
      <c r="A623" s="148"/>
      <c r="B623" s="148"/>
      <c r="C623" s="148"/>
      <c r="D623" s="245"/>
      <c r="E623" s="148"/>
      <c r="F623" s="277"/>
      <c r="G623" s="148"/>
      <c r="H623" s="148"/>
      <c r="I623" s="251"/>
      <c r="J623" s="251"/>
      <c r="K623" s="148"/>
      <c r="L623" s="254"/>
      <c r="M623" s="252"/>
      <c r="N623" s="250"/>
      <c r="O623" s="253"/>
      <c r="P623" s="240"/>
      <c r="Q623" s="148"/>
      <c r="R623" s="148"/>
      <c r="S623" s="242"/>
      <c r="T623" s="242"/>
      <c r="U623" s="242"/>
      <c r="V623" s="242"/>
      <c r="W623" s="242"/>
      <c r="X623" s="242"/>
      <c r="Y623" s="148"/>
      <c r="Z623" s="148"/>
    </row>
    <row r="624">
      <c r="A624" s="148"/>
      <c r="B624" s="148"/>
      <c r="C624" s="148"/>
      <c r="D624" s="245"/>
      <c r="E624" s="148"/>
      <c r="F624" s="277"/>
      <c r="G624" s="148"/>
      <c r="H624" s="148"/>
      <c r="I624" s="251"/>
      <c r="J624" s="251"/>
      <c r="K624" s="148"/>
      <c r="L624" s="254"/>
      <c r="M624" s="252"/>
      <c r="N624" s="250"/>
      <c r="O624" s="253"/>
      <c r="P624" s="240"/>
      <c r="Q624" s="148"/>
      <c r="R624" s="148"/>
      <c r="S624" s="242"/>
      <c r="T624" s="242"/>
      <c r="U624" s="242"/>
      <c r="V624" s="242"/>
      <c r="W624" s="242"/>
      <c r="X624" s="242"/>
      <c r="Y624" s="148"/>
      <c r="Z624" s="148"/>
    </row>
    <row r="625">
      <c r="A625" s="148"/>
      <c r="B625" s="148"/>
      <c r="C625" s="148"/>
      <c r="D625" s="245"/>
      <c r="E625" s="148"/>
      <c r="F625" s="277"/>
      <c r="G625" s="148"/>
      <c r="H625" s="148"/>
      <c r="I625" s="251"/>
      <c r="J625" s="251"/>
      <c r="K625" s="148"/>
      <c r="L625" s="254"/>
      <c r="M625" s="252"/>
      <c r="N625" s="250"/>
      <c r="O625" s="253"/>
      <c r="P625" s="240"/>
      <c r="Q625" s="148"/>
      <c r="R625" s="148"/>
      <c r="S625" s="242"/>
      <c r="T625" s="242"/>
      <c r="U625" s="242"/>
      <c r="V625" s="242"/>
      <c r="W625" s="242"/>
      <c r="X625" s="242"/>
      <c r="Y625" s="148"/>
      <c r="Z625" s="148"/>
    </row>
    <row r="626">
      <c r="A626" s="148"/>
      <c r="B626" s="148"/>
      <c r="C626" s="148"/>
      <c r="D626" s="245"/>
      <c r="E626" s="148"/>
      <c r="F626" s="277"/>
      <c r="G626" s="148"/>
      <c r="H626" s="148"/>
      <c r="I626" s="251"/>
      <c r="J626" s="251"/>
      <c r="K626" s="148"/>
      <c r="L626" s="254"/>
      <c r="M626" s="252"/>
      <c r="N626" s="250"/>
      <c r="O626" s="253"/>
      <c r="P626" s="240"/>
      <c r="Q626" s="148"/>
      <c r="R626" s="148"/>
      <c r="S626" s="242"/>
      <c r="T626" s="242"/>
      <c r="U626" s="242"/>
      <c r="V626" s="242"/>
      <c r="W626" s="242"/>
      <c r="X626" s="242"/>
      <c r="Y626" s="148"/>
      <c r="Z626" s="148"/>
    </row>
    <row r="627">
      <c r="A627" s="148"/>
      <c r="B627" s="148"/>
      <c r="C627" s="148"/>
      <c r="D627" s="245"/>
      <c r="E627" s="148"/>
      <c r="F627" s="277"/>
      <c r="G627" s="148"/>
      <c r="H627" s="148"/>
      <c r="I627" s="251"/>
      <c r="J627" s="251"/>
      <c r="K627" s="148"/>
      <c r="L627" s="254"/>
      <c r="M627" s="252"/>
      <c r="N627" s="250"/>
      <c r="O627" s="253"/>
      <c r="P627" s="240"/>
      <c r="Q627" s="148"/>
      <c r="R627" s="148"/>
      <c r="S627" s="242"/>
      <c r="T627" s="242"/>
      <c r="U627" s="242"/>
      <c r="V627" s="242"/>
      <c r="W627" s="242"/>
      <c r="X627" s="242"/>
      <c r="Y627" s="148"/>
      <c r="Z627" s="148"/>
    </row>
    <row r="628">
      <c r="A628" s="148"/>
      <c r="B628" s="148"/>
      <c r="C628" s="148"/>
      <c r="D628" s="245"/>
      <c r="E628" s="148"/>
      <c r="F628" s="277"/>
      <c r="G628" s="148"/>
      <c r="H628" s="148"/>
      <c r="I628" s="251"/>
      <c r="J628" s="251"/>
      <c r="K628" s="148"/>
      <c r="L628" s="254"/>
      <c r="M628" s="252"/>
      <c r="N628" s="250"/>
      <c r="O628" s="253"/>
      <c r="P628" s="240"/>
      <c r="Q628" s="148"/>
      <c r="R628" s="148"/>
      <c r="S628" s="242"/>
      <c r="T628" s="242"/>
      <c r="U628" s="242"/>
      <c r="V628" s="242"/>
      <c r="W628" s="242"/>
      <c r="X628" s="242"/>
      <c r="Y628" s="148"/>
      <c r="Z628" s="148"/>
    </row>
    <row r="629">
      <c r="A629" s="148"/>
      <c r="B629" s="148"/>
      <c r="C629" s="148"/>
      <c r="D629" s="245"/>
      <c r="E629" s="148"/>
      <c r="F629" s="277"/>
      <c r="G629" s="148"/>
      <c r="H629" s="148"/>
      <c r="I629" s="251"/>
      <c r="J629" s="251"/>
      <c r="K629" s="148"/>
      <c r="L629" s="254"/>
      <c r="M629" s="252"/>
      <c r="N629" s="250"/>
      <c r="O629" s="253"/>
      <c r="P629" s="240"/>
      <c r="Q629" s="148"/>
      <c r="R629" s="148"/>
      <c r="S629" s="242"/>
      <c r="T629" s="242"/>
      <c r="U629" s="242"/>
      <c r="V629" s="242"/>
      <c r="W629" s="242"/>
      <c r="X629" s="242"/>
      <c r="Y629" s="148"/>
      <c r="Z629" s="148"/>
    </row>
    <row r="630">
      <c r="A630" s="148"/>
      <c r="B630" s="148"/>
      <c r="C630" s="148"/>
      <c r="D630" s="245"/>
      <c r="E630" s="148"/>
      <c r="F630" s="277"/>
      <c r="G630" s="148"/>
      <c r="H630" s="148"/>
      <c r="I630" s="251"/>
      <c r="J630" s="251"/>
      <c r="K630" s="148"/>
      <c r="L630" s="254"/>
      <c r="M630" s="252"/>
      <c r="N630" s="250"/>
      <c r="O630" s="253"/>
      <c r="P630" s="240"/>
      <c r="Q630" s="148"/>
      <c r="R630" s="148"/>
      <c r="S630" s="242"/>
      <c r="T630" s="242"/>
      <c r="U630" s="242"/>
      <c r="V630" s="242"/>
      <c r="W630" s="242"/>
      <c r="X630" s="242"/>
      <c r="Y630" s="148"/>
      <c r="Z630" s="148"/>
    </row>
    <row r="631">
      <c r="A631" s="148"/>
      <c r="B631" s="148"/>
      <c r="C631" s="148"/>
      <c r="D631" s="245"/>
      <c r="E631" s="148"/>
      <c r="F631" s="277"/>
      <c r="G631" s="148"/>
      <c r="H631" s="148"/>
      <c r="I631" s="251"/>
      <c r="J631" s="251"/>
      <c r="K631" s="148"/>
      <c r="L631" s="254"/>
      <c r="M631" s="252"/>
      <c r="N631" s="250"/>
      <c r="O631" s="253"/>
      <c r="P631" s="240"/>
      <c r="Q631" s="148"/>
      <c r="R631" s="148"/>
      <c r="S631" s="242"/>
      <c r="T631" s="242"/>
      <c r="U631" s="242"/>
      <c r="V631" s="242"/>
      <c r="W631" s="242"/>
      <c r="X631" s="242"/>
      <c r="Y631" s="148"/>
      <c r="Z631" s="148"/>
    </row>
    <row r="632">
      <c r="A632" s="148"/>
      <c r="B632" s="148"/>
      <c r="C632" s="148"/>
      <c r="D632" s="245"/>
      <c r="E632" s="148"/>
      <c r="F632" s="277"/>
      <c r="G632" s="148"/>
      <c r="H632" s="148"/>
      <c r="I632" s="251"/>
      <c r="J632" s="251"/>
      <c r="K632" s="148"/>
      <c r="L632" s="254"/>
      <c r="M632" s="252"/>
      <c r="N632" s="250"/>
      <c r="O632" s="253"/>
      <c r="P632" s="240"/>
      <c r="Q632" s="148"/>
      <c r="R632" s="148"/>
      <c r="S632" s="242"/>
      <c r="T632" s="242"/>
      <c r="U632" s="242"/>
      <c r="V632" s="242"/>
      <c r="W632" s="242"/>
      <c r="X632" s="242"/>
      <c r="Y632" s="148"/>
      <c r="Z632" s="148"/>
    </row>
    <row r="633">
      <c r="A633" s="148"/>
      <c r="B633" s="148"/>
      <c r="C633" s="148"/>
      <c r="D633" s="245"/>
      <c r="E633" s="148"/>
      <c r="F633" s="277"/>
      <c r="G633" s="148"/>
      <c r="H633" s="148"/>
      <c r="I633" s="251"/>
      <c r="J633" s="251"/>
      <c r="K633" s="148"/>
      <c r="L633" s="254"/>
      <c r="M633" s="252"/>
      <c r="N633" s="250"/>
      <c r="O633" s="253"/>
      <c r="P633" s="240"/>
      <c r="Q633" s="148"/>
      <c r="R633" s="148"/>
      <c r="S633" s="242"/>
      <c r="T633" s="242"/>
      <c r="U633" s="242"/>
      <c r="V633" s="242"/>
      <c r="W633" s="242"/>
      <c r="X633" s="242"/>
      <c r="Y633" s="148"/>
      <c r="Z633" s="148"/>
    </row>
    <row r="634">
      <c r="A634" s="148"/>
      <c r="B634" s="148"/>
      <c r="C634" s="148"/>
      <c r="D634" s="245"/>
      <c r="E634" s="148"/>
      <c r="F634" s="277"/>
      <c r="G634" s="148"/>
      <c r="H634" s="148"/>
      <c r="I634" s="251"/>
      <c r="J634" s="251"/>
      <c r="K634" s="148"/>
      <c r="L634" s="254"/>
      <c r="M634" s="252"/>
      <c r="N634" s="250"/>
      <c r="O634" s="253"/>
      <c r="P634" s="240"/>
      <c r="Q634" s="148"/>
      <c r="R634" s="148"/>
      <c r="S634" s="242"/>
      <c r="T634" s="242"/>
      <c r="U634" s="242"/>
      <c r="V634" s="242"/>
      <c r="W634" s="242"/>
      <c r="X634" s="242"/>
      <c r="Y634" s="148"/>
      <c r="Z634" s="148"/>
    </row>
    <row r="635">
      <c r="A635" s="148"/>
      <c r="B635" s="148"/>
      <c r="C635" s="148"/>
      <c r="D635" s="245"/>
      <c r="E635" s="148"/>
      <c r="F635" s="277"/>
      <c r="G635" s="148"/>
      <c r="H635" s="148"/>
      <c r="I635" s="251"/>
      <c r="J635" s="251"/>
      <c r="K635" s="148"/>
      <c r="L635" s="254"/>
      <c r="M635" s="252"/>
      <c r="N635" s="250"/>
      <c r="O635" s="253"/>
      <c r="P635" s="240"/>
      <c r="Q635" s="148"/>
      <c r="R635" s="148"/>
      <c r="S635" s="242"/>
      <c r="T635" s="242"/>
      <c r="U635" s="242"/>
      <c r="V635" s="242"/>
      <c r="W635" s="242"/>
      <c r="X635" s="242"/>
      <c r="Y635" s="148"/>
      <c r="Z635" s="148"/>
    </row>
    <row r="636">
      <c r="A636" s="148"/>
      <c r="B636" s="148"/>
      <c r="C636" s="148"/>
      <c r="D636" s="245"/>
      <c r="E636" s="148"/>
      <c r="F636" s="277"/>
      <c r="G636" s="148"/>
      <c r="H636" s="148"/>
      <c r="I636" s="251"/>
      <c r="J636" s="251"/>
      <c r="K636" s="148"/>
      <c r="L636" s="254"/>
      <c r="M636" s="252"/>
      <c r="N636" s="250"/>
      <c r="O636" s="253"/>
      <c r="P636" s="240"/>
      <c r="Q636" s="148"/>
      <c r="R636" s="148"/>
      <c r="S636" s="242"/>
      <c r="T636" s="242"/>
      <c r="U636" s="242"/>
      <c r="V636" s="242"/>
      <c r="W636" s="242"/>
      <c r="X636" s="242"/>
      <c r="Y636" s="148"/>
      <c r="Z636" s="148"/>
    </row>
    <row r="637">
      <c r="A637" s="148"/>
      <c r="B637" s="148"/>
      <c r="C637" s="148"/>
      <c r="D637" s="245"/>
      <c r="E637" s="148"/>
      <c r="F637" s="277"/>
      <c r="G637" s="148"/>
      <c r="H637" s="148"/>
      <c r="I637" s="251"/>
      <c r="J637" s="251"/>
      <c r="K637" s="148"/>
      <c r="L637" s="254"/>
      <c r="M637" s="252"/>
      <c r="N637" s="250"/>
      <c r="O637" s="253"/>
      <c r="P637" s="240"/>
      <c r="Q637" s="148"/>
      <c r="R637" s="148"/>
      <c r="S637" s="242"/>
      <c r="T637" s="242"/>
      <c r="U637" s="242"/>
      <c r="V637" s="242"/>
      <c r="W637" s="242"/>
      <c r="X637" s="242"/>
      <c r="Y637" s="148"/>
      <c r="Z637" s="148"/>
    </row>
    <row r="638">
      <c r="A638" s="148"/>
      <c r="B638" s="148"/>
      <c r="C638" s="148"/>
      <c r="D638" s="245"/>
      <c r="E638" s="148"/>
      <c r="F638" s="277"/>
      <c r="G638" s="148"/>
      <c r="H638" s="148"/>
      <c r="I638" s="251"/>
      <c r="J638" s="251"/>
      <c r="K638" s="148"/>
      <c r="L638" s="254"/>
      <c r="M638" s="252"/>
      <c r="N638" s="250"/>
      <c r="O638" s="253"/>
      <c r="P638" s="240"/>
      <c r="Q638" s="148"/>
      <c r="R638" s="148"/>
      <c r="S638" s="242"/>
      <c r="T638" s="242"/>
      <c r="U638" s="242"/>
      <c r="V638" s="242"/>
      <c r="W638" s="242"/>
      <c r="X638" s="242"/>
      <c r="Y638" s="148"/>
      <c r="Z638" s="148"/>
    </row>
    <row r="639">
      <c r="A639" s="148"/>
      <c r="B639" s="148"/>
      <c r="C639" s="148"/>
      <c r="D639" s="245"/>
      <c r="E639" s="148"/>
      <c r="F639" s="277"/>
      <c r="G639" s="148"/>
      <c r="H639" s="148"/>
      <c r="I639" s="251"/>
      <c r="J639" s="251"/>
      <c r="K639" s="148"/>
      <c r="L639" s="254"/>
      <c r="M639" s="252"/>
      <c r="N639" s="250"/>
      <c r="O639" s="253"/>
      <c r="P639" s="240"/>
      <c r="Q639" s="148"/>
      <c r="R639" s="148"/>
      <c r="S639" s="242"/>
      <c r="T639" s="242"/>
      <c r="U639" s="242"/>
      <c r="V639" s="242"/>
      <c r="W639" s="242"/>
      <c r="X639" s="242"/>
      <c r="Y639" s="148"/>
      <c r="Z639" s="148"/>
    </row>
    <row r="640">
      <c r="A640" s="148"/>
      <c r="B640" s="148"/>
      <c r="C640" s="148"/>
      <c r="D640" s="245"/>
      <c r="E640" s="148"/>
      <c r="F640" s="277"/>
      <c r="G640" s="148"/>
      <c r="H640" s="148"/>
      <c r="I640" s="251"/>
      <c r="J640" s="251"/>
      <c r="K640" s="148"/>
      <c r="L640" s="254"/>
      <c r="M640" s="252"/>
      <c r="N640" s="250"/>
      <c r="O640" s="253"/>
      <c r="P640" s="240"/>
      <c r="Q640" s="148"/>
      <c r="R640" s="148"/>
      <c r="S640" s="242"/>
      <c r="T640" s="242"/>
      <c r="U640" s="242"/>
      <c r="V640" s="242"/>
      <c r="W640" s="242"/>
      <c r="X640" s="242"/>
      <c r="Y640" s="148"/>
      <c r="Z640" s="148"/>
    </row>
    <row r="641">
      <c r="A641" s="148"/>
      <c r="B641" s="148"/>
      <c r="C641" s="148"/>
      <c r="D641" s="245"/>
      <c r="E641" s="148"/>
      <c r="F641" s="277"/>
      <c r="G641" s="148"/>
      <c r="H641" s="148"/>
      <c r="I641" s="251"/>
      <c r="J641" s="251"/>
      <c r="K641" s="148"/>
      <c r="L641" s="254"/>
      <c r="M641" s="252"/>
      <c r="N641" s="250"/>
      <c r="O641" s="253"/>
      <c r="P641" s="240"/>
      <c r="Q641" s="148"/>
      <c r="R641" s="148"/>
      <c r="S641" s="242"/>
      <c r="T641" s="242"/>
      <c r="U641" s="242"/>
      <c r="V641" s="242"/>
      <c r="W641" s="242"/>
      <c r="X641" s="242"/>
      <c r="Y641" s="148"/>
      <c r="Z641" s="148"/>
    </row>
    <row r="642">
      <c r="A642" s="148"/>
      <c r="B642" s="148"/>
      <c r="C642" s="148"/>
      <c r="D642" s="245"/>
      <c r="E642" s="148"/>
      <c r="F642" s="277"/>
      <c r="G642" s="148"/>
      <c r="H642" s="148"/>
      <c r="I642" s="251"/>
      <c r="J642" s="251"/>
      <c r="K642" s="148"/>
      <c r="L642" s="254"/>
      <c r="M642" s="252"/>
      <c r="N642" s="250"/>
      <c r="O642" s="253"/>
      <c r="P642" s="240"/>
      <c r="Q642" s="148"/>
      <c r="R642" s="148"/>
      <c r="S642" s="242"/>
      <c r="T642" s="242"/>
      <c r="U642" s="242"/>
      <c r="V642" s="242"/>
      <c r="W642" s="242"/>
      <c r="X642" s="242"/>
      <c r="Y642" s="148"/>
      <c r="Z642" s="148"/>
    </row>
    <row r="643">
      <c r="A643" s="148"/>
      <c r="B643" s="148"/>
      <c r="C643" s="148"/>
      <c r="D643" s="245"/>
      <c r="E643" s="148"/>
      <c r="F643" s="277"/>
      <c r="G643" s="148"/>
      <c r="H643" s="148"/>
      <c r="I643" s="251"/>
      <c r="J643" s="251"/>
      <c r="K643" s="148"/>
      <c r="L643" s="254"/>
      <c r="M643" s="252"/>
      <c r="N643" s="250"/>
      <c r="O643" s="253"/>
      <c r="P643" s="240"/>
      <c r="Q643" s="148"/>
      <c r="R643" s="148"/>
      <c r="S643" s="242"/>
      <c r="T643" s="242"/>
      <c r="U643" s="242"/>
      <c r="V643" s="242"/>
      <c r="W643" s="242"/>
      <c r="X643" s="242"/>
      <c r="Y643" s="148"/>
      <c r="Z643" s="148"/>
    </row>
    <row r="644">
      <c r="A644" s="148"/>
      <c r="B644" s="148"/>
      <c r="C644" s="148"/>
      <c r="D644" s="245"/>
      <c r="E644" s="148"/>
      <c r="F644" s="277"/>
      <c r="G644" s="148"/>
      <c r="H644" s="148"/>
      <c r="I644" s="251"/>
      <c r="J644" s="251"/>
      <c r="K644" s="148"/>
      <c r="L644" s="254"/>
      <c r="M644" s="252"/>
      <c r="N644" s="250"/>
      <c r="O644" s="253"/>
      <c r="P644" s="240"/>
      <c r="Q644" s="148"/>
      <c r="R644" s="148"/>
      <c r="S644" s="242"/>
      <c r="T644" s="242"/>
      <c r="U644" s="242"/>
      <c r="V644" s="242"/>
      <c r="W644" s="242"/>
      <c r="X644" s="242"/>
      <c r="Y644" s="148"/>
      <c r="Z644" s="148"/>
    </row>
    <row r="645">
      <c r="A645" s="148"/>
      <c r="B645" s="148"/>
      <c r="C645" s="148"/>
      <c r="D645" s="245"/>
      <c r="E645" s="148"/>
      <c r="F645" s="277"/>
      <c r="G645" s="148"/>
      <c r="H645" s="148"/>
      <c r="I645" s="251"/>
      <c r="J645" s="251"/>
      <c r="K645" s="148"/>
      <c r="L645" s="254"/>
      <c r="M645" s="252"/>
      <c r="N645" s="250"/>
      <c r="O645" s="253"/>
      <c r="P645" s="240"/>
      <c r="Q645" s="148"/>
      <c r="R645" s="148"/>
      <c r="S645" s="242"/>
      <c r="T645" s="242"/>
      <c r="U645" s="242"/>
      <c r="V645" s="242"/>
      <c r="W645" s="242"/>
      <c r="X645" s="242"/>
      <c r="Y645" s="148"/>
      <c r="Z645" s="148"/>
    </row>
    <row r="646">
      <c r="A646" s="148"/>
      <c r="B646" s="148"/>
      <c r="C646" s="148"/>
      <c r="D646" s="245"/>
      <c r="E646" s="148"/>
      <c r="F646" s="277"/>
      <c r="G646" s="148"/>
      <c r="H646" s="148"/>
      <c r="I646" s="251"/>
      <c r="J646" s="251"/>
      <c r="K646" s="148"/>
      <c r="L646" s="254"/>
      <c r="M646" s="252"/>
      <c r="N646" s="250"/>
      <c r="O646" s="253"/>
      <c r="P646" s="240"/>
      <c r="Q646" s="148"/>
      <c r="R646" s="148"/>
      <c r="S646" s="242"/>
      <c r="T646" s="242"/>
      <c r="U646" s="242"/>
      <c r="V646" s="242"/>
      <c r="W646" s="242"/>
      <c r="X646" s="242"/>
      <c r="Y646" s="148"/>
      <c r="Z646" s="148"/>
    </row>
    <row r="647">
      <c r="A647" s="148"/>
      <c r="B647" s="148"/>
      <c r="C647" s="148"/>
      <c r="D647" s="245"/>
      <c r="E647" s="148"/>
      <c r="F647" s="277"/>
      <c r="G647" s="148"/>
      <c r="H647" s="148"/>
      <c r="I647" s="251"/>
      <c r="J647" s="251"/>
      <c r="K647" s="148"/>
      <c r="L647" s="254"/>
      <c r="M647" s="252"/>
      <c r="N647" s="250"/>
      <c r="O647" s="253"/>
      <c r="P647" s="240"/>
      <c r="Q647" s="148"/>
      <c r="R647" s="148"/>
      <c r="S647" s="242"/>
      <c r="T647" s="242"/>
      <c r="U647" s="242"/>
      <c r="V647" s="242"/>
      <c r="W647" s="242"/>
      <c r="X647" s="242"/>
      <c r="Y647" s="148"/>
      <c r="Z647" s="148"/>
    </row>
    <row r="648">
      <c r="A648" s="148"/>
      <c r="B648" s="148"/>
      <c r="C648" s="148"/>
      <c r="D648" s="245"/>
      <c r="E648" s="148"/>
      <c r="F648" s="277"/>
      <c r="G648" s="148"/>
      <c r="H648" s="148"/>
      <c r="I648" s="251"/>
      <c r="J648" s="251"/>
      <c r="K648" s="148"/>
      <c r="L648" s="254"/>
      <c r="M648" s="252"/>
      <c r="N648" s="250"/>
      <c r="O648" s="253"/>
      <c r="P648" s="240"/>
      <c r="Q648" s="148"/>
      <c r="R648" s="148"/>
      <c r="S648" s="242"/>
      <c r="T648" s="242"/>
      <c r="U648" s="242"/>
      <c r="V648" s="242"/>
      <c r="W648" s="242"/>
      <c r="X648" s="242"/>
      <c r="Y648" s="148"/>
      <c r="Z648" s="148"/>
    </row>
    <row r="649">
      <c r="A649" s="148"/>
      <c r="B649" s="148"/>
      <c r="C649" s="148"/>
      <c r="D649" s="245"/>
      <c r="E649" s="148"/>
      <c r="F649" s="277"/>
      <c r="G649" s="148"/>
      <c r="H649" s="148"/>
      <c r="I649" s="251"/>
      <c r="J649" s="251"/>
      <c r="K649" s="148"/>
      <c r="L649" s="254"/>
      <c r="M649" s="252"/>
      <c r="N649" s="250"/>
      <c r="O649" s="253"/>
      <c r="P649" s="240"/>
      <c r="Q649" s="148"/>
      <c r="R649" s="148"/>
      <c r="S649" s="242"/>
      <c r="T649" s="242"/>
      <c r="U649" s="242"/>
      <c r="V649" s="242"/>
      <c r="W649" s="242"/>
      <c r="X649" s="242"/>
      <c r="Y649" s="148"/>
      <c r="Z649" s="148"/>
    </row>
    <row r="650">
      <c r="A650" s="148"/>
      <c r="B650" s="148"/>
      <c r="C650" s="148"/>
      <c r="D650" s="245"/>
      <c r="E650" s="148"/>
      <c r="F650" s="277"/>
      <c r="G650" s="148"/>
      <c r="H650" s="148"/>
      <c r="I650" s="251"/>
      <c r="J650" s="251"/>
      <c r="K650" s="148"/>
      <c r="L650" s="254"/>
      <c r="M650" s="252"/>
      <c r="N650" s="250"/>
      <c r="O650" s="253"/>
      <c r="P650" s="240"/>
      <c r="Q650" s="148"/>
      <c r="R650" s="148"/>
      <c r="S650" s="242"/>
      <c r="T650" s="242"/>
      <c r="U650" s="242"/>
      <c r="V650" s="242"/>
      <c r="W650" s="242"/>
      <c r="X650" s="242"/>
      <c r="Y650" s="148"/>
      <c r="Z650" s="148"/>
    </row>
    <row r="651">
      <c r="A651" s="148"/>
      <c r="B651" s="148"/>
      <c r="C651" s="148"/>
      <c r="D651" s="245"/>
      <c r="E651" s="148"/>
      <c r="F651" s="277"/>
      <c r="G651" s="148"/>
      <c r="H651" s="148"/>
      <c r="I651" s="251"/>
      <c r="J651" s="251"/>
      <c r="K651" s="148"/>
      <c r="L651" s="254"/>
      <c r="M651" s="252"/>
      <c r="N651" s="250"/>
      <c r="O651" s="253"/>
      <c r="P651" s="240"/>
      <c r="Q651" s="148"/>
      <c r="R651" s="148"/>
      <c r="S651" s="242"/>
      <c r="T651" s="242"/>
      <c r="U651" s="242"/>
      <c r="V651" s="242"/>
      <c r="W651" s="242"/>
      <c r="X651" s="242"/>
      <c r="Y651" s="148"/>
      <c r="Z651" s="148"/>
    </row>
    <row r="652">
      <c r="A652" s="148"/>
      <c r="B652" s="148"/>
      <c r="C652" s="148"/>
      <c r="D652" s="245"/>
      <c r="E652" s="148"/>
      <c r="F652" s="277"/>
      <c r="G652" s="148"/>
      <c r="H652" s="148"/>
      <c r="I652" s="251"/>
      <c r="J652" s="251"/>
      <c r="K652" s="148"/>
      <c r="L652" s="254"/>
      <c r="M652" s="252"/>
      <c r="N652" s="250"/>
      <c r="O652" s="253"/>
      <c r="P652" s="240"/>
      <c r="Q652" s="148"/>
      <c r="R652" s="148"/>
      <c r="S652" s="242"/>
      <c r="T652" s="242"/>
      <c r="U652" s="242"/>
      <c r="V652" s="242"/>
      <c r="W652" s="242"/>
      <c r="X652" s="242"/>
      <c r="Y652" s="148"/>
      <c r="Z652" s="148"/>
    </row>
    <row r="653">
      <c r="A653" s="148"/>
      <c r="B653" s="148"/>
      <c r="C653" s="148"/>
      <c r="D653" s="245"/>
      <c r="E653" s="148"/>
      <c r="F653" s="277"/>
      <c r="G653" s="148"/>
      <c r="H653" s="148"/>
      <c r="I653" s="251"/>
      <c r="J653" s="251"/>
      <c r="K653" s="148"/>
      <c r="L653" s="254"/>
      <c r="M653" s="252"/>
      <c r="N653" s="250"/>
      <c r="O653" s="253"/>
      <c r="P653" s="240"/>
      <c r="Q653" s="148"/>
      <c r="R653" s="148"/>
      <c r="S653" s="242"/>
      <c r="T653" s="242"/>
      <c r="U653" s="242"/>
      <c r="V653" s="242"/>
      <c r="W653" s="242"/>
      <c r="X653" s="242"/>
      <c r="Y653" s="148"/>
      <c r="Z653" s="148"/>
    </row>
    <row r="654">
      <c r="A654" s="148"/>
      <c r="B654" s="148"/>
      <c r="C654" s="148"/>
      <c r="D654" s="245"/>
      <c r="E654" s="148"/>
      <c r="F654" s="277"/>
      <c r="G654" s="148"/>
      <c r="H654" s="148"/>
      <c r="I654" s="251"/>
      <c r="J654" s="251"/>
      <c r="K654" s="148"/>
      <c r="L654" s="254"/>
      <c r="M654" s="252"/>
      <c r="N654" s="250"/>
      <c r="O654" s="253"/>
      <c r="P654" s="240"/>
      <c r="Q654" s="148"/>
      <c r="R654" s="148"/>
      <c r="S654" s="242"/>
      <c r="T654" s="242"/>
      <c r="U654" s="242"/>
      <c r="V654" s="242"/>
      <c r="W654" s="242"/>
      <c r="X654" s="242"/>
      <c r="Y654" s="148"/>
      <c r="Z654" s="148"/>
    </row>
    <row r="655">
      <c r="A655" s="148"/>
      <c r="B655" s="148"/>
      <c r="C655" s="148"/>
      <c r="D655" s="245"/>
      <c r="E655" s="148"/>
      <c r="F655" s="277"/>
      <c r="G655" s="148"/>
      <c r="H655" s="148"/>
      <c r="I655" s="251"/>
      <c r="J655" s="251"/>
      <c r="K655" s="148"/>
      <c r="L655" s="254"/>
      <c r="M655" s="252"/>
      <c r="N655" s="250"/>
      <c r="O655" s="253"/>
      <c r="P655" s="240"/>
      <c r="Q655" s="148"/>
      <c r="R655" s="148"/>
      <c r="S655" s="242"/>
      <c r="T655" s="242"/>
      <c r="U655" s="242"/>
      <c r="V655" s="242"/>
      <c r="W655" s="242"/>
      <c r="X655" s="242"/>
      <c r="Y655" s="148"/>
      <c r="Z655" s="148"/>
    </row>
    <row r="656">
      <c r="A656" s="148"/>
      <c r="B656" s="148"/>
      <c r="C656" s="148"/>
      <c r="D656" s="245"/>
      <c r="E656" s="148"/>
      <c r="F656" s="277"/>
      <c r="G656" s="148"/>
      <c r="H656" s="148"/>
      <c r="I656" s="251"/>
      <c r="J656" s="251"/>
      <c r="K656" s="148"/>
      <c r="L656" s="254"/>
      <c r="M656" s="252"/>
      <c r="N656" s="250"/>
      <c r="O656" s="253"/>
      <c r="P656" s="240"/>
      <c r="Q656" s="148"/>
      <c r="R656" s="148"/>
      <c r="S656" s="242"/>
      <c r="T656" s="242"/>
      <c r="U656" s="242"/>
      <c r="V656" s="242"/>
      <c r="W656" s="242"/>
      <c r="X656" s="242"/>
      <c r="Y656" s="148"/>
      <c r="Z656" s="148"/>
    </row>
    <row r="657">
      <c r="A657" s="148"/>
      <c r="B657" s="148"/>
      <c r="C657" s="148"/>
      <c r="D657" s="245"/>
      <c r="E657" s="148"/>
      <c r="F657" s="277"/>
      <c r="G657" s="148"/>
      <c r="H657" s="148"/>
      <c r="I657" s="251"/>
      <c r="J657" s="251"/>
      <c r="K657" s="148"/>
      <c r="L657" s="254"/>
      <c r="M657" s="252"/>
      <c r="N657" s="250"/>
      <c r="O657" s="253"/>
      <c r="P657" s="240"/>
      <c r="Q657" s="148"/>
      <c r="R657" s="148"/>
      <c r="S657" s="242"/>
      <c r="T657" s="242"/>
      <c r="U657" s="242"/>
      <c r="V657" s="242"/>
      <c r="W657" s="242"/>
      <c r="X657" s="242"/>
      <c r="Y657" s="148"/>
      <c r="Z657" s="148"/>
    </row>
    <row r="658">
      <c r="A658" s="148"/>
      <c r="B658" s="148"/>
      <c r="C658" s="148"/>
      <c r="D658" s="245"/>
      <c r="E658" s="148"/>
      <c r="F658" s="277"/>
      <c r="G658" s="148"/>
      <c r="H658" s="148"/>
      <c r="I658" s="251"/>
      <c r="J658" s="251"/>
      <c r="K658" s="148"/>
      <c r="L658" s="254"/>
      <c r="M658" s="252"/>
      <c r="N658" s="250"/>
      <c r="O658" s="253"/>
      <c r="P658" s="240"/>
      <c r="Q658" s="148"/>
      <c r="R658" s="148"/>
      <c r="S658" s="242"/>
      <c r="T658" s="242"/>
      <c r="U658" s="242"/>
      <c r="V658" s="242"/>
      <c r="W658" s="242"/>
      <c r="X658" s="242"/>
      <c r="Y658" s="148"/>
      <c r="Z658" s="148"/>
    </row>
    <row r="659">
      <c r="A659" s="148"/>
      <c r="B659" s="148"/>
      <c r="C659" s="148"/>
      <c r="D659" s="245"/>
      <c r="E659" s="148"/>
      <c r="F659" s="277"/>
      <c r="G659" s="148"/>
      <c r="H659" s="148"/>
      <c r="I659" s="251"/>
      <c r="J659" s="251"/>
      <c r="K659" s="148"/>
      <c r="L659" s="254"/>
      <c r="M659" s="252"/>
      <c r="N659" s="250"/>
      <c r="O659" s="253"/>
      <c r="P659" s="240"/>
      <c r="Q659" s="148"/>
      <c r="R659" s="148"/>
      <c r="S659" s="242"/>
      <c r="T659" s="242"/>
      <c r="U659" s="242"/>
      <c r="V659" s="242"/>
      <c r="W659" s="242"/>
      <c r="X659" s="242"/>
      <c r="Y659" s="148"/>
      <c r="Z659" s="148"/>
    </row>
    <row r="660">
      <c r="A660" s="148"/>
      <c r="B660" s="148"/>
      <c r="C660" s="148"/>
      <c r="D660" s="245"/>
      <c r="E660" s="148"/>
      <c r="F660" s="277"/>
      <c r="G660" s="148"/>
      <c r="H660" s="148"/>
      <c r="I660" s="251"/>
      <c r="J660" s="251"/>
      <c r="K660" s="148"/>
      <c r="L660" s="254"/>
      <c r="M660" s="252"/>
      <c r="N660" s="250"/>
      <c r="O660" s="253"/>
      <c r="P660" s="240"/>
      <c r="Q660" s="148"/>
      <c r="R660" s="148"/>
      <c r="S660" s="242"/>
      <c r="T660" s="242"/>
      <c r="U660" s="242"/>
      <c r="V660" s="242"/>
      <c r="W660" s="242"/>
      <c r="X660" s="242"/>
      <c r="Y660" s="148"/>
      <c r="Z660" s="148"/>
    </row>
    <row r="661">
      <c r="A661" s="148"/>
      <c r="B661" s="148"/>
      <c r="C661" s="148"/>
      <c r="D661" s="245"/>
      <c r="E661" s="148"/>
      <c r="F661" s="277"/>
      <c r="G661" s="148"/>
      <c r="H661" s="148"/>
      <c r="I661" s="251"/>
      <c r="J661" s="251"/>
      <c r="K661" s="148"/>
      <c r="L661" s="254"/>
      <c r="M661" s="252"/>
      <c r="N661" s="250"/>
      <c r="O661" s="253"/>
      <c r="P661" s="240"/>
      <c r="Q661" s="148"/>
      <c r="R661" s="148"/>
      <c r="S661" s="242"/>
      <c r="T661" s="242"/>
      <c r="U661" s="242"/>
      <c r="V661" s="242"/>
      <c r="W661" s="242"/>
      <c r="X661" s="242"/>
      <c r="Y661" s="148"/>
      <c r="Z661" s="148"/>
    </row>
    <row r="662">
      <c r="A662" s="148"/>
      <c r="B662" s="148"/>
      <c r="C662" s="148"/>
      <c r="D662" s="245"/>
      <c r="E662" s="148"/>
      <c r="F662" s="277"/>
      <c r="G662" s="148"/>
      <c r="H662" s="148"/>
      <c r="I662" s="251"/>
      <c r="J662" s="251"/>
      <c r="K662" s="148"/>
      <c r="L662" s="254"/>
      <c r="M662" s="252"/>
      <c r="N662" s="250"/>
      <c r="O662" s="253"/>
      <c r="P662" s="240"/>
      <c r="Q662" s="148"/>
      <c r="R662" s="148"/>
      <c r="S662" s="242"/>
      <c r="T662" s="242"/>
      <c r="U662" s="242"/>
      <c r="V662" s="242"/>
      <c r="W662" s="242"/>
      <c r="X662" s="242"/>
      <c r="Y662" s="148"/>
      <c r="Z662" s="148"/>
    </row>
    <row r="663">
      <c r="A663" s="148"/>
      <c r="B663" s="148"/>
      <c r="C663" s="148"/>
      <c r="D663" s="245"/>
      <c r="E663" s="148"/>
      <c r="F663" s="277"/>
      <c r="G663" s="148"/>
      <c r="H663" s="148"/>
      <c r="I663" s="251"/>
      <c r="J663" s="251"/>
      <c r="K663" s="148"/>
      <c r="L663" s="254"/>
      <c r="M663" s="252"/>
      <c r="N663" s="250"/>
      <c r="O663" s="253"/>
      <c r="P663" s="240"/>
      <c r="Q663" s="148"/>
      <c r="R663" s="148"/>
      <c r="S663" s="242"/>
      <c r="T663" s="242"/>
      <c r="U663" s="242"/>
      <c r="V663" s="242"/>
      <c r="W663" s="242"/>
      <c r="X663" s="242"/>
      <c r="Y663" s="148"/>
      <c r="Z663" s="148"/>
    </row>
    <row r="664">
      <c r="A664" s="148"/>
      <c r="B664" s="148"/>
      <c r="C664" s="148"/>
      <c r="D664" s="245"/>
      <c r="E664" s="148"/>
      <c r="F664" s="277"/>
      <c r="G664" s="148"/>
      <c r="H664" s="148"/>
      <c r="I664" s="251"/>
      <c r="J664" s="251"/>
      <c r="K664" s="148"/>
      <c r="L664" s="254"/>
      <c r="M664" s="252"/>
      <c r="N664" s="250"/>
      <c r="O664" s="253"/>
      <c r="P664" s="240"/>
      <c r="Q664" s="148"/>
      <c r="R664" s="148"/>
      <c r="S664" s="242"/>
      <c r="T664" s="242"/>
      <c r="U664" s="242"/>
      <c r="V664" s="242"/>
      <c r="W664" s="242"/>
      <c r="X664" s="242"/>
      <c r="Y664" s="148"/>
      <c r="Z664" s="148"/>
    </row>
    <row r="665">
      <c r="A665" s="148"/>
      <c r="B665" s="148"/>
      <c r="C665" s="148"/>
      <c r="D665" s="245"/>
      <c r="E665" s="148"/>
      <c r="F665" s="277"/>
      <c r="G665" s="148"/>
      <c r="H665" s="148"/>
      <c r="I665" s="251"/>
      <c r="J665" s="251"/>
      <c r="K665" s="148"/>
      <c r="L665" s="254"/>
      <c r="M665" s="252"/>
      <c r="N665" s="250"/>
      <c r="O665" s="253"/>
      <c r="P665" s="240"/>
      <c r="Q665" s="148"/>
      <c r="R665" s="148"/>
      <c r="S665" s="242"/>
      <c r="T665" s="242"/>
      <c r="U665" s="242"/>
      <c r="V665" s="242"/>
      <c r="W665" s="242"/>
      <c r="X665" s="242"/>
      <c r="Y665" s="148"/>
      <c r="Z665" s="148"/>
    </row>
    <row r="666">
      <c r="A666" s="148"/>
      <c r="B666" s="148"/>
      <c r="C666" s="148"/>
      <c r="D666" s="245"/>
      <c r="E666" s="148"/>
      <c r="F666" s="277"/>
      <c r="G666" s="148"/>
      <c r="H666" s="148"/>
      <c r="I666" s="251"/>
      <c r="J666" s="251"/>
      <c r="K666" s="148"/>
      <c r="L666" s="254"/>
      <c r="M666" s="252"/>
      <c r="N666" s="250"/>
      <c r="O666" s="253"/>
      <c r="P666" s="240"/>
      <c r="Q666" s="148"/>
      <c r="R666" s="148"/>
      <c r="S666" s="242"/>
      <c r="T666" s="242"/>
      <c r="U666" s="242"/>
      <c r="V666" s="242"/>
      <c r="W666" s="242"/>
      <c r="X666" s="242"/>
      <c r="Y666" s="148"/>
      <c r="Z666" s="148"/>
    </row>
    <row r="667">
      <c r="A667" s="148"/>
      <c r="B667" s="148"/>
      <c r="C667" s="148"/>
      <c r="D667" s="245"/>
      <c r="E667" s="148"/>
      <c r="F667" s="277"/>
      <c r="G667" s="148"/>
      <c r="H667" s="148"/>
      <c r="I667" s="251"/>
      <c r="J667" s="251"/>
      <c r="K667" s="148"/>
      <c r="L667" s="254"/>
      <c r="M667" s="252"/>
      <c r="N667" s="250"/>
      <c r="O667" s="253"/>
      <c r="P667" s="240"/>
      <c r="Q667" s="148"/>
      <c r="R667" s="148"/>
      <c r="S667" s="242"/>
      <c r="T667" s="242"/>
      <c r="U667" s="242"/>
      <c r="V667" s="242"/>
      <c r="W667" s="242"/>
      <c r="X667" s="242"/>
      <c r="Y667" s="148"/>
      <c r="Z667" s="148"/>
    </row>
    <row r="668">
      <c r="A668" s="148"/>
      <c r="B668" s="148"/>
      <c r="C668" s="148"/>
      <c r="D668" s="245"/>
      <c r="E668" s="148"/>
      <c r="F668" s="277"/>
      <c r="G668" s="148"/>
      <c r="H668" s="148"/>
      <c r="I668" s="251"/>
      <c r="J668" s="251"/>
      <c r="K668" s="148"/>
      <c r="L668" s="254"/>
      <c r="M668" s="252"/>
      <c r="N668" s="250"/>
      <c r="O668" s="253"/>
      <c r="P668" s="240"/>
      <c r="Q668" s="148"/>
      <c r="R668" s="148"/>
      <c r="S668" s="242"/>
      <c r="T668" s="242"/>
      <c r="U668" s="242"/>
      <c r="V668" s="242"/>
      <c r="W668" s="242"/>
      <c r="X668" s="242"/>
      <c r="Y668" s="148"/>
      <c r="Z668" s="148"/>
    </row>
    <row r="669">
      <c r="A669" s="148"/>
      <c r="B669" s="148"/>
      <c r="C669" s="148"/>
      <c r="D669" s="245"/>
      <c r="E669" s="148"/>
      <c r="F669" s="277"/>
      <c r="G669" s="148"/>
      <c r="H669" s="148"/>
      <c r="I669" s="251"/>
      <c r="J669" s="251"/>
      <c r="K669" s="148"/>
      <c r="L669" s="254"/>
      <c r="M669" s="252"/>
      <c r="N669" s="250"/>
      <c r="O669" s="253"/>
      <c r="P669" s="240"/>
      <c r="Q669" s="148"/>
      <c r="R669" s="148"/>
      <c r="S669" s="242"/>
      <c r="T669" s="242"/>
      <c r="U669" s="242"/>
      <c r="V669" s="242"/>
      <c r="W669" s="242"/>
      <c r="X669" s="242"/>
      <c r="Y669" s="148"/>
      <c r="Z669" s="148"/>
    </row>
    <row r="670">
      <c r="A670" s="148"/>
      <c r="B670" s="148"/>
      <c r="C670" s="148"/>
      <c r="D670" s="245"/>
      <c r="E670" s="148"/>
      <c r="F670" s="277"/>
      <c r="G670" s="148"/>
      <c r="H670" s="148"/>
      <c r="I670" s="251"/>
      <c r="J670" s="251"/>
      <c r="K670" s="148"/>
      <c r="L670" s="254"/>
      <c r="M670" s="252"/>
      <c r="N670" s="250"/>
      <c r="O670" s="253"/>
      <c r="P670" s="240"/>
      <c r="Q670" s="148"/>
      <c r="R670" s="148"/>
      <c r="S670" s="242"/>
      <c r="T670" s="242"/>
      <c r="U670" s="242"/>
      <c r="V670" s="242"/>
      <c r="W670" s="242"/>
      <c r="X670" s="242"/>
      <c r="Y670" s="148"/>
      <c r="Z670" s="148"/>
    </row>
    <row r="671">
      <c r="A671" s="148"/>
      <c r="B671" s="148"/>
      <c r="C671" s="148"/>
      <c r="D671" s="245"/>
      <c r="E671" s="148"/>
      <c r="F671" s="277"/>
      <c r="G671" s="148"/>
      <c r="H671" s="148"/>
      <c r="I671" s="251"/>
      <c r="J671" s="251"/>
      <c r="K671" s="148"/>
      <c r="L671" s="254"/>
      <c r="M671" s="252"/>
      <c r="N671" s="250"/>
      <c r="O671" s="253"/>
      <c r="P671" s="240"/>
      <c r="Q671" s="148"/>
      <c r="R671" s="148"/>
      <c r="S671" s="242"/>
      <c r="T671" s="242"/>
      <c r="U671" s="242"/>
      <c r="V671" s="242"/>
      <c r="W671" s="242"/>
      <c r="X671" s="242"/>
      <c r="Y671" s="148"/>
      <c r="Z671" s="148"/>
    </row>
    <row r="672">
      <c r="A672" s="148"/>
      <c r="B672" s="148"/>
      <c r="C672" s="148"/>
      <c r="D672" s="245"/>
      <c r="E672" s="148"/>
      <c r="F672" s="277"/>
      <c r="G672" s="148"/>
      <c r="H672" s="148"/>
      <c r="I672" s="251"/>
      <c r="J672" s="251"/>
      <c r="K672" s="148"/>
      <c r="L672" s="254"/>
      <c r="M672" s="252"/>
      <c r="N672" s="250"/>
      <c r="O672" s="253"/>
      <c r="P672" s="240"/>
      <c r="Q672" s="148"/>
      <c r="R672" s="148"/>
      <c r="S672" s="242"/>
      <c r="T672" s="242"/>
      <c r="U672" s="242"/>
      <c r="V672" s="242"/>
      <c r="W672" s="242"/>
      <c r="X672" s="242"/>
      <c r="Y672" s="148"/>
      <c r="Z672" s="148"/>
    </row>
    <row r="673">
      <c r="A673" s="148"/>
      <c r="B673" s="148"/>
      <c r="C673" s="148"/>
      <c r="D673" s="245"/>
      <c r="E673" s="148"/>
      <c r="F673" s="277"/>
      <c r="G673" s="148"/>
      <c r="H673" s="148"/>
      <c r="I673" s="251"/>
      <c r="J673" s="251"/>
      <c r="K673" s="148"/>
      <c r="L673" s="254"/>
      <c r="M673" s="252"/>
      <c r="N673" s="250"/>
      <c r="O673" s="253"/>
      <c r="P673" s="240"/>
      <c r="Q673" s="148"/>
      <c r="R673" s="148"/>
      <c r="S673" s="242"/>
      <c r="T673" s="242"/>
      <c r="U673" s="242"/>
      <c r="V673" s="242"/>
      <c r="W673" s="242"/>
      <c r="X673" s="242"/>
      <c r="Y673" s="148"/>
      <c r="Z673" s="148"/>
    </row>
    <row r="674">
      <c r="A674" s="148"/>
      <c r="B674" s="148"/>
      <c r="C674" s="148"/>
      <c r="D674" s="245"/>
      <c r="E674" s="148"/>
      <c r="F674" s="277"/>
      <c r="G674" s="148"/>
      <c r="H674" s="148"/>
      <c r="I674" s="251"/>
      <c r="J674" s="251"/>
      <c r="K674" s="148"/>
      <c r="L674" s="254"/>
      <c r="M674" s="252"/>
      <c r="N674" s="250"/>
      <c r="O674" s="253"/>
      <c r="P674" s="240"/>
      <c r="Q674" s="148"/>
      <c r="R674" s="148"/>
      <c r="S674" s="242"/>
      <c r="T674" s="242"/>
      <c r="U674" s="242"/>
      <c r="V674" s="242"/>
      <c r="W674" s="242"/>
      <c r="X674" s="242"/>
      <c r="Y674" s="148"/>
      <c r="Z674" s="148"/>
    </row>
    <row r="675">
      <c r="A675" s="148"/>
      <c r="B675" s="148"/>
      <c r="C675" s="148"/>
      <c r="D675" s="245"/>
      <c r="E675" s="148"/>
      <c r="F675" s="277"/>
      <c r="G675" s="148"/>
      <c r="H675" s="148"/>
      <c r="I675" s="251"/>
      <c r="J675" s="251"/>
      <c r="K675" s="148"/>
      <c r="L675" s="254"/>
      <c r="M675" s="252"/>
      <c r="N675" s="250"/>
      <c r="O675" s="253"/>
      <c r="P675" s="240"/>
      <c r="Q675" s="148"/>
      <c r="R675" s="148"/>
      <c r="S675" s="242"/>
      <c r="T675" s="242"/>
      <c r="U675" s="242"/>
      <c r="V675" s="242"/>
      <c r="W675" s="242"/>
      <c r="X675" s="242"/>
      <c r="Y675" s="148"/>
      <c r="Z675" s="148"/>
    </row>
    <row r="676">
      <c r="A676" s="148"/>
      <c r="B676" s="148"/>
      <c r="C676" s="148"/>
      <c r="D676" s="245"/>
      <c r="E676" s="148"/>
      <c r="F676" s="277"/>
      <c r="G676" s="148"/>
      <c r="H676" s="148"/>
      <c r="I676" s="251"/>
      <c r="J676" s="251"/>
      <c r="K676" s="148"/>
      <c r="L676" s="254"/>
      <c r="M676" s="252"/>
      <c r="N676" s="250"/>
      <c r="O676" s="253"/>
      <c r="P676" s="240"/>
      <c r="Q676" s="148"/>
      <c r="R676" s="148"/>
      <c r="S676" s="242"/>
      <c r="T676" s="242"/>
      <c r="U676" s="242"/>
      <c r="V676" s="242"/>
      <c r="W676" s="242"/>
      <c r="X676" s="242"/>
      <c r="Y676" s="148"/>
      <c r="Z676" s="148"/>
    </row>
    <row r="677">
      <c r="A677" s="148"/>
      <c r="B677" s="148"/>
      <c r="C677" s="148"/>
      <c r="D677" s="245"/>
      <c r="E677" s="148"/>
      <c r="F677" s="277"/>
      <c r="G677" s="148"/>
      <c r="H677" s="148"/>
      <c r="I677" s="251"/>
      <c r="J677" s="251"/>
      <c r="K677" s="148"/>
      <c r="L677" s="254"/>
      <c r="M677" s="252"/>
      <c r="N677" s="250"/>
      <c r="O677" s="253"/>
      <c r="P677" s="240"/>
      <c r="Q677" s="148"/>
      <c r="R677" s="148"/>
      <c r="S677" s="242"/>
      <c r="T677" s="242"/>
      <c r="U677" s="242"/>
      <c r="V677" s="242"/>
      <c r="W677" s="242"/>
      <c r="X677" s="242"/>
      <c r="Y677" s="148"/>
      <c r="Z677" s="148"/>
    </row>
    <row r="678">
      <c r="A678" s="148"/>
      <c r="B678" s="148"/>
      <c r="C678" s="148"/>
      <c r="D678" s="245"/>
      <c r="E678" s="148"/>
      <c r="F678" s="277"/>
      <c r="G678" s="148"/>
      <c r="H678" s="148"/>
      <c r="I678" s="251"/>
      <c r="J678" s="251"/>
      <c r="K678" s="148"/>
      <c r="L678" s="254"/>
      <c r="M678" s="252"/>
      <c r="N678" s="250"/>
      <c r="O678" s="253"/>
      <c r="P678" s="240"/>
      <c r="Q678" s="148"/>
      <c r="R678" s="148"/>
      <c r="S678" s="242"/>
      <c r="T678" s="242"/>
      <c r="U678" s="242"/>
      <c r="V678" s="242"/>
      <c r="W678" s="242"/>
      <c r="X678" s="242"/>
      <c r="Y678" s="148"/>
      <c r="Z678" s="148"/>
    </row>
    <row r="679">
      <c r="A679" s="148"/>
      <c r="B679" s="148"/>
      <c r="C679" s="148"/>
      <c r="D679" s="245"/>
      <c r="E679" s="148"/>
      <c r="F679" s="277"/>
      <c r="G679" s="148"/>
      <c r="H679" s="148"/>
      <c r="I679" s="251"/>
      <c r="J679" s="251"/>
      <c r="K679" s="148"/>
      <c r="L679" s="254"/>
      <c r="M679" s="252"/>
      <c r="N679" s="250"/>
      <c r="O679" s="253"/>
      <c r="P679" s="240"/>
      <c r="Q679" s="148"/>
      <c r="R679" s="148"/>
      <c r="S679" s="242"/>
      <c r="T679" s="242"/>
      <c r="U679" s="242"/>
      <c r="V679" s="242"/>
      <c r="W679" s="242"/>
      <c r="X679" s="242"/>
      <c r="Y679" s="148"/>
      <c r="Z679" s="148"/>
    </row>
    <row r="680">
      <c r="A680" s="148"/>
      <c r="B680" s="148"/>
      <c r="C680" s="148"/>
      <c r="D680" s="245"/>
      <c r="E680" s="148"/>
      <c r="F680" s="277"/>
      <c r="G680" s="148"/>
      <c r="H680" s="148"/>
      <c r="I680" s="251"/>
      <c r="J680" s="251"/>
      <c r="K680" s="148"/>
      <c r="L680" s="254"/>
      <c r="M680" s="252"/>
      <c r="N680" s="250"/>
      <c r="O680" s="253"/>
      <c r="P680" s="240"/>
      <c r="Q680" s="148"/>
      <c r="R680" s="148"/>
      <c r="S680" s="242"/>
      <c r="T680" s="242"/>
      <c r="U680" s="242"/>
      <c r="V680" s="242"/>
      <c r="W680" s="242"/>
      <c r="X680" s="242"/>
      <c r="Y680" s="148"/>
      <c r="Z680" s="148"/>
    </row>
    <row r="681">
      <c r="A681" s="148"/>
      <c r="B681" s="148"/>
      <c r="C681" s="148"/>
      <c r="D681" s="245"/>
      <c r="E681" s="148"/>
      <c r="F681" s="277"/>
      <c r="G681" s="148"/>
      <c r="H681" s="148"/>
      <c r="I681" s="251"/>
      <c r="J681" s="251"/>
      <c r="K681" s="148"/>
      <c r="L681" s="254"/>
      <c r="M681" s="252"/>
      <c r="N681" s="250"/>
      <c r="O681" s="253"/>
      <c r="P681" s="240"/>
      <c r="Q681" s="148"/>
      <c r="R681" s="148"/>
      <c r="S681" s="242"/>
      <c r="T681" s="242"/>
      <c r="U681" s="242"/>
      <c r="V681" s="242"/>
      <c r="W681" s="242"/>
      <c r="X681" s="242"/>
      <c r="Y681" s="148"/>
      <c r="Z681" s="148"/>
    </row>
    <row r="682">
      <c r="A682" s="148"/>
      <c r="B682" s="148"/>
      <c r="C682" s="148"/>
      <c r="D682" s="245"/>
      <c r="E682" s="148"/>
      <c r="F682" s="277"/>
      <c r="G682" s="148"/>
      <c r="H682" s="148"/>
      <c r="I682" s="251"/>
      <c r="J682" s="251"/>
      <c r="K682" s="148"/>
      <c r="L682" s="254"/>
      <c r="M682" s="252"/>
      <c r="N682" s="250"/>
      <c r="O682" s="253"/>
      <c r="P682" s="240"/>
      <c r="Q682" s="148"/>
      <c r="R682" s="148"/>
      <c r="S682" s="242"/>
      <c r="T682" s="242"/>
      <c r="U682" s="242"/>
      <c r="V682" s="242"/>
      <c r="W682" s="242"/>
      <c r="X682" s="242"/>
      <c r="Y682" s="148"/>
      <c r="Z682" s="148"/>
    </row>
    <row r="683">
      <c r="A683" s="148"/>
      <c r="B683" s="148"/>
      <c r="C683" s="148"/>
      <c r="D683" s="245"/>
      <c r="E683" s="148"/>
      <c r="F683" s="277"/>
      <c r="G683" s="148"/>
      <c r="H683" s="148"/>
      <c r="I683" s="251"/>
      <c r="J683" s="251"/>
      <c r="K683" s="148"/>
      <c r="L683" s="254"/>
      <c r="M683" s="252"/>
      <c r="N683" s="250"/>
      <c r="O683" s="253"/>
      <c r="P683" s="240"/>
      <c r="Q683" s="148"/>
      <c r="R683" s="148"/>
      <c r="S683" s="242"/>
      <c r="T683" s="242"/>
      <c r="U683" s="242"/>
      <c r="V683" s="242"/>
      <c r="W683" s="242"/>
      <c r="X683" s="242"/>
      <c r="Y683" s="148"/>
      <c r="Z683" s="148"/>
    </row>
    <row r="684">
      <c r="A684" s="148"/>
      <c r="B684" s="148"/>
      <c r="C684" s="148"/>
      <c r="D684" s="245"/>
      <c r="E684" s="148"/>
      <c r="F684" s="277"/>
      <c r="G684" s="148"/>
      <c r="H684" s="148"/>
      <c r="I684" s="251"/>
      <c r="J684" s="251"/>
      <c r="K684" s="148"/>
      <c r="L684" s="254"/>
      <c r="M684" s="252"/>
      <c r="N684" s="250"/>
      <c r="O684" s="253"/>
      <c r="P684" s="240"/>
      <c r="Q684" s="148"/>
      <c r="R684" s="148"/>
      <c r="S684" s="242"/>
      <c r="T684" s="242"/>
      <c r="U684" s="242"/>
      <c r="V684" s="242"/>
      <c r="W684" s="242"/>
      <c r="X684" s="242"/>
      <c r="Y684" s="148"/>
      <c r="Z684" s="148"/>
    </row>
    <row r="685">
      <c r="A685" s="148"/>
      <c r="B685" s="148"/>
      <c r="C685" s="148"/>
      <c r="D685" s="245"/>
      <c r="E685" s="148"/>
      <c r="F685" s="277"/>
      <c r="G685" s="148"/>
      <c r="H685" s="148"/>
      <c r="I685" s="251"/>
      <c r="J685" s="251"/>
      <c r="K685" s="148"/>
      <c r="L685" s="254"/>
      <c r="M685" s="252"/>
      <c r="N685" s="250"/>
      <c r="O685" s="253"/>
      <c r="P685" s="240"/>
      <c r="Q685" s="148"/>
      <c r="R685" s="148"/>
      <c r="S685" s="242"/>
      <c r="T685" s="242"/>
      <c r="U685" s="242"/>
      <c r="V685" s="242"/>
      <c r="W685" s="242"/>
      <c r="X685" s="242"/>
      <c r="Y685" s="148"/>
      <c r="Z685" s="148"/>
    </row>
    <row r="686">
      <c r="A686" s="148"/>
      <c r="B686" s="148"/>
      <c r="C686" s="148"/>
      <c r="D686" s="245"/>
      <c r="E686" s="148"/>
      <c r="F686" s="277"/>
      <c r="G686" s="148"/>
      <c r="H686" s="148"/>
      <c r="I686" s="251"/>
      <c r="J686" s="251"/>
      <c r="K686" s="148"/>
      <c r="L686" s="254"/>
      <c r="M686" s="252"/>
      <c r="N686" s="250"/>
      <c r="O686" s="253"/>
      <c r="P686" s="240"/>
      <c r="Q686" s="148"/>
      <c r="R686" s="148"/>
      <c r="S686" s="242"/>
      <c r="T686" s="242"/>
      <c r="U686" s="242"/>
      <c r="V686" s="242"/>
      <c r="W686" s="242"/>
      <c r="X686" s="242"/>
      <c r="Y686" s="148"/>
      <c r="Z686" s="148"/>
    </row>
    <row r="687">
      <c r="A687" s="148"/>
      <c r="B687" s="148"/>
      <c r="C687" s="148"/>
      <c r="D687" s="245"/>
      <c r="E687" s="148"/>
      <c r="F687" s="277"/>
      <c r="G687" s="148"/>
      <c r="H687" s="148"/>
      <c r="I687" s="251"/>
      <c r="J687" s="251"/>
      <c r="K687" s="148"/>
      <c r="L687" s="254"/>
      <c r="M687" s="252"/>
      <c r="N687" s="250"/>
      <c r="O687" s="253"/>
      <c r="P687" s="240"/>
      <c r="Q687" s="148"/>
      <c r="R687" s="148"/>
      <c r="S687" s="242"/>
      <c r="T687" s="242"/>
      <c r="U687" s="242"/>
      <c r="V687" s="242"/>
      <c r="W687" s="242"/>
      <c r="X687" s="242"/>
      <c r="Y687" s="148"/>
      <c r="Z687" s="148"/>
    </row>
    <row r="688">
      <c r="A688" s="148"/>
      <c r="B688" s="148"/>
      <c r="C688" s="148"/>
      <c r="D688" s="245"/>
      <c r="E688" s="148"/>
      <c r="F688" s="277"/>
      <c r="G688" s="148"/>
      <c r="H688" s="148"/>
      <c r="I688" s="251"/>
      <c r="J688" s="251"/>
      <c r="K688" s="148"/>
      <c r="L688" s="254"/>
      <c r="M688" s="252"/>
      <c r="N688" s="250"/>
      <c r="O688" s="253"/>
      <c r="P688" s="240"/>
      <c r="Q688" s="148"/>
      <c r="R688" s="148"/>
      <c r="S688" s="242"/>
      <c r="T688" s="242"/>
      <c r="U688" s="242"/>
      <c r="V688" s="242"/>
      <c r="W688" s="242"/>
      <c r="X688" s="242"/>
      <c r="Y688" s="148"/>
      <c r="Z688" s="148"/>
    </row>
    <row r="689">
      <c r="A689" s="148"/>
      <c r="B689" s="148"/>
      <c r="C689" s="148"/>
      <c r="D689" s="245"/>
      <c r="E689" s="148"/>
      <c r="F689" s="277"/>
      <c r="G689" s="148"/>
      <c r="H689" s="148"/>
      <c r="I689" s="251"/>
      <c r="J689" s="251"/>
      <c r="K689" s="148"/>
      <c r="L689" s="254"/>
      <c r="M689" s="252"/>
      <c r="N689" s="250"/>
      <c r="O689" s="253"/>
      <c r="P689" s="240"/>
      <c r="Q689" s="148"/>
      <c r="R689" s="148"/>
      <c r="S689" s="242"/>
      <c r="T689" s="242"/>
      <c r="U689" s="242"/>
      <c r="V689" s="242"/>
      <c r="W689" s="242"/>
      <c r="X689" s="242"/>
      <c r="Y689" s="148"/>
      <c r="Z689" s="148"/>
    </row>
    <row r="690">
      <c r="A690" s="148"/>
      <c r="B690" s="148"/>
      <c r="C690" s="148"/>
      <c r="D690" s="245"/>
      <c r="E690" s="148"/>
      <c r="F690" s="277"/>
      <c r="G690" s="148"/>
      <c r="H690" s="148"/>
      <c r="I690" s="251"/>
      <c r="J690" s="251"/>
      <c r="K690" s="148"/>
      <c r="L690" s="254"/>
      <c r="M690" s="252"/>
      <c r="N690" s="250"/>
      <c r="O690" s="253"/>
      <c r="P690" s="240"/>
      <c r="Q690" s="148"/>
      <c r="R690" s="148"/>
      <c r="S690" s="242"/>
      <c r="T690" s="242"/>
      <c r="U690" s="242"/>
      <c r="V690" s="242"/>
      <c r="W690" s="242"/>
      <c r="X690" s="242"/>
      <c r="Y690" s="148"/>
      <c r="Z690" s="148"/>
    </row>
    <row r="691">
      <c r="A691" s="148"/>
      <c r="B691" s="148"/>
      <c r="C691" s="148"/>
      <c r="D691" s="245"/>
      <c r="E691" s="148"/>
      <c r="F691" s="277"/>
      <c r="G691" s="148"/>
      <c r="H691" s="148"/>
      <c r="I691" s="251"/>
      <c r="J691" s="251"/>
      <c r="K691" s="148"/>
      <c r="L691" s="254"/>
      <c r="M691" s="252"/>
      <c r="N691" s="250"/>
      <c r="O691" s="253"/>
      <c r="P691" s="240"/>
      <c r="Q691" s="148"/>
      <c r="R691" s="148"/>
      <c r="S691" s="242"/>
      <c r="T691" s="242"/>
      <c r="U691" s="242"/>
      <c r="V691" s="242"/>
      <c r="W691" s="242"/>
      <c r="X691" s="242"/>
      <c r="Y691" s="148"/>
      <c r="Z691" s="148"/>
    </row>
    <row r="692">
      <c r="A692" s="148"/>
      <c r="B692" s="148"/>
      <c r="C692" s="148"/>
      <c r="D692" s="245"/>
      <c r="E692" s="148"/>
      <c r="F692" s="277"/>
      <c r="G692" s="148"/>
      <c r="H692" s="148"/>
      <c r="I692" s="251"/>
      <c r="J692" s="251"/>
      <c r="K692" s="148"/>
      <c r="L692" s="254"/>
      <c r="M692" s="252"/>
      <c r="N692" s="250"/>
      <c r="O692" s="253"/>
      <c r="P692" s="240"/>
      <c r="Q692" s="148"/>
      <c r="R692" s="148"/>
      <c r="S692" s="242"/>
      <c r="T692" s="242"/>
      <c r="U692" s="242"/>
      <c r="V692" s="242"/>
      <c r="W692" s="242"/>
      <c r="X692" s="242"/>
      <c r="Y692" s="148"/>
      <c r="Z692" s="148"/>
    </row>
    <row r="693">
      <c r="A693" s="148"/>
      <c r="B693" s="148"/>
      <c r="C693" s="148"/>
      <c r="D693" s="245"/>
      <c r="E693" s="148"/>
      <c r="F693" s="277"/>
      <c r="G693" s="148"/>
      <c r="H693" s="148"/>
      <c r="I693" s="251"/>
      <c r="J693" s="251"/>
      <c r="K693" s="148"/>
      <c r="L693" s="254"/>
      <c r="M693" s="252"/>
      <c r="N693" s="250"/>
      <c r="O693" s="253"/>
      <c r="P693" s="240"/>
      <c r="Q693" s="148"/>
      <c r="R693" s="148"/>
      <c r="S693" s="242"/>
      <c r="T693" s="242"/>
      <c r="U693" s="242"/>
      <c r="V693" s="242"/>
      <c r="W693" s="242"/>
      <c r="X693" s="242"/>
      <c r="Y693" s="148"/>
      <c r="Z693" s="148"/>
    </row>
    <row r="694">
      <c r="A694" s="148"/>
      <c r="B694" s="148"/>
      <c r="C694" s="148"/>
      <c r="D694" s="245"/>
      <c r="E694" s="148"/>
      <c r="F694" s="277"/>
      <c r="G694" s="148"/>
      <c r="H694" s="148"/>
      <c r="I694" s="251"/>
      <c r="J694" s="251"/>
      <c r="K694" s="148"/>
      <c r="L694" s="254"/>
      <c r="M694" s="252"/>
      <c r="N694" s="250"/>
      <c r="O694" s="253"/>
      <c r="P694" s="240"/>
      <c r="Q694" s="148"/>
      <c r="R694" s="148"/>
      <c r="S694" s="242"/>
      <c r="T694" s="242"/>
      <c r="U694" s="242"/>
      <c r="V694" s="242"/>
      <c r="W694" s="242"/>
      <c r="X694" s="242"/>
      <c r="Y694" s="148"/>
      <c r="Z694" s="148"/>
    </row>
    <row r="695">
      <c r="A695" s="148"/>
      <c r="B695" s="148"/>
      <c r="C695" s="148"/>
      <c r="D695" s="245"/>
      <c r="E695" s="148"/>
      <c r="F695" s="277"/>
      <c r="G695" s="148"/>
      <c r="H695" s="148"/>
      <c r="I695" s="251"/>
      <c r="J695" s="251"/>
      <c r="K695" s="148"/>
      <c r="L695" s="254"/>
      <c r="M695" s="252"/>
      <c r="N695" s="250"/>
      <c r="O695" s="253"/>
      <c r="P695" s="240"/>
      <c r="Q695" s="148"/>
      <c r="R695" s="148"/>
      <c r="S695" s="242"/>
      <c r="T695" s="242"/>
      <c r="U695" s="242"/>
      <c r="V695" s="242"/>
      <c r="W695" s="242"/>
      <c r="X695" s="242"/>
      <c r="Y695" s="148"/>
      <c r="Z695" s="148"/>
    </row>
    <row r="696">
      <c r="A696" s="148"/>
      <c r="B696" s="148"/>
      <c r="C696" s="148"/>
      <c r="D696" s="245"/>
      <c r="E696" s="148"/>
      <c r="F696" s="277"/>
      <c r="G696" s="148"/>
      <c r="H696" s="148"/>
      <c r="I696" s="251"/>
      <c r="J696" s="251"/>
      <c r="K696" s="148"/>
      <c r="L696" s="254"/>
      <c r="M696" s="252"/>
      <c r="N696" s="250"/>
      <c r="O696" s="253"/>
      <c r="P696" s="240"/>
      <c r="Q696" s="148"/>
      <c r="R696" s="148"/>
      <c r="S696" s="242"/>
      <c r="T696" s="242"/>
      <c r="U696" s="242"/>
      <c r="V696" s="242"/>
      <c r="W696" s="242"/>
      <c r="X696" s="242"/>
      <c r="Y696" s="148"/>
      <c r="Z696" s="148"/>
    </row>
    <row r="697">
      <c r="A697" s="148"/>
      <c r="B697" s="148"/>
      <c r="C697" s="148"/>
      <c r="D697" s="245"/>
      <c r="E697" s="148"/>
      <c r="F697" s="277"/>
      <c r="G697" s="148"/>
      <c r="H697" s="148"/>
      <c r="I697" s="251"/>
      <c r="J697" s="251"/>
      <c r="K697" s="148"/>
      <c r="L697" s="254"/>
      <c r="M697" s="252"/>
      <c r="N697" s="250"/>
      <c r="O697" s="253"/>
      <c r="P697" s="240"/>
      <c r="Q697" s="148"/>
      <c r="R697" s="148"/>
      <c r="S697" s="242"/>
      <c r="T697" s="242"/>
      <c r="U697" s="242"/>
      <c r="V697" s="242"/>
      <c r="W697" s="242"/>
      <c r="X697" s="242"/>
      <c r="Y697" s="148"/>
      <c r="Z697" s="148"/>
    </row>
    <row r="698">
      <c r="A698" s="148"/>
      <c r="B698" s="148"/>
      <c r="C698" s="148"/>
      <c r="D698" s="245"/>
      <c r="E698" s="148"/>
      <c r="F698" s="277"/>
      <c r="G698" s="148"/>
      <c r="H698" s="148"/>
      <c r="I698" s="251"/>
      <c r="J698" s="251"/>
      <c r="K698" s="148"/>
      <c r="L698" s="254"/>
      <c r="M698" s="252"/>
      <c r="N698" s="250"/>
      <c r="O698" s="253"/>
      <c r="P698" s="240"/>
      <c r="Q698" s="148"/>
      <c r="R698" s="148"/>
      <c r="S698" s="242"/>
      <c r="T698" s="242"/>
      <c r="U698" s="242"/>
      <c r="V698" s="242"/>
      <c r="W698" s="242"/>
      <c r="X698" s="242"/>
      <c r="Y698" s="148"/>
      <c r="Z698" s="148"/>
    </row>
    <row r="699">
      <c r="A699" s="148"/>
      <c r="B699" s="148"/>
      <c r="C699" s="148"/>
      <c r="D699" s="245"/>
      <c r="E699" s="148"/>
      <c r="F699" s="277"/>
      <c r="G699" s="148"/>
      <c r="H699" s="148"/>
      <c r="I699" s="251"/>
      <c r="J699" s="251"/>
      <c r="K699" s="148"/>
      <c r="L699" s="254"/>
      <c r="M699" s="252"/>
      <c r="N699" s="250"/>
      <c r="O699" s="253"/>
      <c r="P699" s="240"/>
      <c r="Q699" s="148"/>
      <c r="R699" s="148"/>
      <c r="S699" s="242"/>
      <c r="T699" s="242"/>
      <c r="U699" s="242"/>
      <c r="V699" s="242"/>
      <c r="W699" s="242"/>
      <c r="X699" s="242"/>
      <c r="Y699" s="148"/>
      <c r="Z699" s="148"/>
    </row>
    <row r="700">
      <c r="A700" s="148"/>
      <c r="B700" s="148"/>
      <c r="C700" s="148"/>
      <c r="D700" s="245"/>
      <c r="E700" s="148"/>
      <c r="F700" s="277"/>
      <c r="G700" s="148"/>
      <c r="H700" s="148"/>
      <c r="I700" s="251"/>
      <c r="J700" s="251"/>
      <c r="K700" s="148"/>
      <c r="L700" s="254"/>
      <c r="M700" s="252"/>
      <c r="N700" s="250"/>
      <c r="O700" s="253"/>
      <c r="P700" s="240"/>
      <c r="Q700" s="148"/>
      <c r="R700" s="148"/>
      <c r="S700" s="242"/>
      <c r="T700" s="242"/>
      <c r="U700" s="242"/>
      <c r="V700" s="242"/>
      <c r="W700" s="242"/>
      <c r="X700" s="242"/>
      <c r="Y700" s="148"/>
      <c r="Z700" s="148"/>
    </row>
    <row r="701">
      <c r="A701" s="148"/>
      <c r="B701" s="148"/>
      <c r="C701" s="148"/>
      <c r="D701" s="245"/>
      <c r="E701" s="148"/>
      <c r="F701" s="277"/>
      <c r="G701" s="148"/>
      <c r="H701" s="148"/>
      <c r="I701" s="251"/>
      <c r="J701" s="251"/>
      <c r="K701" s="148"/>
      <c r="L701" s="254"/>
      <c r="M701" s="252"/>
      <c r="N701" s="250"/>
      <c r="O701" s="253"/>
      <c r="P701" s="240"/>
      <c r="Q701" s="148"/>
      <c r="R701" s="148"/>
      <c r="S701" s="242"/>
      <c r="T701" s="242"/>
      <c r="U701" s="242"/>
      <c r="V701" s="242"/>
      <c r="W701" s="242"/>
      <c r="X701" s="242"/>
      <c r="Y701" s="148"/>
      <c r="Z701" s="148"/>
    </row>
    <row r="702">
      <c r="A702" s="148"/>
      <c r="B702" s="148"/>
      <c r="C702" s="148"/>
      <c r="D702" s="245"/>
      <c r="E702" s="148"/>
      <c r="F702" s="277"/>
      <c r="G702" s="148"/>
      <c r="H702" s="148"/>
      <c r="I702" s="251"/>
      <c r="J702" s="251"/>
      <c r="K702" s="148"/>
      <c r="L702" s="254"/>
      <c r="M702" s="252"/>
      <c r="N702" s="250"/>
      <c r="O702" s="253"/>
      <c r="P702" s="240"/>
      <c r="Q702" s="148"/>
      <c r="R702" s="148"/>
      <c r="S702" s="242"/>
      <c r="T702" s="242"/>
      <c r="U702" s="242"/>
      <c r="V702" s="242"/>
      <c r="W702" s="242"/>
      <c r="X702" s="242"/>
      <c r="Y702" s="148"/>
      <c r="Z702" s="148"/>
    </row>
    <row r="703">
      <c r="A703" s="148"/>
      <c r="B703" s="148"/>
      <c r="C703" s="148"/>
      <c r="D703" s="245"/>
      <c r="E703" s="148"/>
      <c r="F703" s="277"/>
      <c r="G703" s="148"/>
      <c r="H703" s="148"/>
      <c r="I703" s="251"/>
      <c r="J703" s="251"/>
      <c r="K703" s="148"/>
      <c r="L703" s="254"/>
      <c r="M703" s="252"/>
      <c r="N703" s="250"/>
      <c r="O703" s="253"/>
      <c r="P703" s="240"/>
      <c r="Q703" s="148"/>
      <c r="R703" s="148"/>
      <c r="S703" s="242"/>
      <c r="T703" s="242"/>
      <c r="U703" s="242"/>
      <c r="V703" s="242"/>
      <c r="W703" s="242"/>
      <c r="X703" s="242"/>
      <c r="Y703" s="148"/>
      <c r="Z703" s="148"/>
    </row>
    <row r="704">
      <c r="A704" s="148"/>
      <c r="B704" s="148"/>
      <c r="C704" s="148"/>
      <c r="D704" s="245"/>
      <c r="E704" s="148"/>
      <c r="F704" s="277"/>
      <c r="G704" s="148"/>
      <c r="H704" s="148"/>
      <c r="I704" s="251"/>
      <c r="J704" s="251"/>
      <c r="K704" s="148"/>
      <c r="L704" s="254"/>
      <c r="M704" s="252"/>
      <c r="N704" s="250"/>
      <c r="O704" s="253"/>
      <c r="P704" s="240"/>
      <c r="Q704" s="148"/>
      <c r="R704" s="148"/>
      <c r="S704" s="242"/>
      <c r="T704" s="242"/>
      <c r="U704" s="242"/>
      <c r="V704" s="242"/>
      <c r="W704" s="242"/>
      <c r="X704" s="242"/>
      <c r="Y704" s="148"/>
      <c r="Z704" s="148"/>
    </row>
    <row r="705">
      <c r="A705" s="148"/>
      <c r="B705" s="148"/>
      <c r="C705" s="148"/>
      <c r="D705" s="245"/>
      <c r="E705" s="148"/>
      <c r="F705" s="277"/>
      <c r="G705" s="148"/>
      <c r="H705" s="148"/>
      <c r="I705" s="251"/>
      <c r="J705" s="251"/>
      <c r="K705" s="148"/>
      <c r="L705" s="254"/>
      <c r="M705" s="252"/>
      <c r="N705" s="250"/>
      <c r="O705" s="253"/>
      <c r="P705" s="240"/>
      <c r="Q705" s="148"/>
      <c r="R705" s="148"/>
      <c r="S705" s="242"/>
      <c r="T705" s="242"/>
      <c r="U705" s="242"/>
      <c r="V705" s="242"/>
      <c r="W705" s="242"/>
      <c r="X705" s="242"/>
      <c r="Y705" s="148"/>
      <c r="Z705" s="148"/>
    </row>
    <row r="706">
      <c r="A706" s="148"/>
      <c r="B706" s="148"/>
      <c r="C706" s="148"/>
      <c r="D706" s="245"/>
      <c r="E706" s="148"/>
      <c r="F706" s="277"/>
      <c r="G706" s="148"/>
      <c r="H706" s="148"/>
      <c r="I706" s="251"/>
      <c r="J706" s="251"/>
      <c r="K706" s="148"/>
      <c r="L706" s="254"/>
      <c r="M706" s="252"/>
      <c r="N706" s="250"/>
      <c r="O706" s="253"/>
      <c r="P706" s="240"/>
      <c r="Q706" s="148"/>
      <c r="R706" s="148"/>
      <c r="S706" s="242"/>
      <c r="T706" s="242"/>
      <c r="U706" s="242"/>
      <c r="V706" s="242"/>
      <c r="W706" s="242"/>
      <c r="X706" s="242"/>
      <c r="Y706" s="148"/>
      <c r="Z706" s="148"/>
    </row>
    <row r="707">
      <c r="A707" s="148"/>
      <c r="B707" s="148"/>
      <c r="C707" s="148"/>
      <c r="D707" s="245"/>
      <c r="E707" s="148"/>
      <c r="F707" s="277"/>
      <c r="G707" s="148"/>
      <c r="H707" s="148"/>
      <c r="I707" s="251"/>
      <c r="J707" s="251"/>
      <c r="K707" s="148"/>
      <c r="L707" s="254"/>
      <c r="M707" s="252"/>
      <c r="N707" s="250"/>
      <c r="O707" s="253"/>
      <c r="P707" s="240"/>
      <c r="Q707" s="148"/>
      <c r="R707" s="148"/>
      <c r="S707" s="242"/>
      <c r="T707" s="242"/>
      <c r="U707" s="242"/>
      <c r="V707" s="242"/>
      <c r="W707" s="242"/>
      <c r="X707" s="242"/>
      <c r="Y707" s="148"/>
      <c r="Z707" s="148"/>
    </row>
    <row r="708">
      <c r="A708" s="148"/>
      <c r="B708" s="148"/>
      <c r="C708" s="148"/>
      <c r="D708" s="245"/>
      <c r="E708" s="148"/>
      <c r="F708" s="277"/>
      <c r="G708" s="148"/>
      <c r="H708" s="148"/>
      <c r="I708" s="251"/>
      <c r="J708" s="251"/>
      <c r="K708" s="148"/>
      <c r="L708" s="254"/>
      <c r="M708" s="252"/>
      <c r="N708" s="250"/>
      <c r="O708" s="253"/>
      <c r="P708" s="240"/>
      <c r="Q708" s="148"/>
      <c r="R708" s="148"/>
      <c r="S708" s="242"/>
      <c r="T708" s="242"/>
      <c r="U708" s="242"/>
      <c r="V708" s="242"/>
      <c r="W708" s="242"/>
      <c r="X708" s="242"/>
      <c r="Y708" s="148"/>
      <c r="Z708" s="148"/>
    </row>
    <row r="709">
      <c r="A709" s="148"/>
      <c r="B709" s="148"/>
      <c r="C709" s="148"/>
      <c r="D709" s="245"/>
      <c r="E709" s="148"/>
      <c r="F709" s="277"/>
      <c r="G709" s="148"/>
      <c r="H709" s="148"/>
      <c r="I709" s="251"/>
      <c r="J709" s="251"/>
      <c r="K709" s="148"/>
      <c r="L709" s="254"/>
      <c r="M709" s="252"/>
      <c r="N709" s="250"/>
      <c r="O709" s="253"/>
      <c r="P709" s="240"/>
      <c r="Q709" s="148"/>
      <c r="R709" s="148"/>
      <c r="S709" s="242"/>
      <c r="T709" s="242"/>
      <c r="U709" s="242"/>
      <c r="V709" s="242"/>
      <c r="W709" s="242"/>
      <c r="X709" s="242"/>
      <c r="Y709" s="148"/>
      <c r="Z709" s="148"/>
    </row>
    <row r="710">
      <c r="A710" s="148"/>
      <c r="B710" s="148"/>
      <c r="C710" s="148"/>
      <c r="D710" s="245"/>
      <c r="E710" s="148"/>
      <c r="F710" s="277"/>
      <c r="G710" s="148"/>
      <c r="H710" s="148"/>
      <c r="I710" s="251"/>
      <c r="J710" s="251"/>
      <c r="K710" s="148"/>
      <c r="L710" s="254"/>
      <c r="M710" s="252"/>
      <c r="N710" s="250"/>
      <c r="O710" s="253"/>
      <c r="P710" s="240"/>
      <c r="Q710" s="148"/>
      <c r="R710" s="148"/>
      <c r="S710" s="242"/>
      <c r="T710" s="242"/>
      <c r="U710" s="242"/>
      <c r="V710" s="242"/>
      <c r="W710" s="242"/>
      <c r="X710" s="242"/>
      <c r="Y710" s="148"/>
      <c r="Z710" s="148"/>
    </row>
    <row r="711">
      <c r="A711" s="148"/>
      <c r="B711" s="148"/>
      <c r="C711" s="148"/>
      <c r="D711" s="245"/>
      <c r="E711" s="148"/>
      <c r="F711" s="277"/>
      <c r="G711" s="148"/>
      <c r="H711" s="148"/>
      <c r="I711" s="251"/>
      <c r="J711" s="251"/>
      <c r="K711" s="148"/>
      <c r="L711" s="254"/>
      <c r="M711" s="252"/>
      <c r="N711" s="250"/>
      <c r="O711" s="253"/>
      <c r="P711" s="240"/>
      <c r="Q711" s="148"/>
      <c r="R711" s="148"/>
      <c r="S711" s="242"/>
      <c r="T711" s="242"/>
      <c r="U711" s="242"/>
      <c r="V711" s="242"/>
      <c r="W711" s="242"/>
      <c r="X711" s="242"/>
      <c r="Y711" s="148"/>
      <c r="Z711" s="148"/>
    </row>
    <row r="712">
      <c r="A712" s="148"/>
      <c r="B712" s="148"/>
      <c r="C712" s="148"/>
      <c r="D712" s="245"/>
      <c r="E712" s="148"/>
      <c r="F712" s="277"/>
      <c r="G712" s="148"/>
      <c r="H712" s="148"/>
      <c r="I712" s="251"/>
      <c r="J712" s="251"/>
      <c r="K712" s="148"/>
      <c r="L712" s="254"/>
      <c r="M712" s="252"/>
      <c r="N712" s="250"/>
      <c r="O712" s="253"/>
      <c r="P712" s="240"/>
      <c r="Q712" s="148"/>
      <c r="R712" s="148"/>
      <c r="S712" s="242"/>
      <c r="T712" s="242"/>
      <c r="U712" s="242"/>
      <c r="V712" s="242"/>
      <c r="W712" s="242"/>
      <c r="X712" s="242"/>
      <c r="Y712" s="148"/>
      <c r="Z712" s="148"/>
    </row>
    <row r="713">
      <c r="A713" s="148"/>
      <c r="B713" s="148"/>
      <c r="C713" s="148"/>
      <c r="D713" s="245"/>
      <c r="E713" s="148"/>
      <c r="F713" s="277"/>
      <c r="G713" s="148"/>
      <c r="H713" s="148"/>
      <c r="I713" s="251"/>
      <c r="J713" s="251"/>
      <c r="K713" s="148"/>
      <c r="L713" s="254"/>
      <c r="M713" s="252"/>
      <c r="N713" s="250"/>
      <c r="O713" s="253"/>
      <c r="P713" s="240"/>
      <c r="Q713" s="148"/>
      <c r="R713" s="148"/>
      <c r="S713" s="242"/>
      <c r="T713" s="242"/>
      <c r="U713" s="242"/>
      <c r="V713" s="242"/>
      <c r="W713" s="242"/>
      <c r="X713" s="242"/>
      <c r="Y713" s="148"/>
      <c r="Z713" s="148"/>
    </row>
    <row r="714">
      <c r="A714" s="148"/>
      <c r="B714" s="148"/>
      <c r="C714" s="148"/>
      <c r="D714" s="245"/>
      <c r="E714" s="148"/>
      <c r="F714" s="277"/>
      <c r="G714" s="148"/>
      <c r="H714" s="148"/>
      <c r="I714" s="251"/>
      <c r="J714" s="251"/>
      <c r="K714" s="148"/>
      <c r="L714" s="254"/>
      <c r="M714" s="252"/>
      <c r="N714" s="250"/>
      <c r="O714" s="253"/>
      <c r="P714" s="240"/>
      <c r="Q714" s="148"/>
      <c r="R714" s="148"/>
      <c r="S714" s="242"/>
      <c r="T714" s="242"/>
      <c r="U714" s="242"/>
      <c r="V714" s="242"/>
      <c r="W714" s="242"/>
      <c r="X714" s="242"/>
      <c r="Y714" s="148"/>
      <c r="Z714" s="148"/>
    </row>
    <row r="715">
      <c r="A715" s="148"/>
      <c r="B715" s="148"/>
      <c r="C715" s="148"/>
      <c r="D715" s="245"/>
      <c r="E715" s="148"/>
      <c r="F715" s="277"/>
      <c r="G715" s="148"/>
      <c r="H715" s="148"/>
      <c r="I715" s="251"/>
      <c r="J715" s="251"/>
      <c r="K715" s="148"/>
      <c r="L715" s="254"/>
      <c r="M715" s="252"/>
      <c r="N715" s="250"/>
      <c r="O715" s="253"/>
      <c r="P715" s="240"/>
      <c r="Q715" s="148"/>
      <c r="R715" s="148"/>
      <c r="S715" s="242"/>
      <c r="T715" s="242"/>
      <c r="U715" s="242"/>
      <c r="V715" s="242"/>
      <c r="W715" s="242"/>
      <c r="X715" s="242"/>
      <c r="Y715" s="148"/>
      <c r="Z715" s="148"/>
    </row>
    <row r="716">
      <c r="A716" s="148"/>
      <c r="B716" s="148"/>
      <c r="C716" s="148"/>
      <c r="D716" s="245"/>
      <c r="E716" s="148"/>
      <c r="F716" s="277"/>
      <c r="G716" s="148"/>
      <c r="H716" s="148"/>
      <c r="I716" s="251"/>
      <c r="J716" s="251"/>
      <c r="K716" s="148"/>
      <c r="L716" s="254"/>
      <c r="M716" s="252"/>
      <c r="N716" s="250"/>
      <c r="O716" s="253"/>
      <c r="P716" s="240"/>
      <c r="Q716" s="148"/>
      <c r="R716" s="148"/>
      <c r="S716" s="242"/>
      <c r="T716" s="242"/>
      <c r="U716" s="242"/>
      <c r="V716" s="242"/>
      <c r="W716" s="242"/>
      <c r="X716" s="242"/>
      <c r="Y716" s="148"/>
      <c r="Z716" s="148"/>
    </row>
    <row r="717">
      <c r="A717" s="148"/>
      <c r="B717" s="148"/>
      <c r="C717" s="148"/>
      <c r="D717" s="245"/>
      <c r="E717" s="148"/>
      <c r="F717" s="277"/>
      <c r="G717" s="148"/>
      <c r="H717" s="148"/>
      <c r="I717" s="251"/>
      <c r="J717" s="251"/>
      <c r="K717" s="148"/>
      <c r="L717" s="254"/>
      <c r="M717" s="252"/>
      <c r="N717" s="250"/>
      <c r="O717" s="253"/>
      <c r="P717" s="240"/>
      <c r="Q717" s="148"/>
      <c r="R717" s="148"/>
      <c r="S717" s="242"/>
      <c r="T717" s="242"/>
      <c r="U717" s="242"/>
      <c r="V717" s="242"/>
      <c r="W717" s="242"/>
      <c r="X717" s="242"/>
      <c r="Y717" s="148"/>
      <c r="Z717" s="148"/>
    </row>
    <row r="718">
      <c r="A718" s="148"/>
      <c r="B718" s="148"/>
      <c r="C718" s="148"/>
      <c r="D718" s="245"/>
      <c r="E718" s="148"/>
      <c r="F718" s="277"/>
      <c r="G718" s="148"/>
      <c r="H718" s="148"/>
      <c r="I718" s="251"/>
      <c r="J718" s="251"/>
      <c r="K718" s="148"/>
      <c r="L718" s="254"/>
      <c r="M718" s="252"/>
      <c r="N718" s="250"/>
      <c r="O718" s="253"/>
      <c r="P718" s="240"/>
      <c r="Q718" s="148"/>
      <c r="R718" s="148"/>
      <c r="S718" s="242"/>
      <c r="T718" s="242"/>
      <c r="U718" s="242"/>
      <c r="V718" s="242"/>
      <c r="W718" s="242"/>
      <c r="X718" s="242"/>
      <c r="Y718" s="148"/>
      <c r="Z718" s="148"/>
    </row>
    <row r="719">
      <c r="A719" s="148"/>
      <c r="B719" s="148"/>
      <c r="C719" s="148"/>
      <c r="D719" s="245"/>
      <c r="E719" s="148"/>
      <c r="F719" s="277"/>
      <c r="G719" s="148"/>
      <c r="H719" s="148"/>
      <c r="I719" s="251"/>
      <c r="J719" s="251"/>
      <c r="K719" s="148"/>
      <c r="L719" s="254"/>
      <c r="M719" s="252"/>
      <c r="N719" s="250"/>
      <c r="O719" s="253"/>
      <c r="P719" s="240"/>
      <c r="Q719" s="148"/>
      <c r="R719" s="148"/>
      <c r="S719" s="242"/>
      <c r="T719" s="242"/>
      <c r="U719" s="242"/>
      <c r="V719" s="242"/>
      <c r="W719" s="242"/>
      <c r="X719" s="242"/>
      <c r="Y719" s="148"/>
      <c r="Z719" s="148"/>
    </row>
    <row r="720">
      <c r="A720" s="148"/>
      <c r="B720" s="148"/>
      <c r="C720" s="148"/>
      <c r="D720" s="245"/>
      <c r="E720" s="148"/>
      <c r="F720" s="277"/>
      <c r="G720" s="148"/>
      <c r="H720" s="148"/>
      <c r="I720" s="251"/>
      <c r="J720" s="251"/>
      <c r="K720" s="148"/>
      <c r="L720" s="254"/>
      <c r="M720" s="252"/>
      <c r="N720" s="250"/>
      <c r="O720" s="253"/>
      <c r="P720" s="240"/>
      <c r="Q720" s="148"/>
      <c r="R720" s="148"/>
      <c r="S720" s="242"/>
      <c r="T720" s="242"/>
      <c r="U720" s="242"/>
      <c r="V720" s="242"/>
      <c r="W720" s="242"/>
      <c r="X720" s="242"/>
      <c r="Y720" s="148"/>
      <c r="Z720" s="148"/>
    </row>
    <row r="721">
      <c r="A721" s="148"/>
      <c r="B721" s="148"/>
      <c r="C721" s="148"/>
      <c r="D721" s="245"/>
      <c r="E721" s="148"/>
      <c r="F721" s="277"/>
      <c r="G721" s="148"/>
      <c r="H721" s="148"/>
      <c r="I721" s="251"/>
      <c r="J721" s="251"/>
      <c r="K721" s="148"/>
      <c r="L721" s="254"/>
      <c r="M721" s="252"/>
      <c r="N721" s="250"/>
      <c r="O721" s="253"/>
      <c r="P721" s="240"/>
      <c r="Q721" s="148"/>
      <c r="R721" s="148"/>
      <c r="S721" s="242"/>
      <c r="T721" s="242"/>
      <c r="U721" s="242"/>
      <c r="V721" s="242"/>
      <c r="W721" s="242"/>
      <c r="X721" s="242"/>
      <c r="Y721" s="148"/>
      <c r="Z721" s="148"/>
    </row>
    <row r="722">
      <c r="A722" s="148"/>
      <c r="B722" s="148"/>
      <c r="C722" s="148"/>
      <c r="D722" s="245"/>
      <c r="E722" s="148"/>
      <c r="F722" s="277"/>
      <c r="G722" s="148"/>
      <c r="H722" s="148"/>
      <c r="I722" s="251"/>
      <c r="J722" s="251"/>
      <c r="K722" s="148"/>
      <c r="L722" s="254"/>
      <c r="M722" s="252"/>
      <c r="N722" s="250"/>
      <c r="O722" s="253"/>
      <c r="P722" s="240"/>
      <c r="Q722" s="148"/>
      <c r="R722" s="148"/>
      <c r="S722" s="242"/>
      <c r="T722" s="242"/>
      <c r="U722" s="242"/>
      <c r="V722" s="242"/>
      <c r="W722" s="242"/>
      <c r="X722" s="242"/>
      <c r="Y722" s="148"/>
      <c r="Z722" s="148"/>
    </row>
    <row r="723">
      <c r="A723" s="148"/>
      <c r="B723" s="148"/>
      <c r="C723" s="148"/>
      <c r="D723" s="245"/>
      <c r="E723" s="148"/>
      <c r="F723" s="277"/>
      <c r="G723" s="148"/>
      <c r="H723" s="148"/>
      <c r="I723" s="251"/>
      <c r="J723" s="251"/>
      <c r="K723" s="148"/>
      <c r="L723" s="254"/>
      <c r="M723" s="252"/>
      <c r="N723" s="250"/>
      <c r="O723" s="253"/>
      <c r="P723" s="240"/>
      <c r="Q723" s="148"/>
      <c r="R723" s="148"/>
      <c r="S723" s="242"/>
      <c r="T723" s="242"/>
      <c r="U723" s="242"/>
      <c r="V723" s="242"/>
      <c r="W723" s="242"/>
      <c r="X723" s="242"/>
      <c r="Y723" s="148"/>
      <c r="Z723" s="148"/>
    </row>
    <row r="724">
      <c r="A724" s="148"/>
      <c r="B724" s="148"/>
      <c r="C724" s="148"/>
      <c r="D724" s="245"/>
      <c r="E724" s="148"/>
      <c r="F724" s="277"/>
      <c r="G724" s="148"/>
      <c r="H724" s="148"/>
      <c r="I724" s="251"/>
      <c r="J724" s="251"/>
      <c r="K724" s="148"/>
      <c r="L724" s="254"/>
      <c r="M724" s="252"/>
      <c r="N724" s="250"/>
      <c r="O724" s="253"/>
      <c r="P724" s="240"/>
      <c r="Q724" s="148"/>
      <c r="R724" s="148"/>
      <c r="S724" s="242"/>
      <c r="T724" s="242"/>
      <c r="U724" s="242"/>
      <c r="V724" s="242"/>
      <c r="W724" s="242"/>
      <c r="X724" s="242"/>
      <c r="Y724" s="148"/>
      <c r="Z724" s="148"/>
    </row>
    <row r="725">
      <c r="A725" s="148"/>
      <c r="B725" s="148"/>
      <c r="C725" s="148"/>
      <c r="D725" s="245"/>
      <c r="E725" s="148"/>
      <c r="F725" s="277"/>
      <c r="G725" s="148"/>
      <c r="H725" s="148"/>
      <c r="I725" s="251"/>
      <c r="J725" s="251"/>
      <c r="K725" s="148"/>
      <c r="L725" s="254"/>
      <c r="M725" s="252"/>
      <c r="N725" s="250"/>
      <c r="O725" s="253"/>
      <c r="P725" s="240"/>
      <c r="Q725" s="148"/>
      <c r="R725" s="148"/>
      <c r="S725" s="242"/>
      <c r="T725" s="242"/>
      <c r="U725" s="242"/>
      <c r="V725" s="242"/>
      <c r="W725" s="242"/>
      <c r="X725" s="242"/>
      <c r="Y725" s="148"/>
      <c r="Z725" s="148"/>
    </row>
    <row r="726">
      <c r="A726" s="148"/>
      <c r="B726" s="148"/>
      <c r="C726" s="148"/>
      <c r="D726" s="245"/>
      <c r="E726" s="148"/>
      <c r="F726" s="277"/>
      <c r="G726" s="148"/>
      <c r="H726" s="148"/>
      <c r="I726" s="251"/>
      <c r="J726" s="251"/>
      <c r="K726" s="148"/>
      <c r="L726" s="254"/>
      <c r="M726" s="252"/>
      <c r="N726" s="250"/>
      <c r="O726" s="253"/>
      <c r="P726" s="240"/>
      <c r="Q726" s="148"/>
      <c r="R726" s="148"/>
      <c r="S726" s="242"/>
      <c r="T726" s="242"/>
      <c r="U726" s="242"/>
      <c r="V726" s="242"/>
      <c r="W726" s="242"/>
      <c r="X726" s="242"/>
      <c r="Y726" s="148"/>
      <c r="Z726" s="148"/>
    </row>
    <row r="727">
      <c r="A727" s="148"/>
      <c r="B727" s="148"/>
      <c r="C727" s="148"/>
      <c r="D727" s="245"/>
      <c r="E727" s="148"/>
      <c r="F727" s="277"/>
      <c r="G727" s="148"/>
      <c r="H727" s="148"/>
      <c r="I727" s="251"/>
      <c r="J727" s="251"/>
      <c r="K727" s="148"/>
      <c r="L727" s="254"/>
      <c r="M727" s="252"/>
      <c r="N727" s="250"/>
      <c r="O727" s="253"/>
      <c r="P727" s="240"/>
      <c r="Q727" s="148"/>
      <c r="R727" s="148"/>
      <c r="S727" s="242"/>
      <c r="T727" s="242"/>
      <c r="U727" s="242"/>
      <c r="V727" s="242"/>
      <c r="W727" s="242"/>
      <c r="X727" s="242"/>
      <c r="Y727" s="148"/>
      <c r="Z727" s="148"/>
    </row>
    <row r="728">
      <c r="A728" s="148"/>
      <c r="B728" s="148"/>
      <c r="C728" s="148"/>
      <c r="D728" s="245"/>
      <c r="E728" s="148"/>
      <c r="F728" s="277"/>
      <c r="G728" s="148"/>
      <c r="H728" s="148"/>
      <c r="I728" s="251"/>
      <c r="J728" s="251"/>
      <c r="K728" s="148"/>
      <c r="L728" s="254"/>
      <c r="M728" s="252"/>
      <c r="N728" s="250"/>
      <c r="O728" s="253"/>
      <c r="P728" s="240"/>
      <c r="Q728" s="148"/>
      <c r="R728" s="148"/>
      <c r="S728" s="242"/>
      <c r="T728" s="242"/>
      <c r="U728" s="242"/>
      <c r="V728" s="242"/>
      <c r="W728" s="242"/>
      <c r="X728" s="242"/>
      <c r="Y728" s="148"/>
      <c r="Z728" s="148"/>
    </row>
    <row r="729">
      <c r="A729" s="148"/>
      <c r="B729" s="148"/>
      <c r="C729" s="148"/>
      <c r="D729" s="245"/>
      <c r="E729" s="148"/>
      <c r="F729" s="277"/>
      <c r="G729" s="148"/>
      <c r="H729" s="148"/>
      <c r="I729" s="251"/>
      <c r="J729" s="251"/>
      <c r="K729" s="148"/>
      <c r="L729" s="254"/>
      <c r="M729" s="252"/>
      <c r="N729" s="250"/>
      <c r="O729" s="253"/>
      <c r="P729" s="240"/>
      <c r="Q729" s="148"/>
      <c r="R729" s="148"/>
      <c r="S729" s="242"/>
      <c r="T729" s="242"/>
      <c r="U729" s="242"/>
      <c r="V729" s="242"/>
      <c r="W729" s="242"/>
      <c r="X729" s="242"/>
      <c r="Y729" s="148"/>
      <c r="Z729" s="148"/>
    </row>
    <row r="730">
      <c r="A730" s="148"/>
      <c r="B730" s="148"/>
      <c r="C730" s="148"/>
      <c r="D730" s="245"/>
      <c r="E730" s="148"/>
      <c r="F730" s="277"/>
      <c r="G730" s="148"/>
      <c r="H730" s="148"/>
      <c r="I730" s="251"/>
      <c r="J730" s="251"/>
      <c r="K730" s="148"/>
      <c r="L730" s="254"/>
      <c r="M730" s="252"/>
      <c r="N730" s="250"/>
      <c r="O730" s="253"/>
      <c r="P730" s="240"/>
      <c r="Q730" s="148"/>
      <c r="R730" s="148"/>
      <c r="S730" s="242"/>
      <c r="T730" s="242"/>
      <c r="U730" s="242"/>
      <c r="V730" s="242"/>
      <c r="W730" s="242"/>
      <c r="X730" s="242"/>
      <c r="Y730" s="148"/>
      <c r="Z730" s="148"/>
    </row>
    <row r="731">
      <c r="A731" s="148"/>
      <c r="B731" s="148"/>
      <c r="C731" s="148"/>
      <c r="D731" s="245"/>
      <c r="E731" s="148"/>
      <c r="F731" s="277"/>
      <c r="G731" s="148"/>
      <c r="H731" s="148"/>
      <c r="I731" s="251"/>
      <c r="J731" s="251"/>
      <c r="K731" s="148"/>
      <c r="L731" s="254"/>
      <c r="M731" s="252"/>
      <c r="N731" s="250"/>
      <c r="O731" s="253"/>
      <c r="P731" s="240"/>
      <c r="Q731" s="148"/>
      <c r="R731" s="148"/>
      <c r="S731" s="242"/>
      <c r="T731" s="242"/>
      <c r="U731" s="242"/>
      <c r="V731" s="242"/>
      <c r="W731" s="242"/>
      <c r="X731" s="242"/>
      <c r="Y731" s="148"/>
      <c r="Z731" s="148"/>
    </row>
    <row r="732">
      <c r="A732" s="148"/>
      <c r="B732" s="148"/>
      <c r="C732" s="148"/>
      <c r="D732" s="245"/>
      <c r="E732" s="148"/>
      <c r="F732" s="277"/>
      <c r="G732" s="148"/>
      <c r="H732" s="148"/>
      <c r="I732" s="251"/>
      <c r="J732" s="251"/>
      <c r="K732" s="148"/>
      <c r="L732" s="254"/>
      <c r="M732" s="252"/>
      <c r="N732" s="250"/>
      <c r="O732" s="253"/>
      <c r="P732" s="240"/>
      <c r="Q732" s="148"/>
      <c r="R732" s="148"/>
      <c r="S732" s="242"/>
      <c r="T732" s="242"/>
      <c r="U732" s="242"/>
      <c r="V732" s="242"/>
      <c r="W732" s="242"/>
      <c r="X732" s="242"/>
      <c r="Y732" s="148"/>
      <c r="Z732" s="148"/>
    </row>
    <row r="733">
      <c r="A733" s="148"/>
      <c r="B733" s="148"/>
      <c r="C733" s="148"/>
      <c r="D733" s="245"/>
      <c r="E733" s="148"/>
      <c r="F733" s="277"/>
      <c r="G733" s="148"/>
      <c r="H733" s="148"/>
      <c r="I733" s="251"/>
      <c r="J733" s="251"/>
      <c r="K733" s="148"/>
      <c r="L733" s="254"/>
      <c r="M733" s="252"/>
      <c r="N733" s="250"/>
      <c r="O733" s="253"/>
      <c r="P733" s="240"/>
      <c r="Q733" s="148"/>
      <c r="R733" s="148"/>
      <c r="S733" s="242"/>
      <c r="T733" s="242"/>
      <c r="U733" s="242"/>
      <c r="V733" s="242"/>
      <c r="W733" s="242"/>
      <c r="X733" s="242"/>
      <c r="Y733" s="148"/>
      <c r="Z733" s="148"/>
    </row>
    <row r="734">
      <c r="A734" s="148"/>
      <c r="B734" s="148"/>
      <c r="C734" s="148"/>
      <c r="D734" s="245"/>
      <c r="E734" s="148"/>
      <c r="F734" s="277"/>
      <c r="G734" s="148"/>
      <c r="H734" s="148"/>
      <c r="I734" s="251"/>
      <c r="J734" s="251"/>
      <c r="K734" s="148"/>
      <c r="L734" s="254"/>
      <c r="M734" s="252"/>
      <c r="N734" s="250"/>
      <c r="O734" s="253"/>
      <c r="P734" s="240"/>
      <c r="Q734" s="148"/>
      <c r="R734" s="148"/>
      <c r="S734" s="242"/>
      <c r="T734" s="242"/>
      <c r="U734" s="242"/>
      <c r="V734" s="242"/>
      <c r="W734" s="242"/>
      <c r="X734" s="242"/>
      <c r="Y734" s="148"/>
      <c r="Z734" s="148"/>
    </row>
    <row r="735">
      <c r="A735" s="148"/>
      <c r="B735" s="148"/>
      <c r="C735" s="148"/>
      <c r="D735" s="245"/>
      <c r="E735" s="148"/>
      <c r="F735" s="277"/>
      <c r="G735" s="148"/>
      <c r="H735" s="148"/>
      <c r="I735" s="251"/>
      <c r="J735" s="251"/>
      <c r="K735" s="148"/>
      <c r="L735" s="254"/>
      <c r="M735" s="252"/>
      <c r="N735" s="250"/>
      <c r="O735" s="253"/>
      <c r="P735" s="240"/>
      <c r="Q735" s="148"/>
      <c r="R735" s="148"/>
      <c r="S735" s="242"/>
      <c r="T735" s="242"/>
      <c r="U735" s="242"/>
      <c r="V735" s="242"/>
      <c r="W735" s="242"/>
      <c r="X735" s="242"/>
      <c r="Y735" s="148"/>
      <c r="Z735" s="148"/>
    </row>
    <row r="736">
      <c r="A736" s="148"/>
      <c r="B736" s="148"/>
      <c r="C736" s="148"/>
      <c r="D736" s="245"/>
      <c r="E736" s="148"/>
      <c r="F736" s="277"/>
      <c r="G736" s="148"/>
      <c r="H736" s="148"/>
      <c r="I736" s="251"/>
      <c r="J736" s="251"/>
      <c r="K736" s="148"/>
      <c r="L736" s="254"/>
      <c r="M736" s="252"/>
      <c r="N736" s="250"/>
      <c r="O736" s="253"/>
      <c r="P736" s="240"/>
      <c r="Q736" s="148"/>
      <c r="R736" s="148"/>
      <c r="S736" s="242"/>
      <c r="T736" s="242"/>
      <c r="U736" s="242"/>
      <c r="V736" s="242"/>
      <c r="W736" s="242"/>
      <c r="X736" s="242"/>
      <c r="Y736" s="148"/>
      <c r="Z736" s="148"/>
    </row>
    <row r="737">
      <c r="A737" s="148"/>
      <c r="B737" s="148"/>
      <c r="C737" s="148"/>
      <c r="D737" s="245"/>
      <c r="E737" s="148"/>
      <c r="F737" s="277"/>
      <c r="G737" s="148"/>
      <c r="H737" s="148"/>
      <c r="I737" s="251"/>
      <c r="J737" s="251"/>
      <c r="K737" s="148"/>
      <c r="L737" s="254"/>
      <c r="M737" s="252"/>
      <c r="N737" s="250"/>
      <c r="O737" s="253"/>
      <c r="P737" s="240"/>
      <c r="Q737" s="148"/>
      <c r="R737" s="148"/>
      <c r="S737" s="242"/>
      <c r="T737" s="242"/>
      <c r="U737" s="242"/>
      <c r="V737" s="242"/>
      <c r="W737" s="242"/>
      <c r="X737" s="242"/>
      <c r="Y737" s="148"/>
      <c r="Z737" s="148"/>
    </row>
    <row r="738">
      <c r="A738" s="148"/>
      <c r="B738" s="148"/>
      <c r="C738" s="148"/>
      <c r="D738" s="245"/>
      <c r="E738" s="148"/>
      <c r="F738" s="277"/>
      <c r="G738" s="148"/>
      <c r="H738" s="148"/>
      <c r="I738" s="251"/>
      <c r="J738" s="251"/>
      <c r="K738" s="148"/>
      <c r="L738" s="254"/>
      <c r="M738" s="252"/>
      <c r="N738" s="250"/>
      <c r="O738" s="253"/>
      <c r="P738" s="240"/>
      <c r="Q738" s="148"/>
      <c r="R738" s="148"/>
      <c r="S738" s="242"/>
      <c r="T738" s="242"/>
      <c r="U738" s="242"/>
      <c r="V738" s="242"/>
      <c r="W738" s="242"/>
      <c r="X738" s="242"/>
      <c r="Y738" s="148"/>
      <c r="Z738" s="148"/>
    </row>
    <row r="739">
      <c r="A739" s="148"/>
      <c r="B739" s="148"/>
      <c r="C739" s="148"/>
      <c r="D739" s="245"/>
      <c r="E739" s="148"/>
      <c r="F739" s="277"/>
      <c r="G739" s="148"/>
      <c r="H739" s="148"/>
      <c r="I739" s="251"/>
      <c r="J739" s="251"/>
      <c r="K739" s="148"/>
      <c r="L739" s="254"/>
      <c r="M739" s="252"/>
      <c r="N739" s="250"/>
      <c r="O739" s="253"/>
      <c r="P739" s="240"/>
      <c r="Q739" s="148"/>
      <c r="R739" s="148"/>
      <c r="S739" s="242"/>
      <c r="T739" s="242"/>
      <c r="U739" s="242"/>
      <c r="V739" s="242"/>
      <c r="W739" s="242"/>
      <c r="X739" s="242"/>
      <c r="Y739" s="148"/>
      <c r="Z739" s="148"/>
    </row>
    <row r="740">
      <c r="A740" s="148"/>
      <c r="B740" s="148"/>
      <c r="C740" s="148"/>
      <c r="D740" s="245"/>
      <c r="E740" s="148"/>
      <c r="F740" s="277"/>
      <c r="G740" s="148"/>
      <c r="H740" s="148"/>
      <c r="I740" s="251"/>
      <c r="J740" s="251"/>
      <c r="K740" s="148"/>
      <c r="L740" s="254"/>
      <c r="M740" s="252"/>
      <c r="N740" s="250"/>
      <c r="O740" s="253"/>
      <c r="P740" s="240"/>
      <c r="Q740" s="148"/>
      <c r="R740" s="148"/>
      <c r="S740" s="242"/>
      <c r="T740" s="242"/>
      <c r="U740" s="242"/>
      <c r="V740" s="242"/>
      <c r="W740" s="242"/>
      <c r="X740" s="242"/>
      <c r="Y740" s="148"/>
      <c r="Z740" s="148"/>
    </row>
    <row r="741">
      <c r="A741" s="148"/>
      <c r="B741" s="148"/>
      <c r="C741" s="148"/>
      <c r="D741" s="245"/>
      <c r="E741" s="148"/>
      <c r="F741" s="277"/>
      <c r="G741" s="148"/>
      <c r="H741" s="148"/>
      <c r="I741" s="251"/>
      <c r="J741" s="251"/>
      <c r="K741" s="148"/>
      <c r="L741" s="254"/>
      <c r="M741" s="252"/>
      <c r="N741" s="250"/>
      <c r="O741" s="253"/>
      <c r="P741" s="240"/>
      <c r="Q741" s="148"/>
      <c r="R741" s="148"/>
      <c r="S741" s="242"/>
      <c r="T741" s="242"/>
      <c r="U741" s="242"/>
      <c r="V741" s="242"/>
      <c r="W741" s="242"/>
      <c r="X741" s="242"/>
      <c r="Y741" s="148"/>
      <c r="Z741" s="148"/>
    </row>
    <row r="742">
      <c r="A742" s="148"/>
      <c r="B742" s="148"/>
      <c r="C742" s="148"/>
      <c r="D742" s="245"/>
      <c r="E742" s="148"/>
      <c r="F742" s="277"/>
      <c r="G742" s="148"/>
      <c r="H742" s="148"/>
      <c r="I742" s="251"/>
      <c r="J742" s="251"/>
      <c r="K742" s="148"/>
      <c r="L742" s="254"/>
      <c r="M742" s="252"/>
      <c r="N742" s="250"/>
      <c r="O742" s="253"/>
      <c r="P742" s="240"/>
      <c r="Q742" s="148"/>
      <c r="R742" s="148"/>
      <c r="S742" s="242"/>
      <c r="T742" s="242"/>
      <c r="U742" s="242"/>
      <c r="V742" s="242"/>
      <c r="W742" s="242"/>
      <c r="X742" s="242"/>
      <c r="Y742" s="148"/>
      <c r="Z742" s="148"/>
    </row>
    <row r="743">
      <c r="A743" s="148"/>
      <c r="B743" s="148"/>
      <c r="C743" s="148"/>
      <c r="D743" s="245"/>
      <c r="E743" s="148"/>
      <c r="F743" s="277"/>
      <c r="G743" s="148"/>
      <c r="H743" s="148"/>
      <c r="I743" s="251"/>
      <c r="J743" s="251"/>
      <c r="K743" s="148"/>
      <c r="L743" s="254"/>
      <c r="M743" s="252"/>
      <c r="N743" s="250"/>
      <c r="O743" s="253"/>
      <c r="P743" s="240"/>
      <c r="Q743" s="148"/>
      <c r="R743" s="148"/>
      <c r="S743" s="242"/>
      <c r="T743" s="242"/>
      <c r="U743" s="242"/>
      <c r="V743" s="242"/>
      <c r="W743" s="242"/>
      <c r="X743" s="242"/>
      <c r="Y743" s="148"/>
      <c r="Z743" s="148"/>
    </row>
    <row r="744">
      <c r="A744" s="148"/>
      <c r="B744" s="148"/>
      <c r="C744" s="148"/>
      <c r="D744" s="245"/>
      <c r="E744" s="148"/>
      <c r="F744" s="277"/>
      <c r="G744" s="148"/>
      <c r="H744" s="148"/>
      <c r="I744" s="251"/>
      <c r="J744" s="251"/>
      <c r="K744" s="148"/>
      <c r="L744" s="254"/>
      <c r="M744" s="252"/>
      <c r="N744" s="250"/>
      <c r="O744" s="253"/>
      <c r="P744" s="240"/>
      <c r="Q744" s="148"/>
      <c r="R744" s="148"/>
      <c r="S744" s="242"/>
      <c r="T744" s="242"/>
      <c r="U744" s="242"/>
      <c r="V744" s="242"/>
      <c r="W744" s="242"/>
      <c r="X744" s="242"/>
      <c r="Y744" s="148"/>
      <c r="Z744" s="148"/>
    </row>
    <row r="745">
      <c r="A745" s="148"/>
      <c r="B745" s="148"/>
      <c r="C745" s="148"/>
      <c r="D745" s="245"/>
      <c r="E745" s="148"/>
      <c r="F745" s="277"/>
      <c r="G745" s="148"/>
      <c r="H745" s="148"/>
      <c r="I745" s="251"/>
      <c r="J745" s="251"/>
      <c r="K745" s="148"/>
      <c r="L745" s="254"/>
      <c r="M745" s="252"/>
      <c r="N745" s="250"/>
      <c r="O745" s="253"/>
      <c r="P745" s="240"/>
      <c r="Q745" s="148"/>
      <c r="R745" s="148"/>
      <c r="S745" s="242"/>
      <c r="T745" s="242"/>
      <c r="U745" s="242"/>
      <c r="V745" s="242"/>
      <c r="W745" s="242"/>
      <c r="X745" s="242"/>
      <c r="Y745" s="148"/>
      <c r="Z745" s="148"/>
    </row>
    <row r="746">
      <c r="A746" s="148"/>
      <c r="B746" s="148"/>
      <c r="C746" s="148"/>
      <c r="D746" s="245"/>
      <c r="E746" s="148"/>
      <c r="F746" s="277"/>
      <c r="G746" s="148"/>
      <c r="H746" s="148"/>
      <c r="I746" s="251"/>
      <c r="J746" s="251"/>
      <c r="K746" s="148"/>
      <c r="L746" s="254"/>
      <c r="M746" s="252"/>
      <c r="N746" s="250"/>
      <c r="O746" s="253"/>
      <c r="P746" s="240"/>
      <c r="Q746" s="148"/>
      <c r="R746" s="148"/>
      <c r="S746" s="242"/>
      <c r="T746" s="242"/>
      <c r="U746" s="242"/>
      <c r="V746" s="242"/>
      <c r="W746" s="242"/>
      <c r="X746" s="242"/>
      <c r="Y746" s="148"/>
      <c r="Z746" s="148"/>
    </row>
    <row r="747">
      <c r="A747" s="148"/>
      <c r="B747" s="148"/>
      <c r="C747" s="148"/>
      <c r="D747" s="245"/>
      <c r="E747" s="148"/>
      <c r="F747" s="277"/>
      <c r="G747" s="148"/>
      <c r="H747" s="148"/>
      <c r="I747" s="251"/>
      <c r="J747" s="251"/>
      <c r="K747" s="148"/>
      <c r="L747" s="254"/>
      <c r="M747" s="252"/>
      <c r="N747" s="250"/>
      <c r="O747" s="253"/>
      <c r="P747" s="240"/>
      <c r="Q747" s="148"/>
      <c r="R747" s="148"/>
      <c r="S747" s="242"/>
      <c r="T747" s="242"/>
      <c r="U747" s="242"/>
      <c r="V747" s="242"/>
      <c r="W747" s="242"/>
      <c r="X747" s="242"/>
      <c r="Y747" s="148"/>
      <c r="Z747" s="148"/>
    </row>
    <row r="748">
      <c r="A748" s="148"/>
      <c r="B748" s="148"/>
      <c r="C748" s="148"/>
      <c r="D748" s="245"/>
      <c r="E748" s="148"/>
      <c r="F748" s="277"/>
      <c r="G748" s="148"/>
      <c r="H748" s="148"/>
      <c r="I748" s="251"/>
      <c r="J748" s="251"/>
      <c r="K748" s="148"/>
      <c r="L748" s="254"/>
      <c r="M748" s="252"/>
      <c r="N748" s="250"/>
      <c r="O748" s="253"/>
      <c r="P748" s="240"/>
      <c r="Q748" s="148"/>
      <c r="R748" s="148"/>
      <c r="S748" s="242"/>
      <c r="T748" s="242"/>
      <c r="U748" s="242"/>
      <c r="V748" s="242"/>
      <c r="W748" s="242"/>
      <c r="X748" s="242"/>
      <c r="Y748" s="148"/>
      <c r="Z748" s="148"/>
    </row>
    <row r="749">
      <c r="A749" s="148"/>
      <c r="B749" s="148"/>
      <c r="C749" s="148"/>
      <c r="D749" s="245"/>
      <c r="E749" s="148"/>
      <c r="F749" s="277"/>
      <c r="G749" s="148"/>
      <c r="H749" s="148"/>
      <c r="I749" s="251"/>
      <c r="J749" s="251"/>
      <c r="K749" s="148"/>
      <c r="L749" s="254"/>
      <c r="M749" s="252"/>
      <c r="N749" s="250"/>
      <c r="O749" s="253"/>
      <c r="P749" s="240"/>
      <c r="Q749" s="148"/>
      <c r="R749" s="148"/>
      <c r="S749" s="242"/>
      <c r="T749" s="242"/>
      <c r="U749" s="242"/>
      <c r="V749" s="242"/>
      <c r="W749" s="242"/>
      <c r="X749" s="242"/>
      <c r="Y749" s="148"/>
      <c r="Z749" s="148"/>
    </row>
    <row r="750">
      <c r="A750" s="148"/>
      <c r="B750" s="148"/>
      <c r="C750" s="148"/>
      <c r="D750" s="245"/>
      <c r="E750" s="148"/>
      <c r="F750" s="277"/>
      <c r="G750" s="148"/>
      <c r="H750" s="148"/>
      <c r="I750" s="251"/>
      <c r="J750" s="251"/>
      <c r="K750" s="148"/>
      <c r="L750" s="254"/>
      <c r="M750" s="252"/>
      <c r="N750" s="250"/>
      <c r="O750" s="253"/>
      <c r="P750" s="240"/>
      <c r="Q750" s="148"/>
      <c r="R750" s="148"/>
      <c r="S750" s="242"/>
      <c r="T750" s="242"/>
      <c r="U750" s="242"/>
      <c r="V750" s="242"/>
      <c r="W750" s="242"/>
      <c r="X750" s="242"/>
      <c r="Y750" s="148"/>
      <c r="Z750" s="148"/>
    </row>
    <row r="751">
      <c r="A751" s="148"/>
      <c r="B751" s="148"/>
      <c r="C751" s="148"/>
      <c r="D751" s="245"/>
      <c r="E751" s="148"/>
      <c r="F751" s="277"/>
      <c r="G751" s="148"/>
      <c r="H751" s="148"/>
      <c r="I751" s="251"/>
      <c r="J751" s="251"/>
      <c r="K751" s="148"/>
      <c r="L751" s="254"/>
      <c r="M751" s="252"/>
      <c r="N751" s="250"/>
      <c r="O751" s="253"/>
      <c r="P751" s="240"/>
      <c r="Q751" s="148"/>
      <c r="R751" s="148"/>
      <c r="S751" s="242"/>
      <c r="T751" s="242"/>
      <c r="U751" s="242"/>
      <c r="V751" s="242"/>
      <c r="W751" s="242"/>
      <c r="X751" s="242"/>
      <c r="Y751" s="148"/>
      <c r="Z751" s="148"/>
    </row>
    <row r="752">
      <c r="A752" s="148"/>
      <c r="B752" s="148"/>
      <c r="C752" s="148"/>
      <c r="D752" s="245"/>
      <c r="E752" s="148"/>
      <c r="F752" s="277"/>
      <c r="G752" s="148"/>
      <c r="H752" s="148"/>
      <c r="I752" s="251"/>
      <c r="J752" s="251"/>
      <c r="K752" s="148"/>
      <c r="L752" s="254"/>
      <c r="M752" s="252"/>
      <c r="N752" s="250"/>
      <c r="O752" s="253"/>
      <c r="P752" s="240"/>
      <c r="Q752" s="148"/>
      <c r="R752" s="148"/>
      <c r="S752" s="242"/>
      <c r="T752" s="242"/>
      <c r="U752" s="242"/>
      <c r="V752" s="242"/>
      <c r="W752" s="242"/>
      <c r="X752" s="242"/>
      <c r="Y752" s="148"/>
      <c r="Z752" s="148"/>
    </row>
    <row r="753">
      <c r="A753" s="148"/>
      <c r="B753" s="148"/>
      <c r="C753" s="148"/>
      <c r="D753" s="245"/>
      <c r="E753" s="148"/>
      <c r="F753" s="277"/>
      <c r="G753" s="148"/>
      <c r="H753" s="148"/>
      <c r="I753" s="251"/>
      <c r="J753" s="251"/>
      <c r="K753" s="148"/>
      <c r="L753" s="254"/>
      <c r="M753" s="252"/>
      <c r="N753" s="250"/>
      <c r="O753" s="253"/>
      <c r="P753" s="240"/>
      <c r="Q753" s="148"/>
      <c r="R753" s="148"/>
      <c r="S753" s="242"/>
      <c r="T753" s="242"/>
      <c r="U753" s="242"/>
      <c r="V753" s="242"/>
      <c r="W753" s="242"/>
      <c r="X753" s="242"/>
      <c r="Y753" s="148"/>
      <c r="Z753" s="148"/>
    </row>
    <row r="754">
      <c r="A754" s="148"/>
      <c r="B754" s="148"/>
      <c r="C754" s="148"/>
      <c r="D754" s="245"/>
      <c r="E754" s="148"/>
      <c r="F754" s="277"/>
      <c r="G754" s="148"/>
      <c r="H754" s="148"/>
      <c r="I754" s="251"/>
      <c r="J754" s="251"/>
      <c r="K754" s="148"/>
      <c r="L754" s="254"/>
      <c r="M754" s="252"/>
      <c r="N754" s="250"/>
      <c r="O754" s="253"/>
      <c r="P754" s="240"/>
      <c r="Q754" s="148"/>
      <c r="R754" s="148"/>
      <c r="S754" s="242"/>
      <c r="T754" s="242"/>
      <c r="U754" s="242"/>
      <c r="V754" s="242"/>
      <c r="W754" s="242"/>
      <c r="X754" s="242"/>
      <c r="Y754" s="148"/>
      <c r="Z754" s="148"/>
    </row>
    <row r="755">
      <c r="A755" s="148"/>
      <c r="B755" s="148"/>
      <c r="C755" s="148"/>
      <c r="D755" s="245"/>
      <c r="E755" s="148"/>
      <c r="F755" s="277"/>
      <c r="G755" s="148"/>
      <c r="H755" s="148"/>
      <c r="I755" s="251"/>
      <c r="J755" s="251"/>
      <c r="K755" s="148"/>
      <c r="L755" s="254"/>
      <c r="M755" s="252"/>
      <c r="N755" s="250"/>
      <c r="O755" s="253"/>
      <c r="P755" s="240"/>
      <c r="Q755" s="148"/>
      <c r="R755" s="148"/>
      <c r="S755" s="242"/>
      <c r="T755" s="242"/>
      <c r="U755" s="242"/>
      <c r="V755" s="242"/>
      <c r="W755" s="242"/>
      <c r="X755" s="242"/>
      <c r="Y755" s="148"/>
      <c r="Z755" s="148"/>
    </row>
    <row r="756">
      <c r="A756" s="148"/>
      <c r="B756" s="148"/>
      <c r="C756" s="148"/>
      <c r="D756" s="245"/>
      <c r="E756" s="148"/>
      <c r="F756" s="277"/>
      <c r="G756" s="148"/>
      <c r="H756" s="148"/>
      <c r="I756" s="251"/>
      <c r="J756" s="251"/>
      <c r="K756" s="148"/>
      <c r="L756" s="254"/>
      <c r="M756" s="252"/>
      <c r="N756" s="250"/>
      <c r="O756" s="253"/>
      <c r="P756" s="240"/>
      <c r="Q756" s="148"/>
      <c r="R756" s="148"/>
      <c r="S756" s="242"/>
      <c r="T756" s="242"/>
      <c r="U756" s="242"/>
      <c r="V756" s="242"/>
      <c r="W756" s="242"/>
      <c r="X756" s="242"/>
      <c r="Y756" s="148"/>
      <c r="Z756" s="148"/>
    </row>
    <row r="757">
      <c r="A757" s="148"/>
      <c r="B757" s="148"/>
      <c r="C757" s="148"/>
      <c r="D757" s="245"/>
      <c r="E757" s="148"/>
      <c r="F757" s="277"/>
      <c r="G757" s="148"/>
      <c r="H757" s="148"/>
      <c r="I757" s="251"/>
      <c r="J757" s="251"/>
      <c r="K757" s="148"/>
      <c r="L757" s="254"/>
      <c r="M757" s="252"/>
      <c r="N757" s="250"/>
      <c r="O757" s="253"/>
      <c r="P757" s="240"/>
      <c r="Q757" s="148"/>
      <c r="R757" s="148"/>
      <c r="S757" s="242"/>
      <c r="T757" s="242"/>
      <c r="U757" s="242"/>
      <c r="V757" s="242"/>
      <c r="W757" s="242"/>
      <c r="X757" s="242"/>
      <c r="Y757" s="148"/>
      <c r="Z757" s="148"/>
    </row>
    <row r="758">
      <c r="A758" s="148"/>
      <c r="B758" s="148"/>
      <c r="C758" s="148"/>
      <c r="D758" s="245"/>
      <c r="E758" s="148"/>
      <c r="F758" s="277"/>
      <c r="G758" s="148"/>
      <c r="H758" s="148"/>
      <c r="I758" s="251"/>
      <c r="J758" s="251"/>
      <c r="K758" s="148"/>
      <c r="L758" s="254"/>
      <c r="M758" s="252"/>
      <c r="N758" s="250"/>
      <c r="O758" s="253"/>
      <c r="P758" s="240"/>
      <c r="Q758" s="148"/>
      <c r="R758" s="148"/>
      <c r="S758" s="242"/>
      <c r="T758" s="242"/>
      <c r="U758" s="242"/>
      <c r="V758" s="242"/>
      <c r="W758" s="242"/>
      <c r="X758" s="242"/>
      <c r="Y758" s="148"/>
      <c r="Z758" s="148"/>
    </row>
    <row r="759">
      <c r="A759" s="148"/>
      <c r="B759" s="148"/>
      <c r="C759" s="148"/>
      <c r="D759" s="245"/>
      <c r="E759" s="148"/>
      <c r="F759" s="277"/>
      <c r="G759" s="148"/>
      <c r="H759" s="148"/>
      <c r="I759" s="251"/>
      <c r="J759" s="251"/>
      <c r="K759" s="148"/>
      <c r="L759" s="254"/>
      <c r="M759" s="252"/>
      <c r="N759" s="250"/>
      <c r="O759" s="253"/>
      <c r="P759" s="240"/>
      <c r="Q759" s="148"/>
      <c r="R759" s="148"/>
      <c r="S759" s="242"/>
      <c r="T759" s="242"/>
      <c r="U759" s="242"/>
      <c r="V759" s="242"/>
      <c r="W759" s="242"/>
      <c r="X759" s="242"/>
      <c r="Y759" s="148"/>
      <c r="Z759" s="148"/>
    </row>
    <row r="760">
      <c r="A760" s="148"/>
      <c r="B760" s="148"/>
      <c r="C760" s="148"/>
      <c r="D760" s="245"/>
      <c r="E760" s="148"/>
      <c r="F760" s="277"/>
      <c r="G760" s="148"/>
      <c r="H760" s="148"/>
      <c r="I760" s="251"/>
      <c r="J760" s="251"/>
      <c r="K760" s="148"/>
      <c r="L760" s="254"/>
      <c r="M760" s="252"/>
      <c r="N760" s="250"/>
      <c r="O760" s="253"/>
      <c r="P760" s="240"/>
      <c r="Q760" s="148"/>
      <c r="R760" s="148"/>
      <c r="S760" s="242"/>
      <c r="T760" s="242"/>
      <c r="U760" s="242"/>
      <c r="V760" s="242"/>
      <c r="W760" s="242"/>
      <c r="X760" s="242"/>
      <c r="Y760" s="148"/>
      <c r="Z760" s="148"/>
    </row>
    <row r="761">
      <c r="A761" s="148"/>
      <c r="B761" s="148"/>
      <c r="C761" s="148"/>
      <c r="D761" s="245"/>
      <c r="E761" s="148"/>
      <c r="F761" s="277"/>
      <c r="G761" s="148"/>
      <c r="H761" s="148"/>
      <c r="I761" s="251"/>
      <c r="J761" s="251"/>
      <c r="K761" s="148"/>
      <c r="L761" s="254"/>
      <c r="M761" s="252"/>
      <c r="N761" s="250"/>
      <c r="O761" s="253"/>
      <c r="P761" s="240"/>
      <c r="Q761" s="148"/>
      <c r="R761" s="148"/>
      <c r="S761" s="242"/>
      <c r="T761" s="242"/>
      <c r="U761" s="242"/>
      <c r="V761" s="242"/>
      <c r="W761" s="242"/>
      <c r="X761" s="242"/>
      <c r="Y761" s="148"/>
      <c r="Z761" s="148"/>
    </row>
    <row r="762">
      <c r="A762" s="148"/>
      <c r="B762" s="148"/>
      <c r="C762" s="148"/>
      <c r="D762" s="245"/>
      <c r="E762" s="148"/>
      <c r="F762" s="277"/>
      <c r="G762" s="148"/>
      <c r="H762" s="148"/>
      <c r="I762" s="251"/>
      <c r="J762" s="251"/>
      <c r="K762" s="148"/>
      <c r="L762" s="254"/>
      <c r="M762" s="252"/>
      <c r="N762" s="250"/>
      <c r="O762" s="253"/>
      <c r="P762" s="240"/>
      <c r="Q762" s="148"/>
      <c r="R762" s="148"/>
      <c r="S762" s="242"/>
      <c r="T762" s="242"/>
      <c r="U762" s="242"/>
      <c r="V762" s="242"/>
      <c r="W762" s="242"/>
      <c r="X762" s="242"/>
      <c r="Y762" s="148"/>
      <c r="Z762" s="148"/>
    </row>
    <row r="763">
      <c r="A763" s="148"/>
      <c r="B763" s="148"/>
      <c r="C763" s="148"/>
      <c r="D763" s="245"/>
      <c r="E763" s="148"/>
      <c r="F763" s="277"/>
      <c r="G763" s="148"/>
      <c r="H763" s="148"/>
      <c r="I763" s="251"/>
      <c r="J763" s="251"/>
      <c r="K763" s="148"/>
      <c r="L763" s="254"/>
      <c r="M763" s="252"/>
      <c r="N763" s="250"/>
      <c r="O763" s="253"/>
      <c r="P763" s="240"/>
      <c r="Q763" s="148"/>
      <c r="R763" s="148"/>
      <c r="S763" s="242"/>
      <c r="T763" s="242"/>
      <c r="U763" s="242"/>
      <c r="V763" s="242"/>
      <c r="W763" s="242"/>
      <c r="X763" s="242"/>
      <c r="Y763" s="148"/>
      <c r="Z763" s="148"/>
    </row>
    <row r="764">
      <c r="A764" s="148"/>
      <c r="B764" s="148"/>
      <c r="C764" s="148"/>
      <c r="D764" s="245"/>
      <c r="E764" s="148"/>
      <c r="F764" s="277"/>
      <c r="G764" s="148"/>
      <c r="H764" s="148"/>
      <c r="I764" s="251"/>
      <c r="J764" s="251"/>
      <c r="K764" s="148"/>
      <c r="L764" s="254"/>
      <c r="M764" s="252"/>
      <c r="N764" s="250"/>
      <c r="O764" s="253"/>
      <c r="P764" s="240"/>
      <c r="Q764" s="148"/>
      <c r="R764" s="148"/>
      <c r="S764" s="242"/>
      <c r="T764" s="242"/>
      <c r="U764" s="242"/>
      <c r="V764" s="242"/>
      <c r="W764" s="242"/>
      <c r="X764" s="242"/>
      <c r="Y764" s="148"/>
      <c r="Z764" s="148"/>
    </row>
    <row r="765">
      <c r="A765" s="148"/>
      <c r="B765" s="148"/>
      <c r="C765" s="148"/>
      <c r="D765" s="245"/>
      <c r="E765" s="148"/>
      <c r="F765" s="277"/>
      <c r="G765" s="148"/>
      <c r="H765" s="148"/>
      <c r="I765" s="251"/>
      <c r="J765" s="251"/>
      <c r="K765" s="148"/>
      <c r="L765" s="254"/>
      <c r="M765" s="252"/>
      <c r="N765" s="250"/>
      <c r="O765" s="253"/>
      <c r="P765" s="240"/>
      <c r="Q765" s="148"/>
      <c r="R765" s="148"/>
      <c r="S765" s="242"/>
      <c r="T765" s="242"/>
      <c r="U765" s="242"/>
      <c r="V765" s="242"/>
      <c r="W765" s="242"/>
      <c r="X765" s="242"/>
      <c r="Y765" s="148"/>
      <c r="Z765" s="148"/>
    </row>
    <row r="766">
      <c r="A766" s="148"/>
      <c r="B766" s="148"/>
      <c r="C766" s="148"/>
      <c r="D766" s="245"/>
      <c r="E766" s="148"/>
      <c r="F766" s="277"/>
      <c r="G766" s="148"/>
      <c r="H766" s="148"/>
      <c r="I766" s="251"/>
      <c r="J766" s="251"/>
      <c r="K766" s="148"/>
      <c r="L766" s="254"/>
      <c r="M766" s="252"/>
      <c r="N766" s="250"/>
      <c r="O766" s="253"/>
      <c r="P766" s="240"/>
      <c r="Q766" s="148"/>
      <c r="R766" s="148"/>
      <c r="S766" s="242"/>
      <c r="T766" s="242"/>
      <c r="U766" s="242"/>
      <c r="V766" s="242"/>
      <c r="W766" s="242"/>
      <c r="X766" s="242"/>
      <c r="Y766" s="148"/>
      <c r="Z766" s="148"/>
    </row>
    <row r="767">
      <c r="A767" s="148"/>
      <c r="B767" s="148"/>
      <c r="C767" s="148"/>
      <c r="D767" s="245"/>
      <c r="E767" s="148"/>
      <c r="F767" s="277"/>
      <c r="G767" s="148"/>
      <c r="H767" s="148"/>
      <c r="I767" s="251"/>
      <c r="J767" s="251"/>
      <c r="K767" s="148"/>
      <c r="L767" s="254"/>
      <c r="M767" s="252"/>
      <c r="N767" s="250"/>
      <c r="O767" s="253"/>
      <c r="P767" s="240"/>
      <c r="Q767" s="148"/>
      <c r="R767" s="148"/>
      <c r="S767" s="242"/>
      <c r="T767" s="242"/>
      <c r="U767" s="242"/>
      <c r="V767" s="242"/>
      <c r="W767" s="242"/>
      <c r="X767" s="242"/>
      <c r="Y767" s="148"/>
      <c r="Z767" s="148"/>
    </row>
    <row r="768">
      <c r="A768" s="148"/>
      <c r="B768" s="148"/>
      <c r="C768" s="148"/>
      <c r="D768" s="245"/>
      <c r="E768" s="148"/>
      <c r="F768" s="277"/>
      <c r="G768" s="148"/>
      <c r="H768" s="148"/>
      <c r="I768" s="251"/>
      <c r="J768" s="251"/>
      <c r="K768" s="148"/>
      <c r="L768" s="254"/>
      <c r="M768" s="252"/>
      <c r="N768" s="250"/>
      <c r="O768" s="253"/>
      <c r="P768" s="240"/>
      <c r="Q768" s="148"/>
      <c r="R768" s="148"/>
      <c r="S768" s="242"/>
      <c r="T768" s="242"/>
      <c r="U768" s="242"/>
      <c r="V768" s="242"/>
      <c r="W768" s="242"/>
      <c r="X768" s="242"/>
      <c r="Y768" s="148"/>
      <c r="Z768" s="148"/>
    </row>
    <row r="769">
      <c r="A769" s="148"/>
      <c r="B769" s="148"/>
      <c r="C769" s="148"/>
      <c r="D769" s="245"/>
      <c r="E769" s="148"/>
      <c r="F769" s="277"/>
      <c r="G769" s="148"/>
      <c r="H769" s="148"/>
      <c r="I769" s="251"/>
      <c r="J769" s="251"/>
      <c r="K769" s="148"/>
      <c r="L769" s="254"/>
      <c r="M769" s="252"/>
      <c r="N769" s="250"/>
      <c r="O769" s="253"/>
      <c r="P769" s="240"/>
      <c r="Q769" s="148"/>
      <c r="R769" s="148"/>
      <c r="S769" s="242"/>
      <c r="T769" s="242"/>
      <c r="U769" s="242"/>
      <c r="V769" s="242"/>
      <c r="W769" s="242"/>
      <c r="X769" s="242"/>
      <c r="Y769" s="148"/>
      <c r="Z769" s="148"/>
    </row>
    <row r="770">
      <c r="A770" s="148"/>
      <c r="B770" s="148"/>
      <c r="C770" s="148"/>
      <c r="D770" s="245"/>
      <c r="E770" s="148"/>
      <c r="F770" s="277"/>
      <c r="G770" s="148"/>
      <c r="H770" s="148"/>
      <c r="I770" s="251"/>
      <c r="J770" s="251"/>
      <c r="K770" s="148"/>
      <c r="L770" s="254"/>
      <c r="M770" s="252"/>
      <c r="N770" s="250"/>
      <c r="O770" s="253"/>
      <c r="P770" s="240"/>
      <c r="Q770" s="148"/>
      <c r="R770" s="148"/>
      <c r="S770" s="242"/>
      <c r="T770" s="242"/>
      <c r="U770" s="242"/>
      <c r="V770" s="242"/>
      <c r="W770" s="242"/>
      <c r="X770" s="242"/>
      <c r="Y770" s="148"/>
      <c r="Z770" s="148"/>
    </row>
    <row r="771">
      <c r="A771" s="148"/>
      <c r="B771" s="148"/>
      <c r="C771" s="148"/>
      <c r="D771" s="245"/>
      <c r="E771" s="148"/>
      <c r="F771" s="277"/>
      <c r="G771" s="148"/>
      <c r="H771" s="148"/>
      <c r="I771" s="251"/>
      <c r="J771" s="251"/>
      <c r="K771" s="148"/>
      <c r="L771" s="254"/>
      <c r="M771" s="252"/>
      <c r="N771" s="250"/>
      <c r="O771" s="253"/>
      <c r="P771" s="240"/>
      <c r="Q771" s="148"/>
      <c r="R771" s="148"/>
      <c r="S771" s="242"/>
      <c r="T771" s="242"/>
      <c r="U771" s="242"/>
      <c r="V771" s="242"/>
      <c r="W771" s="242"/>
      <c r="X771" s="242"/>
      <c r="Y771" s="148"/>
      <c r="Z771" s="148"/>
    </row>
    <row r="772">
      <c r="A772" s="148"/>
      <c r="B772" s="148"/>
      <c r="C772" s="148"/>
      <c r="D772" s="245"/>
      <c r="E772" s="148"/>
      <c r="F772" s="277"/>
      <c r="G772" s="148"/>
      <c r="H772" s="148"/>
      <c r="I772" s="251"/>
      <c r="J772" s="251"/>
      <c r="K772" s="148"/>
      <c r="L772" s="254"/>
      <c r="M772" s="252"/>
      <c r="N772" s="250"/>
      <c r="O772" s="253"/>
      <c r="P772" s="240"/>
      <c r="Q772" s="148"/>
      <c r="R772" s="148"/>
      <c r="S772" s="242"/>
      <c r="T772" s="242"/>
      <c r="U772" s="242"/>
      <c r="V772" s="242"/>
      <c r="W772" s="242"/>
      <c r="X772" s="242"/>
      <c r="Y772" s="148"/>
      <c r="Z772" s="148"/>
    </row>
    <row r="773">
      <c r="A773" s="148"/>
      <c r="B773" s="148"/>
      <c r="C773" s="148"/>
      <c r="D773" s="245"/>
      <c r="E773" s="148"/>
      <c r="F773" s="277"/>
      <c r="G773" s="148"/>
      <c r="H773" s="148"/>
      <c r="I773" s="251"/>
      <c r="J773" s="251"/>
      <c r="K773" s="148"/>
      <c r="L773" s="254"/>
      <c r="M773" s="252"/>
      <c r="N773" s="250"/>
      <c r="O773" s="253"/>
      <c r="P773" s="240"/>
      <c r="Q773" s="148"/>
      <c r="R773" s="148"/>
      <c r="S773" s="242"/>
      <c r="T773" s="242"/>
      <c r="U773" s="242"/>
      <c r="V773" s="242"/>
      <c r="W773" s="242"/>
      <c r="X773" s="242"/>
      <c r="Y773" s="148"/>
      <c r="Z773" s="148"/>
    </row>
    <row r="774">
      <c r="A774" s="148"/>
      <c r="B774" s="148"/>
      <c r="C774" s="148"/>
      <c r="D774" s="245"/>
      <c r="E774" s="148"/>
      <c r="F774" s="277"/>
      <c r="G774" s="148"/>
      <c r="H774" s="148"/>
      <c r="I774" s="251"/>
      <c r="J774" s="251"/>
      <c r="K774" s="148"/>
      <c r="L774" s="254"/>
      <c r="M774" s="252"/>
      <c r="N774" s="250"/>
      <c r="O774" s="253"/>
      <c r="P774" s="240"/>
      <c r="Q774" s="148"/>
      <c r="R774" s="148"/>
      <c r="S774" s="242"/>
      <c r="T774" s="242"/>
      <c r="U774" s="242"/>
      <c r="V774" s="242"/>
      <c r="W774" s="242"/>
      <c r="X774" s="242"/>
      <c r="Y774" s="148"/>
      <c r="Z774" s="148"/>
    </row>
    <row r="775">
      <c r="A775" s="148"/>
      <c r="B775" s="148"/>
      <c r="C775" s="148"/>
      <c r="D775" s="245"/>
      <c r="E775" s="148"/>
      <c r="F775" s="277"/>
      <c r="G775" s="148"/>
      <c r="H775" s="148"/>
      <c r="I775" s="251"/>
      <c r="J775" s="251"/>
      <c r="K775" s="148"/>
      <c r="L775" s="254"/>
      <c r="M775" s="252"/>
      <c r="N775" s="250"/>
      <c r="O775" s="253"/>
      <c r="P775" s="240"/>
      <c r="Q775" s="148"/>
      <c r="R775" s="148"/>
      <c r="S775" s="242"/>
      <c r="T775" s="242"/>
      <c r="U775" s="242"/>
      <c r="V775" s="242"/>
      <c r="W775" s="242"/>
      <c r="X775" s="242"/>
      <c r="Y775" s="148"/>
      <c r="Z775" s="148"/>
    </row>
    <row r="776">
      <c r="A776" s="148"/>
      <c r="B776" s="148"/>
      <c r="C776" s="148"/>
      <c r="D776" s="245"/>
      <c r="E776" s="148"/>
      <c r="F776" s="277"/>
      <c r="G776" s="148"/>
      <c r="H776" s="148"/>
      <c r="I776" s="251"/>
      <c r="J776" s="251"/>
      <c r="K776" s="148"/>
      <c r="L776" s="254"/>
      <c r="M776" s="252"/>
      <c r="N776" s="250"/>
      <c r="O776" s="253"/>
      <c r="P776" s="240"/>
      <c r="Q776" s="148"/>
      <c r="R776" s="148"/>
      <c r="S776" s="242"/>
      <c r="T776" s="242"/>
      <c r="U776" s="242"/>
      <c r="V776" s="242"/>
      <c r="W776" s="242"/>
      <c r="X776" s="242"/>
      <c r="Y776" s="148"/>
      <c r="Z776" s="148"/>
    </row>
    <row r="777">
      <c r="A777" s="148"/>
      <c r="B777" s="148"/>
      <c r="C777" s="148"/>
      <c r="D777" s="245"/>
      <c r="E777" s="148"/>
      <c r="F777" s="277"/>
      <c r="G777" s="148"/>
      <c r="H777" s="148"/>
      <c r="I777" s="251"/>
      <c r="J777" s="251"/>
      <c r="K777" s="148"/>
      <c r="L777" s="254"/>
      <c r="M777" s="252"/>
      <c r="N777" s="250"/>
      <c r="O777" s="253"/>
      <c r="P777" s="240"/>
      <c r="Q777" s="148"/>
      <c r="R777" s="148"/>
      <c r="S777" s="242"/>
      <c r="T777" s="242"/>
      <c r="U777" s="242"/>
      <c r="V777" s="242"/>
      <c r="W777" s="242"/>
      <c r="X777" s="242"/>
      <c r="Y777" s="148"/>
      <c r="Z777" s="148"/>
    </row>
    <row r="778">
      <c r="A778" s="148"/>
      <c r="B778" s="148"/>
      <c r="C778" s="148"/>
      <c r="D778" s="245"/>
      <c r="E778" s="148"/>
      <c r="F778" s="277"/>
      <c r="G778" s="148"/>
      <c r="H778" s="148"/>
      <c r="I778" s="251"/>
      <c r="J778" s="251"/>
      <c r="K778" s="148"/>
      <c r="L778" s="254"/>
      <c r="M778" s="252"/>
      <c r="N778" s="250"/>
      <c r="O778" s="253"/>
      <c r="P778" s="240"/>
      <c r="Q778" s="148"/>
      <c r="R778" s="148"/>
      <c r="S778" s="242"/>
      <c r="T778" s="242"/>
      <c r="U778" s="242"/>
      <c r="V778" s="242"/>
      <c r="W778" s="242"/>
      <c r="X778" s="242"/>
      <c r="Y778" s="148"/>
      <c r="Z778" s="148"/>
    </row>
    <row r="779">
      <c r="A779" s="148"/>
      <c r="B779" s="148"/>
      <c r="C779" s="148"/>
      <c r="D779" s="245"/>
      <c r="E779" s="148"/>
      <c r="F779" s="277"/>
      <c r="G779" s="148"/>
      <c r="H779" s="148"/>
      <c r="I779" s="251"/>
      <c r="J779" s="251"/>
      <c r="K779" s="148"/>
      <c r="L779" s="254"/>
      <c r="M779" s="252"/>
      <c r="N779" s="250"/>
      <c r="O779" s="253"/>
      <c r="P779" s="240"/>
      <c r="Q779" s="148"/>
      <c r="R779" s="148"/>
      <c r="S779" s="242"/>
      <c r="T779" s="242"/>
      <c r="U779" s="242"/>
      <c r="V779" s="242"/>
      <c r="W779" s="242"/>
      <c r="X779" s="242"/>
      <c r="Y779" s="148"/>
      <c r="Z779" s="148"/>
    </row>
    <row r="780">
      <c r="A780" s="148"/>
      <c r="B780" s="148"/>
      <c r="C780" s="148"/>
      <c r="D780" s="245"/>
      <c r="E780" s="148"/>
      <c r="F780" s="277"/>
      <c r="G780" s="148"/>
      <c r="H780" s="148"/>
      <c r="I780" s="251"/>
      <c r="J780" s="251"/>
      <c r="K780" s="148"/>
      <c r="L780" s="254"/>
      <c r="M780" s="252"/>
      <c r="N780" s="250"/>
      <c r="O780" s="253"/>
      <c r="P780" s="240"/>
      <c r="Q780" s="148"/>
      <c r="R780" s="148"/>
      <c r="S780" s="242"/>
      <c r="T780" s="242"/>
      <c r="U780" s="242"/>
      <c r="V780" s="242"/>
      <c r="W780" s="242"/>
      <c r="X780" s="242"/>
      <c r="Y780" s="148"/>
      <c r="Z780" s="148"/>
    </row>
    <row r="781">
      <c r="A781" s="148"/>
      <c r="B781" s="148"/>
      <c r="C781" s="148"/>
      <c r="D781" s="245"/>
      <c r="E781" s="148"/>
      <c r="F781" s="277"/>
      <c r="G781" s="148"/>
      <c r="H781" s="148"/>
      <c r="I781" s="251"/>
      <c r="J781" s="251"/>
      <c r="K781" s="148"/>
      <c r="L781" s="254"/>
      <c r="M781" s="252"/>
      <c r="N781" s="250"/>
      <c r="O781" s="253"/>
      <c r="P781" s="240"/>
      <c r="Q781" s="148"/>
      <c r="R781" s="148"/>
      <c r="S781" s="242"/>
      <c r="T781" s="242"/>
      <c r="U781" s="242"/>
      <c r="V781" s="242"/>
      <c r="W781" s="242"/>
      <c r="X781" s="242"/>
      <c r="Y781" s="148"/>
      <c r="Z781" s="148"/>
    </row>
    <row r="782">
      <c r="A782" s="148"/>
      <c r="B782" s="148"/>
      <c r="C782" s="148"/>
      <c r="D782" s="245"/>
      <c r="E782" s="148"/>
      <c r="F782" s="277"/>
      <c r="G782" s="148"/>
      <c r="H782" s="148"/>
      <c r="I782" s="251"/>
      <c r="J782" s="251"/>
      <c r="K782" s="148"/>
      <c r="L782" s="254"/>
      <c r="M782" s="252"/>
      <c r="N782" s="250"/>
      <c r="O782" s="253"/>
      <c r="P782" s="240"/>
      <c r="Q782" s="148"/>
      <c r="R782" s="148"/>
      <c r="S782" s="242"/>
      <c r="T782" s="242"/>
      <c r="U782" s="242"/>
      <c r="V782" s="242"/>
      <c r="W782" s="242"/>
      <c r="X782" s="242"/>
      <c r="Y782" s="148"/>
      <c r="Z782" s="148"/>
    </row>
    <row r="783">
      <c r="A783" s="148"/>
      <c r="B783" s="148"/>
      <c r="C783" s="148"/>
      <c r="D783" s="245"/>
      <c r="E783" s="148"/>
      <c r="F783" s="277"/>
      <c r="G783" s="148"/>
      <c r="H783" s="148"/>
      <c r="I783" s="251"/>
      <c r="J783" s="251"/>
      <c r="K783" s="148"/>
      <c r="L783" s="254"/>
      <c r="M783" s="252"/>
      <c r="N783" s="250"/>
      <c r="O783" s="253"/>
      <c r="P783" s="240"/>
      <c r="Q783" s="148"/>
      <c r="R783" s="148"/>
      <c r="S783" s="242"/>
      <c r="T783" s="242"/>
      <c r="U783" s="242"/>
      <c r="V783" s="242"/>
      <c r="W783" s="242"/>
      <c r="X783" s="242"/>
      <c r="Y783" s="148"/>
      <c r="Z783" s="148"/>
    </row>
    <row r="784">
      <c r="A784" s="148"/>
      <c r="B784" s="148"/>
      <c r="C784" s="148"/>
      <c r="D784" s="245"/>
      <c r="E784" s="148"/>
      <c r="F784" s="277"/>
      <c r="G784" s="148"/>
      <c r="H784" s="148"/>
      <c r="I784" s="251"/>
      <c r="J784" s="251"/>
      <c r="K784" s="148"/>
      <c r="L784" s="254"/>
      <c r="M784" s="252"/>
      <c r="N784" s="250"/>
      <c r="O784" s="253"/>
      <c r="P784" s="240"/>
      <c r="Q784" s="148"/>
      <c r="R784" s="148"/>
      <c r="S784" s="242"/>
      <c r="T784" s="242"/>
      <c r="U784" s="242"/>
      <c r="V784" s="242"/>
      <c r="W784" s="242"/>
      <c r="X784" s="242"/>
      <c r="Y784" s="148"/>
      <c r="Z784" s="148"/>
    </row>
    <row r="785">
      <c r="A785" s="148"/>
      <c r="B785" s="148"/>
      <c r="C785" s="148"/>
      <c r="D785" s="245"/>
      <c r="E785" s="148"/>
      <c r="F785" s="277"/>
      <c r="G785" s="148"/>
      <c r="H785" s="148"/>
      <c r="I785" s="251"/>
      <c r="J785" s="251"/>
      <c r="K785" s="148"/>
      <c r="L785" s="254"/>
      <c r="M785" s="252"/>
      <c r="N785" s="250"/>
      <c r="O785" s="253"/>
      <c r="P785" s="240"/>
      <c r="Q785" s="148"/>
      <c r="R785" s="148"/>
      <c r="S785" s="242"/>
      <c r="T785" s="242"/>
      <c r="U785" s="242"/>
      <c r="V785" s="242"/>
      <c r="W785" s="242"/>
      <c r="X785" s="242"/>
      <c r="Y785" s="148"/>
      <c r="Z785" s="148"/>
    </row>
    <row r="786">
      <c r="A786" s="148"/>
      <c r="B786" s="148"/>
      <c r="C786" s="148"/>
      <c r="D786" s="245"/>
      <c r="E786" s="148"/>
      <c r="F786" s="277"/>
      <c r="G786" s="148"/>
      <c r="H786" s="148"/>
      <c r="I786" s="251"/>
      <c r="J786" s="251"/>
      <c r="K786" s="148"/>
      <c r="L786" s="254"/>
      <c r="M786" s="252"/>
      <c r="N786" s="250"/>
      <c r="O786" s="253"/>
      <c r="P786" s="240"/>
      <c r="Q786" s="148"/>
      <c r="R786" s="148"/>
      <c r="S786" s="242"/>
      <c r="T786" s="242"/>
      <c r="U786" s="242"/>
      <c r="V786" s="242"/>
      <c r="W786" s="242"/>
      <c r="X786" s="242"/>
      <c r="Y786" s="148"/>
      <c r="Z786" s="148"/>
    </row>
    <row r="787">
      <c r="A787" s="148"/>
      <c r="B787" s="148"/>
      <c r="C787" s="148"/>
      <c r="D787" s="245"/>
      <c r="E787" s="148"/>
      <c r="F787" s="277"/>
      <c r="G787" s="148"/>
      <c r="H787" s="148"/>
      <c r="I787" s="251"/>
      <c r="J787" s="251"/>
      <c r="K787" s="148"/>
      <c r="L787" s="254"/>
      <c r="M787" s="252"/>
      <c r="N787" s="250"/>
      <c r="O787" s="253"/>
      <c r="P787" s="240"/>
      <c r="Q787" s="148"/>
      <c r="R787" s="148"/>
      <c r="S787" s="242"/>
      <c r="T787" s="242"/>
      <c r="U787" s="242"/>
      <c r="V787" s="242"/>
      <c r="W787" s="242"/>
      <c r="X787" s="242"/>
      <c r="Y787" s="148"/>
      <c r="Z787" s="148"/>
    </row>
    <row r="788">
      <c r="A788" s="148"/>
      <c r="B788" s="148"/>
      <c r="C788" s="148"/>
      <c r="D788" s="245"/>
      <c r="E788" s="148"/>
      <c r="F788" s="277"/>
      <c r="G788" s="148"/>
      <c r="H788" s="148"/>
      <c r="I788" s="251"/>
      <c r="J788" s="251"/>
      <c r="K788" s="148"/>
      <c r="L788" s="254"/>
      <c r="M788" s="252"/>
      <c r="N788" s="250"/>
      <c r="O788" s="253"/>
      <c r="P788" s="240"/>
      <c r="Q788" s="148"/>
      <c r="R788" s="148"/>
      <c r="S788" s="242"/>
      <c r="T788" s="242"/>
      <c r="U788" s="242"/>
      <c r="V788" s="242"/>
      <c r="W788" s="242"/>
      <c r="X788" s="242"/>
      <c r="Y788" s="148"/>
      <c r="Z788" s="148"/>
    </row>
    <row r="789">
      <c r="A789" s="148"/>
      <c r="B789" s="148"/>
      <c r="C789" s="148"/>
      <c r="D789" s="245"/>
      <c r="E789" s="148"/>
      <c r="F789" s="277"/>
      <c r="G789" s="148"/>
      <c r="H789" s="148"/>
      <c r="I789" s="251"/>
      <c r="J789" s="251"/>
      <c r="K789" s="148"/>
      <c r="L789" s="254"/>
      <c r="M789" s="252"/>
      <c r="N789" s="250"/>
      <c r="O789" s="253"/>
      <c r="P789" s="240"/>
      <c r="Q789" s="148"/>
      <c r="R789" s="148"/>
      <c r="S789" s="242"/>
      <c r="T789" s="242"/>
      <c r="U789" s="242"/>
      <c r="V789" s="242"/>
      <c r="W789" s="242"/>
      <c r="X789" s="242"/>
      <c r="Y789" s="148"/>
      <c r="Z789" s="148"/>
    </row>
    <row r="790">
      <c r="A790" s="148"/>
      <c r="B790" s="148"/>
      <c r="C790" s="148"/>
      <c r="D790" s="245"/>
      <c r="E790" s="148"/>
      <c r="F790" s="277"/>
      <c r="G790" s="148"/>
      <c r="H790" s="148"/>
      <c r="I790" s="251"/>
      <c r="J790" s="251"/>
      <c r="K790" s="148"/>
      <c r="L790" s="254"/>
      <c r="M790" s="252"/>
      <c r="N790" s="250"/>
      <c r="O790" s="253"/>
      <c r="P790" s="240"/>
      <c r="Q790" s="148"/>
      <c r="R790" s="148"/>
      <c r="S790" s="242"/>
      <c r="T790" s="242"/>
      <c r="U790" s="242"/>
      <c r="V790" s="242"/>
      <c r="W790" s="242"/>
      <c r="X790" s="242"/>
      <c r="Y790" s="148"/>
      <c r="Z790" s="148"/>
    </row>
    <row r="791">
      <c r="A791" s="148"/>
      <c r="B791" s="148"/>
      <c r="C791" s="148"/>
      <c r="D791" s="245"/>
      <c r="E791" s="148"/>
      <c r="F791" s="277"/>
      <c r="G791" s="148"/>
      <c r="H791" s="148"/>
      <c r="I791" s="251"/>
      <c r="J791" s="251"/>
      <c r="K791" s="148"/>
      <c r="L791" s="254"/>
      <c r="M791" s="252"/>
      <c r="N791" s="250"/>
      <c r="O791" s="253"/>
      <c r="P791" s="240"/>
      <c r="Q791" s="148"/>
      <c r="R791" s="148"/>
      <c r="S791" s="242"/>
      <c r="T791" s="242"/>
      <c r="U791" s="242"/>
      <c r="V791" s="242"/>
      <c r="W791" s="242"/>
      <c r="X791" s="242"/>
      <c r="Y791" s="148"/>
      <c r="Z791" s="148"/>
    </row>
    <row r="792">
      <c r="A792" s="148"/>
      <c r="B792" s="148"/>
      <c r="C792" s="148"/>
      <c r="D792" s="245"/>
      <c r="E792" s="148"/>
      <c r="F792" s="277"/>
      <c r="G792" s="148"/>
      <c r="H792" s="148"/>
      <c r="I792" s="251"/>
      <c r="J792" s="251"/>
      <c r="K792" s="148"/>
      <c r="L792" s="254"/>
      <c r="M792" s="252"/>
      <c r="N792" s="250"/>
      <c r="O792" s="253"/>
      <c r="P792" s="240"/>
      <c r="Q792" s="148"/>
      <c r="R792" s="148"/>
      <c r="S792" s="242"/>
      <c r="T792" s="242"/>
      <c r="U792" s="242"/>
      <c r="V792" s="242"/>
      <c r="W792" s="242"/>
      <c r="X792" s="242"/>
      <c r="Y792" s="148"/>
      <c r="Z792" s="148"/>
    </row>
    <row r="793">
      <c r="A793" s="148"/>
      <c r="B793" s="148"/>
      <c r="C793" s="148"/>
      <c r="D793" s="245"/>
      <c r="E793" s="148"/>
      <c r="F793" s="277"/>
      <c r="G793" s="148"/>
      <c r="H793" s="148"/>
      <c r="I793" s="251"/>
      <c r="J793" s="251"/>
      <c r="K793" s="148"/>
      <c r="L793" s="254"/>
      <c r="M793" s="252"/>
      <c r="N793" s="250"/>
      <c r="O793" s="253"/>
      <c r="P793" s="240"/>
      <c r="Q793" s="148"/>
      <c r="R793" s="148"/>
      <c r="S793" s="242"/>
      <c r="T793" s="242"/>
      <c r="U793" s="242"/>
      <c r="V793" s="242"/>
      <c r="W793" s="242"/>
      <c r="X793" s="242"/>
      <c r="Y793" s="148"/>
      <c r="Z793" s="148"/>
    </row>
    <row r="794">
      <c r="A794" s="148"/>
      <c r="B794" s="148"/>
      <c r="C794" s="148"/>
      <c r="D794" s="245"/>
      <c r="E794" s="148"/>
      <c r="F794" s="277"/>
      <c r="G794" s="148"/>
      <c r="H794" s="148"/>
      <c r="I794" s="251"/>
      <c r="J794" s="251"/>
      <c r="K794" s="148"/>
      <c r="L794" s="254"/>
      <c r="M794" s="252"/>
      <c r="N794" s="250"/>
      <c r="O794" s="253"/>
      <c r="P794" s="240"/>
      <c r="Q794" s="148"/>
      <c r="R794" s="148"/>
      <c r="S794" s="242"/>
      <c r="T794" s="242"/>
      <c r="U794" s="242"/>
      <c r="V794" s="242"/>
      <c r="W794" s="242"/>
      <c r="X794" s="242"/>
      <c r="Y794" s="148"/>
      <c r="Z794" s="148"/>
    </row>
    <row r="795">
      <c r="A795" s="148"/>
      <c r="B795" s="148"/>
      <c r="C795" s="148"/>
      <c r="D795" s="245"/>
      <c r="E795" s="148"/>
      <c r="F795" s="277"/>
      <c r="G795" s="148"/>
      <c r="H795" s="148"/>
      <c r="I795" s="251"/>
      <c r="J795" s="251"/>
      <c r="K795" s="148"/>
      <c r="L795" s="254"/>
      <c r="M795" s="252"/>
      <c r="N795" s="250"/>
      <c r="O795" s="253"/>
      <c r="P795" s="240"/>
      <c r="Q795" s="148"/>
      <c r="R795" s="148"/>
      <c r="S795" s="242"/>
      <c r="T795" s="242"/>
      <c r="U795" s="242"/>
      <c r="V795" s="242"/>
      <c r="W795" s="242"/>
      <c r="X795" s="242"/>
      <c r="Y795" s="148"/>
      <c r="Z795" s="148"/>
    </row>
    <row r="796">
      <c r="A796" s="148"/>
      <c r="B796" s="148"/>
      <c r="C796" s="148"/>
      <c r="D796" s="245"/>
      <c r="E796" s="148"/>
      <c r="F796" s="277"/>
      <c r="G796" s="148"/>
      <c r="H796" s="148"/>
      <c r="I796" s="251"/>
      <c r="J796" s="251"/>
      <c r="K796" s="148"/>
      <c r="L796" s="254"/>
      <c r="M796" s="252"/>
      <c r="N796" s="250"/>
      <c r="O796" s="253"/>
      <c r="P796" s="240"/>
      <c r="Q796" s="148"/>
      <c r="R796" s="148"/>
      <c r="S796" s="242"/>
      <c r="T796" s="242"/>
      <c r="U796" s="242"/>
      <c r="V796" s="242"/>
      <c r="W796" s="242"/>
      <c r="X796" s="242"/>
      <c r="Y796" s="148"/>
      <c r="Z796" s="148"/>
    </row>
    <row r="797">
      <c r="A797" s="148"/>
      <c r="B797" s="148"/>
      <c r="C797" s="148"/>
      <c r="D797" s="245"/>
      <c r="E797" s="148"/>
      <c r="F797" s="277"/>
      <c r="G797" s="148"/>
      <c r="H797" s="148"/>
      <c r="I797" s="251"/>
      <c r="J797" s="251"/>
      <c r="K797" s="148"/>
      <c r="L797" s="254"/>
      <c r="M797" s="252"/>
      <c r="N797" s="250"/>
      <c r="O797" s="253"/>
      <c r="P797" s="240"/>
      <c r="Q797" s="148"/>
      <c r="R797" s="148"/>
      <c r="S797" s="242"/>
      <c r="T797" s="242"/>
      <c r="U797" s="242"/>
      <c r="V797" s="242"/>
      <c r="W797" s="242"/>
      <c r="X797" s="242"/>
      <c r="Y797" s="148"/>
      <c r="Z797" s="148"/>
    </row>
    <row r="798">
      <c r="A798" s="148"/>
      <c r="B798" s="148"/>
      <c r="C798" s="148"/>
      <c r="D798" s="245"/>
      <c r="E798" s="148"/>
      <c r="F798" s="277"/>
      <c r="G798" s="148"/>
      <c r="H798" s="148"/>
      <c r="I798" s="251"/>
      <c r="J798" s="251"/>
      <c r="K798" s="148"/>
      <c r="L798" s="254"/>
      <c r="M798" s="252"/>
      <c r="N798" s="250"/>
      <c r="O798" s="253"/>
      <c r="P798" s="240"/>
      <c r="Q798" s="148"/>
      <c r="R798" s="148"/>
      <c r="S798" s="242"/>
      <c r="T798" s="242"/>
      <c r="U798" s="242"/>
      <c r="V798" s="242"/>
      <c r="W798" s="242"/>
      <c r="X798" s="242"/>
      <c r="Y798" s="148"/>
      <c r="Z798" s="148"/>
    </row>
    <row r="799">
      <c r="A799" s="148"/>
      <c r="B799" s="148"/>
      <c r="C799" s="148"/>
      <c r="D799" s="245"/>
      <c r="E799" s="148"/>
      <c r="F799" s="277"/>
      <c r="G799" s="148"/>
      <c r="H799" s="148"/>
      <c r="I799" s="251"/>
      <c r="J799" s="251"/>
      <c r="K799" s="148"/>
      <c r="L799" s="254"/>
      <c r="M799" s="252"/>
      <c r="N799" s="250"/>
      <c r="O799" s="253"/>
      <c r="P799" s="240"/>
      <c r="Q799" s="148"/>
      <c r="R799" s="148"/>
      <c r="S799" s="242"/>
      <c r="T799" s="242"/>
      <c r="U799" s="242"/>
      <c r="V799" s="242"/>
      <c r="W799" s="242"/>
      <c r="X799" s="242"/>
      <c r="Y799" s="148"/>
      <c r="Z799" s="148"/>
    </row>
    <row r="800">
      <c r="A800" s="148"/>
      <c r="B800" s="148"/>
      <c r="C800" s="148"/>
      <c r="D800" s="245"/>
      <c r="E800" s="148"/>
      <c r="F800" s="277"/>
      <c r="G800" s="148"/>
      <c r="H800" s="148"/>
      <c r="I800" s="251"/>
      <c r="J800" s="251"/>
      <c r="K800" s="148"/>
      <c r="L800" s="254"/>
      <c r="M800" s="252"/>
      <c r="N800" s="250"/>
      <c r="O800" s="253"/>
      <c r="P800" s="240"/>
      <c r="Q800" s="148"/>
      <c r="R800" s="148"/>
      <c r="S800" s="242"/>
      <c r="T800" s="242"/>
      <c r="U800" s="242"/>
      <c r="V800" s="242"/>
      <c r="W800" s="242"/>
      <c r="X800" s="242"/>
      <c r="Y800" s="148"/>
      <c r="Z800" s="148"/>
    </row>
    <row r="801">
      <c r="A801" s="148"/>
      <c r="B801" s="148"/>
      <c r="C801" s="148"/>
      <c r="D801" s="245"/>
      <c r="E801" s="148"/>
      <c r="F801" s="277"/>
      <c r="G801" s="148"/>
      <c r="H801" s="148"/>
      <c r="I801" s="251"/>
      <c r="J801" s="251"/>
      <c r="K801" s="148"/>
      <c r="L801" s="254"/>
      <c r="M801" s="252"/>
      <c r="N801" s="250"/>
      <c r="O801" s="253"/>
      <c r="P801" s="240"/>
      <c r="Q801" s="148"/>
      <c r="R801" s="148"/>
      <c r="S801" s="242"/>
      <c r="T801" s="242"/>
      <c r="U801" s="242"/>
      <c r="V801" s="242"/>
      <c r="W801" s="242"/>
      <c r="X801" s="242"/>
      <c r="Y801" s="148"/>
      <c r="Z801" s="148"/>
    </row>
    <row r="802">
      <c r="A802" s="148"/>
      <c r="B802" s="148"/>
      <c r="C802" s="148"/>
      <c r="D802" s="245"/>
      <c r="E802" s="148"/>
      <c r="F802" s="277"/>
      <c r="G802" s="148"/>
      <c r="H802" s="148"/>
      <c r="I802" s="251"/>
      <c r="J802" s="251"/>
      <c r="K802" s="148"/>
      <c r="L802" s="254"/>
      <c r="M802" s="252"/>
      <c r="N802" s="250"/>
      <c r="O802" s="253"/>
      <c r="P802" s="240"/>
      <c r="Q802" s="148"/>
      <c r="R802" s="148"/>
      <c r="S802" s="242"/>
      <c r="T802" s="242"/>
      <c r="U802" s="242"/>
      <c r="V802" s="242"/>
      <c r="W802" s="242"/>
      <c r="X802" s="242"/>
      <c r="Y802" s="148"/>
      <c r="Z802" s="148"/>
    </row>
    <row r="803">
      <c r="A803" s="148"/>
      <c r="B803" s="148"/>
      <c r="C803" s="148"/>
      <c r="D803" s="245"/>
      <c r="E803" s="148"/>
      <c r="F803" s="277"/>
      <c r="G803" s="148"/>
      <c r="H803" s="148"/>
      <c r="I803" s="251"/>
      <c r="J803" s="251"/>
      <c r="K803" s="148"/>
      <c r="L803" s="254"/>
      <c r="M803" s="252"/>
      <c r="N803" s="250"/>
      <c r="O803" s="253"/>
      <c r="P803" s="240"/>
      <c r="Q803" s="148"/>
      <c r="R803" s="148"/>
      <c r="S803" s="242"/>
      <c r="T803" s="242"/>
      <c r="U803" s="242"/>
      <c r="V803" s="242"/>
      <c r="W803" s="242"/>
      <c r="X803" s="242"/>
      <c r="Y803" s="148"/>
      <c r="Z803" s="148"/>
    </row>
    <row r="804">
      <c r="A804" s="148"/>
      <c r="B804" s="148"/>
      <c r="C804" s="148"/>
      <c r="D804" s="245"/>
      <c r="E804" s="148"/>
      <c r="F804" s="277"/>
      <c r="G804" s="148"/>
      <c r="H804" s="148"/>
      <c r="I804" s="251"/>
      <c r="J804" s="251"/>
      <c r="K804" s="148"/>
      <c r="L804" s="254"/>
      <c r="M804" s="252"/>
      <c r="N804" s="250"/>
      <c r="O804" s="253"/>
      <c r="P804" s="240"/>
      <c r="Q804" s="148"/>
      <c r="R804" s="148"/>
      <c r="S804" s="242"/>
      <c r="T804" s="242"/>
      <c r="U804" s="242"/>
      <c r="V804" s="242"/>
      <c r="W804" s="242"/>
      <c r="X804" s="242"/>
      <c r="Y804" s="148"/>
      <c r="Z804" s="148"/>
    </row>
    <row r="805">
      <c r="A805" s="148"/>
      <c r="B805" s="148"/>
      <c r="C805" s="148"/>
      <c r="D805" s="245"/>
      <c r="E805" s="148"/>
      <c r="F805" s="277"/>
      <c r="G805" s="148"/>
      <c r="H805" s="148"/>
      <c r="I805" s="251"/>
      <c r="J805" s="251"/>
      <c r="K805" s="148"/>
      <c r="L805" s="254"/>
      <c r="M805" s="252"/>
      <c r="N805" s="250"/>
      <c r="O805" s="253"/>
      <c r="P805" s="240"/>
      <c r="Q805" s="148"/>
      <c r="R805" s="148"/>
      <c r="S805" s="242"/>
      <c r="T805" s="242"/>
      <c r="U805" s="242"/>
      <c r="V805" s="242"/>
      <c r="W805" s="242"/>
      <c r="X805" s="242"/>
      <c r="Y805" s="148"/>
      <c r="Z805" s="148"/>
    </row>
    <row r="806">
      <c r="A806" s="148"/>
      <c r="B806" s="148"/>
      <c r="C806" s="148"/>
      <c r="D806" s="245"/>
      <c r="E806" s="148"/>
      <c r="F806" s="277"/>
      <c r="G806" s="148"/>
      <c r="H806" s="148"/>
      <c r="I806" s="251"/>
      <c r="J806" s="251"/>
      <c r="K806" s="148"/>
      <c r="L806" s="254"/>
      <c r="M806" s="252"/>
      <c r="N806" s="250"/>
      <c r="O806" s="253"/>
      <c r="P806" s="240"/>
      <c r="Q806" s="148"/>
      <c r="R806" s="148"/>
      <c r="S806" s="242"/>
      <c r="T806" s="242"/>
      <c r="U806" s="242"/>
      <c r="V806" s="242"/>
      <c r="W806" s="242"/>
      <c r="X806" s="242"/>
      <c r="Y806" s="148"/>
      <c r="Z806" s="148"/>
    </row>
    <row r="807">
      <c r="A807" s="148"/>
      <c r="B807" s="148"/>
      <c r="C807" s="148"/>
      <c r="D807" s="245"/>
      <c r="E807" s="148"/>
      <c r="F807" s="277"/>
      <c r="G807" s="148"/>
      <c r="H807" s="148"/>
      <c r="I807" s="251"/>
      <c r="J807" s="251"/>
      <c r="K807" s="148"/>
      <c r="L807" s="254"/>
      <c r="M807" s="252"/>
      <c r="N807" s="250"/>
      <c r="O807" s="253"/>
      <c r="P807" s="240"/>
      <c r="Q807" s="148"/>
      <c r="R807" s="148"/>
      <c r="S807" s="242"/>
      <c r="T807" s="242"/>
      <c r="U807" s="242"/>
      <c r="V807" s="242"/>
      <c r="W807" s="242"/>
      <c r="X807" s="242"/>
      <c r="Y807" s="148"/>
      <c r="Z807" s="148"/>
    </row>
    <row r="808">
      <c r="A808" s="148"/>
      <c r="B808" s="148"/>
      <c r="C808" s="148"/>
      <c r="D808" s="245"/>
      <c r="E808" s="148"/>
      <c r="F808" s="277"/>
      <c r="G808" s="148"/>
      <c r="H808" s="148"/>
      <c r="I808" s="251"/>
      <c r="J808" s="251"/>
      <c r="K808" s="148"/>
      <c r="L808" s="254"/>
      <c r="M808" s="252"/>
      <c r="N808" s="250"/>
      <c r="O808" s="253"/>
      <c r="P808" s="240"/>
      <c r="Q808" s="148"/>
      <c r="R808" s="148"/>
      <c r="S808" s="242"/>
      <c r="T808" s="242"/>
      <c r="U808" s="242"/>
      <c r="V808" s="242"/>
      <c r="W808" s="242"/>
      <c r="X808" s="242"/>
      <c r="Y808" s="148"/>
      <c r="Z808" s="148"/>
    </row>
    <row r="809">
      <c r="A809" s="148"/>
      <c r="B809" s="148"/>
      <c r="C809" s="148"/>
      <c r="D809" s="245"/>
      <c r="E809" s="148"/>
      <c r="F809" s="277"/>
      <c r="G809" s="148"/>
      <c r="H809" s="148"/>
      <c r="I809" s="251"/>
      <c r="J809" s="251"/>
      <c r="K809" s="148"/>
      <c r="L809" s="254"/>
      <c r="M809" s="252"/>
      <c r="N809" s="250"/>
      <c r="O809" s="253"/>
      <c r="P809" s="240"/>
      <c r="Q809" s="148"/>
      <c r="R809" s="148"/>
      <c r="S809" s="242"/>
      <c r="T809" s="242"/>
      <c r="U809" s="242"/>
      <c r="V809" s="242"/>
      <c r="W809" s="242"/>
      <c r="X809" s="242"/>
      <c r="Y809" s="148"/>
      <c r="Z809" s="148"/>
    </row>
    <row r="810">
      <c r="A810" s="148"/>
      <c r="B810" s="148"/>
      <c r="C810" s="148"/>
      <c r="D810" s="245"/>
      <c r="E810" s="148"/>
      <c r="F810" s="277"/>
      <c r="G810" s="148"/>
      <c r="H810" s="148"/>
      <c r="I810" s="251"/>
      <c r="J810" s="251"/>
      <c r="K810" s="148"/>
      <c r="L810" s="254"/>
      <c r="M810" s="252"/>
      <c r="N810" s="250"/>
      <c r="O810" s="253"/>
      <c r="P810" s="240"/>
      <c r="Q810" s="148"/>
      <c r="R810" s="148"/>
      <c r="S810" s="242"/>
      <c r="T810" s="242"/>
      <c r="U810" s="242"/>
      <c r="V810" s="242"/>
      <c r="W810" s="242"/>
      <c r="X810" s="242"/>
      <c r="Y810" s="148"/>
      <c r="Z810" s="148"/>
    </row>
    <row r="811">
      <c r="A811" s="148"/>
      <c r="B811" s="148"/>
      <c r="C811" s="148"/>
      <c r="D811" s="245"/>
      <c r="E811" s="148"/>
      <c r="F811" s="277"/>
      <c r="G811" s="148"/>
      <c r="H811" s="148"/>
      <c r="I811" s="251"/>
      <c r="J811" s="251"/>
      <c r="K811" s="148"/>
      <c r="L811" s="254"/>
      <c r="M811" s="252"/>
      <c r="N811" s="250"/>
      <c r="O811" s="253"/>
      <c r="P811" s="240"/>
      <c r="Q811" s="148"/>
      <c r="R811" s="148"/>
      <c r="S811" s="242"/>
      <c r="T811" s="242"/>
      <c r="U811" s="242"/>
      <c r="V811" s="242"/>
      <c r="W811" s="242"/>
      <c r="X811" s="242"/>
      <c r="Y811" s="148"/>
      <c r="Z811" s="148"/>
    </row>
    <row r="812">
      <c r="A812" s="148"/>
      <c r="B812" s="148"/>
      <c r="C812" s="148"/>
      <c r="D812" s="245"/>
      <c r="E812" s="148"/>
      <c r="F812" s="277"/>
      <c r="G812" s="148"/>
      <c r="H812" s="148"/>
      <c r="I812" s="251"/>
      <c r="J812" s="251"/>
      <c r="K812" s="148"/>
      <c r="L812" s="254"/>
      <c r="M812" s="252"/>
      <c r="N812" s="250"/>
      <c r="O812" s="253"/>
      <c r="P812" s="240"/>
      <c r="Q812" s="148"/>
      <c r="R812" s="148"/>
      <c r="S812" s="242"/>
      <c r="T812" s="242"/>
      <c r="U812" s="242"/>
      <c r="V812" s="242"/>
      <c r="W812" s="242"/>
      <c r="X812" s="242"/>
      <c r="Y812" s="148"/>
      <c r="Z812" s="148"/>
    </row>
    <row r="813">
      <c r="A813" s="148"/>
      <c r="B813" s="148"/>
      <c r="C813" s="148"/>
      <c r="D813" s="245"/>
      <c r="E813" s="148"/>
      <c r="F813" s="277"/>
      <c r="G813" s="148"/>
      <c r="H813" s="148"/>
      <c r="I813" s="251"/>
      <c r="J813" s="251"/>
      <c r="K813" s="148"/>
      <c r="L813" s="254"/>
      <c r="M813" s="252"/>
      <c r="N813" s="250"/>
      <c r="O813" s="253"/>
      <c r="P813" s="240"/>
      <c r="Q813" s="148"/>
      <c r="R813" s="148"/>
      <c r="S813" s="242"/>
      <c r="T813" s="242"/>
      <c r="U813" s="242"/>
      <c r="V813" s="242"/>
      <c r="W813" s="242"/>
      <c r="X813" s="242"/>
      <c r="Y813" s="148"/>
      <c r="Z813" s="148"/>
    </row>
    <row r="814">
      <c r="A814" s="148"/>
      <c r="B814" s="148"/>
      <c r="C814" s="148"/>
      <c r="D814" s="245"/>
      <c r="E814" s="148"/>
      <c r="F814" s="277"/>
      <c r="G814" s="148"/>
      <c r="H814" s="148"/>
      <c r="I814" s="251"/>
      <c r="J814" s="251"/>
      <c r="K814" s="148"/>
      <c r="L814" s="254"/>
      <c r="M814" s="252"/>
      <c r="N814" s="250"/>
      <c r="O814" s="253"/>
      <c r="P814" s="240"/>
      <c r="Q814" s="148"/>
      <c r="R814" s="148"/>
      <c r="S814" s="242"/>
      <c r="T814" s="242"/>
      <c r="U814" s="242"/>
      <c r="V814" s="242"/>
      <c r="W814" s="242"/>
      <c r="X814" s="242"/>
      <c r="Y814" s="148"/>
      <c r="Z814" s="148"/>
    </row>
    <row r="815">
      <c r="A815" s="148"/>
      <c r="B815" s="148"/>
      <c r="C815" s="148"/>
      <c r="D815" s="245"/>
      <c r="E815" s="148"/>
      <c r="F815" s="277"/>
      <c r="G815" s="148"/>
      <c r="H815" s="148"/>
      <c r="I815" s="251"/>
      <c r="J815" s="251"/>
      <c r="K815" s="148"/>
      <c r="L815" s="254"/>
      <c r="M815" s="252"/>
      <c r="N815" s="250"/>
      <c r="O815" s="253"/>
      <c r="P815" s="240"/>
      <c r="Q815" s="148"/>
      <c r="R815" s="148"/>
      <c r="S815" s="242"/>
      <c r="T815" s="242"/>
      <c r="U815" s="242"/>
      <c r="V815" s="242"/>
      <c r="W815" s="242"/>
      <c r="X815" s="242"/>
      <c r="Y815" s="148"/>
      <c r="Z815" s="148"/>
    </row>
    <row r="816">
      <c r="A816" s="148"/>
      <c r="B816" s="148"/>
      <c r="C816" s="148"/>
      <c r="D816" s="245"/>
      <c r="E816" s="148"/>
      <c r="F816" s="277"/>
      <c r="G816" s="148"/>
      <c r="H816" s="148"/>
      <c r="I816" s="251"/>
      <c r="J816" s="251"/>
      <c r="K816" s="148"/>
      <c r="L816" s="254"/>
      <c r="M816" s="252"/>
      <c r="N816" s="250"/>
      <c r="O816" s="253"/>
      <c r="P816" s="240"/>
      <c r="Q816" s="148"/>
      <c r="R816" s="148"/>
      <c r="S816" s="242"/>
      <c r="T816" s="242"/>
      <c r="U816" s="242"/>
      <c r="V816" s="242"/>
      <c r="W816" s="242"/>
      <c r="X816" s="242"/>
      <c r="Y816" s="148"/>
      <c r="Z816" s="148"/>
    </row>
    <row r="817">
      <c r="A817" s="148"/>
      <c r="B817" s="148"/>
      <c r="C817" s="148"/>
      <c r="D817" s="245"/>
      <c r="E817" s="148"/>
      <c r="F817" s="277"/>
      <c r="G817" s="148"/>
      <c r="H817" s="148"/>
      <c r="I817" s="251"/>
      <c r="J817" s="251"/>
      <c r="K817" s="148"/>
      <c r="L817" s="254"/>
      <c r="M817" s="252"/>
      <c r="N817" s="250"/>
      <c r="O817" s="253"/>
      <c r="P817" s="240"/>
      <c r="Q817" s="148"/>
      <c r="R817" s="148"/>
      <c r="S817" s="242"/>
      <c r="T817" s="242"/>
      <c r="U817" s="242"/>
      <c r="V817" s="242"/>
      <c r="W817" s="242"/>
      <c r="X817" s="242"/>
      <c r="Y817" s="148"/>
      <c r="Z817" s="148"/>
    </row>
    <row r="818">
      <c r="A818" s="148"/>
      <c r="B818" s="148"/>
      <c r="C818" s="148"/>
      <c r="D818" s="245"/>
      <c r="E818" s="148"/>
      <c r="F818" s="277"/>
      <c r="G818" s="148"/>
      <c r="H818" s="148"/>
      <c r="I818" s="251"/>
      <c r="J818" s="251"/>
      <c r="K818" s="148"/>
      <c r="L818" s="254"/>
      <c r="M818" s="252"/>
      <c r="N818" s="250"/>
      <c r="O818" s="253"/>
      <c r="P818" s="240"/>
      <c r="Q818" s="148"/>
      <c r="R818" s="148"/>
      <c r="S818" s="242"/>
      <c r="T818" s="242"/>
      <c r="U818" s="242"/>
      <c r="V818" s="242"/>
      <c r="W818" s="242"/>
      <c r="X818" s="242"/>
      <c r="Y818" s="148"/>
      <c r="Z818" s="148"/>
    </row>
    <row r="819">
      <c r="A819" s="148"/>
      <c r="B819" s="148"/>
      <c r="C819" s="148"/>
      <c r="D819" s="245"/>
      <c r="E819" s="148"/>
      <c r="F819" s="277"/>
      <c r="G819" s="148"/>
      <c r="H819" s="148"/>
      <c r="I819" s="251"/>
      <c r="J819" s="251"/>
      <c r="K819" s="148"/>
      <c r="L819" s="254"/>
      <c r="M819" s="252"/>
      <c r="N819" s="250"/>
      <c r="O819" s="253"/>
      <c r="P819" s="240"/>
      <c r="Q819" s="148"/>
      <c r="R819" s="148"/>
      <c r="S819" s="242"/>
      <c r="T819" s="242"/>
      <c r="U819" s="242"/>
      <c r="V819" s="242"/>
      <c r="W819" s="242"/>
      <c r="X819" s="242"/>
      <c r="Y819" s="148"/>
      <c r="Z819" s="148"/>
    </row>
    <row r="820">
      <c r="A820" s="148"/>
      <c r="B820" s="148"/>
      <c r="C820" s="148"/>
      <c r="D820" s="245"/>
      <c r="E820" s="148"/>
      <c r="F820" s="277"/>
      <c r="G820" s="148"/>
      <c r="H820" s="148"/>
      <c r="I820" s="251"/>
      <c r="J820" s="251"/>
      <c r="K820" s="148"/>
      <c r="L820" s="254"/>
      <c r="M820" s="252"/>
      <c r="N820" s="250"/>
      <c r="O820" s="253"/>
      <c r="P820" s="240"/>
      <c r="Q820" s="148"/>
      <c r="R820" s="148"/>
      <c r="S820" s="242"/>
      <c r="T820" s="242"/>
      <c r="U820" s="242"/>
      <c r="V820" s="242"/>
      <c r="W820" s="242"/>
      <c r="X820" s="242"/>
      <c r="Y820" s="148"/>
      <c r="Z820" s="148"/>
    </row>
    <row r="821">
      <c r="A821" s="148"/>
      <c r="B821" s="148"/>
      <c r="C821" s="148"/>
      <c r="D821" s="245"/>
      <c r="E821" s="148"/>
      <c r="F821" s="277"/>
      <c r="G821" s="148"/>
      <c r="H821" s="148"/>
      <c r="I821" s="251"/>
      <c r="J821" s="251"/>
      <c r="K821" s="148"/>
      <c r="L821" s="254"/>
      <c r="M821" s="252"/>
      <c r="N821" s="250"/>
      <c r="O821" s="253"/>
      <c r="P821" s="240"/>
      <c r="Q821" s="148"/>
      <c r="R821" s="148"/>
      <c r="S821" s="242"/>
      <c r="T821" s="242"/>
      <c r="U821" s="242"/>
      <c r="V821" s="242"/>
      <c r="W821" s="242"/>
      <c r="X821" s="242"/>
      <c r="Y821" s="148"/>
      <c r="Z821" s="148"/>
    </row>
    <row r="822">
      <c r="A822" s="148"/>
      <c r="B822" s="148"/>
      <c r="C822" s="148"/>
      <c r="D822" s="245"/>
      <c r="E822" s="148"/>
      <c r="F822" s="277"/>
      <c r="G822" s="148"/>
      <c r="H822" s="148"/>
      <c r="I822" s="251"/>
      <c r="J822" s="251"/>
      <c r="K822" s="148"/>
      <c r="L822" s="254"/>
      <c r="M822" s="252"/>
      <c r="N822" s="250"/>
      <c r="O822" s="253"/>
      <c r="P822" s="240"/>
      <c r="Q822" s="148"/>
      <c r="R822" s="148"/>
      <c r="S822" s="242"/>
      <c r="T822" s="242"/>
      <c r="U822" s="242"/>
      <c r="V822" s="242"/>
      <c r="W822" s="242"/>
      <c r="X822" s="242"/>
      <c r="Y822" s="148"/>
      <c r="Z822" s="148"/>
    </row>
    <row r="823">
      <c r="A823" s="148"/>
      <c r="B823" s="148"/>
      <c r="C823" s="148"/>
      <c r="D823" s="245"/>
      <c r="E823" s="148"/>
      <c r="F823" s="277"/>
      <c r="G823" s="148"/>
      <c r="H823" s="148"/>
      <c r="I823" s="251"/>
      <c r="J823" s="251"/>
      <c r="K823" s="148"/>
      <c r="L823" s="254"/>
      <c r="M823" s="252"/>
      <c r="N823" s="250"/>
      <c r="O823" s="253"/>
      <c r="P823" s="240"/>
      <c r="Q823" s="148"/>
      <c r="R823" s="148"/>
      <c r="S823" s="242"/>
      <c r="T823" s="242"/>
      <c r="U823" s="242"/>
      <c r="V823" s="242"/>
      <c r="W823" s="242"/>
      <c r="X823" s="242"/>
      <c r="Y823" s="148"/>
      <c r="Z823" s="148"/>
    </row>
    <row r="824">
      <c r="A824" s="148"/>
      <c r="B824" s="148"/>
      <c r="C824" s="148"/>
      <c r="D824" s="245"/>
      <c r="E824" s="148"/>
      <c r="F824" s="277"/>
      <c r="G824" s="148"/>
      <c r="H824" s="148"/>
      <c r="I824" s="251"/>
      <c r="J824" s="251"/>
      <c r="K824" s="148"/>
      <c r="L824" s="254"/>
      <c r="M824" s="252"/>
      <c r="N824" s="250"/>
      <c r="O824" s="253"/>
      <c r="P824" s="240"/>
      <c r="Q824" s="148"/>
      <c r="R824" s="148"/>
      <c r="S824" s="242"/>
      <c r="T824" s="242"/>
      <c r="U824" s="242"/>
      <c r="V824" s="242"/>
      <c r="W824" s="242"/>
      <c r="X824" s="242"/>
      <c r="Y824" s="148"/>
      <c r="Z824" s="148"/>
    </row>
    <row r="825">
      <c r="A825" s="148"/>
      <c r="B825" s="148"/>
      <c r="C825" s="148"/>
      <c r="D825" s="245"/>
      <c r="E825" s="148"/>
      <c r="F825" s="277"/>
      <c r="G825" s="148"/>
      <c r="H825" s="148"/>
      <c r="I825" s="251"/>
      <c r="J825" s="251"/>
      <c r="K825" s="148"/>
      <c r="L825" s="254"/>
      <c r="M825" s="252"/>
      <c r="N825" s="250"/>
      <c r="O825" s="253"/>
      <c r="P825" s="240"/>
      <c r="Q825" s="148"/>
      <c r="R825" s="148"/>
      <c r="S825" s="242"/>
      <c r="T825" s="242"/>
      <c r="U825" s="242"/>
      <c r="V825" s="242"/>
      <c r="W825" s="242"/>
      <c r="X825" s="242"/>
      <c r="Y825" s="148"/>
      <c r="Z825" s="148"/>
    </row>
    <row r="826">
      <c r="A826" s="148"/>
      <c r="B826" s="148"/>
      <c r="C826" s="148"/>
      <c r="D826" s="245"/>
      <c r="E826" s="148"/>
      <c r="F826" s="277"/>
      <c r="G826" s="148"/>
      <c r="H826" s="148"/>
      <c r="I826" s="251"/>
      <c r="J826" s="251"/>
      <c r="K826" s="148"/>
      <c r="L826" s="254"/>
      <c r="M826" s="252"/>
      <c r="N826" s="250"/>
      <c r="O826" s="253"/>
      <c r="P826" s="240"/>
      <c r="Q826" s="148"/>
      <c r="R826" s="148"/>
      <c r="S826" s="242"/>
      <c r="T826" s="242"/>
      <c r="U826" s="242"/>
      <c r="V826" s="242"/>
      <c r="W826" s="242"/>
      <c r="X826" s="242"/>
      <c r="Y826" s="148"/>
      <c r="Z826" s="148"/>
    </row>
    <row r="827">
      <c r="A827" s="148"/>
      <c r="B827" s="148"/>
      <c r="C827" s="148"/>
      <c r="D827" s="245"/>
      <c r="E827" s="148"/>
      <c r="F827" s="277"/>
      <c r="G827" s="148"/>
      <c r="H827" s="148"/>
      <c r="I827" s="251"/>
      <c r="J827" s="251"/>
      <c r="K827" s="148"/>
      <c r="L827" s="254"/>
      <c r="M827" s="252"/>
      <c r="N827" s="250"/>
      <c r="O827" s="253"/>
      <c r="P827" s="240"/>
      <c r="Q827" s="148"/>
      <c r="R827" s="148"/>
      <c r="S827" s="242"/>
      <c r="T827" s="242"/>
      <c r="U827" s="242"/>
      <c r="V827" s="242"/>
      <c r="W827" s="242"/>
      <c r="X827" s="242"/>
      <c r="Y827" s="148"/>
      <c r="Z827" s="148"/>
    </row>
    <row r="828">
      <c r="A828" s="148"/>
      <c r="B828" s="148"/>
      <c r="C828" s="148"/>
      <c r="D828" s="245"/>
      <c r="E828" s="148"/>
      <c r="F828" s="277"/>
      <c r="G828" s="148"/>
      <c r="H828" s="148"/>
      <c r="I828" s="251"/>
      <c r="J828" s="251"/>
      <c r="K828" s="148"/>
      <c r="L828" s="254"/>
      <c r="M828" s="252"/>
      <c r="N828" s="250"/>
      <c r="O828" s="253"/>
      <c r="P828" s="240"/>
      <c r="Q828" s="148"/>
      <c r="R828" s="148"/>
      <c r="S828" s="242"/>
      <c r="T828" s="242"/>
      <c r="U828" s="242"/>
      <c r="V828" s="242"/>
      <c r="W828" s="242"/>
      <c r="X828" s="242"/>
      <c r="Y828" s="148"/>
      <c r="Z828" s="148"/>
    </row>
    <row r="829">
      <c r="A829" s="148"/>
      <c r="B829" s="148"/>
      <c r="C829" s="148"/>
      <c r="D829" s="245"/>
      <c r="E829" s="148"/>
      <c r="F829" s="277"/>
      <c r="G829" s="148"/>
      <c r="H829" s="148"/>
      <c r="I829" s="251"/>
      <c r="J829" s="251"/>
      <c r="K829" s="148"/>
      <c r="L829" s="254"/>
      <c r="M829" s="252"/>
      <c r="N829" s="250"/>
      <c r="O829" s="253"/>
      <c r="P829" s="240"/>
      <c r="Q829" s="148"/>
      <c r="R829" s="148"/>
      <c r="S829" s="242"/>
      <c r="T829" s="242"/>
      <c r="U829" s="242"/>
      <c r="V829" s="242"/>
      <c r="W829" s="242"/>
      <c r="X829" s="242"/>
      <c r="Y829" s="148"/>
      <c r="Z829" s="148"/>
    </row>
    <row r="830">
      <c r="A830" s="148"/>
      <c r="B830" s="148"/>
      <c r="C830" s="148"/>
      <c r="D830" s="245"/>
      <c r="E830" s="148"/>
      <c r="F830" s="277"/>
      <c r="G830" s="148"/>
      <c r="H830" s="148"/>
      <c r="I830" s="251"/>
      <c r="J830" s="251"/>
      <c r="K830" s="148"/>
      <c r="L830" s="254"/>
      <c r="M830" s="252"/>
      <c r="N830" s="250"/>
      <c r="O830" s="253"/>
      <c r="P830" s="240"/>
      <c r="Q830" s="148"/>
      <c r="R830" s="148"/>
      <c r="S830" s="242"/>
      <c r="T830" s="242"/>
      <c r="U830" s="242"/>
      <c r="V830" s="242"/>
      <c r="W830" s="242"/>
      <c r="X830" s="242"/>
      <c r="Y830" s="148"/>
      <c r="Z830" s="148"/>
    </row>
    <row r="831">
      <c r="A831" s="148"/>
      <c r="B831" s="148"/>
      <c r="C831" s="148"/>
      <c r="D831" s="245"/>
      <c r="E831" s="148"/>
      <c r="F831" s="277"/>
      <c r="G831" s="148"/>
      <c r="H831" s="148"/>
      <c r="I831" s="251"/>
      <c r="J831" s="251"/>
      <c r="K831" s="148"/>
      <c r="L831" s="254"/>
      <c r="M831" s="252"/>
      <c r="N831" s="250"/>
      <c r="O831" s="253"/>
      <c r="P831" s="240"/>
      <c r="Q831" s="148"/>
      <c r="R831" s="148"/>
      <c r="S831" s="242"/>
      <c r="T831" s="242"/>
      <c r="U831" s="242"/>
      <c r="V831" s="242"/>
      <c r="W831" s="242"/>
      <c r="X831" s="242"/>
      <c r="Y831" s="148"/>
      <c r="Z831" s="148"/>
    </row>
    <row r="832">
      <c r="A832" s="148"/>
      <c r="B832" s="148"/>
      <c r="C832" s="148"/>
      <c r="D832" s="245"/>
      <c r="E832" s="148"/>
      <c r="F832" s="277"/>
      <c r="G832" s="148"/>
      <c r="H832" s="148"/>
      <c r="I832" s="251"/>
      <c r="J832" s="251"/>
      <c r="K832" s="148"/>
      <c r="L832" s="254"/>
      <c r="M832" s="252"/>
      <c r="N832" s="250"/>
      <c r="O832" s="253"/>
      <c r="P832" s="240"/>
      <c r="Q832" s="148"/>
      <c r="R832" s="148"/>
      <c r="S832" s="242"/>
      <c r="T832" s="242"/>
      <c r="U832" s="242"/>
      <c r="V832" s="242"/>
      <c r="W832" s="242"/>
      <c r="X832" s="242"/>
      <c r="Y832" s="148"/>
      <c r="Z832" s="148"/>
    </row>
    <row r="833">
      <c r="A833" s="148"/>
      <c r="B833" s="148"/>
      <c r="C833" s="148"/>
      <c r="D833" s="245"/>
      <c r="E833" s="148"/>
      <c r="F833" s="277"/>
      <c r="G833" s="148"/>
      <c r="H833" s="148"/>
      <c r="I833" s="251"/>
      <c r="J833" s="251"/>
      <c r="K833" s="148"/>
      <c r="L833" s="254"/>
      <c r="M833" s="252"/>
      <c r="N833" s="250"/>
      <c r="O833" s="253"/>
      <c r="P833" s="240"/>
      <c r="Q833" s="148"/>
      <c r="R833" s="148"/>
      <c r="S833" s="242"/>
      <c r="T833" s="242"/>
      <c r="U833" s="242"/>
      <c r="V833" s="242"/>
      <c r="W833" s="242"/>
      <c r="X833" s="242"/>
      <c r="Y833" s="148"/>
      <c r="Z833" s="148"/>
    </row>
    <row r="834">
      <c r="A834" s="148"/>
      <c r="B834" s="148"/>
      <c r="C834" s="148"/>
      <c r="D834" s="245"/>
      <c r="E834" s="148"/>
      <c r="F834" s="277"/>
      <c r="G834" s="148"/>
      <c r="H834" s="148"/>
      <c r="I834" s="251"/>
      <c r="J834" s="251"/>
      <c r="K834" s="148"/>
      <c r="L834" s="254"/>
      <c r="M834" s="252"/>
      <c r="N834" s="250"/>
      <c r="O834" s="253"/>
      <c r="P834" s="240"/>
      <c r="Q834" s="148"/>
      <c r="R834" s="148"/>
      <c r="S834" s="242"/>
      <c r="T834" s="242"/>
      <c r="U834" s="242"/>
      <c r="V834" s="242"/>
      <c r="W834" s="242"/>
      <c r="X834" s="242"/>
      <c r="Y834" s="148"/>
      <c r="Z834" s="148"/>
    </row>
    <row r="835">
      <c r="A835" s="148"/>
      <c r="B835" s="148"/>
      <c r="C835" s="148"/>
      <c r="D835" s="245"/>
      <c r="E835" s="148"/>
      <c r="F835" s="277"/>
      <c r="G835" s="148"/>
      <c r="H835" s="148"/>
      <c r="I835" s="251"/>
      <c r="J835" s="251"/>
      <c r="K835" s="148"/>
      <c r="L835" s="254"/>
      <c r="M835" s="252"/>
      <c r="N835" s="250"/>
      <c r="O835" s="253"/>
      <c r="P835" s="240"/>
      <c r="Q835" s="148"/>
      <c r="R835" s="148"/>
      <c r="S835" s="242"/>
      <c r="T835" s="242"/>
      <c r="U835" s="242"/>
      <c r="V835" s="242"/>
      <c r="W835" s="242"/>
      <c r="X835" s="242"/>
      <c r="Y835" s="148"/>
      <c r="Z835" s="148"/>
    </row>
    <row r="836">
      <c r="A836" s="148"/>
      <c r="B836" s="148"/>
      <c r="C836" s="148"/>
      <c r="D836" s="245"/>
      <c r="E836" s="148"/>
      <c r="F836" s="277"/>
      <c r="G836" s="148"/>
      <c r="H836" s="148"/>
      <c r="I836" s="251"/>
      <c r="J836" s="251"/>
      <c r="K836" s="148"/>
      <c r="L836" s="254"/>
      <c r="M836" s="252"/>
      <c r="N836" s="250"/>
      <c r="O836" s="253"/>
      <c r="P836" s="240"/>
      <c r="Q836" s="148"/>
      <c r="R836" s="148"/>
      <c r="S836" s="242"/>
      <c r="T836" s="242"/>
      <c r="U836" s="242"/>
      <c r="V836" s="242"/>
      <c r="W836" s="242"/>
      <c r="X836" s="242"/>
      <c r="Y836" s="148"/>
      <c r="Z836" s="148"/>
    </row>
    <row r="837">
      <c r="A837" s="148"/>
      <c r="B837" s="148"/>
      <c r="C837" s="148"/>
      <c r="D837" s="245"/>
      <c r="E837" s="148"/>
      <c r="F837" s="277"/>
      <c r="G837" s="148"/>
      <c r="H837" s="148"/>
      <c r="I837" s="251"/>
      <c r="J837" s="251"/>
      <c r="K837" s="148"/>
      <c r="L837" s="254"/>
      <c r="M837" s="252"/>
      <c r="N837" s="250"/>
      <c r="O837" s="253"/>
      <c r="P837" s="240"/>
      <c r="Q837" s="148"/>
      <c r="R837" s="148"/>
      <c r="S837" s="242"/>
      <c r="T837" s="242"/>
      <c r="U837" s="242"/>
      <c r="V837" s="242"/>
      <c r="W837" s="242"/>
      <c r="X837" s="242"/>
      <c r="Y837" s="148"/>
      <c r="Z837" s="148"/>
    </row>
    <row r="838">
      <c r="A838" s="148"/>
      <c r="B838" s="148"/>
      <c r="C838" s="148"/>
      <c r="D838" s="245"/>
      <c r="E838" s="148"/>
      <c r="F838" s="277"/>
      <c r="G838" s="148"/>
      <c r="H838" s="148"/>
      <c r="I838" s="251"/>
      <c r="J838" s="251"/>
      <c r="K838" s="148"/>
      <c r="L838" s="254"/>
      <c r="M838" s="252"/>
      <c r="N838" s="250"/>
      <c r="O838" s="253"/>
      <c r="P838" s="240"/>
      <c r="Q838" s="148"/>
      <c r="R838" s="148"/>
      <c r="S838" s="242"/>
      <c r="T838" s="242"/>
      <c r="U838" s="242"/>
      <c r="V838" s="242"/>
      <c r="W838" s="242"/>
      <c r="X838" s="242"/>
      <c r="Y838" s="148"/>
      <c r="Z838" s="148"/>
    </row>
    <row r="839">
      <c r="A839" s="148"/>
      <c r="B839" s="148"/>
      <c r="C839" s="148"/>
      <c r="D839" s="245"/>
      <c r="E839" s="148"/>
      <c r="F839" s="277"/>
      <c r="G839" s="148"/>
      <c r="H839" s="148"/>
      <c r="I839" s="251"/>
      <c r="J839" s="251"/>
      <c r="K839" s="148"/>
      <c r="L839" s="254"/>
      <c r="M839" s="252"/>
      <c r="N839" s="250"/>
      <c r="O839" s="253"/>
      <c r="P839" s="240"/>
      <c r="Q839" s="148"/>
      <c r="R839" s="148"/>
      <c r="S839" s="242"/>
      <c r="T839" s="242"/>
      <c r="U839" s="242"/>
      <c r="V839" s="242"/>
      <c r="W839" s="242"/>
      <c r="X839" s="242"/>
      <c r="Y839" s="148"/>
      <c r="Z839" s="148"/>
    </row>
    <row r="840">
      <c r="A840" s="148"/>
      <c r="B840" s="148"/>
      <c r="C840" s="148"/>
      <c r="D840" s="245"/>
      <c r="E840" s="148"/>
      <c r="F840" s="277"/>
      <c r="G840" s="148"/>
      <c r="H840" s="148"/>
      <c r="I840" s="251"/>
      <c r="J840" s="251"/>
      <c r="K840" s="148"/>
      <c r="L840" s="254"/>
      <c r="M840" s="252"/>
      <c r="N840" s="250"/>
      <c r="O840" s="253"/>
      <c r="P840" s="240"/>
      <c r="Q840" s="148"/>
      <c r="R840" s="148"/>
      <c r="S840" s="242"/>
      <c r="T840" s="242"/>
      <c r="U840" s="242"/>
      <c r="V840" s="242"/>
      <c r="W840" s="242"/>
      <c r="X840" s="242"/>
      <c r="Y840" s="148"/>
      <c r="Z840" s="148"/>
    </row>
    <row r="841">
      <c r="A841" s="148"/>
      <c r="B841" s="148"/>
      <c r="C841" s="148"/>
      <c r="D841" s="245"/>
      <c r="E841" s="148"/>
      <c r="F841" s="277"/>
      <c r="G841" s="148"/>
      <c r="H841" s="148"/>
      <c r="I841" s="251"/>
      <c r="J841" s="251"/>
      <c r="K841" s="148"/>
      <c r="L841" s="254"/>
      <c r="M841" s="252"/>
      <c r="N841" s="250"/>
      <c r="O841" s="253"/>
      <c r="P841" s="240"/>
      <c r="Q841" s="148"/>
      <c r="R841" s="148"/>
      <c r="S841" s="242"/>
      <c r="T841" s="242"/>
      <c r="U841" s="242"/>
      <c r="V841" s="242"/>
      <c r="W841" s="242"/>
      <c r="X841" s="242"/>
      <c r="Y841" s="148"/>
      <c r="Z841" s="148"/>
    </row>
    <row r="842">
      <c r="A842" s="148"/>
      <c r="B842" s="148"/>
      <c r="C842" s="148"/>
      <c r="D842" s="245"/>
      <c r="E842" s="148"/>
      <c r="F842" s="277"/>
      <c r="G842" s="148"/>
      <c r="H842" s="148"/>
      <c r="I842" s="251"/>
      <c r="J842" s="251"/>
      <c r="K842" s="148"/>
      <c r="L842" s="254"/>
      <c r="M842" s="252"/>
      <c r="N842" s="250"/>
      <c r="O842" s="253"/>
      <c r="P842" s="240"/>
      <c r="Q842" s="148"/>
      <c r="R842" s="148"/>
      <c r="S842" s="242"/>
      <c r="T842" s="242"/>
      <c r="U842" s="242"/>
      <c r="V842" s="242"/>
      <c r="W842" s="242"/>
      <c r="X842" s="242"/>
      <c r="Y842" s="148"/>
      <c r="Z842" s="148"/>
    </row>
    <row r="843">
      <c r="A843" s="148"/>
      <c r="B843" s="148"/>
      <c r="C843" s="148"/>
      <c r="D843" s="245"/>
      <c r="E843" s="148"/>
      <c r="F843" s="277"/>
      <c r="G843" s="148"/>
      <c r="H843" s="148"/>
      <c r="I843" s="251"/>
      <c r="J843" s="251"/>
      <c r="K843" s="148"/>
      <c r="L843" s="254"/>
      <c r="M843" s="252"/>
      <c r="N843" s="250"/>
      <c r="O843" s="253"/>
      <c r="P843" s="240"/>
      <c r="Q843" s="148"/>
      <c r="R843" s="148"/>
      <c r="S843" s="242"/>
      <c r="T843" s="242"/>
      <c r="U843" s="242"/>
      <c r="V843" s="242"/>
      <c r="W843" s="242"/>
      <c r="X843" s="242"/>
      <c r="Y843" s="148"/>
      <c r="Z843" s="148"/>
    </row>
    <row r="844">
      <c r="A844" s="148"/>
      <c r="B844" s="148"/>
      <c r="C844" s="148"/>
      <c r="D844" s="245"/>
      <c r="E844" s="148"/>
      <c r="F844" s="277"/>
      <c r="G844" s="148"/>
      <c r="H844" s="148"/>
      <c r="I844" s="251"/>
      <c r="J844" s="251"/>
      <c r="K844" s="148"/>
      <c r="L844" s="254"/>
      <c r="M844" s="252"/>
      <c r="N844" s="250"/>
      <c r="O844" s="253"/>
      <c r="P844" s="240"/>
      <c r="Q844" s="148"/>
      <c r="R844" s="148"/>
      <c r="S844" s="242"/>
      <c r="T844" s="242"/>
      <c r="U844" s="242"/>
      <c r="V844" s="242"/>
      <c r="W844" s="242"/>
      <c r="X844" s="242"/>
      <c r="Y844" s="148"/>
      <c r="Z844" s="148"/>
    </row>
    <row r="845">
      <c r="A845" s="148"/>
      <c r="B845" s="148"/>
      <c r="C845" s="148"/>
      <c r="D845" s="245"/>
      <c r="E845" s="148"/>
      <c r="F845" s="277"/>
      <c r="G845" s="148"/>
      <c r="H845" s="148"/>
      <c r="I845" s="251"/>
      <c r="J845" s="251"/>
      <c r="K845" s="148"/>
      <c r="L845" s="254"/>
      <c r="M845" s="252"/>
      <c r="N845" s="250"/>
      <c r="O845" s="253"/>
      <c r="P845" s="240"/>
      <c r="Q845" s="148"/>
      <c r="R845" s="148"/>
      <c r="S845" s="242"/>
      <c r="T845" s="242"/>
      <c r="U845" s="242"/>
      <c r="V845" s="242"/>
      <c r="W845" s="242"/>
      <c r="X845" s="242"/>
      <c r="Y845" s="148"/>
      <c r="Z845" s="148"/>
    </row>
    <row r="846">
      <c r="A846" s="148"/>
      <c r="B846" s="148"/>
      <c r="C846" s="148"/>
      <c r="D846" s="245"/>
      <c r="E846" s="148"/>
      <c r="F846" s="277"/>
      <c r="G846" s="148"/>
      <c r="H846" s="148"/>
      <c r="I846" s="251"/>
      <c r="J846" s="251"/>
      <c r="K846" s="148"/>
      <c r="L846" s="254"/>
      <c r="M846" s="252"/>
      <c r="N846" s="250"/>
      <c r="O846" s="253"/>
      <c r="P846" s="240"/>
      <c r="Q846" s="148"/>
      <c r="R846" s="148"/>
      <c r="S846" s="242"/>
      <c r="T846" s="242"/>
      <c r="U846" s="242"/>
      <c r="V846" s="242"/>
      <c r="W846" s="242"/>
      <c r="X846" s="242"/>
      <c r="Y846" s="148"/>
      <c r="Z846" s="148"/>
    </row>
    <row r="847">
      <c r="A847" s="148"/>
      <c r="B847" s="148"/>
      <c r="C847" s="148"/>
      <c r="D847" s="245"/>
      <c r="E847" s="148"/>
      <c r="F847" s="277"/>
      <c r="G847" s="148"/>
      <c r="H847" s="148"/>
      <c r="I847" s="251"/>
      <c r="J847" s="251"/>
      <c r="K847" s="148"/>
      <c r="L847" s="254"/>
      <c r="M847" s="252"/>
      <c r="N847" s="250"/>
      <c r="O847" s="253"/>
      <c r="P847" s="240"/>
      <c r="Q847" s="148"/>
      <c r="R847" s="148"/>
      <c r="S847" s="242"/>
      <c r="T847" s="242"/>
      <c r="U847" s="242"/>
      <c r="V847" s="242"/>
      <c r="W847" s="242"/>
      <c r="X847" s="242"/>
      <c r="Y847" s="148"/>
      <c r="Z847" s="148"/>
    </row>
    <row r="848">
      <c r="A848" s="148"/>
      <c r="B848" s="148"/>
      <c r="C848" s="148"/>
      <c r="D848" s="245"/>
      <c r="E848" s="148"/>
      <c r="F848" s="277"/>
      <c r="G848" s="148"/>
      <c r="H848" s="148"/>
      <c r="I848" s="251"/>
      <c r="J848" s="251"/>
      <c r="K848" s="148"/>
      <c r="L848" s="254"/>
      <c r="M848" s="252"/>
      <c r="N848" s="250"/>
      <c r="O848" s="253"/>
      <c r="P848" s="240"/>
      <c r="Q848" s="148"/>
      <c r="R848" s="148"/>
      <c r="S848" s="242"/>
      <c r="T848" s="242"/>
      <c r="U848" s="242"/>
      <c r="V848" s="242"/>
      <c r="W848" s="242"/>
      <c r="X848" s="242"/>
      <c r="Y848" s="148"/>
      <c r="Z848" s="148"/>
    </row>
    <row r="849">
      <c r="A849" s="148"/>
      <c r="B849" s="148"/>
      <c r="C849" s="148"/>
      <c r="D849" s="245"/>
      <c r="E849" s="148"/>
      <c r="F849" s="277"/>
      <c r="G849" s="148"/>
      <c r="H849" s="148"/>
      <c r="I849" s="251"/>
      <c r="J849" s="251"/>
      <c r="K849" s="148"/>
      <c r="L849" s="254"/>
      <c r="M849" s="252"/>
      <c r="N849" s="250"/>
      <c r="O849" s="253"/>
      <c r="P849" s="240"/>
      <c r="Q849" s="148"/>
      <c r="R849" s="148"/>
      <c r="S849" s="242"/>
      <c r="T849" s="242"/>
      <c r="U849" s="242"/>
      <c r="V849" s="242"/>
      <c r="W849" s="242"/>
      <c r="X849" s="242"/>
      <c r="Y849" s="148"/>
      <c r="Z849" s="148"/>
    </row>
    <row r="850">
      <c r="A850" s="148"/>
      <c r="B850" s="148"/>
      <c r="C850" s="148"/>
      <c r="D850" s="245"/>
      <c r="E850" s="148"/>
      <c r="F850" s="277"/>
      <c r="G850" s="148"/>
      <c r="H850" s="148"/>
      <c r="I850" s="251"/>
      <c r="J850" s="251"/>
      <c r="K850" s="148"/>
      <c r="L850" s="254"/>
      <c r="M850" s="252"/>
      <c r="N850" s="250"/>
      <c r="O850" s="253"/>
      <c r="P850" s="240"/>
      <c r="Q850" s="148"/>
      <c r="R850" s="148"/>
      <c r="S850" s="242"/>
      <c r="T850" s="242"/>
      <c r="U850" s="242"/>
      <c r="V850" s="242"/>
      <c r="W850" s="242"/>
      <c r="X850" s="242"/>
      <c r="Y850" s="148"/>
      <c r="Z850" s="148"/>
    </row>
    <row r="851">
      <c r="A851" s="148"/>
      <c r="B851" s="148"/>
      <c r="C851" s="148"/>
      <c r="D851" s="245"/>
      <c r="E851" s="148"/>
      <c r="F851" s="277"/>
      <c r="G851" s="148"/>
      <c r="H851" s="148"/>
      <c r="I851" s="251"/>
      <c r="J851" s="251"/>
      <c r="K851" s="148"/>
      <c r="L851" s="254"/>
      <c r="M851" s="252"/>
      <c r="N851" s="250"/>
      <c r="O851" s="253"/>
      <c r="P851" s="240"/>
      <c r="Q851" s="148"/>
      <c r="R851" s="148"/>
      <c r="S851" s="242"/>
      <c r="T851" s="242"/>
      <c r="U851" s="242"/>
      <c r="V851" s="242"/>
      <c r="W851" s="242"/>
      <c r="X851" s="242"/>
      <c r="Y851" s="148"/>
      <c r="Z851" s="148"/>
    </row>
    <row r="852">
      <c r="A852" s="148"/>
      <c r="B852" s="148"/>
      <c r="C852" s="148"/>
      <c r="D852" s="245"/>
      <c r="E852" s="148"/>
      <c r="F852" s="277"/>
      <c r="G852" s="148"/>
      <c r="H852" s="148"/>
      <c r="I852" s="251"/>
      <c r="J852" s="251"/>
      <c r="K852" s="148"/>
      <c r="L852" s="254"/>
      <c r="M852" s="252"/>
      <c r="N852" s="250"/>
      <c r="O852" s="253"/>
      <c r="P852" s="240"/>
      <c r="Q852" s="148"/>
      <c r="R852" s="148"/>
      <c r="S852" s="242"/>
      <c r="T852" s="242"/>
      <c r="U852" s="242"/>
      <c r="V852" s="242"/>
      <c r="W852" s="242"/>
      <c r="X852" s="242"/>
      <c r="Y852" s="148"/>
      <c r="Z852" s="148"/>
    </row>
    <row r="853">
      <c r="A853" s="148"/>
      <c r="B853" s="148"/>
      <c r="C853" s="148"/>
      <c r="D853" s="245"/>
      <c r="E853" s="148"/>
      <c r="F853" s="277"/>
      <c r="G853" s="148"/>
      <c r="H853" s="148"/>
      <c r="I853" s="251"/>
      <c r="J853" s="251"/>
      <c r="K853" s="148"/>
      <c r="L853" s="254"/>
      <c r="M853" s="252"/>
      <c r="N853" s="250"/>
      <c r="O853" s="253"/>
      <c r="P853" s="240"/>
      <c r="Q853" s="148"/>
      <c r="R853" s="148"/>
      <c r="S853" s="242"/>
      <c r="T853" s="242"/>
      <c r="U853" s="242"/>
      <c r="V853" s="242"/>
      <c r="W853" s="242"/>
      <c r="X853" s="242"/>
      <c r="Y853" s="148"/>
      <c r="Z853" s="148"/>
    </row>
    <row r="854">
      <c r="A854" s="148"/>
      <c r="B854" s="148"/>
      <c r="C854" s="148"/>
      <c r="D854" s="245"/>
      <c r="E854" s="148"/>
      <c r="F854" s="277"/>
      <c r="G854" s="148"/>
      <c r="H854" s="148"/>
      <c r="I854" s="251"/>
      <c r="J854" s="251"/>
      <c r="K854" s="148"/>
      <c r="L854" s="254"/>
      <c r="M854" s="252"/>
      <c r="N854" s="250"/>
      <c r="O854" s="253"/>
      <c r="P854" s="240"/>
      <c r="Q854" s="148"/>
      <c r="R854" s="148"/>
      <c r="S854" s="242"/>
      <c r="T854" s="242"/>
      <c r="U854" s="242"/>
      <c r="V854" s="242"/>
      <c r="W854" s="242"/>
      <c r="X854" s="242"/>
      <c r="Y854" s="148"/>
      <c r="Z854" s="148"/>
    </row>
    <row r="855">
      <c r="A855" s="148"/>
      <c r="B855" s="148"/>
      <c r="C855" s="148"/>
      <c r="D855" s="245"/>
      <c r="E855" s="148"/>
      <c r="F855" s="277"/>
      <c r="G855" s="148"/>
      <c r="H855" s="148"/>
      <c r="I855" s="251"/>
      <c r="J855" s="251"/>
      <c r="K855" s="148"/>
      <c r="L855" s="254"/>
      <c r="M855" s="252"/>
      <c r="N855" s="250"/>
      <c r="O855" s="253"/>
      <c r="P855" s="240"/>
      <c r="Q855" s="148"/>
      <c r="R855" s="148"/>
      <c r="S855" s="242"/>
      <c r="T855" s="242"/>
      <c r="U855" s="242"/>
      <c r="V855" s="242"/>
      <c r="W855" s="242"/>
      <c r="X855" s="242"/>
      <c r="Y855" s="148"/>
      <c r="Z855" s="148"/>
    </row>
    <row r="856">
      <c r="A856" s="148"/>
      <c r="B856" s="148"/>
      <c r="C856" s="148"/>
      <c r="D856" s="245"/>
      <c r="E856" s="148"/>
      <c r="F856" s="277"/>
      <c r="G856" s="148"/>
      <c r="H856" s="148"/>
      <c r="I856" s="251"/>
      <c r="J856" s="251"/>
      <c r="K856" s="148"/>
      <c r="L856" s="254"/>
      <c r="M856" s="252"/>
      <c r="N856" s="250"/>
      <c r="O856" s="253"/>
      <c r="P856" s="240"/>
      <c r="Q856" s="148"/>
      <c r="R856" s="148"/>
      <c r="S856" s="242"/>
      <c r="T856" s="242"/>
      <c r="U856" s="242"/>
      <c r="V856" s="242"/>
      <c r="W856" s="242"/>
      <c r="X856" s="242"/>
      <c r="Y856" s="148"/>
      <c r="Z856" s="148"/>
    </row>
    <row r="857">
      <c r="A857" s="148"/>
      <c r="B857" s="148"/>
      <c r="C857" s="148"/>
      <c r="D857" s="245"/>
      <c r="E857" s="148"/>
      <c r="F857" s="277"/>
      <c r="G857" s="148"/>
      <c r="H857" s="148"/>
      <c r="I857" s="251"/>
      <c r="J857" s="251"/>
      <c r="K857" s="148"/>
      <c r="L857" s="254"/>
      <c r="M857" s="252"/>
      <c r="N857" s="250"/>
      <c r="O857" s="253"/>
      <c r="P857" s="240"/>
      <c r="Q857" s="148"/>
      <c r="R857" s="148"/>
      <c r="S857" s="242"/>
      <c r="T857" s="242"/>
      <c r="U857" s="242"/>
      <c r="V857" s="242"/>
      <c r="W857" s="242"/>
      <c r="X857" s="242"/>
      <c r="Y857" s="148"/>
      <c r="Z857" s="148"/>
    </row>
    <row r="858">
      <c r="A858" s="148"/>
      <c r="B858" s="148"/>
      <c r="C858" s="148"/>
      <c r="D858" s="245"/>
      <c r="E858" s="148"/>
      <c r="F858" s="277"/>
      <c r="G858" s="148"/>
      <c r="H858" s="148"/>
      <c r="I858" s="251"/>
      <c r="J858" s="251"/>
      <c r="K858" s="148"/>
      <c r="L858" s="254"/>
      <c r="M858" s="252"/>
      <c r="N858" s="250"/>
      <c r="O858" s="253"/>
      <c r="P858" s="240"/>
      <c r="Q858" s="148"/>
      <c r="R858" s="148"/>
      <c r="S858" s="242"/>
      <c r="T858" s="242"/>
      <c r="U858" s="242"/>
      <c r="V858" s="242"/>
      <c r="W858" s="242"/>
      <c r="X858" s="242"/>
      <c r="Y858" s="148"/>
      <c r="Z858" s="148"/>
    </row>
    <row r="859">
      <c r="A859" s="148"/>
      <c r="B859" s="148"/>
      <c r="C859" s="148"/>
      <c r="D859" s="245"/>
      <c r="E859" s="148"/>
      <c r="F859" s="277"/>
      <c r="G859" s="148"/>
      <c r="H859" s="148"/>
      <c r="I859" s="251"/>
      <c r="J859" s="251"/>
      <c r="K859" s="148"/>
      <c r="L859" s="254"/>
      <c r="M859" s="252"/>
      <c r="N859" s="250"/>
      <c r="O859" s="253"/>
      <c r="P859" s="240"/>
      <c r="Q859" s="148"/>
      <c r="R859" s="148"/>
      <c r="S859" s="242"/>
      <c r="T859" s="242"/>
      <c r="U859" s="242"/>
      <c r="V859" s="242"/>
      <c r="W859" s="242"/>
      <c r="X859" s="242"/>
      <c r="Y859" s="148"/>
      <c r="Z859" s="148"/>
    </row>
    <row r="860">
      <c r="A860" s="148"/>
      <c r="B860" s="148"/>
      <c r="C860" s="148"/>
      <c r="D860" s="245"/>
      <c r="E860" s="148"/>
      <c r="F860" s="277"/>
      <c r="G860" s="148"/>
      <c r="H860" s="148"/>
      <c r="I860" s="251"/>
      <c r="J860" s="251"/>
      <c r="K860" s="148"/>
      <c r="L860" s="254"/>
      <c r="M860" s="252"/>
      <c r="N860" s="250"/>
      <c r="O860" s="253"/>
      <c r="P860" s="240"/>
      <c r="Q860" s="148"/>
      <c r="R860" s="148"/>
      <c r="S860" s="242"/>
      <c r="T860" s="242"/>
      <c r="U860" s="242"/>
      <c r="V860" s="242"/>
      <c r="W860" s="242"/>
      <c r="X860" s="242"/>
      <c r="Y860" s="148"/>
      <c r="Z860" s="148"/>
    </row>
    <row r="861">
      <c r="A861" s="148"/>
      <c r="B861" s="148"/>
      <c r="C861" s="148"/>
      <c r="D861" s="245"/>
      <c r="E861" s="148"/>
      <c r="F861" s="277"/>
      <c r="G861" s="148"/>
      <c r="H861" s="148"/>
      <c r="I861" s="251"/>
      <c r="J861" s="251"/>
      <c r="K861" s="148"/>
      <c r="L861" s="254"/>
      <c r="M861" s="252"/>
      <c r="N861" s="250"/>
      <c r="O861" s="253"/>
      <c r="P861" s="240"/>
      <c r="Q861" s="148"/>
      <c r="R861" s="148"/>
      <c r="S861" s="242"/>
      <c r="T861" s="242"/>
      <c r="U861" s="242"/>
      <c r="V861" s="242"/>
      <c r="W861" s="242"/>
      <c r="X861" s="242"/>
      <c r="Y861" s="148"/>
      <c r="Z861" s="148"/>
    </row>
    <row r="862">
      <c r="A862" s="148"/>
      <c r="B862" s="148"/>
      <c r="C862" s="148"/>
      <c r="D862" s="245"/>
      <c r="E862" s="148"/>
      <c r="F862" s="277"/>
      <c r="G862" s="148"/>
      <c r="H862" s="148"/>
      <c r="I862" s="251"/>
      <c r="J862" s="251"/>
      <c r="K862" s="148"/>
      <c r="L862" s="254"/>
      <c r="M862" s="252"/>
      <c r="N862" s="250"/>
      <c r="O862" s="253"/>
      <c r="P862" s="240"/>
      <c r="Q862" s="148"/>
      <c r="R862" s="148"/>
      <c r="S862" s="242"/>
      <c r="T862" s="242"/>
      <c r="U862" s="242"/>
      <c r="V862" s="242"/>
      <c r="W862" s="242"/>
      <c r="X862" s="242"/>
      <c r="Y862" s="148"/>
      <c r="Z862" s="148"/>
    </row>
    <row r="863">
      <c r="A863" s="148"/>
      <c r="B863" s="148"/>
      <c r="C863" s="148"/>
      <c r="D863" s="245"/>
      <c r="E863" s="148"/>
      <c r="F863" s="277"/>
      <c r="G863" s="148"/>
      <c r="H863" s="148"/>
      <c r="I863" s="251"/>
      <c r="J863" s="251"/>
      <c r="K863" s="148"/>
      <c r="L863" s="254"/>
      <c r="M863" s="252"/>
      <c r="N863" s="250"/>
      <c r="O863" s="253"/>
      <c r="P863" s="240"/>
      <c r="Q863" s="148"/>
      <c r="R863" s="148"/>
      <c r="S863" s="242"/>
      <c r="T863" s="242"/>
      <c r="U863" s="242"/>
      <c r="V863" s="242"/>
      <c r="W863" s="242"/>
      <c r="X863" s="242"/>
      <c r="Y863" s="148"/>
      <c r="Z863" s="148"/>
    </row>
    <row r="864">
      <c r="A864" s="148"/>
      <c r="B864" s="148"/>
      <c r="C864" s="148"/>
      <c r="D864" s="245"/>
      <c r="E864" s="148"/>
      <c r="F864" s="277"/>
      <c r="G864" s="148"/>
      <c r="H864" s="148"/>
      <c r="I864" s="251"/>
      <c r="J864" s="251"/>
      <c r="K864" s="148"/>
      <c r="L864" s="254"/>
      <c r="M864" s="252"/>
      <c r="N864" s="250"/>
      <c r="O864" s="253"/>
      <c r="P864" s="240"/>
      <c r="Q864" s="148"/>
      <c r="R864" s="148"/>
      <c r="S864" s="242"/>
      <c r="T864" s="242"/>
      <c r="U864" s="242"/>
      <c r="V864" s="242"/>
      <c r="W864" s="242"/>
      <c r="X864" s="242"/>
      <c r="Y864" s="148"/>
      <c r="Z864" s="148"/>
    </row>
    <row r="865">
      <c r="A865" s="148"/>
      <c r="B865" s="148"/>
      <c r="C865" s="148"/>
      <c r="D865" s="245"/>
      <c r="E865" s="148"/>
      <c r="F865" s="277"/>
      <c r="G865" s="148"/>
      <c r="H865" s="148"/>
      <c r="I865" s="251"/>
      <c r="J865" s="251"/>
      <c r="K865" s="148"/>
      <c r="L865" s="254"/>
      <c r="M865" s="252"/>
      <c r="N865" s="250"/>
      <c r="O865" s="253"/>
      <c r="P865" s="240"/>
      <c r="Q865" s="148"/>
      <c r="R865" s="148"/>
      <c r="S865" s="242"/>
      <c r="T865" s="242"/>
      <c r="U865" s="242"/>
      <c r="V865" s="242"/>
      <c r="W865" s="242"/>
      <c r="X865" s="242"/>
      <c r="Y865" s="148"/>
      <c r="Z865" s="148"/>
    </row>
    <row r="866">
      <c r="A866" s="148"/>
      <c r="B866" s="148"/>
      <c r="C866" s="148"/>
      <c r="D866" s="245"/>
      <c r="E866" s="148"/>
      <c r="F866" s="277"/>
      <c r="G866" s="148"/>
      <c r="H866" s="148"/>
      <c r="I866" s="251"/>
      <c r="J866" s="251"/>
      <c r="K866" s="148"/>
      <c r="L866" s="254"/>
      <c r="M866" s="252"/>
      <c r="N866" s="250"/>
      <c r="O866" s="253"/>
      <c r="P866" s="240"/>
      <c r="Q866" s="148"/>
      <c r="R866" s="148"/>
      <c r="S866" s="242"/>
      <c r="T866" s="242"/>
      <c r="U866" s="242"/>
      <c r="V866" s="242"/>
      <c r="W866" s="242"/>
      <c r="X866" s="242"/>
      <c r="Y866" s="148"/>
      <c r="Z866" s="148"/>
    </row>
    <row r="867">
      <c r="A867" s="148"/>
      <c r="B867" s="148"/>
      <c r="C867" s="148"/>
      <c r="D867" s="245"/>
      <c r="E867" s="148"/>
      <c r="F867" s="277"/>
      <c r="G867" s="148"/>
      <c r="H867" s="148"/>
      <c r="I867" s="251"/>
      <c r="J867" s="251"/>
      <c r="K867" s="148"/>
      <c r="L867" s="254"/>
      <c r="M867" s="252"/>
      <c r="N867" s="250"/>
      <c r="O867" s="253"/>
      <c r="P867" s="240"/>
      <c r="Q867" s="148"/>
      <c r="R867" s="148"/>
      <c r="S867" s="242"/>
      <c r="T867" s="242"/>
      <c r="U867" s="242"/>
      <c r="V867" s="242"/>
      <c r="W867" s="242"/>
      <c r="X867" s="242"/>
      <c r="Y867" s="148"/>
      <c r="Z867" s="148"/>
    </row>
    <row r="868">
      <c r="A868" s="148"/>
      <c r="B868" s="148"/>
      <c r="C868" s="148"/>
      <c r="D868" s="245"/>
      <c r="E868" s="148"/>
      <c r="F868" s="277"/>
      <c r="G868" s="148"/>
      <c r="H868" s="148"/>
      <c r="I868" s="251"/>
      <c r="J868" s="251"/>
      <c r="K868" s="148"/>
      <c r="L868" s="254"/>
      <c r="M868" s="252"/>
      <c r="N868" s="250"/>
      <c r="O868" s="253"/>
      <c r="P868" s="240"/>
      <c r="Q868" s="148"/>
      <c r="R868" s="148"/>
      <c r="S868" s="242"/>
      <c r="T868" s="242"/>
      <c r="U868" s="242"/>
      <c r="V868" s="242"/>
      <c r="W868" s="242"/>
      <c r="X868" s="242"/>
      <c r="Y868" s="148"/>
      <c r="Z868" s="148"/>
    </row>
    <row r="869">
      <c r="A869" s="148"/>
      <c r="B869" s="148"/>
      <c r="C869" s="148"/>
      <c r="D869" s="245"/>
      <c r="E869" s="148"/>
      <c r="F869" s="277"/>
      <c r="G869" s="148"/>
      <c r="H869" s="148"/>
      <c r="I869" s="251"/>
      <c r="J869" s="251"/>
      <c r="K869" s="148"/>
      <c r="L869" s="254"/>
      <c r="M869" s="252"/>
      <c r="N869" s="250"/>
      <c r="O869" s="253"/>
      <c r="P869" s="240"/>
      <c r="Q869" s="148"/>
      <c r="R869" s="148"/>
      <c r="S869" s="242"/>
      <c r="T869" s="242"/>
      <c r="U869" s="242"/>
      <c r="V869" s="242"/>
      <c r="W869" s="242"/>
      <c r="X869" s="242"/>
      <c r="Y869" s="148"/>
      <c r="Z869" s="148"/>
    </row>
    <row r="870">
      <c r="A870" s="148"/>
      <c r="B870" s="148"/>
      <c r="C870" s="148"/>
      <c r="D870" s="245"/>
      <c r="E870" s="148"/>
      <c r="F870" s="277"/>
      <c r="G870" s="148"/>
      <c r="H870" s="148"/>
      <c r="I870" s="251"/>
      <c r="J870" s="251"/>
      <c r="K870" s="148"/>
      <c r="L870" s="254"/>
      <c r="M870" s="252"/>
      <c r="N870" s="250"/>
      <c r="O870" s="253"/>
      <c r="P870" s="240"/>
      <c r="Q870" s="148"/>
      <c r="R870" s="148"/>
      <c r="S870" s="242"/>
      <c r="T870" s="242"/>
      <c r="U870" s="242"/>
      <c r="V870" s="242"/>
      <c r="W870" s="242"/>
      <c r="X870" s="242"/>
      <c r="Y870" s="148"/>
      <c r="Z870" s="148"/>
    </row>
    <row r="871">
      <c r="A871" s="148"/>
      <c r="B871" s="148"/>
      <c r="C871" s="148"/>
      <c r="D871" s="245"/>
      <c r="E871" s="148"/>
      <c r="F871" s="277"/>
      <c r="G871" s="148"/>
      <c r="H871" s="148"/>
      <c r="I871" s="251"/>
      <c r="J871" s="251"/>
      <c r="K871" s="148"/>
      <c r="L871" s="254"/>
      <c r="M871" s="252"/>
      <c r="N871" s="250"/>
      <c r="O871" s="253"/>
      <c r="P871" s="240"/>
      <c r="Q871" s="148"/>
      <c r="R871" s="148"/>
      <c r="S871" s="242"/>
      <c r="T871" s="242"/>
      <c r="U871" s="242"/>
      <c r="V871" s="242"/>
      <c r="W871" s="242"/>
      <c r="X871" s="242"/>
      <c r="Y871" s="148"/>
      <c r="Z871" s="148"/>
    </row>
    <row r="872">
      <c r="A872" s="148"/>
      <c r="B872" s="148"/>
      <c r="C872" s="148"/>
      <c r="D872" s="245"/>
      <c r="E872" s="148"/>
      <c r="F872" s="277"/>
      <c r="G872" s="148"/>
      <c r="H872" s="148"/>
      <c r="I872" s="251"/>
      <c r="J872" s="251"/>
      <c r="K872" s="148"/>
      <c r="L872" s="254"/>
      <c r="M872" s="252"/>
      <c r="N872" s="250"/>
      <c r="O872" s="253"/>
      <c r="P872" s="240"/>
      <c r="Q872" s="148"/>
      <c r="R872" s="148"/>
      <c r="S872" s="242"/>
      <c r="T872" s="242"/>
      <c r="U872" s="242"/>
      <c r="V872" s="242"/>
      <c r="W872" s="242"/>
      <c r="X872" s="242"/>
      <c r="Y872" s="148"/>
      <c r="Z872" s="148"/>
    </row>
    <row r="873">
      <c r="A873" s="148"/>
      <c r="B873" s="148"/>
      <c r="C873" s="148"/>
      <c r="D873" s="245"/>
      <c r="E873" s="148"/>
      <c r="F873" s="277"/>
      <c r="G873" s="148"/>
      <c r="H873" s="148"/>
      <c r="I873" s="251"/>
      <c r="J873" s="251"/>
      <c r="K873" s="148"/>
      <c r="L873" s="254"/>
      <c r="M873" s="252"/>
      <c r="N873" s="250"/>
      <c r="O873" s="253"/>
      <c r="P873" s="240"/>
      <c r="Q873" s="148"/>
      <c r="R873" s="148"/>
      <c r="S873" s="242"/>
      <c r="T873" s="242"/>
      <c r="U873" s="242"/>
      <c r="V873" s="242"/>
      <c r="W873" s="242"/>
      <c r="X873" s="242"/>
      <c r="Y873" s="148"/>
      <c r="Z873" s="148"/>
    </row>
    <row r="874">
      <c r="A874" s="148"/>
      <c r="B874" s="148"/>
      <c r="C874" s="148"/>
      <c r="D874" s="245"/>
      <c r="E874" s="148"/>
      <c r="F874" s="277"/>
      <c r="G874" s="148"/>
      <c r="H874" s="148"/>
      <c r="I874" s="251"/>
      <c r="J874" s="251"/>
      <c r="K874" s="148"/>
      <c r="L874" s="254"/>
      <c r="M874" s="252"/>
      <c r="N874" s="250"/>
      <c r="O874" s="253"/>
      <c r="P874" s="240"/>
      <c r="Q874" s="148"/>
      <c r="R874" s="148"/>
      <c r="S874" s="242"/>
      <c r="T874" s="242"/>
      <c r="U874" s="242"/>
      <c r="V874" s="242"/>
      <c r="W874" s="242"/>
      <c r="X874" s="242"/>
      <c r="Y874" s="148"/>
      <c r="Z874" s="148"/>
    </row>
    <row r="875">
      <c r="A875" s="148"/>
      <c r="B875" s="148"/>
      <c r="C875" s="148"/>
      <c r="D875" s="245"/>
      <c r="E875" s="148"/>
      <c r="F875" s="277"/>
      <c r="G875" s="148"/>
      <c r="H875" s="148"/>
      <c r="I875" s="251"/>
      <c r="J875" s="251"/>
      <c r="K875" s="148"/>
      <c r="L875" s="254"/>
      <c r="M875" s="252"/>
      <c r="N875" s="250"/>
      <c r="O875" s="253"/>
      <c r="P875" s="240"/>
      <c r="Q875" s="148"/>
      <c r="R875" s="148"/>
      <c r="S875" s="242"/>
      <c r="T875" s="242"/>
      <c r="U875" s="242"/>
      <c r="V875" s="242"/>
      <c r="W875" s="242"/>
      <c r="X875" s="242"/>
      <c r="Y875" s="148"/>
      <c r="Z875" s="148"/>
    </row>
    <row r="876">
      <c r="A876" s="148"/>
      <c r="B876" s="148"/>
      <c r="C876" s="148"/>
      <c r="D876" s="245"/>
      <c r="E876" s="148"/>
      <c r="F876" s="277"/>
      <c r="G876" s="148"/>
      <c r="H876" s="148"/>
      <c r="I876" s="251"/>
      <c r="J876" s="251"/>
      <c r="K876" s="148"/>
      <c r="L876" s="254"/>
      <c r="M876" s="252"/>
      <c r="N876" s="250"/>
      <c r="O876" s="253"/>
      <c r="P876" s="240"/>
      <c r="Q876" s="148"/>
      <c r="R876" s="148"/>
      <c r="S876" s="242"/>
      <c r="T876" s="242"/>
      <c r="U876" s="242"/>
      <c r="V876" s="242"/>
      <c r="W876" s="242"/>
      <c r="X876" s="242"/>
      <c r="Y876" s="148"/>
      <c r="Z876" s="148"/>
    </row>
    <row r="877">
      <c r="A877" s="148"/>
      <c r="B877" s="148"/>
      <c r="C877" s="148"/>
      <c r="D877" s="245"/>
      <c r="E877" s="148"/>
      <c r="F877" s="277"/>
      <c r="G877" s="148"/>
      <c r="H877" s="148"/>
      <c r="I877" s="251"/>
      <c r="J877" s="251"/>
      <c r="K877" s="148"/>
      <c r="L877" s="254"/>
      <c r="M877" s="252"/>
      <c r="N877" s="250"/>
      <c r="O877" s="253"/>
      <c r="P877" s="240"/>
      <c r="Q877" s="148"/>
      <c r="R877" s="148"/>
      <c r="S877" s="242"/>
      <c r="T877" s="242"/>
      <c r="U877" s="242"/>
      <c r="V877" s="242"/>
      <c r="W877" s="242"/>
      <c r="X877" s="242"/>
      <c r="Y877" s="148"/>
      <c r="Z877" s="148"/>
    </row>
    <row r="878">
      <c r="A878" s="148"/>
      <c r="B878" s="148"/>
      <c r="C878" s="148"/>
      <c r="D878" s="245"/>
      <c r="E878" s="148"/>
      <c r="F878" s="277"/>
      <c r="G878" s="148"/>
      <c r="H878" s="148"/>
      <c r="I878" s="251"/>
      <c r="J878" s="251"/>
      <c r="K878" s="148"/>
      <c r="L878" s="254"/>
      <c r="M878" s="252"/>
      <c r="N878" s="250"/>
      <c r="O878" s="253"/>
      <c r="P878" s="240"/>
      <c r="Q878" s="148"/>
      <c r="R878" s="148"/>
      <c r="S878" s="242"/>
      <c r="T878" s="242"/>
      <c r="U878" s="242"/>
      <c r="V878" s="242"/>
      <c r="W878" s="242"/>
      <c r="X878" s="242"/>
      <c r="Y878" s="148"/>
      <c r="Z878" s="148"/>
    </row>
    <row r="879">
      <c r="A879" s="148"/>
      <c r="B879" s="148"/>
      <c r="C879" s="148"/>
      <c r="D879" s="245"/>
      <c r="E879" s="148"/>
      <c r="F879" s="277"/>
      <c r="G879" s="148"/>
      <c r="H879" s="148"/>
      <c r="I879" s="251"/>
      <c r="J879" s="251"/>
      <c r="K879" s="148"/>
      <c r="L879" s="254"/>
      <c r="M879" s="252"/>
      <c r="N879" s="250"/>
      <c r="O879" s="253"/>
      <c r="P879" s="240"/>
      <c r="Q879" s="148"/>
      <c r="R879" s="148"/>
      <c r="S879" s="242"/>
      <c r="T879" s="242"/>
      <c r="U879" s="242"/>
      <c r="V879" s="242"/>
      <c r="W879" s="242"/>
      <c r="X879" s="242"/>
      <c r="Y879" s="148"/>
      <c r="Z879" s="148"/>
    </row>
    <row r="880">
      <c r="A880" s="148"/>
      <c r="B880" s="148"/>
      <c r="C880" s="148"/>
      <c r="D880" s="245"/>
      <c r="E880" s="148"/>
      <c r="F880" s="277"/>
      <c r="G880" s="148"/>
      <c r="H880" s="148"/>
      <c r="I880" s="251"/>
      <c r="J880" s="251"/>
      <c r="K880" s="148"/>
      <c r="L880" s="254"/>
      <c r="M880" s="252"/>
      <c r="N880" s="250"/>
      <c r="O880" s="253"/>
      <c r="P880" s="240"/>
      <c r="Q880" s="148"/>
      <c r="R880" s="148"/>
      <c r="S880" s="242"/>
      <c r="T880" s="242"/>
      <c r="U880" s="242"/>
      <c r="V880" s="242"/>
      <c r="W880" s="242"/>
      <c r="X880" s="242"/>
      <c r="Y880" s="148"/>
      <c r="Z880" s="148"/>
    </row>
    <row r="881">
      <c r="A881" s="148"/>
      <c r="B881" s="148"/>
      <c r="C881" s="148"/>
      <c r="D881" s="245"/>
      <c r="E881" s="148"/>
      <c r="F881" s="277"/>
      <c r="G881" s="148"/>
      <c r="H881" s="148"/>
      <c r="I881" s="251"/>
      <c r="J881" s="251"/>
      <c r="K881" s="148"/>
      <c r="L881" s="254"/>
      <c r="M881" s="252"/>
      <c r="N881" s="250"/>
      <c r="O881" s="253"/>
      <c r="P881" s="240"/>
      <c r="Q881" s="148"/>
      <c r="R881" s="148"/>
      <c r="S881" s="242"/>
      <c r="T881" s="242"/>
      <c r="U881" s="242"/>
      <c r="V881" s="242"/>
      <c r="W881" s="242"/>
      <c r="X881" s="242"/>
      <c r="Y881" s="148"/>
      <c r="Z881" s="148"/>
    </row>
    <row r="882">
      <c r="A882" s="148"/>
      <c r="B882" s="148"/>
      <c r="C882" s="148"/>
      <c r="D882" s="245"/>
      <c r="E882" s="148"/>
      <c r="F882" s="277"/>
      <c r="G882" s="148"/>
      <c r="H882" s="148"/>
      <c r="I882" s="251"/>
      <c r="J882" s="251"/>
      <c r="K882" s="148"/>
      <c r="L882" s="254"/>
      <c r="M882" s="252"/>
      <c r="N882" s="250"/>
      <c r="O882" s="253"/>
      <c r="P882" s="240"/>
      <c r="Q882" s="148"/>
      <c r="R882" s="148"/>
      <c r="S882" s="242"/>
      <c r="T882" s="242"/>
      <c r="U882" s="242"/>
      <c r="V882" s="242"/>
      <c r="W882" s="242"/>
      <c r="X882" s="242"/>
      <c r="Y882" s="148"/>
      <c r="Z882" s="148"/>
    </row>
    <row r="883">
      <c r="A883" s="148"/>
      <c r="B883" s="148"/>
      <c r="C883" s="148"/>
      <c r="D883" s="245"/>
      <c r="E883" s="148"/>
      <c r="F883" s="277"/>
      <c r="G883" s="148"/>
      <c r="H883" s="148"/>
      <c r="I883" s="251"/>
      <c r="J883" s="251"/>
      <c r="K883" s="148"/>
      <c r="L883" s="254"/>
      <c r="M883" s="252"/>
      <c r="N883" s="250"/>
      <c r="O883" s="253"/>
      <c r="P883" s="240"/>
      <c r="Q883" s="148"/>
      <c r="R883" s="148"/>
      <c r="S883" s="242"/>
      <c r="T883" s="242"/>
      <c r="U883" s="242"/>
      <c r="V883" s="242"/>
      <c r="W883" s="242"/>
      <c r="X883" s="242"/>
      <c r="Y883" s="148"/>
      <c r="Z883" s="148"/>
    </row>
    <row r="884">
      <c r="A884" s="148"/>
      <c r="B884" s="148"/>
      <c r="C884" s="148"/>
      <c r="D884" s="245"/>
      <c r="E884" s="148"/>
      <c r="F884" s="277"/>
      <c r="G884" s="148"/>
      <c r="H884" s="148"/>
      <c r="I884" s="251"/>
      <c r="J884" s="251"/>
      <c r="K884" s="148"/>
      <c r="L884" s="254"/>
      <c r="M884" s="252"/>
      <c r="N884" s="250"/>
      <c r="O884" s="253"/>
      <c r="P884" s="240"/>
      <c r="Q884" s="148"/>
      <c r="R884" s="148"/>
      <c r="S884" s="242"/>
      <c r="T884" s="242"/>
      <c r="U884" s="242"/>
      <c r="V884" s="242"/>
      <c r="W884" s="242"/>
      <c r="X884" s="242"/>
      <c r="Y884" s="148"/>
      <c r="Z884" s="148"/>
    </row>
    <row r="885">
      <c r="A885" s="148"/>
      <c r="B885" s="148"/>
      <c r="C885" s="148"/>
      <c r="D885" s="245"/>
      <c r="E885" s="148"/>
      <c r="F885" s="277"/>
      <c r="G885" s="148"/>
      <c r="H885" s="148"/>
      <c r="I885" s="251"/>
      <c r="J885" s="251"/>
      <c r="K885" s="148"/>
      <c r="L885" s="254"/>
      <c r="M885" s="252"/>
      <c r="N885" s="250"/>
      <c r="O885" s="253"/>
      <c r="P885" s="240"/>
      <c r="Q885" s="148"/>
      <c r="R885" s="148"/>
      <c r="S885" s="242"/>
      <c r="T885" s="242"/>
      <c r="U885" s="242"/>
      <c r="V885" s="242"/>
      <c r="W885" s="242"/>
      <c r="X885" s="242"/>
      <c r="Y885" s="148"/>
      <c r="Z885" s="148"/>
    </row>
    <row r="886">
      <c r="A886" s="148"/>
      <c r="B886" s="148"/>
      <c r="C886" s="148"/>
      <c r="D886" s="245"/>
      <c r="E886" s="148"/>
      <c r="F886" s="277"/>
      <c r="G886" s="148"/>
      <c r="H886" s="148"/>
      <c r="I886" s="251"/>
      <c r="J886" s="251"/>
      <c r="K886" s="148"/>
      <c r="L886" s="254"/>
      <c r="M886" s="252"/>
      <c r="N886" s="250"/>
      <c r="O886" s="253"/>
      <c r="P886" s="240"/>
      <c r="Q886" s="148"/>
      <c r="R886" s="148"/>
      <c r="S886" s="242"/>
      <c r="T886" s="242"/>
      <c r="U886" s="242"/>
      <c r="V886" s="242"/>
      <c r="W886" s="242"/>
      <c r="X886" s="242"/>
      <c r="Y886" s="148"/>
      <c r="Z886" s="148"/>
    </row>
    <row r="887">
      <c r="A887" s="148"/>
      <c r="B887" s="148"/>
      <c r="C887" s="148"/>
      <c r="D887" s="245"/>
      <c r="E887" s="148"/>
      <c r="F887" s="277"/>
      <c r="G887" s="148"/>
      <c r="H887" s="148"/>
      <c r="I887" s="251"/>
      <c r="J887" s="251"/>
      <c r="K887" s="148"/>
      <c r="L887" s="254"/>
      <c r="M887" s="252"/>
      <c r="N887" s="250"/>
      <c r="O887" s="253"/>
      <c r="P887" s="240"/>
      <c r="Q887" s="148"/>
      <c r="R887" s="148"/>
      <c r="S887" s="242"/>
      <c r="T887" s="242"/>
      <c r="U887" s="242"/>
      <c r="V887" s="242"/>
      <c r="W887" s="242"/>
      <c r="X887" s="242"/>
      <c r="Y887" s="148"/>
      <c r="Z887" s="148"/>
    </row>
    <row r="888">
      <c r="A888" s="148"/>
      <c r="B888" s="148"/>
      <c r="C888" s="148"/>
      <c r="D888" s="245"/>
      <c r="E888" s="148"/>
      <c r="F888" s="277"/>
      <c r="G888" s="148"/>
      <c r="H888" s="148"/>
      <c r="I888" s="251"/>
      <c r="J888" s="251"/>
      <c r="K888" s="148"/>
      <c r="L888" s="254"/>
      <c r="M888" s="252"/>
      <c r="N888" s="250"/>
      <c r="O888" s="253"/>
      <c r="P888" s="240"/>
      <c r="Q888" s="148"/>
      <c r="R888" s="148"/>
      <c r="S888" s="242"/>
      <c r="T888" s="242"/>
      <c r="U888" s="242"/>
      <c r="V888" s="242"/>
      <c r="W888" s="242"/>
      <c r="X888" s="242"/>
      <c r="Y888" s="148"/>
      <c r="Z888" s="148"/>
    </row>
    <row r="889">
      <c r="A889" s="148"/>
      <c r="B889" s="148"/>
      <c r="C889" s="148"/>
      <c r="D889" s="245"/>
      <c r="E889" s="148"/>
      <c r="F889" s="277"/>
      <c r="G889" s="148"/>
      <c r="H889" s="148"/>
      <c r="I889" s="251"/>
      <c r="J889" s="251"/>
      <c r="K889" s="148"/>
      <c r="L889" s="254"/>
      <c r="M889" s="252"/>
      <c r="N889" s="250"/>
      <c r="O889" s="253"/>
      <c r="P889" s="240"/>
      <c r="Q889" s="148"/>
      <c r="R889" s="148"/>
      <c r="S889" s="242"/>
      <c r="T889" s="242"/>
      <c r="U889" s="242"/>
      <c r="V889" s="242"/>
      <c r="W889" s="242"/>
      <c r="X889" s="242"/>
      <c r="Y889" s="148"/>
      <c r="Z889" s="148"/>
    </row>
    <row r="890">
      <c r="A890" s="148"/>
      <c r="B890" s="148"/>
      <c r="C890" s="148"/>
      <c r="D890" s="245"/>
      <c r="E890" s="148"/>
      <c r="F890" s="277"/>
      <c r="G890" s="148"/>
      <c r="H890" s="148"/>
      <c r="I890" s="251"/>
      <c r="J890" s="251"/>
      <c r="K890" s="148"/>
      <c r="L890" s="254"/>
      <c r="M890" s="252"/>
      <c r="N890" s="250"/>
      <c r="O890" s="253"/>
      <c r="P890" s="240"/>
      <c r="Q890" s="148"/>
      <c r="R890" s="148"/>
      <c r="S890" s="242"/>
      <c r="T890" s="242"/>
      <c r="U890" s="242"/>
      <c r="V890" s="242"/>
      <c r="W890" s="242"/>
      <c r="X890" s="242"/>
      <c r="Y890" s="148"/>
      <c r="Z890" s="148"/>
    </row>
    <row r="891">
      <c r="A891" s="148"/>
      <c r="B891" s="148"/>
      <c r="C891" s="148"/>
      <c r="D891" s="245"/>
      <c r="E891" s="148"/>
      <c r="F891" s="277"/>
      <c r="G891" s="148"/>
      <c r="H891" s="148"/>
      <c r="I891" s="251"/>
      <c r="J891" s="251"/>
      <c r="K891" s="148"/>
      <c r="L891" s="254"/>
      <c r="M891" s="252"/>
      <c r="N891" s="250"/>
      <c r="O891" s="253"/>
      <c r="P891" s="240"/>
      <c r="Q891" s="148"/>
      <c r="R891" s="148"/>
      <c r="S891" s="242"/>
      <c r="T891" s="242"/>
      <c r="U891" s="242"/>
      <c r="V891" s="242"/>
      <c r="W891" s="242"/>
      <c r="X891" s="242"/>
      <c r="Y891" s="148"/>
      <c r="Z891" s="148"/>
    </row>
    <row r="892">
      <c r="A892" s="148"/>
      <c r="B892" s="148"/>
      <c r="C892" s="148"/>
      <c r="D892" s="245"/>
      <c r="E892" s="148"/>
      <c r="F892" s="277"/>
      <c r="G892" s="148"/>
      <c r="H892" s="148"/>
      <c r="I892" s="251"/>
      <c r="J892" s="251"/>
      <c r="K892" s="148"/>
      <c r="L892" s="254"/>
      <c r="M892" s="252"/>
      <c r="N892" s="250"/>
      <c r="O892" s="253"/>
      <c r="P892" s="240"/>
      <c r="Q892" s="148"/>
      <c r="R892" s="148"/>
      <c r="S892" s="242"/>
      <c r="T892" s="242"/>
      <c r="U892" s="242"/>
      <c r="V892" s="242"/>
      <c r="W892" s="242"/>
      <c r="X892" s="242"/>
      <c r="Y892" s="148"/>
      <c r="Z892" s="148"/>
    </row>
    <row r="893">
      <c r="A893" s="148"/>
      <c r="B893" s="148"/>
      <c r="C893" s="148"/>
      <c r="D893" s="245"/>
      <c r="E893" s="148"/>
      <c r="F893" s="277"/>
      <c r="G893" s="148"/>
      <c r="H893" s="148"/>
      <c r="I893" s="251"/>
      <c r="J893" s="251"/>
      <c r="K893" s="148"/>
      <c r="L893" s="254"/>
      <c r="M893" s="252"/>
      <c r="N893" s="250"/>
      <c r="O893" s="253"/>
      <c r="P893" s="240"/>
      <c r="Q893" s="148"/>
      <c r="R893" s="148"/>
      <c r="S893" s="242"/>
      <c r="T893" s="242"/>
      <c r="U893" s="242"/>
      <c r="V893" s="242"/>
      <c r="W893" s="242"/>
      <c r="X893" s="242"/>
      <c r="Y893" s="148"/>
      <c r="Z893" s="148"/>
    </row>
    <row r="894">
      <c r="A894" s="148"/>
      <c r="B894" s="148"/>
      <c r="C894" s="148"/>
      <c r="D894" s="245"/>
      <c r="E894" s="148"/>
      <c r="F894" s="277"/>
      <c r="G894" s="148"/>
      <c r="H894" s="148"/>
      <c r="I894" s="251"/>
      <c r="J894" s="251"/>
      <c r="K894" s="148"/>
      <c r="L894" s="254"/>
      <c r="M894" s="252"/>
      <c r="N894" s="250"/>
      <c r="O894" s="253"/>
      <c r="P894" s="240"/>
      <c r="Q894" s="148"/>
      <c r="R894" s="148"/>
      <c r="S894" s="242"/>
      <c r="T894" s="242"/>
      <c r="U894" s="242"/>
      <c r="V894" s="242"/>
      <c r="W894" s="242"/>
      <c r="X894" s="242"/>
      <c r="Y894" s="148"/>
      <c r="Z894" s="148"/>
    </row>
    <row r="895">
      <c r="A895" s="148"/>
      <c r="B895" s="148"/>
      <c r="C895" s="148"/>
      <c r="D895" s="245"/>
      <c r="E895" s="148"/>
      <c r="F895" s="277"/>
      <c r="G895" s="148"/>
      <c r="H895" s="148"/>
      <c r="I895" s="251"/>
      <c r="J895" s="251"/>
      <c r="K895" s="148"/>
      <c r="L895" s="254"/>
      <c r="M895" s="252"/>
      <c r="N895" s="250"/>
      <c r="O895" s="253"/>
      <c r="P895" s="240"/>
      <c r="Q895" s="148"/>
      <c r="R895" s="148"/>
      <c r="S895" s="242"/>
      <c r="T895" s="242"/>
      <c r="U895" s="242"/>
      <c r="V895" s="242"/>
      <c r="W895" s="242"/>
      <c r="X895" s="242"/>
      <c r="Y895" s="148"/>
      <c r="Z895" s="148"/>
    </row>
    <row r="896">
      <c r="A896" s="148"/>
      <c r="B896" s="148"/>
      <c r="C896" s="148"/>
      <c r="D896" s="245"/>
      <c r="E896" s="148"/>
      <c r="F896" s="277"/>
      <c r="G896" s="148"/>
      <c r="H896" s="148"/>
      <c r="I896" s="251"/>
      <c r="J896" s="251"/>
      <c r="K896" s="148"/>
      <c r="L896" s="254"/>
      <c r="M896" s="252"/>
      <c r="N896" s="250"/>
      <c r="O896" s="253"/>
      <c r="P896" s="240"/>
      <c r="Q896" s="148"/>
      <c r="R896" s="148"/>
      <c r="S896" s="242"/>
      <c r="T896" s="242"/>
      <c r="U896" s="242"/>
      <c r="V896" s="242"/>
      <c r="W896" s="242"/>
      <c r="X896" s="242"/>
      <c r="Y896" s="148"/>
      <c r="Z896" s="148"/>
    </row>
    <row r="897">
      <c r="A897" s="148"/>
      <c r="B897" s="148"/>
      <c r="C897" s="148"/>
      <c r="D897" s="245"/>
      <c r="E897" s="148"/>
      <c r="F897" s="277"/>
      <c r="G897" s="148"/>
      <c r="H897" s="148"/>
      <c r="I897" s="251"/>
      <c r="J897" s="251"/>
      <c r="K897" s="148"/>
      <c r="L897" s="254"/>
      <c r="M897" s="252"/>
      <c r="N897" s="250"/>
      <c r="O897" s="253"/>
      <c r="P897" s="240"/>
      <c r="Q897" s="148"/>
      <c r="R897" s="148"/>
      <c r="S897" s="242"/>
      <c r="T897" s="242"/>
      <c r="U897" s="242"/>
      <c r="V897" s="242"/>
      <c r="W897" s="242"/>
      <c r="X897" s="242"/>
      <c r="Y897" s="148"/>
      <c r="Z897" s="148"/>
    </row>
    <row r="898">
      <c r="A898" s="148"/>
      <c r="B898" s="148"/>
      <c r="C898" s="148"/>
      <c r="D898" s="245"/>
      <c r="E898" s="148"/>
      <c r="F898" s="277"/>
      <c r="G898" s="148"/>
      <c r="H898" s="148"/>
      <c r="I898" s="251"/>
      <c r="J898" s="251"/>
      <c r="K898" s="148"/>
      <c r="L898" s="254"/>
      <c r="M898" s="252"/>
      <c r="N898" s="250"/>
      <c r="O898" s="253"/>
      <c r="P898" s="240"/>
      <c r="Q898" s="148"/>
      <c r="R898" s="148"/>
      <c r="S898" s="242"/>
      <c r="T898" s="242"/>
      <c r="U898" s="242"/>
      <c r="V898" s="242"/>
      <c r="W898" s="242"/>
      <c r="X898" s="242"/>
      <c r="Y898" s="148"/>
      <c r="Z898" s="148"/>
    </row>
    <row r="899">
      <c r="A899" s="148"/>
      <c r="B899" s="148"/>
      <c r="C899" s="148"/>
      <c r="D899" s="245"/>
      <c r="E899" s="148"/>
      <c r="F899" s="277"/>
      <c r="G899" s="148"/>
      <c r="H899" s="148"/>
      <c r="I899" s="251"/>
      <c r="J899" s="251"/>
      <c r="K899" s="148"/>
      <c r="L899" s="254"/>
      <c r="M899" s="252"/>
      <c r="N899" s="250"/>
      <c r="O899" s="253"/>
      <c r="P899" s="240"/>
      <c r="Q899" s="148"/>
      <c r="R899" s="148"/>
      <c r="S899" s="242"/>
      <c r="T899" s="242"/>
      <c r="U899" s="242"/>
      <c r="V899" s="242"/>
      <c r="W899" s="242"/>
      <c r="X899" s="242"/>
      <c r="Y899" s="148"/>
      <c r="Z899" s="148"/>
    </row>
    <row r="900">
      <c r="A900" s="148"/>
      <c r="B900" s="148"/>
      <c r="C900" s="148"/>
      <c r="D900" s="245"/>
      <c r="E900" s="148"/>
      <c r="F900" s="277"/>
      <c r="G900" s="148"/>
      <c r="H900" s="148"/>
      <c r="I900" s="251"/>
      <c r="J900" s="251"/>
      <c r="K900" s="148"/>
      <c r="L900" s="254"/>
      <c r="M900" s="252"/>
      <c r="N900" s="250"/>
      <c r="O900" s="253"/>
      <c r="P900" s="240"/>
      <c r="Q900" s="148"/>
      <c r="R900" s="148"/>
      <c r="S900" s="242"/>
      <c r="T900" s="242"/>
      <c r="U900" s="242"/>
      <c r="V900" s="242"/>
      <c r="W900" s="242"/>
      <c r="X900" s="242"/>
      <c r="Y900" s="148"/>
      <c r="Z900" s="148"/>
    </row>
    <row r="901">
      <c r="A901" s="148"/>
      <c r="B901" s="148"/>
      <c r="C901" s="148"/>
      <c r="D901" s="245"/>
      <c r="E901" s="148"/>
      <c r="F901" s="277"/>
      <c r="G901" s="148"/>
      <c r="H901" s="148"/>
      <c r="I901" s="251"/>
      <c r="J901" s="251"/>
      <c r="K901" s="148"/>
      <c r="L901" s="254"/>
      <c r="M901" s="252"/>
      <c r="N901" s="250"/>
      <c r="O901" s="253"/>
      <c r="P901" s="240"/>
      <c r="Q901" s="148"/>
      <c r="R901" s="148"/>
      <c r="S901" s="242"/>
      <c r="T901" s="242"/>
      <c r="U901" s="242"/>
      <c r="V901" s="242"/>
      <c r="W901" s="242"/>
      <c r="X901" s="242"/>
      <c r="Y901" s="148"/>
      <c r="Z901" s="148"/>
    </row>
    <row r="902">
      <c r="A902" s="148"/>
      <c r="B902" s="148"/>
      <c r="C902" s="148"/>
      <c r="D902" s="245"/>
      <c r="E902" s="148"/>
      <c r="F902" s="277"/>
      <c r="G902" s="148"/>
      <c r="H902" s="148"/>
      <c r="I902" s="251"/>
      <c r="J902" s="251"/>
      <c r="K902" s="148"/>
      <c r="L902" s="254"/>
      <c r="M902" s="252"/>
      <c r="N902" s="250"/>
      <c r="O902" s="253"/>
      <c r="P902" s="240"/>
      <c r="Q902" s="148"/>
      <c r="R902" s="148"/>
      <c r="S902" s="242"/>
      <c r="T902" s="242"/>
      <c r="U902" s="242"/>
      <c r="V902" s="242"/>
      <c r="W902" s="242"/>
      <c r="X902" s="242"/>
      <c r="Y902" s="148"/>
      <c r="Z902" s="148"/>
    </row>
    <row r="903">
      <c r="A903" s="148"/>
      <c r="B903" s="148"/>
      <c r="C903" s="148"/>
      <c r="D903" s="245"/>
      <c r="E903" s="148"/>
      <c r="F903" s="277"/>
      <c r="G903" s="148"/>
      <c r="H903" s="148"/>
      <c r="I903" s="251"/>
      <c r="J903" s="251"/>
      <c r="K903" s="148"/>
      <c r="L903" s="254"/>
      <c r="M903" s="252"/>
      <c r="N903" s="250"/>
      <c r="O903" s="253"/>
      <c r="P903" s="240"/>
      <c r="Q903" s="148"/>
      <c r="R903" s="148"/>
      <c r="S903" s="242"/>
      <c r="T903" s="242"/>
      <c r="U903" s="242"/>
      <c r="V903" s="242"/>
      <c r="W903" s="242"/>
      <c r="X903" s="242"/>
      <c r="Y903" s="148"/>
      <c r="Z903" s="148"/>
    </row>
    <row r="904">
      <c r="A904" s="148"/>
      <c r="B904" s="148"/>
      <c r="C904" s="148"/>
      <c r="D904" s="245"/>
      <c r="E904" s="148"/>
      <c r="F904" s="277"/>
      <c r="G904" s="148"/>
      <c r="H904" s="148"/>
      <c r="I904" s="251"/>
      <c r="J904" s="251"/>
      <c r="K904" s="148"/>
      <c r="L904" s="254"/>
      <c r="M904" s="252"/>
      <c r="N904" s="250"/>
      <c r="O904" s="253"/>
      <c r="P904" s="240"/>
      <c r="Q904" s="148"/>
      <c r="R904" s="148"/>
      <c r="S904" s="242"/>
      <c r="T904" s="242"/>
      <c r="U904" s="242"/>
      <c r="V904" s="242"/>
      <c r="W904" s="242"/>
      <c r="X904" s="242"/>
      <c r="Y904" s="148"/>
      <c r="Z904" s="148"/>
    </row>
    <row r="905">
      <c r="A905" s="148"/>
      <c r="B905" s="148"/>
      <c r="C905" s="148"/>
      <c r="D905" s="245"/>
      <c r="E905" s="148"/>
      <c r="F905" s="277"/>
      <c r="G905" s="148"/>
      <c r="H905" s="148"/>
      <c r="I905" s="251"/>
      <c r="J905" s="251"/>
      <c r="K905" s="148"/>
      <c r="L905" s="254"/>
      <c r="M905" s="252"/>
      <c r="N905" s="250"/>
      <c r="O905" s="253"/>
      <c r="P905" s="240"/>
      <c r="Q905" s="148"/>
      <c r="R905" s="148"/>
      <c r="S905" s="242"/>
      <c r="T905" s="242"/>
      <c r="U905" s="242"/>
      <c r="V905" s="242"/>
      <c r="W905" s="242"/>
      <c r="X905" s="242"/>
      <c r="Y905" s="148"/>
      <c r="Z905" s="148"/>
    </row>
    <row r="906">
      <c r="A906" s="148"/>
      <c r="B906" s="148"/>
      <c r="C906" s="148"/>
      <c r="D906" s="245"/>
      <c r="E906" s="148"/>
      <c r="F906" s="277"/>
      <c r="G906" s="148"/>
      <c r="H906" s="148"/>
      <c r="I906" s="251"/>
      <c r="J906" s="251"/>
      <c r="K906" s="148"/>
      <c r="L906" s="254"/>
      <c r="M906" s="252"/>
      <c r="N906" s="250"/>
      <c r="O906" s="253"/>
      <c r="P906" s="240"/>
      <c r="Q906" s="148"/>
      <c r="R906" s="148"/>
      <c r="S906" s="242"/>
      <c r="T906" s="242"/>
      <c r="U906" s="242"/>
      <c r="V906" s="242"/>
      <c r="W906" s="242"/>
      <c r="X906" s="242"/>
      <c r="Y906" s="148"/>
      <c r="Z906" s="148"/>
    </row>
    <row r="907">
      <c r="A907" s="148"/>
      <c r="B907" s="148"/>
      <c r="C907" s="148"/>
      <c r="D907" s="245"/>
      <c r="E907" s="148"/>
      <c r="F907" s="277"/>
      <c r="G907" s="148"/>
      <c r="H907" s="148"/>
      <c r="I907" s="251"/>
      <c r="J907" s="251"/>
      <c r="K907" s="148"/>
      <c r="L907" s="254"/>
      <c r="M907" s="252"/>
      <c r="N907" s="250"/>
      <c r="O907" s="253"/>
      <c r="P907" s="240"/>
      <c r="Q907" s="148"/>
      <c r="R907" s="148"/>
      <c r="S907" s="242"/>
      <c r="T907" s="242"/>
      <c r="U907" s="242"/>
      <c r="V907" s="242"/>
      <c r="W907" s="242"/>
      <c r="X907" s="242"/>
      <c r="Y907" s="148"/>
      <c r="Z907" s="148"/>
    </row>
    <row r="908">
      <c r="A908" s="148"/>
      <c r="B908" s="148"/>
      <c r="C908" s="148"/>
      <c r="D908" s="245"/>
      <c r="E908" s="148"/>
      <c r="F908" s="277"/>
      <c r="G908" s="148"/>
      <c r="H908" s="148"/>
      <c r="I908" s="251"/>
      <c r="J908" s="251"/>
      <c r="K908" s="148"/>
      <c r="L908" s="254"/>
      <c r="M908" s="252"/>
      <c r="N908" s="250"/>
      <c r="O908" s="253"/>
      <c r="P908" s="240"/>
      <c r="Q908" s="148"/>
      <c r="R908" s="148"/>
      <c r="S908" s="242"/>
      <c r="T908" s="242"/>
      <c r="U908" s="242"/>
      <c r="V908" s="242"/>
      <c r="W908" s="242"/>
      <c r="X908" s="242"/>
      <c r="Y908" s="148"/>
      <c r="Z908" s="148"/>
    </row>
    <row r="909">
      <c r="A909" s="148"/>
      <c r="B909" s="148"/>
      <c r="C909" s="148"/>
      <c r="D909" s="245"/>
      <c r="E909" s="148"/>
      <c r="F909" s="277"/>
      <c r="G909" s="148"/>
      <c r="H909" s="148"/>
      <c r="I909" s="251"/>
      <c r="J909" s="251"/>
      <c r="K909" s="148"/>
      <c r="L909" s="254"/>
      <c r="M909" s="252"/>
      <c r="N909" s="250"/>
      <c r="O909" s="253"/>
      <c r="P909" s="240"/>
      <c r="Q909" s="148"/>
      <c r="R909" s="148"/>
      <c r="S909" s="242"/>
      <c r="T909" s="242"/>
      <c r="U909" s="242"/>
      <c r="V909" s="242"/>
      <c r="W909" s="242"/>
      <c r="X909" s="242"/>
      <c r="Y909" s="148"/>
      <c r="Z909" s="148"/>
    </row>
    <row r="910">
      <c r="A910" s="148"/>
      <c r="B910" s="148"/>
      <c r="C910" s="148"/>
      <c r="D910" s="245"/>
      <c r="E910" s="148"/>
      <c r="F910" s="277"/>
      <c r="G910" s="148"/>
      <c r="H910" s="148"/>
      <c r="I910" s="251"/>
      <c r="J910" s="251"/>
      <c r="K910" s="148"/>
      <c r="L910" s="254"/>
      <c r="M910" s="252"/>
      <c r="N910" s="250"/>
      <c r="O910" s="253"/>
      <c r="P910" s="240"/>
      <c r="Q910" s="148"/>
      <c r="R910" s="148"/>
      <c r="S910" s="242"/>
      <c r="T910" s="242"/>
      <c r="U910" s="242"/>
      <c r="V910" s="242"/>
      <c r="W910" s="242"/>
      <c r="X910" s="242"/>
      <c r="Y910" s="148"/>
      <c r="Z910" s="148"/>
    </row>
    <row r="911">
      <c r="A911" s="148"/>
      <c r="B911" s="148"/>
      <c r="C911" s="148"/>
      <c r="D911" s="245"/>
      <c r="E911" s="148"/>
      <c r="F911" s="277"/>
      <c r="G911" s="148"/>
      <c r="H911" s="148"/>
      <c r="I911" s="251"/>
      <c r="J911" s="251"/>
      <c r="K911" s="148"/>
      <c r="L911" s="254"/>
      <c r="M911" s="252"/>
      <c r="N911" s="250"/>
      <c r="O911" s="253"/>
      <c r="P911" s="240"/>
      <c r="Q911" s="148"/>
      <c r="R911" s="148"/>
      <c r="S911" s="242"/>
      <c r="T911" s="242"/>
      <c r="U911" s="242"/>
      <c r="V911" s="242"/>
      <c r="W911" s="242"/>
      <c r="X911" s="242"/>
      <c r="Y911" s="148"/>
      <c r="Z911" s="148"/>
    </row>
    <row r="912">
      <c r="A912" s="148"/>
      <c r="B912" s="148"/>
      <c r="C912" s="148"/>
      <c r="D912" s="245"/>
      <c r="E912" s="148"/>
      <c r="F912" s="277"/>
      <c r="G912" s="148"/>
      <c r="H912" s="148"/>
      <c r="I912" s="251"/>
      <c r="J912" s="251"/>
      <c r="K912" s="148"/>
      <c r="L912" s="254"/>
      <c r="M912" s="252"/>
      <c r="N912" s="250"/>
      <c r="O912" s="253"/>
      <c r="P912" s="240"/>
      <c r="Q912" s="148"/>
      <c r="R912" s="148"/>
      <c r="S912" s="242"/>
      <c r="T912" s="242"/>
      <c r="U912" s="242"/>
      <c r="V912" s="242"/>
      <c r="W912" s="242"/>
      <c r="X912" s="242"/>
      <c r="Y912" s="148"/>
      <c r="Z912" s="148"/>
    </row>
    <row r="913">
      <c r="A913" s="148"/>
      <c r="B913" s="148"/>
      <c r="C913" s="148"/>
      <c r="D913" s="245"/>
      <c r="E913" s="148"/>
      <c r="F913" s="277"/>
      <c r="G913" s="148"/>
      <c r="H913" s="148"/>
      <c r="I913" s="251"/>
      <c r="J913" s="251"/>
      <c r="K913" s="148"/>
      <c r="L913" s="254"/>
      <c r="M913" s="252"/>
      <c r="N913" s="250"/>
      <c r="O913" s="253"/>
      <c r="P913" s="240"/>
      <c r="Q913" s="148"/>
      <c r="R913" s="148"/>
      <c r="S913" s="242"/>
      <c r="T913" s="242"/>
      <c r="U913" s="242"/>
      <c r="V913" s="242"/>
      <c r="W913" s="242"/>
      <c r="X913" s="242"/>
      <c r="Y913" s="148"/>
      <c r="Z913" s="148"/>
    </row>
    <row r="914">
      <c r="A914" s="148"/>
      <c r="B914" s="148"/>
      <c r="C914" s="148"/>
      <c r="D914" s="245"/>
      <c r="E914" s="148"/>
      <c r="F914" s="277"/>
      <c r="G914" s="148"/>
      <c r="H914" s="148"/>
      <c r="I914" s="251"/>
      <c r="J914" s="251"/>
      <c r="K914" s="148"/>
      <c r="L914" s="254"/>
      <c r="M914" s="252"/>
      <c r="N914" s="250"/>
      <c r="O914" s="253"/>
      <c r="P914" s="240"/>
      <c r="Q914" s="148"/>
      <c r="R914" s="148"/>
      <c r="S914" s="242"/>
      <c r="T914" s="242"/>
      <c r="U914" s="242"/>
      <c r="V914" s="242"/>
      <c r="W914" s="242"/>
      <c r="X914" s="242"/>
      <c r="Y914" s="148"/>
      <c r="Z914" s="148"/>
    </row>
    <row r="915">
      <c r="A915" s="148"/>
      <c r="B915" s="148"/>
      <c r="C915" s="148"/>
      <c r="D915" s="245"/>
      <c r="E915" s="148"/>
      <c r="F915" s="277"/>
      <c r="G915" s="148"/>
      <c r="H915" s="148"/>
      <c r="I915" s="251"/>
      <c r="J915" s="251"/>
      <c r="K915" s="148"/>
      <c r="L915" s="254"/>
      <c r="M915" s="252"/>
      <c r="N915" s="250"/>
      <c r="O915" s="253"/>
      <c r="P915" s="240"/>
      <c r="Q915" s="148"/>
      <c r="R915" s="148"/>
      <c r="S915" s="242"/>
      <c r="T915" s="242"/>
      <c r="U915" s="242"/>
      <c r="V915" s="242"/>
      <c r="W915" s="242"/>
      <c r="X915" s="242"/>
      <c r="Y915" s="148"/>
      <c r="Z915" s="148"/>
    </row>
    <row r="916">
      <c r="A916" s="148"/>
      <c r="B916" s="148"/>
      <c r="C916" s="148"/>
      <c r="D916" s="245"/>
      <c r="E916" s="148"/>
      <c r="F916" s="277"/>
      <c r="G916" s="148"/>
      <c r="H916" s="148"/>
      <c r="I916" s="251"/>
      <c r="J916" s="251"/>
      <c r="K916" s="148"/>
      <c r="L916" s="254"/>
      <c r="M916" s="252"/>
      <c r="N916" s="250"/>
      <c r="O916" s="253"/>
      <c r="P916" s="240"/>
      <c r="Q916" s="148"/>
      <c r="R916" s="148"/>
      <c r="S916" s="242"/>
      <c r="T916" s="242"/>
      <c r="U916" s="242"/>
      <c r="V916" s="242"/>
      <c r="W916" s="242"/>
      <c r="X916" s="242"/>
      <c r="Y916" s="148"/>
      <c r="Z916" s="148"/>
    </row>
    <row r="917">
      <c r="A917" s="148"/>
      <c r="B917" s="148"/>
      <c r="C917" s="148"/>
      <c r="D917" s="245"/>
      <c r="E917" s="148"/>
      <c r="F917" s="277"/>
      <c r="G917" s="148"/>
      <c r="H917" s="148"/>
      <c r="I917" s="251"/>
      <c r="J917" s="251"/>
      <c r="K917" s="148"/>
      <c r="L917" s="254"/>
      <c r="M917" s="252"/>
      <c r="N917" s="250"/>
      <c r="O917" s="253"/>
      <c r="P917" s="240"/>
      <c r="Q917" s="148"/>
      <c r="R917" s="148"/>
      <c r="S917" s="242"/>
      <c r="T917" s="242"/>
      <c r="U917" s="242"/>
      <c r="V917" s="242"/>
      <c r="W917" s="242"/>
      <c r="X917" s="242"/>
      <c r="Y917" s="148"/>
      <c r="Z917" s="148"/>
    </row>
    <row r="918">
      <c r="A918" s="148"/>
      <c r="B918" s="148"/>
      <c r="C918" s="148"/>
      <c r="D918" s="245"/>
      <c r="E918" s="148"/>
      <c r="F918" s="277"/>
      <c r="G918" s="148"/>
      <c r="H918" s="148"/>
      <c r="I918" s="251"/>
      <c r="J918" s="251"/>
      <c r="K918" s="148"/>
      <c r="L918" s="254"/>
      <c r="M918" s="252"/>
      <c r="N918" s="250"/>
      <c r="O918" s="253"/>
      <c r="P918" s="240"/>
      <c r="Q918" s="148"/>
      <c r="R918" s="148"/>
      <c r="S918" s="242"/>
      <c r="T918" s="242"/>
      <c r="U918" s="242"/>
      <c r="V918" s="242"/>
      <c r="W918" s="242"/>
      <c r="X918" s="242"/>
      <c r="Y918" s="148"/>
      <c r="Z918" s="148"/>
    </row>
    <row r="919">
      <c r="A919" s="148"/>
      <c r="B919" s="148"/>
      <c r="C919" s="148"/>
      <c r="D919" s="245"/>
      <c r="E919" s="148"/>
      <c r="F919" s="277"/>
      <c r="G919" s="148"/>
      <c r="H919" s="148"/>
      <c r="I919" s="251"/>
      <c r="J919" s="251"/>
      <c r="K919" s="148"/>
      <c r="L919" s="254"/>
      <c r="M919" s="252"/>
      <c r="N919" s="250"/>
      <c r="O919" s="253"/>
      <c r="P919" s="240"/>
      <c r="Q919" s="148"/>
      <c r="R919" s="148"/>
      <c r="S919" s="242"/>
      <c r="T919" s="242"/>
      <c r="U919" s="242"/>
      <c r="V919" s="242"/>
      <c r="W919" s="242"/>
      <c r="X919" s="242"/>
      <c r="Y919" s="148"/>
      <c r="Z919" s="148"/>
    </row>
    <row r="920">
      <c r="A920" s="148"/>
      <c r="B920" s="148"/>
      <c r="C920" s="148"/>
      <c r="D920" s="245"/>
      <c r="E920" s="148"/>
      <c r="F920" s="277"/>
      <c r="G920" s="148"/>
      <c r="H920" s="148"/>
      <c r="I920" s="251"/>
      <c r="J920" s="251"/>
      <c r="K920" s="148"/>
      <c r="L920" s="254"/>
      <c r="M920" s="252"/>
      <c r="N920" s="250"/>
      <c r="O920" s="253"/>
      <c r="P920" s="240"/>
      <c r="Q920" s="148"/>
      <c r="R920" s="148"/>
      <c r="S920" s="242"/>
      <c r="T920" s="242"/>
      <c r="U920" s="242"/>
      <c r="V920" s="242"/>
      <c r="W920" s="242"/>
      <c r="X920" s="242"/>
      <c r="Y920" s="148"/>
      <c r="Z920" s="148"/>
    </row>
    <row r="921">
      <c r="A921" s="148"/>
      <c r="B921" s="148"/>
      <c r="C921" s="148"/>
      <c r="D921" s="245"/>
      <c r="E921" s="148"/>
      <c r="F921" s="277"/>
      <c r="G921" s="148"/>
      <c r="H921" s="148"/>
      <c r="I921" s="251"/>
      <c r="J921" s="251"/>
      <c r="K921" s="148"/>
      <c r="L921" s="254"/>
      <c r="M921" s="252"/>
      <c r="N921" s="250"/>
      <c r="O921" s="253"/>
      <c r="P921" s="240"/>
      <c r="Q921" s="148"/>
      <c r="R921" s="148"/>
      <c r="S921" s="242"/>
      <c r="T921" s="242"/>
      <c r="U921" s="242"/>
      <c r="V921" s="242"/>
      <c r="W921" s="242"/>
      <c r="X921" s="242"/>
      <c r="Y921" s="148"/>
      <c r="Z921" s="148"/>
    </row>
    <row r="922">
      <c r="A922" s="148"/>
      <c r="B922" s="148"/>
      <c r="C922" s="148"/>
      <c r="D922" s="245"/>
      <c r="E922" s="148"/>
      <c r="F922" s="277"/>
      <c r="G922" s="148"/>
      <c r="H922" s="148"/>
      <c r="I922" s="251"/>
      <c r="J922" s="251"/>
      <c r="K922" s="148"/>
      <c r="L922" s="254"/>
      <c r="M922" s="252"/>
      <c r="N922" s="250"/>
      <c r="O922" s="253"/>
      <c r="P922" s="240"/>
      <c r="Q922" s="148"/>
      <c r="R922" s="148"/>
      <c r="S922" s="242"/>
      <c r="T922" s="242"/>
      <c r="U922" s="242"/>
      <c r="V922" s="242"/>
      <c r="W922" s="242"/>
      <c r="X922" s="242"/>
      <c r="Y922" s="148"/>
      <c r="Z922" s="148"/>
    </row>
    <row r="923">
      <c r="A923" s="148"/>
      <c r="B923" s="148"/>
      <c r="C923" s="148"/>
      <c r="D923" s="245"/>
      <c r="E923" s="148"/>
      <c r="F923" s="277"/>
      <c r="G923" s="148"/>
      <c r="H923" s="148"/>
      <c r="I923" s="251"/>
      <c r="J923" s="251"/>
      <c r="K923" s="148"/>
      <c r="L923" s="254"/>
      <c r="M923" s="252"/>
      <c r="N923" s="250"/>
      <c r="O923" s="253"/>
      <c r="P923" s="240"/>
      <c r="Q923" s="148"/>
      <c r="R923" s="148"/>
      <c r="S923" s="242"/>
      <c r="T923" s="242"/>
      <c r="U923" s="242"/>
      <c r="V923" s="242"/>
      <c r="W923" s="242"/>
      <c r="X923" s="242"/>
      <c r="Y923" s="148"/>
      <c r="Z923" s="148"/>
    </row>
    <row r="924">
      <c r="A924" s="148"/>
      <c r="B924" s="148"/>
      <c r="C924" s="148"/>
      <c r="D924" s="245"/>
      <c r="E924" s="148"/>
      <c r="F924" s="277"/>
      <c r="G924" s="148"/>
      <c r="H924" s="148"/>
      <c r="I924" s="251"/>
      <c r="J924" s="251"/>
      <c r="K924" s="148"/>
      <c r="L924" s="254"/>
      <c r="M924" s="252"/>
      <c r="N924" s="250"/>
      <c r="O924" s="253"/>
      <c r="P924" s="240"/>
      <c r="Q924" s="148"/>
      <c r="R924" s="148"/>
      <c r="S924" s="242"/>
      <c r="T924" s="242"/>
      <c r="U924" s="242"/>
      <c r="V924" s="242"/>
      <c r="W924" s="242"/>
      <c r="X924" s="242"/>
      <c r="Y924" s="148"/>
      <c r="Z924" s="148"/>
    </row>
    <row r="925">
      <c r="A925" s="148"/>
      <c r="B925" s="148"/>
      <c r="C925" s="148"/>
      <c r="D925" s="245"/>
      <c r="E925" s="148"/>
      <c r="F925" s="277"/>
      <c r="G925" s="148"/>
      <c r="H925" s="148"/>
      <c r="I925" s="251"/>
      <c r="J925" s="251"/>
      <c r="K925" s="148"/>
      <c r="L925" s="254"/>
      <c r="M925" s="252"/>
      <c r="N925" s="250"/>
      <c r="O925" s="253"/>
      <c r="P925" s="240"/>
      <c r="Q925" s="148"/>
      <c r="R925" s="148"/>
      <c r="S925" s="242"/>
      <c r="T925" s="242"/>
      <c r="U925" s="242"/>
      <c r="V925" s="242"/>
      <c r="W925" s="242"/>
      <c r="X925" s="242"/>
      <c r="Y925" s="148"/>
      <c r="Z925" s="148"/>
    </row>
    <row r="926">
      <c r="A926" s="148"/>
      <c r="B926" s="148"/>
      <c r="C926" s="148"/>
      <c r="D926" s="245"/>
      <c r="E926" s="148"/>
      <c r="F926" s="277"/>
      <c r="G926" s="148"/>
      <c r="H926" s="148"/>
      <c r="I926" s="251"/>
      <c r="J926" s="251"/>
      <c r="K926" s="148"/>
      <c r="L926" s="254"/>
      <c r="M926" s="252"/>
      <c r="N926" s="250"/>
      <c r="O926" s="253"/>
      <c r="P926" s="240"/>
      <c r="Q926" s="148"/>
      <c r="R926" s="148"/>
      <c r="S926" s="242"/>
      <c r="T926" s="242"/>
      <c r="U926" s="242"/>
      <c r="V926" s="242"/>
      <c r="W926" s="242"/>
      <c r="X926" s="242"/>
      <c r="Y926" s="148"/>
      <c r="Z926" s="148"/>
    </row>
    <row r="927">
      <c r="A927" s="148"/>
      <c r="B927" s="148"/>
      <c r="C927" s="148"/>
      <c r="D927" s="245"/>
      <c r="E927" s="148"/>
      <c r="F927" s="277"/>
      <c r="G927" s="148"/>
      <c r="H927" s="148"/>
      <c r="I927" s="251"/>
      <c r="J927" s="251"/>
      <c r="K927" s="148"/>
      <c r="L927" s="254"/>
      <c r="M927" s="252"/>
      <c r="N927" s="250"/>
      <c r="O927" s="253"/>
      <c r="P927" s="240"/>
      <c r="Q927" s="148"/>
      <c r="R927" s="148"/>
      <c r="S927" s="242"/>
      <c r="T927" s="242"/>
      <c r="U927" s="242"/>
      <c r="V927" s="242"/>
      <c r="W927" s="242"/>
      <c r="X927" s="242"/>
      <c r="Y927" s="148"/>
      <c r="Z927" s="148"/>
    </row>
    <row r="928">
      <c r="A928" s="148"/>
      <c r="B928" s="148"/>
      <c r="C928" s="148"/>
      <c r="D928" s="245"/>
      <c r="E928" s="148"/>
      <c r="F928" s="277"/>
      <c r="G928" s="148"/>
      <c r="H928" s="148"/>
      <c r="I928" s="251"/>
      <c r="J928" s="251"/>
      <c r="K928" s="148"/>
      <c r="L928" s="254"/>
      <c r="M928" s="252"/>
      <c r="N928" s="250"/>
      <c r="O928" s="253"/>
      <c r="P928" s="240"/>
      <c r="Q928" s="148"/>
      <c r="R928" s="148"/>
      <c r="S928" s="242"/>
      <c r="T928" s="242"/>
      <c r="U928" s="242"/>
      <c r="V928" s="242"/>
      <c r="W928" s="242"/>
      <c r="X928" s="242"/>
      <c r="Y928" s="148"/>
      <c r="Z928" s="148"/>
    </row>
    <row r="929">
      <c r="A929" s="148"/>
      <c r="B929" s="148"/>
      <c r="C929" s="148"/>
      <c r="D929" s="245"/>
      <c r="E929" s="148"/>
      <c r="F929" s="277"/>
      <c r="G929" s="148"/>
      <c r="H929" s="148"/>
      <c r="I929" s="251"/>
      <c r="J929" s="251"/>
      <c r="K929" s="148"/>
      <c r="L929" s="254"/>
      <c r="M929" s="252"/>
      <c r="N929" s="250"/>
      <c r="O929" s="253"/>
      <c r="P929" s="240"/>
      <c r="Q929" s="148"/>
      <c r="R929" s="148"/>
      <c r="S929" s="242"/>
      <c r="T929" s="242"/>
      <c r="U929" s="242"/>
      <c r="V929" s="242"/>
      <c r="W929" s="242"/>
      <c r="X929" s="242"/>
      <c r="Y929" s="148"/>
      <c r="Z929" s="148"/>
    </row>
    <row r="930">
      <c r="A930" s="148"/>
      <c r="B930" s="148"/>
      <c r="C930" s="148"/>
      <c r="D930" s="245"/>
      <c r="E930" s="148"/>
      <c r="F930" s="277"/>
      <c r="G930" s="148"/>
      <c r="H930" s="148"/>
      <c r="I930" s="251"/>
      <c r="J930" s="251"/>
      <c r="K930" s="148"/>
      <c r="L930" s="254"/>
      <c r="M930" s="252"/>
      <c r="N930" s="250"/>
      <c r="O930" s="253"/>
      <c r="P930" s="240"/>
      <c r="Q930" s="148"/>
      <c r="R930" s="148"/>
      <c r="S930" s="242"/>
      <c r="T930" s="242"/>
      <c r="U930" s="242"/>
      <c r="V930" s="242"/>
      <c r="W930" s="242"/>
      <c r="X930" s="242"/>
      <c r="Y930" s="148"/>
      <c r="Z930" s="148"/>
    </row>
    <row r="931">
      <c r="A931" s="148"/>
      <c r="B931" s="148"/>
      <c r="C931" s="148"/>
      <c r="D931" s="245"/>
      <c r="E931" s="148"/>
      <c r="F931" s="277"/>
      <c r="G931" s="148"/>
      <c r="H931" s="148"/>
      <c r="I931" s="251"/>
      <c r="J931" s="251"/>
      <c r="K931" s="148"/>
      <c r="L931" s="254"/>
      <c r="M931" s="252"/>
      <c r="N931" s="250"/>
      <c r="O931" s="253"/>
      <c r="P931" s="240"/>
      <c r="Q931" s="148"/>
      <c r="R931" s="148"/>
      <c r="S931" s="242"/>
      <c r="T931" s="242"/>
      <c r="U931" s="242"/>
      <c r="V931" s="242"/>
      <c r="W931" s="242"/>
      <c r="X931" s="242"/>
      <c r="Y931" s="148"/>
      <c r="Z931" s="148"/>
    </row>
    <row r="932">
      <c r="A932" s="148"/>
      <c r="B932" s="148"/>
      <c r="C932" s="148"/>
      <c r="D932" s="245"/>
      <c r="E932" s="148"/>
      <c r="F932" s="277"/>
      <c r="G932" s="148"/>
      <c r="H932" s="148"/>
      <c r="I932" s="251"/>
      <c r="J932" s="251"/>
      <c r="K932" s="148"/>
      <c r="L932" s="254"/>
      <c r="M932" s="252"/>
      <c r="N932" s="250"/>
      <c r="O932" s="253"/>
      <c r="P932" s="240"/>
      <c r="Q932" s="148"/>
      <c r="R932" s="148"/>
      <c r="S932" s="242"/>
      <c r="T932" s="242"/>
      <c r="U932" s="242"/>
      <c r="V932" s="242"/>
      <c r="W932" s="242"/>
      <c r="X932" s="242"/>
      <c r="Y932" s="148"/>
      <c r="Z932" s="148"/>
    </row>
    <row r="933">
      <c r="A933" s="148"/>
      <c r="B933" s="148"/>
      <c r="C933" s="148"/>
      <c r="D933" s="245"/>
      <c r="E933" s="148"/>
      <c r="F933" s="277"/>
      <c r="G933" s="148"/>
      <c r="H933" s="148"/>
      <c r="I933" s="251"/>
      <c r="J933" s="251"/>
      <c r="K933" s="148"/>
      <c r="L933" s="254"/>
      <c r="M933" s="252"/>
      <c r="N933" s="250"/>
      <c r="O933" s="253"/>
      <c r="P933" s="240"/>
      <c r="Q933" s="148"/>
      <c r="R933" s="148"/>
      <c r="S933" s="242"/>
      <c r="T933" s="242"/>
      <c r="U933" s="242"/>
      <c r="V933" s="242"/>
      <c r="W933" s="242"/>
      <c r="X933" s="242"/>
      <c r="Y933" s="148"/>
      <c r="Z933" s="148"/>
    </row>
    <row r="934">
      <c r="A934" s="148"/>
      <c r="B934" s="148"/>
      <c r="C934" s="148"/>
      <c r="D934" s="245"/>
      <c r="E934" s="148"/>
      <c r="F934" s="277"/>
      <c r="G934" s="148"/>
      <c r="H934" s="148"/>
      <c r="I934" s="251"/>
      <c r="J934" s="251"/>
      <c r="K934" s="148"/>
      <c r="L934" s="254"/>
      <c r="M934" s="252"/>
      <c r="N934" s="250"/>
      <c r="O934" s="253"/>
      <c r="P934" s="240"/>
      <c r="Q934" s="148"/>
      <c r="R934" s="148"/>
      <c r="S934" s="242"/>
      <c r="T934" s="242"/>
      <c r="U934" s="242"/>
      <c r="V934" s="242"/>
      <c r="W934" s="242"/>
      <c r="X934" s="242"/>
      <c r="Y934" s="148"/>
      <c r="Z934" s="148"/>
    </row>
    <row r="935">
      <c r="A935" s="148"/>
      <c r="B935" s="148"/>
      <c r="C935" s="148"/>
      <c r="D935" s="245"/>
      <c r="E935" s="148"/>
      <c r="F935" s="277"/>
      <c r="G935" s="148"/>
      <c r="H935" s="148"/>
      <c r="I935" s="251"/>
      <c r="J935" s="251"/>
      <c r="K935" s="148"/>
      <c r="L935" s="254"/>
      <c r="M935" s="252"/>
      <c r="N935" s="250"/>
      <c r="O935" s="253"/>
      <c r="P935" s="240"/>
      <c r="Q935" s="148"/>
      <c r="R935" s="148"/>
      <c r="S935" s="242"/>
      <c r="T935" s="242"/>
      <c r="U935" s="242"/>
      <c r="V935" s="242"/>
      <c r="W935" s="242"/>
      <c r="X935" s="242"/>
      <c r="Y935" s="148"/>
      <c r="Z935" s="148"/>
    </row>
    <row r="936">
      <c r="A936" s="148"/>
      <c r="B936" s="148"/>
      <c r="C936" s="148"/>
      <c r="D936" s="245"/>
      <c r="E936" s="148"/>
      <c r="F936" s="277"/>
      <c r="G936" s="148"/>
      <c r="H936" s="148"/>
      <c r="I936" s="251"/>
      <c r="J936" s="251"/>
      <c r="K936" s="148"/>
      <c r="L936" s="254"/>
      <c r="M936" s="252"/>
      <c r="N936" s="250"/>
      <c r="O936" s="253"/>
      <c r="P936" s="240"/>
      <c r="Q936" s="148"/>
      <c r="R936" s="148"/>
      <c r="S936" s="242"/>
      <c r="T936" s="242"/>
      <c r="U936" s="242"/>
      <c r="V936" s="242"/>
      <c r="W936" s="242"/>
      <c r="X936" s="242"/>
      <c r="Y936" s="148"/>
      <c r="Z936" s="148"/>
    </row>
    <row r="937">
      <c r="A937" s="148"/>
      <c r="B937" s="148"/>
      <c r="C937" s="148"/>
      <c r="D937" s="245"/>
      <c r="E937" s="148"/>
      <c r="F937" s="277"/>
      <c r="G937" s="148"/>
      <c r="H937" s="148"/>
      <c r="I937" s="251"/>
      <c r="J937" s="251"/>
      <c r="K937" s="148"/>
      <c r="L937" s="254"/>
      <c r="M937" s="252"/>
      <c r="N937" s="250"/>
      <c r="O937" s="253"/>
      <c r="P937" s="240"/>
      <c r="Q937" s="148"/>
      <c r="R937" s="148"/>
      <c r="S937" s="242"/>
      <c r="T937" s="242"/>
      <c r="U937" s="242"/>
      <c r="V937" s="242"/>
      <c r="W937" s="242"/>
      <c r="X937" s="242"/>
      <c r="Y937" s="148"/>
      <c r="Z937" s="148"/>
    </row>
    <row r="938">
      <c r="A938" s="148"/>
      <c r="B938" s="148"/>
      <c r="C938" s="148"/>
      <c r="D938" s="245"/>
      <c r="E938" s="148"/>
      <c r="F938" s="277"/>
      <c r="G938" s="148"/>
      <c r="H938" s="148"/>
      <c r="I938" s="251"/>
      <c r="J938" s="251"/>
      <c r="K938" s="148"/>
      <c r="L938" s="254"/>
      <c r="M938" s="252"/>
      <c r="N938" s="250"/>
      <c r="O938" s="253"/>
      <c r="P938" s="240"/>
      <c r="Q938" s="148"/>
      <c r="R938" s="148"/>
      <c r="S938" s="242"/>
      <c r="T938" s="242"/>
      <c r="U938" s="242"/>
      <c r="V938" s="242"/>
      <c r="W938" s="242"/>
      <c r="X938" s="242"/>
      <c r="Y938" s="148"/>
      <c r="Z938" s="148"/>
    </row>
    <row r="939">
      <c r="A939" s="148"/>
      <c r="B939" s="148"/>
      <c r="C939" s="148"/>
      <c r="D939" s="245"/>
      <c r="E939" s="148"/>
      <c r="F939" s="277"/>
      <c r="G939" s="148"/>
      <c r="H939" s="148"/>
      <c r="I939" s="251"/>
      <c r="J939" s="251"/>
      <c r="K939" s="148"/>
      <c r="L939" s="254"/>
      <c r="M939" s="252"/>
      <c r="N939" s="250"/>
      <c r="O939" s="253"/>
      <c r="P939" s="240"/>
      <c r="Q939" s="148"/>
      <c r="R939" s="148"/>
      <c r="S939" s="242"/>
      <c r="T939" s="242"/>
      <c r="U939" s="242"/>
      <c r="V939" s="242"/>
      <c r="W939" s="242"/>
      <c r="X939" s="242"/>
      <c r="Y939" s="148"/>
      <c r="Z939" s="148"/>
    </row>
    <row r="940">
      <c r="A940" s="148"/>
      <c r="B940" s="148"/>
      <c r="C940" s="148"/>
      <c r="D940" s="245"/>
      <c r="E940" s="148"/>
      <c r="F940" s="277"/>
      <c r="G940" s="148"/>
      <c r="H940" s="148"/>
      <c r="I940" s="251"/>
      <c r="J940" s="251"/>
      <c r="K940" s="148"/>
      <c r="L940" s="254"/>
      <c r="M940" s="252"/>
      <c r="N940" s="250"/>
      <c r="O940" s="253"/>
      <c r="P940" s="240"/>
      <c r="Q940" s="148"/>
      <c r="R940" s="148"/>
      <c r="S940" s="242"/>
      <c r="T940" s="242"/>
      <c r="U940" s="242"/>
      <c r="V940" s="242"/>
      <c r="W940" s="242"/>
      <c r="X940" s="242"/>
      <c r="Y940" s="148"/>
      <c r="Z940" s="148"/>
    </row>
    <row r="941">
      <c r="A941" s="148"/>
      <c r="B941" s="148"/>
      <c r="C941" s="148"/>
      <c r="D941" s="245"/>
      <c r="E941" s="148"/>
      <c r="F941" s="277"/>
      <c r="G941" s="148"/>
      <c r="H941" s="148"/>
      <c r="I941" s="251"/>
      <c r="J941" s="251"/>
      <c r="K941" s="148"/>
      <c r="L941" s="254"/>
      <c r="M941" s="252"/>
      <c r="N941" s="250"/>
      <c r="O941" s="253"/>
      <c r="P941" s="240"/>
      <c r="Q941" s="148"/>
      <c r="R941" s="148"/>
      <c r="S941" s="242"/>
      <c r="T941" s="242"/>
      <c r="U941" s="242"/>
      <c r="V941" s="242"/>
      <c r="W941" s="242"/>
      <c r="X941" s="242"/>
      <c r="Y941" s="148"/>
      <c r="Z941" s="148"/>
    </row>
    <row r="942">
      <c r="A942" s="148"/>
      <c r="B942" s="148"/>
      <c r="C942" s="148"/>
      <c r="D942" s="245"/>
      <c r="E942" s="148"/>
      <c r="F942" s="277"/>
      <c r="G942" s="148"/>
      <c r="H942" s="148"/>
      <c r="I942" s="251"/>
      <c r="J942" s="251"/>
      <c r="K942" s="148"/>
      <c r="L942" s="254"/>
      <c r="M942" s="252"/>
      <c r="N942" s="250"/>
      <c r="O942" s="253"/>
      <c r="P942" s="240"/>
      <c r="Q942" s="148"/>
      <c r="R942" s="148"/>
      <c r="S942" s="242"/>
      <c r="T942" s="242"/>
      <c r="U942" s="242"/>
      <c r="V942" s="242"/>
      <c r="W942" s="242"/>
      <c r="X942" s="242"/>
      <c r="Y942" s="148"/>
      <c r="Z942" s="148"/>
    </row>
    <row r="943">
      <c r="A943" s="148"/>
      <c r="B943" s="148"/>
      <c r="C943" s="148"/>
      <c r="D943" s="245"/>
      <c r="E943" s="148"/>
      <c r="F943" s="277"/>
      <c r="G943" s="148"/>
      <c r="H943" s="148"/>
      <c r="I943" s="251"/>
      <c r="J943" s="251"/>
      <c r="K943" s="148"/>
      <c r="L943" s="254"/>
      <c r="M943" s="252"/>
      <c r="N943" s="250"/>
      <c r="O943" s="253"/>
      <c r="P943" s="240"/>
      <c r="Q943" s="148"/>
      <c r="R943" s="148"/>
      <c r="S943" s="242"/>
      <c r="T943" s="242"/>
      <c r="U943" s="242"/>
      <c r="V943" s="242"/>
      <c r="W943" s="242"/>
      <c r="X943" s="242"/>
      <c r="Y943" s="148"/>
      <c r="Z943" s="148"/>
    </row>
    <row r="944">
      <c r="A944" s="148"/>
      <c r="B944" s="148"/>
      <c r="C944" s="148"/>
      <c r="D944" s="245"/>
      <c r="E944" s="148"/>
      <c r="F944" s="277"/>
      <c r="G944" s="148"/>
      <c r="H944" s="148"/>
      <c r="I944" s="251"/>
      <c r="J944" s="251"/>
      <c r="K944" s="148"/>
      <c r="L944" s="254"/>
      <c r="M944" s="252"/>
      <c r="N944" s="250"/>
      <c r="O944" s="253"/>
      <c r="P944" s="240"/>
      <c r="Q944" s="148"/>
      <c r="R944" s="148"/>
      <c r="S944" s="242"/>
      <c r="T944" s="242"/>
      <c r="U944" s="242"/>
      <c r="V944" s="242"/>
      <c r="W944" s="242"/>
      <c r="X944" s="242"/>
      <c r="Y944" s="148"/>
      <c r="Z944" s="148"/>
    </row>
    <row r="945">
      <c r="A945" s="148"/>
      <c r="B945" s="148"/>
      <c r="C945" s="148"/>
      <c r="D945" s="245"/>
      <c r="E945" s="148"/>
      <c r="F945" s="277"/>
      <c r="G945" s="148"/>
      <c r="H945" s="148"/>
      <c r="I945" s="251"/>
      <c r="J945" s="251"/>
      <c r="K945" s="148"/>
      <c r="L945" s="254"/>
      <c r="M945" s="252"/>
      <c r="N945" s="250"/>
      <c r="O945" s="253"/>
      <c r="P945" s="240"/>
      <c r="Q945" s="148"/>
      <c r="R945" s="148"/>
      <c r="S945" s="242"/>
      <c r="T945" s="242"/>
      <c r="U945" s="242"/>
      <c r="V945" s="242"/>
      <c r="W945" s="242"/>
      <c r="X945" s="242"/>
      <c r="Y945" s="148"/>
      <c r="Z945" s="148"/>
    </row>
    <row r="946">
      <c r="A946" s="148"/>
      <c r="B946" s="148"/>
      <c r="C946" s="148"/>
      <c r="D946" s="245"/>
      <c r="E946" s="148"/>
      <c r="F946" s="277"/>
      <c r="G946" s="148"/>
      <c r="H946" s="148"/>
      <c r="I946" s="251"/>
      <c r="J946" s="251"/>
      <c r="K946" s="148"/>
      <c r="L946" s="254"/>
      <c r="M946" s="252"/>
      <c r="N946" s="250"/>
      <c r="O946" s="253"/>
      <c r="P946" s="240"/>
      <c r="Q946" s="148"/>
      <c r="R946" s="148"/>
      <c r="S946" s="242"/>
      <c r="T946" s="242"/>
      <c r="U946" s="242"/>
      <c r="V946" s="242"/>
      <c r="W946" s="242"/>
      <c r="X946" s="242"/>
      <c r="Y946" s="148"/>
      <c r="Z946" s="148"/>
    </row>
    <row r="947">
      <c r="A947" s="148"/>
      <c r="B947" s="148"/>
      <c r="C947" s="148"/>
      <c r="D947" s="245"/>
      <c r="E947" s="148"/>
      <c r="F947" s="277"/>
      <c r="G947" s="148"/>
      <c r="H947" s="148"/>
      <c r="I947" s="251"/>
      <c r="J947" s="251"/>
      <c r="K947" s="148"/>
      <c r="L947" s="254"/>
      <c r="M947" s="252"/>
      <c r="N947" s="250"/>
      <c r="O947" s="253"/>
      <c r="P947" s="240"/>
      <c r="Q947" s="148"/>
      <c r="R947" s="148"/>
      <c r="S947" s="242"/>
      <c r="T947" s="242"/>
      <c r="U947" s="242"/>
      <c r="V947" s="242"/>
      <c r="W947" s="242"/>
      <c r="X947" s="242"/>
      <c r="Y947" s="148"/>
      <c r="Z947" s="148"/>
    </row>
    <row r="948">
      <c r="A948" s="148"/>
      <c r="B948" s="148"/>
      <c r="C948" s="148"/>
      <c r="D948" s="245"/>
      <c r="E948" s="148"/>
      <c r="F948" s="277"/>
      <c r="G948" s="148"/>
      <c r="H948" s="148"/>
      <c r="I948" s="251"/>
      <c r="J948" s="251"/>
      <c r="K948" s="148"/>
      <c r="L948" s="254"/>
      <c r="M948" s="252"/>
      <c r="N948" s="250"/>
      <c r="O948" s="253"/>
      <c r="P948" s="240"/>
      <c r="Q948" s="148"/>
      <c r="R948" s="148"/>
      <c r="S948" s="242"/>
      <c r="T948" s="242"/>
      <c r="U948" s="242"/>
      <c r="V948" s="242"/>
      <c r="W948" s="242"/>
      <c r="X948" s="242"/>
      <c r="Y948" s="148"/>
      <c r="Z948" s="148"/>
    </row>
    <row r="949">
      <c r="A949" s="148"/>
      <c r="B949" s="148"/>
      <c r="C949" s="148"/>
      <c r="D949" s="245"/>
      <c r="E949" s="148"/>
      <c r="F949" s="277"/>
      <c r="G949" s="148"/>
      <c r="H949" s="148"/>
      <c r="I949" s="251"/>
      <c r="J949" s="251"/>
      <c r="K949" s="148"/>
      <c r="L949" s="254"/>
      <c r="M949" s="252"/>
      <c r="N949" s="250"/>
      <c r="O949" s="253"/>
      <c r="P949" s="240"/>
      <c r="Q949" s="148"/>
      <c r="R949" s="148"/>
      <c r="S949" s="242"/>
      <c r="T949" s="242"/>
      <c r="U949" s="242"/>
      <c r="V949" s="242"/>
      <c r="W949" s="242"/>
      <c r="X949" s="242"/>
      <c r="Y949" s="148"/>
      <c r="Z949" s="148"/>
    </row>
    <row r="950">
      <c r="A950" s="148"/>
      <c r="B950" s="148"/>
      <c r="C950" s="148"/>
      <c r="D950" s="245"/>
      <c r="E950" s="148"/>
      <c r="F950" s="277"/>
      <c r="G950" s="148"/>
      <c r="H950" s="148"/>
      <c r="I950" s="251"/>
      <c r="J950" s="251"/>
      <c r="K950" s="148"/>
      <c r="L950" s="254"/>
      <c r="M950" s="252"/>
      <c r="N950" s="250"/>
      <c r="O950" s="253"/>
      <c r="P950" s="240"/>
      <c r="Q950" s="148"/>
      <c r="R950" s="148"/>
      <c r="S950" s="242"/>
      <c r="T950" s="242"/>
      <c r="U950" s="242"/>
      <c r="V950" s="242"/>
      <c r="W950" s="242"/>
      <c r="X950" s="242"/>
      <c r="Y950" s="148"/>
      <c r="Z950" s="148"/>
    </row>
    <row r="951">
      <c r="A951" s="148"/>
      <c r="B951" s="148"/>
      <c r="C951" s="148"/>
      <c r="D951" s="245"/>
      <c r="E951" s="148"/>
      <c r="F951" s="277"/>
      <c r="G951" s="148"/>
      <c r="H951" s="148"/>
      <c r="I951" s="251"/>
      <c r="J951" s="251"/>
      <c r="K951" s="148"/>
      <c r="L951" s="254"/>
      <c r="M951" s="252"/>
      <c r="N951" s="250"/>
      <c r="O951" s="253"/>
      <c r="P951" s="240"/>
      <c r="Q951" s="148"/>
      <c r="R951" s="148"/>
      <c r="S951" s="242"/>
      <c r="T951" s="242"/>
      <c r="U951" s="242"/>
      <c r="V951" s="242"/>
      <c r="W951" s="242"/>
      <c r="X951" s="242"/>
      <c r="Y951" s="148"/>
      <c r="Z951" s="148"/>
    </row>
    <row r="952">
      <c r="A952" s="148"/>
      <c r="B952" s="148"/>
      <c r="C952" s="148"/>
      <c r="D952" s="245"/>
      <c r="E952" s="148"/>
      <c r="F952" s="277"/>
      <c r="G952" s="148"/>
      <c r="H952" s="148"/>
      <c r="I952" s="251"/>
      <c r="J952" s="251"/>
      <c r="K952" s="148"/>
      <c r="L952" s="254"/>
      <c r="M952" s="252"/>
      <c r="N952" s="250"/>
      <c r="O952" s="253"/>
      <c r="P952" s="240"/>
      <c r="Q952" s="148"/>
      <c r="R952" s="148"/>
      <c r="S952" s="242"/>
      <c r="T952" s="242"/>
      <c r="U952" s="242"/>
      <c r="V952" s="242"/>
      <c r="W952" s="242"/>
      <c r="X952" s="242"/>
      <c r="Y952" s="148"/>
      <c r="Z952" s="148"/>
    </row>
    <row r="953">
      <c r="A953" s="148"/>
      <c r="B953" s="148"/>
      <c r="C953" s="148"/>
      <c r="D953" s="245"/>
      <c r="E953" s="148"/>
      <c r="F953" s="277"/>
      <c r="G953" s="148"/>
      <c r="H953" s="148"/>
      <c r="I953" s="251"/>
      <c r="J953" s="251"/>
      <c r="K953" s="148"/>
      <c r="L953" s="254"/>
      <c r="M953" s="252"/>
      <c r="N953" s="250"/>
      <c r="O953" s="253"/>
      <c r="P953" s="240"/>
      <c r="Q953" s="148"/>
      <c r="R953" s="148"/>
      <c r="S953" s="242"/>
      <c r="T953" s="242"/>
      <c r="U953" s="242"/>
      <c r="V953" s="242"/>
      <c r="W953" s="242"/>
      <c r="X953" s="242"/>
      <c r="Y953" s="148"/>
      <c r="Z953" s="148"/>
    </row>
    <row r="954">
      <c r="A954" s="148"/>
      <c r="B954" s="148"/>
      <c r="C954" s="148"/>
      <c r="D954" s="245"/>
      <c r="E954" s="148"/>
      <c r="F954" s="277"/>
      <c r="G954" s="148"/>
      <c r="H954" s="148"/>
      <c r="I954" s="251"/>
      <c r="J954" s="251"/>
      <c r="K954" s="148"/>
      <c r="L954" s="254"/>
      <c r="M954" s="252"/>
      <c r="N954" s="250"/>
      <c r="O954" s="253"/>
      <c r="P954" s="240"/>
      <c r="Q954" s="148"/>
      <c r="R954" s="148"/>
      <c r="S954" s="242"/>
      <c r="T954" s="242"/>
      <c r="U954" s="242"/>
      <c r="V954" s="242"/>
      <c r="W954" s="242"/>
      <c r="X954" s="242"/>
      <c r="Y954" s="148"/>
      <c r="Z954" s="148"/>
    </row>
    <row r="955">
      <c r="A955" s="148"/>
      <c r="B955" s="148"/>
      <c r="C955" s="148"/>
      <c r="D955" s="245"/>
      <c r="E955" s="148"/>
      <c r="F955" s="277"/>
      <c r="G955" s="148"/>
      <c r="H955" s="148"/>
      <c r="I955" s="251"/>
      <c r="J955" s="251"/>
      <c r="K955" s="148"/>
      <c r="L955" s="254"/>
      <c r="M955" s="252"/>
      <c r="N955" s="250"/>
      <c r="O955" s="253"/>
      <c r="P955" s="240"/>
      <c r="Q955" s="148"/>
      <c r="R955" s="148"/>
      <c r="S955" s="242"/>
      <c r="T955" s="242"/>
      <c r="U955" s="242"/>
      <c r="V955" s="242"/>
      <c r="W955" s="242"/>
      <c r="X955" s="242"/>
      <c r="Y955" s="148"/>
      <c r="Z955" s="148"/>
    </row>
    <row r="956">
      <c r="A956" s="148"/>
      <c r="B956" s="148"/>
      <c r="C956" s="148"/>
      <c r="D956" s="245"/>
      <c r="E956" s="148"/>
      <c r="F956" s="277"/>
      <c r="G956" s="148"/>
      <c r="H956" s="148"/>
      <c r="I956" s="251"/>
      <c r="J956" s="251"/>
      <c r="K956" s="148"/>
      <c r="L956" s="254"/>
      <c r="M956" s="252"/>
      <c r="N956" s="250"/>
      <c r="O956" s="253"/>
      <c r="P956" s="240"/>
      <c r="Q956" s="148"/>
      <c r="R956" s="148"/>
      <c r="S956" s="242"/>
      <c r="T956" s="242"/>
      <c r="U956" s="242"/>
      <c r="V956" s="242"/>
      <c r="W956" s="242"/>
      <c r="X956" s="242"/>
      <c r="Y956" s="148"/>
      <c r="Z956" s="148"/>
    </row>
    <row r="957">
      <c r="A957" s="148"/>
      <c r="B957" s="148"/>
      <c r="C957" s="148"/>
      <c r="D957" s="245"/>
      <c r="E957" s="148"/>
      <c r="F957" s="277"/>
      <c r="G957" s="148"/>
      <c r="H957" s="148"/>
      <c r="I957" s="251"/>
      <c r="J957" s="251"/>
      <c r="K957" s="148"/>
      <c r="L957" s="254"/>
      <c r="M957" s="252"/>
      <c r="N957" s="250"/>
      <c r="O957" s="253"/>
      <c r="P957" s="240"/>
      <c r="Q957" s="148"/>
      <c r="R957" s="148"/>
      <c r="S957" s="242"/>
      <c r="T957" s="242"/>
      <c r="U957" s="242"/>
      <c r="V957" s="242"/>
      <c r="W957" s="242"/>
      <c r="X957" s="242"/>
      <c r="Y957" s="148"/>
      <c r="Z957" s="148"/>
    </row>
    <row r="958">
      <c r="A958" s="148"/>
      <c r="B958" s="148"/>
      <c r="C958" s="148"/>
      <c r="D958" s="245"/>
      <c r="E958" s="148"/>
      <c r="F958" s="277"/>
      <c r="G958" s="148"/>
      <c r="H958" s="148"/>
      <c r="I958" s="251"/>
      <c r="J958" s="251"/>
      <c r="K958" s="148"/>
      <c r="L958" s="254"/>
      <c r="M958" s="252"/>
      <c r="N958" s="250"/>
      <c r="O958" s="253"/>
      <c r="P958" s="240"/>
      <c r="Q958" s="148"/>
      <c r="R958" s="148"/>
      <c r="S958" s="242"/>
      <c r="T958" s="242"/>
      <c r="U958" s="242"/>
      <c r="V958" s="242"/>
      <c r="W958" s="242"/>
      <c r="X958" s="242"/>
      <c r="Y958" s="148"/>
      <c r="Z958" s="148"/>
    </row>
    <row r="959">
      <c r="A959" s="148"/>
      <c r="B959" s="148"/>
      <c r="C959" s="148"/>
      <c r="D959" s="245"/>
      <c r="E959" s="148"/>
      <c r="F959" s="277"/>
      <c r="G959" s="148"/>
      <c r="H959" s="148"/>
      <c r="I959" s="251"/>
      <c r="J959" s="251"/>
      <c r="K959" s="148"/>
      <c r="L959" s="254"/>
      <c r="M959" s="252"/>
      <c r="N959" s="250"/>
      <c r="O959" s="253"/>
      <c r="P959" s="240"/>
      <c r="Q959" s="148"/>
      <c r="R959" s="148"/>
      <c r="S959" s="242"/>
      <c r="T959" s="242"/>
      <c r="U959" s="242"/>
      <c r="V959" s="242"/>
      <c r="W959" s="242"/>
      <c r="X959" s="242"/>
      <c r="Y959" s="148"/>
      <c r="Z959" s="148"/>
    </row>
    <row r="960">
      <c r="A960" s="148"/>
      <c r="B960" s="148"/>
      <c r="C960" s="148"/>
      <c r="D960" s="245"/>
      <c r="E960" s="148"/>
      <c r="F960" s="277"/>
      <c r="G960" s="148"/>
      <c r="H960" s="148"/>
      <c r="I960" s="251"/>
      <c r="J960" s="251"/>
      <c r="K960" s="148"/>
      <c r="L960" s="254"/>
      <c r="M960" s="252"/>
      <c r="N960" s="250"/>
      <c r="O960" s="253"/>
      <c r="P960" s="240"/>
      <c r="Q960" s="148"/>
      <c r="R960" s="148"/>
      <c r="S960" s="242"/>
      <c r="T960" s="242"/>
      <c r="U960" s="242"/>
      <c r="V960" s="242"/>
      <c r="W960" s="242"/>
      <c r="X960" s="242"/>
      <c r="Y960" s="148"/>
      <c r="Z960" s="148"/>
    </row>
    <row r="961">
      <c r="A961" s="148"/>
      <c r="B961" s="148"/>
      <c r="C961" s="148"/>
      <c r="D961" s="245"/>
      <c r="E961" s="148"/>
      <c r="F961" s="277"/>
      <c r="G961" s="148"/>
      <c r="H961" s="148"/>
      <c r="I961" s="251"/>
      <c r="J961" s="251"/>
      <c r="K961" s="148"/>
      <c r="L961" s="254"/>
      <c r="M961" s="252"/>
      <c r="N961" s="250"/>
      <c r="O961" s="253"/>
      <c r="P961" s="240"/>
      <c r="Q961" s="148"/>
      <c r="R961" s="148"/>
      <c r="S961" s="242"/>
      <c r="T961" s="242"/>
      <c r="U961" s="242"/>
      <c r="V961" s="242"/>
      <c r="W961" s="242"/>
      <c r="X961" s="242"/>
      <c r="Y961" s="148"/>
      <c r="Z961" s="148"/>
    </row>
    <row r="962">
      <c r="A962" s="148"/>
      <c r="B962" s="148"/>
      <c r="C962" s="148"/>
      <c r="D962" s="245"/>
      <c r="E962" s="148"/>
      <c r="F962" s="277"/>
      <c r="G962" s="148"/>
      <c r="H962" s="148"/>
      <c r="I962" s="251"/>
      <c r="J962" s="251"/>
      <c r="K962" s="148"/>
      <c r="L962" s="254"/>
      <c r="M962" s="252"/>
      <c r="N962" s="250"/>
      <c r="O962" s="253"/>
      <c r="P962" s="240"/>
      <c r="Q962" s="148"/>
      <c r="R962" s="148"/>
      <c r="S962" s="242"/>
      <c r="T962" s="242"/>
      <c r="U962" s="242"/>
      <c r="V962" s="242"/>
      <c r="W962" s="242"/>
      <c r="X962" s="242"/>
      <c r="Y962" s="148"/>
      <c r="Z962" s="148"/>
    </row>
    <row r="963">
      <c r="A963" s="148"/>
      <c r="B963" s="148"/>
      <c r="C963" s="148"/>
      <c r="D963" s="245"/>
      <c r="E963" s="148"/>
      <c r="F963" s="277"/>
      <c r="G963" s="148"/>
      <c r="H963" s="148"/>
      <c r="I963" s="251"/>
      <c r="J963" s="251"/>
      <c r="K963" s="148"/>
      <c r="L963" s="254"/>
      <c r="M963" s="252"/>
      <c r="N963" s="250"/>
      <c r="O963" s="253"/>
      <c r="P963" s="240"/>
      <c r="Q963" s="148"/>
      <c r="R963" s="148"/>
      <c r="S963" s="242"/>
      <c r="T963" s="242"/>
      <c r="U963" s="242"/>
      <c r="V963" s="242"/>
      <c r="W963" s="242"/>
      <c r="X963" s="242"/>
      <c r="Y963" s="148"/>
      <c r="Z963" s="148"/>
    </row>
    <row r="964">
      <c r="A964" s="148"/>
      <c r="B964" s="148"/>
      <c r="C964" s="148"/>
      <c r="D964" s="245"/>
      <c r="E964" s="148"/>
      <c r="F964" s="277"/>
      <c r="G964" s="148"/>
      <c r="H964" s="148"/>
      <c r="I964" s="251"/>
      <c r="J964" s="251"/>
      <c r="K964" s="148"/>
      <c r="L964" s="254"/>
      <c r="M964" s="252"/>
      <c r="N964" s="250"/>
      <c r="O964" s="253"/>
      <c r="P964" s="240"/>
      <c r="Q964" s="148"/>
      <c r="R964" s="148"/>
      <c r="S964" s="242"/>
      <c r="T964" s="242"/>
      <c r="U964" s="242"/>
      <c r="V964" s="242"/>
      <c r="W964" s="242"/>
      <c r="X964" s="242"/>
      <c r="Y964" s="148"/>
      <c r="Z964" s="148"/>
    </row>
    <row r="965">
      <c r="A965" s="148"/>
      <c r="B965" s="148"/>
      <c r="C965" s="148"/>
      <c r="D965" s="245"/>
      <c r="E965" s="148"/>
      <c r="F965" s="277"/>
      <c r="G965" s="148"/>
      <c r="H965" s="148"/>
      <c r="I965" s="251"/>
      <c r="J965" s="251"/>
      <c r="K965" s="148"/>
      <c r="L965" s="254"/>
      <c r="M965" s="252"/>
      <c r="N965" s="250"/>
      <c r="O965" s="253"/>
      <c r="P965" s="240"/>
      <c r="Q965" s="148"/>
      <c r="R965" s="148"/>
      <c r="S965" s="242"/>
      <c r="T965" s="242"/>
      <c r="U965" s="242"/>
      <c r="V965" s="242"/>
      <c r="W965" s="242"/>
      <c r="X965" s="242"/>
      <c r="Y965" s="148"/>
      <c r="Z965" s="148"/>
    </row>
    <row r="966">
      <c r="A966" s="148"/>
      <c r="B966" s="148"/>
      <c r="C966" s="148"/>
      <c r="D966" s="245"/>
      <c r="E966" s="148"/>
      <c r="F966" s="277"/>
      <c r="G966" s="148"/>
      <c r="H966" s="148"/>
      <c r="I966" s="251"/>
      <c r="J966" s="251"/>
      <c r="K966" s="148"/>
      <c r="L966" s="254"/>
      <c r="M966" s="252"/>
      <c r="N966" s="250"/>
      <c r="O966" s="253"/>
      <c r="P966" s="240"/>
      <c r="Q966" s="148"/>
      <c r="R966" s="148"/>
      <c r="S966" s="242"/>
      <c r="T966" s="242"/>
      <c r="U966" s="242"/>
      <c r="V966" s="242"/>
      <c r="W966" s="242"/>
      <c r="X966" s="242"/>
      <c r="Y966" s="148"/>
      <c r="Z966" s="148"/>
    </row>
    <row r="967">
      <c r="A967" s="148"/>
      <c r="B967" s="148"/>
      <c r="C967" s="148"/>
      <c r="D967" s="245"/>
      <c r="E967" s="148"/>
      <c r="F967" s="277"/>
      <c r="G967" s="148"/>
      <c r="H967" s="148"/>
      <c r="I967" s="251"/>
      <c r="J967" s="251"/>
      <c r="K967" s="148"/>
      <c r="L967" s="254"/>
      <c r="M967" s="252"/>
      <c r="N967" s="250"/>
      <c r="O967" s="253"/>
      <c r="P967" s="240"/>
      <c r="Q967" s="148"/>
      <c r="R967" s="148"/>
      <c r="S967" s="242"/>
      <c r="T967" s="242"/>
      <c r="U967" s="242"/>
      <c r="V967" s="242"/>
      <c r="W967" s="242"/>
      <c r="X967" s="242"/>
      <c r="Y967" s="148"/>
      <c r="Z967" s="148"/>
    </row>
    <row r="968">
      <c r="A968" s="148"/>
      <c r="B968" s="148"/>
      <c r="C968" s="148"/>
      <c r="D968" s="245"/>
      <c r="E968" s="148"/>
      <c r="F968" s="277"/>
      <c r="G968" s="148"/>
      <c r="H968" s="148"/>
      <c r="I968" s="251"/>
      <c r="J968" s="251"/>
      <c r="K968" s="148"/>
      <c r="L968" s="254"/>
      <c r="M968" s="252"/>
      <c r="N968" s="250"/>
      <c r="O968" s="253"/>
      <c r="P968" s="240"/>
      <c r="Q968" s="148"/>
      <c r="R968" s="148"/>
      <c r="S968" s="242"/>
      <c r="T968" s="242"/>
      <c r="U968" s="242"/>
      <c r="V968" s="242"/>
      <c r="W968" s="242"/>
      <c r="X968" s="242"/>
      <c r="Y968" s="148"/>
      <c r="Z968" s="148"/>
    </row>
    <row r="969">
      <c r="A969" s="148"/>
      <c r="B969" s="148"/>
      <c r="C969" s="148"/>
      <c r="D969" s="245"/>
      <c r="E969" s="148"/>
      <c r="F969" s="277"/>
      <c r="G969" s="148"/>
      <c r="H969" s="148"/>
      <c r="I969" s="251"/>
      <c r="J969" s="251"/>
      <c r="K969" s="148"/>
      <c r="L969" s="254"/>
      <c r="M969" s="252"/>
      <c r="N969" s="250"/>
      <c r="O969" s="253"/>
      <c r="P969" s="240"/>
      <c r="Q969" s="148"/>
      <c r="R969" s="148"/>
      <c r="S969" s="242"/>
      <c r="T969" s="242"/>
      <c r="U969" s="242"/>
      <c r="V969" s="242"/>
      <c r="W969" s="242"/>
      <c r="X969" s="242"/>
      <c r="Y969" s="148"/>
      <c r="Z969" s="148"/>
    </row>
    <row r="970">
      <c r="A970" s="148"/>
      <c r="B970" s="148"/>
      <c r="C970" s="148"/>
      <c r="D970" s="245"/>
      <c r="E970" s="148"/>
      <c r="F970" s="277"/>
      <c r="G970" s="148"/>
      <c r="H970" s="148"/>
      <c r="I970" s="251"/>
      <c r="J970" s="251"/>
      <c r="K970" s="148"/>
      <c r="L970" s="254"/>
      <c r="M970" s="252"/>
      <c r="N970" s="250"/>
      <c r="O970" s="253"/>
      <c r="P970" s="240"/>
      <c r="Q970" s="148"/>
      <c r="R970" s="148"/>
      <c r="S970" s="242"/>
      <c r="T970" s="242"/>
      <c r="U970" s="242"/>
      <c r="V970" s="242"/>
      <c r="W970" s="242"/>
      <c r="X970" s="242"/>
      <c r="Y970" s="148"/>
      <c r="Z970" s="148"/>
    </row>
    <row r="971">
      <c r="A971" s="148"/>
      <c r="B971" s="148"/>
      <c r="C971" s="148"/>
      <c r="D971" s="245"/>
      <c r="E971" s="148"/>
      <c r="F971" s="277"/>
      <c r="G971" s="148"/>
      <c r="H971" s="148"/>
      <c r="I971" s="251"/>
      <c r="J971" s="251"/>
      <c r="K971" s="148"/>
      <c r="L971" s="254"/>
      <c r="M971" s="252"/>
      <c r="N971" s="250"/>
      <c r="O971" s="253"/>
      <c r="P971" s="240"/>
      <c r="Q971" s="148"/>
      <c r="R971" s="148"/>
      <c r="S971" s="242"/>
      <c r="T971" s="242"/>
      <c r="U971" s="242"/>
      <c r="V971" s="242"/>
      <c r="W971" s="242"/>
      <c r="X971" s="242"/>
      <c r="Y971" s="148"/>
      <c r="Z971" s="148"/>
    </row>
    <row r="972">
      <c r="A972" s="148"/>
      <c r="B972" s="148"/>
      <c r="C972" s="148"/>
      <c r="D972" s="245"/>
      <c r="E972" s="148"/>
      <c r="F972" s="277"/>
      <c r="G972" s="148"/>
      <c r="H972" s="148"/>
      <c r="I972" s="251"/>
      <c r="J972" s="251"/>
      <c r="K972" s="148"/>
      <c r="L972" s="254"/>
      <c r="M972" s="252"/>
      <c r="N972" s="250"/>
      <c r="O972" s="253"/>
      <c r="P972" s="240"/>
      <c r="Q972" s="148"/>
      <c r="R972" s="148"/>
      <c r="S972" s="242"/>
      <c r="T972" s="242"/>
      <c r="U972" s="242"/>
      <c r="V972" s="242"/>
      <c r="W972" s="242"/>
      <c r="X972" s="242"/>
      <c r="Y972" s="148"/>
      <c r="Z972" s="148"/>
    </row>
    <row r="973">
      <c r="A973" s="148"/>
      <c r="B973" s="148"/>
      <c r="C973" s="148"/>
      <c r="D973" s="245"/>
      <c r="E973" s="148"/>
      <c r="F973" s="277"/>
      <c r="G973" s="148"/>
      <c r="H973" s="148"/>
      <c r="I973" s="251"/>
      <c r="J973" s="251"/>
      <c r="K973" s="148"/>
      <c r="L973" s="254"/>
      <c r="M973" s="252"/>
      <c r="N973" s="250"/>
      <c r="O973" s="253"/>
      <c r="P973" s="240"/>
      <c r="Q973" s="148"/>
      <c r="R973" s="148"/>
      <c r="S973" s="242"/>
      <c r="T973" s="242"/>
      <c r="U973" s="242"/>
      <c r="V973" s="242"/>
      <c r="W973" s="242"/>
      <c r="X973" s="242"/>
      <c r="Y973" s="148"/>
      <c r="Z973" s="148"/>
    </row>
    <row r="974">
      <c r="A974" s="148"/>
      <c r="B974" s="148"/>
      <c r="C974" s="148"/>
      <c r="D974" s="245"/>
      <c r="E974" s="148"/>
      <c r="F974" s="277"/>
      <c r="G974" s="148"/>
      <c r="H974" s="148"/>
      <c r="I974" s="251"/>
      <c r="J974" s="251"/>
      <c r="K974" s="148"/>
      <c r="L974" s="254"/>
      <c r="M974" s="252"/>
      <c r="N974" s="250"/>
      <c r="O974" s="253"/>
      <c r="P974" s="240"/>
      <c r="Q974" s="148"/>
      <c r="R974" s="148"/>
      <c r="S974" s="242"/>
      <c r="T974" s="242"/>
      <c r="U974" s="242"/>
      <c r="V974" s="242"/>
      <c r="W974" s="242"/>
      <c r="X974" s="242"/>
      <c r="Y974" s="148"/>
      <c r="Z974" s="148"/>
    </row>
    <row r="975">
      <c r="A975" s="148"/>
      <c r="B975" s="148"/>
      <c r="C975" s="148"/>
      <c r="D975" s="245"/>
      <c r="E975" s="148"/>
      <c r="F975" s="277"/>
      <c r="G975" s="148"/>
      <c r="H975" s="148"/>
      <c r="I975" s="251"/>
      <c r="J975" s="251"/>
      <c r="K975" s="148"/>
      <c r="L975" s="254"/>
      <c r="M975" s="252"/>
      <c r="N975" s="250"/>
      <c r="O975" s="253"/>
      <c r="P975" s="240"/>
      <c r="Q975" s="148"/>
      <c r="R975" s="148"/>
      <c r="S975" s="242"/>
      <c r="T975" s="242"/>
      <c r="U975" s="242"/>
      <c r="V975" s="242"/>
      <c r="W975" s="242"/>
      <c r="X975" s="242"/>
      <c r="Y975" s="148"/>
      <c r="Z975" s="148"/>
    </row>
    <row r="976">
      <c r="A976" s="148"/>
      <c r="B976" s="148"/>
      <c r="C976" s="148"/>
      <c r="D976" s="245"/>
      <c r="E976" s="148"/>
      <c r="F976" s="277"/>
      <c r="G976" s="148"/>
      <c r="H976" s="148"/>
      <c r="I976" s="251"/>
      <c r="J976" s="251"/>
      <c r="K976" s="148"/>
      <c r="L976" s="254"/>
      <c r="M976" s="252"/>
      <c r="N976" s="250"/>
      <c r="O976" s="253"/>
      <c r="P976" s="240"/>
      <c r="Q976" s="148"/>
      <c r="R976" s="148"/>
      <c r="S976" s="242"/>
      <c r="T976" s="242"/>
      <c r="U976" s="242"/>
      <c r="V976" s="242"/>
      <c r="W976" s="242"/>
      <c r="X976" s="242"/>
      <c r="Y976" s="148"/>
      <c r="Z976" s="148"/>
    </row>
    <row r="977">
      <c r="A977" s="148"/>
      <c r="B977" s="148"/>
      <c r="C977" s="148"/>
      <c r="D977" s="245"/>
      <c r="E977" s="148"/>
      <c r="F977" s="277"/>
      <c r="G977" s="148"/>
      <c r="H977" s="148"/>
      <c r="I977" s="251"/>
      <c r="J977" s="251"/>
      <c r="K977" s="148"/>
      <c r="L977" s="254"/>
      <c r="M977" s="252"/>
      <c r="N977" s="250"/>
      <c r="O977" s="253"/>
      <c r="P977" s="240"/>
      <c r="Q977" s="148"/>
      <c r="R977" s="148"/>
      <c r="S977" s="242"/>
      <c r="T977" s="242"/>
      <c r="U977" s="242"/>
      <c r="V977" s="242"/>
      <c r="W977" s="242"/>
      <c r="X977" s="242"/>
      <c r="Y977" s="148"/>
      <c r="Z977" s="148"/>
    </row>
    <row r="978">
      <c r="A978" s="148"/>
      <c r="B978" s="148"/>
      <c r="C978" s="148"/>
      <c r="D978" s="245"/>
      <c r="E978" s="148"/>
      <c r="F978" s="277"/>
      <c r="G978" s="148"/>
      <c r="H978" s="148"/>
      <c r="I978" s="251"/>
      <c r="J978" s="251"/>
      <c r="K978" s="148"/>
      <c r="L978" s="254"/>
      <c r="M978" s="252"/>
      <c r="N978" s="250"/>
      <c r="O978" s="253"/>
      <c r="P978" s="240"/>
      <c r="Q978" s="148"/>
      <c r="R978" s="148"/>
      <c r="S978" s="242"/>
      <c r="T978" s="242"/>
      <c r="U978" s="242"/>
      <c r="V978" s="242"/>
      <c r="W978" s="242"/>
      <c r="X978" s="242"/>
      <c r="Y978" s="148"/>
      <c r="Z978" s="148"/>
    </row>
    <row r="979">
      <c r="A979" s="148"/>
      <c r="B979" s="148"/>
      <c r="C979" s="148"/>
      <c r="D979" s="245"/>
      <c r="E979" s="148"/>
      <c r="F979" s="277"/>
      <c r="G979" s="148"/>
      <c r="H979" s="148"/>
      <c r="I979" s="251"/>
      <c r="J979" s="251"/>
      <c r="K979" s="148"/>
      <c r="L979" s="254"/>
      <c r="M979" s="252"/>
      <c r="N979" s="250"/>
      <c r="O979" s="253"/>
      <c r="P979" s="240"/>
      <c r="Q979" s="148"/>
      <c r="R979" s="148"/>
      <c r="S979" s="242"/>
      <c r="T979" s="242"/>
      <c r="U979" s="242"/>
      <c r="V979" s="242"/>
      <c r="W979" s="242"/>
      <c r="X979" s="242"/>
      <c r="Y979" s="148"/>
      <c r="Z979" s="148"/>
    </row>
    <row r="980">
      <c r="A980" s="148"/>
      <c r="B980" s="148"/>
      <c r="C980" s="148"/>
      <c r="D980" s="245"/>
      <c r="E980" s="148"/>
      <c r="F980" s="277"/>
      <c r="G980" s="148"/>
      <c r="H980" s="148"/>
      <c r="I980" s="251"/>
      <c r="J980" s="251"/>
      <c r="K980" s="148"/>
      <c r="L980" s="254"/>
      <c r="M980" s="252"/>
      <c r="N980" s="250"/>
      <c r="O980" s="253"/>
      <c r="P980" s="240"/>
      <c r="Q980" s="148"/>
      <c r="R980" s="148"/>
      <c r="S980" s="242"/>
      <c r="T980" s="242"/>
      <c r="U980" s="242"/>
      <c r="V980" s="242"/>
      <c r="W980" s="242"/>
      <c r="X980" s="242"/>
      <c r="Y980" s="148"/>
      <c r="Z980" s="148"/>
    </row>
    <row r="981">
      <c r="A981" s="148"/>
      <c r="B981" s="148"/>
      <c r="C981" s="148"/>
      <c r="D981" s="245"/>
      <c r="E981" s="148"/>
      <c r="F981" s="277"/>
      <c r="G981" s="148"/>
      <c r="H981" s="148"/>
      <c r="I981" s="251"/>
      <c r="J981" s="251"/>
      <c r="K981" s="148"/>
      <c r="L981" s="254"/>
      <c r="M981" s="252"/>
      <c r="N981" s="250"/>
      <c r="O981" s="253"/>
      <c r="P981" s="240"/>
      <c r="Q981" s="148"/>
      <c r="R981" s="148"/>
      <c r="S981" s="242"/>
      <c r="T981" s="242"/>
      <c r="U981" s="242"/>
      <c r="V981" s="242"/>
      <c r="W981" s="242"/>
      <c r="X981" s="242"/>
      <c r="Y981" s="148"/>
      <c r="Z981" s="148"/>
    </row>
    <row r="982">
      <c r="A982" s="148"/>
      <c r="B982" s="148"/>
      <c r="C982" s="148"/>
      <c r="D982" s="245"/>
      <c r="E982" s="148"/>
      <c r="F982" s="277"/>
      <c r="G982" s="148"/>
      <c r="H982" s="148"/>
      <c r="I982" s="251"/>
      <c r="J982" s="251"/>
      <c r="K982" s="148"/>
      <c r="L982" s="254"/>
      <c r="M982" s="252"/>
      <c r="N982" s="250"/>
      <c r="O982" s="253"/>
      <c r="P982" s="240"/>
      <c r="Q982" s="148"/>
      <c r="R982" s="148"/>
      <c r="S982" s="242"/>
      <c r="T982" s="242"/>
      <c r="U982" s="242"/>
      <c r="V982" s="242"/>
      <c r="W982" s="242"/>
      <c r="X982" s="242"/>
      <c r="Y982" s="148"/>
      <c r="Z982" s="148"/>
    </row>
    <row r="983">
      <c r="A983" s="148"/>
      <c r="B983" s="148"/>
      <c r="C983" s="148"/>
      <c r="D983" s="245"/>
      <c r="E983" s="148"/>
      <c r="F983" s="277"/>
      <c r="G983" s="148"/>
      <c r="H983" s="148"/>
      <c r="I983" s="251"/>
      <c r="J983" s="251"/>
      <c r="K983" s="148"/>
      <c r="L983" s="254"/>
      <c r="M983" s="252"/>
      <c r="N983" s="250"/>
      <c r="O983" s="253"/>
      <c r="P983" s="240"/>
      <c r="Q983" s="148"/>
      <c r="R983" s="148"/>
      <c r="S983" s="242"/>
      <c r="T983" s="242"/>
      <c r="U983" s="242"/>
      <c r="V983" s="242"/>
      <c r="W983" s="242"/>
      <c r="X983" s="242"/>
      <c r="Y983" s="148"/>
      <c r="Z983" s="148"/>
    </row>
    <row r="984">
      <c r="A984" s="148"/>
      <c r="B984" s="148"/>
      <c r="C984" s="148"/>
      <c r="D984" s="245"/>
      <c r="E984" s="148"/>
      <c r="F984" s="277"/>
      <c r="G984" s="148"/>
      <c r="H984" s="148"/>
      <c r="I984" s="251"/>
      <c r="J984" s="251"/>
      <c r="K984" s="148"/>
      <c r="L984" s="254"/>
      <c r="M984" s="252"/>
      <c r="N984" s="250"/>
      <c r="O984" s="253"/>
      <c r="P984" s="240"/>
      <c r="Q984" s="148"/>
      <c r="R984" s="148"/>
      <c r="S984" s="242"/>
      <c r="T984" s="242"/>
      <c r="U984" s="242"/>
      <c r="V984" s="242"/>
      <c r="W984" s="242"/>
      <c r="X984" s="242"/>
      <c r="Y984" s="148"/>
      <c r="Z984" s="148"/>
    </row>
    <row r="985">
      <c r="A985" s="148"/>
      <c r="B985" s="148"/>
      <c r="C985" s="148"/>
      <c r="D985" s="245"/>
      <c r="E985" s="148"/>
      <c r="F985" s="277"/>
      <c r="G985" s="148"/>
      <c r="H985" s="148"/>
      <c r="I985" s="251"/>
      <c r="J985" s="251"/>
      <c r="K985" s="148"/>
      <c r="L985" s="254"/>
      <c r="M985" s="252"/>
      <c r="N985" s="250"/>
      <c r="O985" s="253"/>
      <c r="P985" s="240"/>
      <c r="Q985" s="148"/>
      <c r="R985" s="148"/>
      <c r="S985" s="242"/>
      <c r="T985" s="242"/>
      <c r="U985" s="242"/>
      <c r="V985" s="242"/>
      <c r="W985" s="242"/>
      <c r="X985" s="242"/>
      <c r="Y985" s="148"/>
      <c r="Z985" s="148"/>
    </row>
    <row r="986">
      <c r="A986" s="148"/>
      <c r="B986" s="148"/>
      <c r="C986" s="148"/>
      <c r="D986" s="245"/>
      <c r="E986" s="148"/>
      <c r="F986" s="277"/>
      <c r="G986" s="148"/>
      <c r="H986" s="148"/>
      <c r="I986" s="251"/>
      <c r="J986" s="251"/>
      <c r="K986" s="148"/>
      <c r="L986" s="254"/>
      <c r="M986" s="252"/>
      <c r="N986" s="250"/>
      <c r="O986" s="253"/>
      <c r="P986" s="240"/>
      <c r="Q986" s="148"/>
      <c r="R986" s="148"/>
      <c r="S986" s="242"/>
      <c r="T986" s="242"/>
      <c r="U986" s="242"/>
      <c r="V986" s="242"/>
      <c r="W986" s="242"/>
      <c r="X986" s="242"/>
      <c r="Y986" s="148"/>
      <c r="Z986" s="148"/>
    </row>
    <row r="987">
      <c r="A987" s="148"/>
      <c r="B987" s="148"/>
      <c r="C987" s="148"/>
      <c r="D987" s="245"/>
      <c r="E987" s="148"/>
      <c r="F987" s="277"/>
      <c r="G987" s="148"/>
      <c r="H987" s="148"/>
      <c r="I987" s="251"/>
      <c r="J987" s="251"/>
      <c r="K987" s="148"/>
      <c r="L987" s="254"/>
      <c r="M987" s="252"/>
      <c r="N987" s="250"/>
      <c r="O987" s="253"/>
      <c r="P987" s="240"/>
      <c r="Q987" s="148"/>
      <c r="R987" s="148"/>
      <c r="S987" s="242"/>
      <c r="T987" s="242"/>
      <c r="U987" s="242"/>
      <c r="V987" s="242"/>
      <c r="W987" s="242"/>
      <c r="X987" s="242"/>
      <c r="Y987" s="148"/>
      <c r="Z987" s="148"/>
    </row>
    <row r="988">
      <c r="A988" s="148"/>
      <c r="B988" s="148"/>
      <c r="C988" s="148"/>
      <c r="D988" s="245"/>
      <c r="E988" s="148"/>
      <c r="F988" s="277"/>
      <c r="G988" s="148"/>
      <c r="H988" s="148"/>
      <c r="I988" s="251"/>
      <c r="J988" s="251"/>
      <c r="K988" s="148"/>
      <c r="L988" s="254"/>
      <c r="M988" s="252"/>
      <c r="N988" s="250"/>
      <c r="O988" s="253"/>
      <c r="P988" s="240"/>
      <c r="Q988" s="148"/>
      <c r="R988" s="148"/>
      <c r="S988" s="242"/>
      <c r="T988" s="242"/>
      <c r="U988" s="242"/>
      <c r="V988" s="242"/>
      <c r="W988" s="242"/>
      <c r="X988" s="242"/>
      <c r="Y988" s="148"/>
      <c r="Z988" s="148"/>
    </row>
    <row r="989">
      <c r="A989" s="148"/>
      <c r="B989" s="148"/>
      <c r="C989" s="148"/>
      <c r="D989" s="245"/>
      <c r="E989" s="148"/>
      <c r="F989" s="277"/>
      <c r="G989" s="148"/>
      <c r="H989" s="148"/>
      <c r="I989" s="251"/>
      <c r="J989" s="251"/>
      <c r="K989" s="148"/>
      <c r="L989" s="254"/>
      <c r="M989" s="252"/>
      <c r="N989" s="250"/>
      <c r="O989" s="253"/>
      <c r="P989" s="240"/>
      <c r="Q989" s="148"/>
      <c r="R989" s="148"/>
      <c r="S989" s="242"/>
      <c r="T989" s="242"/>
      <c r="U989" s="242"/>
      <c r="V989" s="242"/>
      <c r="W989" s="242"/>
      <c r="X989" s="242"/>
      <c r="Y989" s="148"/>
      <c r="Z989" s="148"/>
    </row>
    <row r="990">
      <c r="A990" s="148"/>
      <c r="B990" s="148"/>
      <c r="C990" s="148"/>
      <c r="D990" s="245"/>
      <c r="E990" s="148"/>
      <c r="F990" s="277"/>
      <c r="G990" s="148"/>
      <c r="H990" s="148"/>
      <c r="I990" s="251"/>
      <c r="J990" s="251"/>
      <c r="K990" s="148"/>
      <c r="L990" s="254"/>
      <c r="M990" s="252"/>
      <c r="N990" s="250"/>
      <c r="O990" s="253"/>
      <c r="P990" s="240"/>
      <c r="Q990" s="148"/>
      <c r="R990" s="148"/>
      <c r="S990" s="242"/>
      <c r="T990" s="242"/>
      <c r="U990" s="242"/>
      <c r="V990" s="242"/>
      <c r="W990" s="242"/>
      <c r="X990" s="242"/>
      <c r="Y990" s="148"/>
      <c r="Z990" s="148"/>
    </row>
    <row r="991">
      <c r="A991" s="148"/>
      <c r="B991" s="148"/>
      <c r="C991" s="148"/>
      <c r="D991" s="245"/>
      <c r="E991" s="148"/>
      <c r="F991" s="277"/>
      <c r="G991" s="148"/>
      <c r="H991" s="148"/>
      <c r="I991" s="251"/>
      <c r="J991" s="251"/>
      <c r="K991" s="148"/>
      <c r="L991" s="254"/>
      <c r="M991" s="252"/>
      <c r="N991" s="250"/>
      <c r="O991" s="253"/>
      <c r="P991" s="240"/>
      <c r="Q991" s="148"/>
      <c r="R991" s="148"/>
      <c r="S991" s="242"/>
      <c r="T991" s="242"/>
      <c r="U991" s="242"/>
      <c r="V991" s="242"/>
      <c r="W991" s="242"/>
      <c r="X991" s="242"/>
      <c r="Y991" s="148"/>
      <c r="Z991" s="148"/>
    </row>
    <row r="992">
      <c r="A992" s="148"/>
      <c r="B992" s="148"/>
      <c r="C992" s="148"/>
      <c r="D992" s="245"/>
      <c r="E992" s="148"/>
      <c r="F992" s="277"/>
      <c r="G992" s="148"/>
      <c r="H992" s="148"/>
      <c r="I992" s="251"/>
      <c r="J992" s="251"/>
      <c r="K992" s="148"/>
      <c r="L992" s="254"/>
      <c r="M992" s="252"/>
      <c r="N992" s="250"/>
      <c r="O992" s="253"/>
      <c r="P992" s="240"/>
      <c r="Q992" s="148"/>
      <c r="R992" s="148"/>
      <c r="S992" s="242"/>
      <c r="T992" s="242"/>
      <c r="U992" s="242"/>
      <c r="V992" s="242"/>
      <c r="W992" s="242"/>
      <c r="X992" s="242"/>
      <c r="Y992" s="148"/>
      <c r="Z992" s="148"/>
    </row>
    <row r="993">
      <c r="A993" s="148"/>
      <c r="B993" s="148"/>
      <c r="C993" s="148"/>
      <c r="D993" s="245"/>
      <c r="E993" s="148"/>
      <c r="F993" s="277"/>
      <c r="G993" s="148"/>
      <c r="H993" s="148"/>
      <c r="I993" s="251"/>
      <c r="J993" s="251"/>
      <c r="K993" s="148"/>
      <c r="L993" s="254"/>
      <c r="M993" s="252"/>
      <c r="N993" s="250"/>
      <c r="O993" s="253"/>
      <c r="P993" s="240"/>
      <c r="Q993" s="148"/>
      <c r="R993" s="148"/>
      <c r="S993" s="242"/>
      <c r="T993" s="242"/>
      <c r="U993" s="242"/>
      <c r="V993" s="242"/>
      <c r="W993" s="242"/>
      <c r="X993" s="242"/>
      <c r="Y993" s="148"/>
      <c r="Z993" s="148"/>
    </row>
    <row r="994">
      <c r="A994" s="148"/>
      <c r="B994" s="148"/>
      <c r="C994" s="148"/>
      <c r="D994" s="245"/>
      <c r="E994" s="148"/>
      <c r="F994" s="277"/>
      <c r="G994" s="148"/>
      <c r="H994" s="148"/>
      <c r="I994" s="251"/>
      <c r="J994" s="251"/>
      <c r="K994" s="148"/>
      <c r="L994" s="254"/>
      <c r="M994" s="252"/>
      <c r="N994" s="250"/>
      <c r="O994" s="253"/>
      <c r="P994" s="240"/>
      <c r="Q994" s="148"/>
      <c r="R994" s="148"/>
      <c r="S994" s="242"/>
      <c r="T994" s="242"/>
      <c r="U994" s="242"/>
      <c r="V994" s="242"/>
      <c r="W994" s="242"/>
      <c r="X994" s="242"/>
      <c r="Y994" s="148"/>
      <c r="Z994" s="148"/>
    </row>
    <row r="995">
      <c r="A995" s="148"/>
      <c r="B995" s="148"/>
      <c r="C995" s="148"/>
      <c r="D995" s="245"/>
      <c r="E995" s="148"/>
      <c r="F995" s="277"/>
      <c r="G995" s="148"/>
      <c r="H995" s="148"/>
      <c r="I995" s="251"/>
      <c r="J995" s="251"/>
      <c r="K995" s="148"/>
      <c r="L995" s="254"/>
      <c r="M995" s="252"/>
      <c r="N995" s="250"/>
      <c r="O995" s="253"/>
      <c r="P995" s="240"/>
      <c r="Q995" s="148"/>
      <c r="R995" s="148"/>
      <c r="S995" s="242"/>
      <c r="T995" s="242"/>
      <c r="U995" s="242"/>
      <c r="V995" s="242"/>
      <c r="W995" s="242"/>
      <c r="X995" s="242"/>
      <c r="Y995" s="148"/>
      <c r="Z995" s="148"/>
    </row>
    <row r="996">
      <c r="A996" s="148"/>
      <c r="B996" s="148"/>
      <c r="C996" s="148"/>
      <c r="D996" s="245"/>
      <c r="E996" s="148"/>
      <c r="F996" s="277"/>
      <c r="G996" s="148"/>
      <c r="H996" s="148"/>
      <c r="I996" s="251"/>
      <c r="J996" s="251"/>
      <c r="K996" s="148"/>
      <c r="L996" s="254"/>
      <c r="M996" s="252"/>
      <c r="N996" s="250"/>
      <c r="O996" s="253"/>
      <c r="P996" s="240"/>
      <c r="Q996" s="148"/>
      <c r="R996" s="148"/>
      <c r="S996" s="242"/>
      <c r="T996" s="242"/>
      <c r="U996" s="242"/>
      <c r="V996" s="242"/>
      <c r="W996" s="242"/>
      <c r="X996" s="242"/>
      <c r="Y996" s="148"/>
      <c r="Z996" s="148"/>
    </row>
    <row r="997">
      <c r="A997" s="148"/>
      <c r="B997" s="148"/>
      <c r="C997" s="148"/>
      <c r="D997" s="245"/>
      <c r="E997" s="148"/>
      <c r="F997" s="277"/>
      <c r="G997" s="148"/>
      <c r="H997" s="148"/>
      <c r="I997" s="251"/>
      <c r="J997" s="251"/>
      <c r="K997" s="148"/>
      <c r="L997" s="254"/>
      <c r="M997" s="252"/>
      <c r="N997" s="250"/>
      <c r="O997" s="253"/>
      <c r="P997" s="240"/>
      <c r="Q997" s="148"/>
      <c r="R997" s="148"/>
      <c r="S997" s="242"/>
      <c r="T997" s="242"/>
      <c r="U997" s="242"/>
      <c r="V997" s="242"/>
      <c r="W997" s="242"/>
      <c r="X997" s="242"/>
      <c r="Y997" s="148"/>
      <c r="Z997" s="148"/>
    </row>
    <row r="998">
      <c r="A998" s="148"/>
      <c r="B998" s="148"/>
      <c r="C998" s="148"/>
      <c r="D998" s="245"/>
      <c r="E998" s="148"/>
      <c r="F998" s="277"/>
      <c r="G998" s="148"/>
      <c r="H998" s="148"/>
      <c r="I998" s="251"/>
      <c r="J998" s="251"/>
      <c r="K998" s="148"/>
      <c r="L998" s="254"/>
      <c r="M998" s="252"/>
      <c r="N998" s="250"/>
      <c r="O998" s="253"/>
      <c r="P998" s="240"/>
      <c r="Q998" s="148"/>
      <c r="R998" s="148"/>
      <c r="S998" s="242"/>
      <c r="T998" s="242"/>
      <c r="U998" s="242"/>
      <c r="V998" s="242"/>
      <c r="W998" s="242"/>
      <c r="X998" s="242"/>
      <c r="Y998" s="148"/>
      <c r="Z998" s="148"/>
    </row>
    <row r="999">
      <c r="A999" s="148"/>
      <c r="B999" s="148"/>
      <c r="C999" s="148"/>
      <c r="D999" s="245"/>
      <c r="E999" s="148"/>
      <c r="F999" s="277"/>
      <c r="G999" s="148"/>
      <c r="H999" s="148"/>
      <c r="I999" s="251"/>
      <c r="J999" s="251"/>
      <c r="K999" s="148"/>
      <c r="L999" s="254"/>
      <c r="M999" s="252"/>
      <c r="N999" s="250"/>
      <c r="O999" s="253"/>
      <c r="P999" s="240"/>
      <c r="Q999" s="148"/>
      <c r="R999" s="148"/>
      <c r="S999" s="242"/>
      <c r="T999" s="242"/>
      <c r="U999" s="242"/>
      <c r="V999" s="242"/>
      <c r="W999" s="242"/>
      <c r="X999" s="242"/>
      <c r="Y999" s="148"/>
      <c r="Z999" s="148"/>
    </row>
    <row r="1000">
      <c r="A1000" s="148"/>
      <c r="B1000" s="148"/>
      <c r="C1000" s="148"/>
      <c r="D1000" s="245"/>
      <c r="E1000" s="148"/>
      <c r="F1000" s="277"/>
      <c r="G1000" s="148"/>
      <c r="H1000" s="148"/>
      <c r="I1000" s="251"/>
      <c r="J1000" s="251"/>
      <c r="K1000" s="148"/>
      <c r="L1000" s="254"/>
      <c r="M1000" s="252"/>
      <c r="N1000" s="250"/>
      <c r="O1000" s="253"/>
      <c r="P1000" s="240"/>
      <c r="Q1000" s="148"/>
      <c r="R1000" s="148"/>
      <c r="S1000" s="242"/>
      <c r="T1000" s="242"/>
      <c r="U1000" s="242"/>
      <c r="V1000" s="242"/>
      <c r="W1000" s="242"/>
      <c r="X1000" s="242"/>
      <c r="Y1000" s="148"/>
      <c r="Z1000" s="148"/>
    </row>
    <row r="1001">
      <c r="A1001" s="148"/>
      <c r="B1001" s="148"/>
      <c r="C1001" s="148"/>
      <c r="D1001" s="245"/>
      <c r="E1001" s="148"/>
      <c r="F1001" s="277"/>
      <c r="G1001" s="148"/>
      <c r="H1001" s="148"/>
      <c r="I1001" s="251"/>
      <c r="J1001" s="251"/>
      <c r="K1001" s="148"/>
      <c r="L1001" s="254"/>
      <c r="M1001" s="252"/>
      <c r="N1001" s="250"/>
      <c r="O1001" s="253"/>
      <c r="P1001" s="240"/>
      <c r="Q1001" s="148"/>
      <c r="R1001" s="148"/>
      <c r="S1001" s="242"/>
      <c r="T1001" s="242"/>
      <c r="U1001" s="242"/>
      <c r="V1001" s="242"/>
      <c r="W1001" s="242"/>
      <c r="X1001" s="242"/>
      <c r="Y1001" s="148"/>
      <c r="Z1001" s="148"/>
    </row>
    <row r="1002">
      <c r="A1002" s="148"/>
      <c r="B1002" s="148"/>
      <c r="C1002" s="148"/>
      <c r="D1002" s="245"/>
      <c r="E1002" s="148"/>
      <c r="F1002" s="277"/>
      <c r="G1002" s="148"/>
      <c r="H1002" s="148"/>
      <c r="I1002" s="251"/>
      <c r="J1002" s="251"/>
      <c r="K1002" s="148"/>
      <c r="L1002" s="254"/>
      <c r="M1002" s="252"/>
      <c r="N1002" s="250"/>
      <c r="O1002" s="253"/>
      <c r="P1002" s="240"/>
      <c r="Q1002" s="148"/>
      <c r="R1002" s="148"/>
      <c r="S1002" s="242"/>
      <c r="T1002" s="242"/>
      <c r="U1002" s="242"/>
      <c r="V1002" s="242"/>
      <c r="W1002" s="242"/>
      <c r="X1002" s="242"/>
      <c r="Y1002" s="148"/>
      <c r="Z1002" s="148"/>
    </row>
    <row r="1003">
      <c r="A1003" s="148"/>
      <c r="B1003" s="148"/>
      <c r="C1003" s="148"/>
      <c r="D1003" s="245"/>
      <c r="E1003" s="148"/>
      <c r="F1003" s="277"/>
      <c r="G1003" s="148"/>
      <c r="H1003" s="148"/>
      <c r="I1003" s="251"/>
      <c r="J1003" s="251"/>
      <c r="K1003" s="148"/>
      <c r="L1003" s="254"/>
      <c r="M1003" s="252"/>
      <c r="N1003" s="250"/>
      <c r="O1003" s="253"/>
      <c r="P1003" s="240"/>
      <c r="Q1003" s="148"/>
      <c r="R1003" s="148"/>
      <c r="S1003" s="242"/>
      <c r="T1003" s="242"/>
      <c r="U1003" s="242"/>
      <c r="V1003" s="242"/>
      <c r="W1003" s="242"/>
      <c r="X1003" s="242"/>
      <c r="Y1003" s="148"/>
      <c r="Z1003" s="148"/>
    </row>
  </sheetData>
  <mergeCells count="138">
    <mergeCell ref="B109:C109"/>
    <mergeCell ref="B110:C110"/>
    <mergeCell ref="A114:B115"/>
    <mergeCell ref="M115:N115"/>
    <mergeCell ref="A117:A118"/>
    <mergeCell ref="G131:H131"/>
    <mergeCell ref="M132:N132"/>
    <mergeCell ref="A133:B133"/>
    <mergeCell ref="A135:B135"/>
    <mergeCell ref="A137:B138"/>
    <mergeCell ref="C137:C138"/>
    <mergeCell ref="M138:N138"/>
    <mergeCell ref="B140:C140"/>
    <mergeCell ref="B141:C141"/>
    <mergeCell ref="B142:C142"/>
    <mergeCell ref="A146:B147"/>
    <mergeCell ref="M147:N147"/>
    <mergeCell ref="G161:H161"/>
    <mergeCell ref="M162:N162"/>
    <mergeCell ref="A163:B163"/>
    <mergeCell ref="A165:B165"/>
    <mergeCell ref="A167:B168"/>
    <mergeCell ref="C167:C168"/>
    <mergeCell ref="M168:N168"/>
    <mergeCell ref="B170:C170"/>
    <mergeCell ref="B171:C171"/>
    <mergeCell ref="B172:C172"/>
    <mergeCell ref="A176:B177"/>
    <mergeCell ref="G194:H194"/>
    <mergeCell ref="M195:N195"/>
    <mergeCell ref="A196:B196"/>
    <mergeCell ref="A198:B198"/>
    <mergeCell ref="A200:B201"/>
    <mergeCell ref="C200:C201"/>
    <mergeCell ref="M201:N201"/>
    <mergeCell ref="B202:C202"/>
    <mergeCell ref="B203:C203"/>
    <mergeCell ref="B204:C204"/>
    <mergeCell ref="B205:C205"/>
    <mergeCell ref="A209:B210"/>
    <mergeCell ref="G221:H221"/>
    <mergeCell ref="M222:N222"/>
    <mergeCell ref="A223:B223"/>
    <mergeCell ref="A225:B225"/>
    <mergeCell ref="A227:B228"/>
    <mergeCell ref="C227:C228"/>
    <mergeCell ref="M228:N228"/>
    <mergeCell ref="B229:C229"/>
    <mergeCell ref="B230:C230"/>
    <mergeCell ref="B231:C231"/>
    <mergeCell ref="B232:C232"/>
    <mergeCell ref="A236:B237"/>
    <mergeCell ref="G250:H250"/>
    <mergeCell ref="M251:N251"/>
    <mergeCell ref="A252:B252"/>
    <mergeCell ref="A254:B254"/>
    <mergeCell ref="A256:B257"/>
    <mergeCell ref="M257:N257"/>
    <mergeCell ref="B258:C258"/>
    <mergeCell ref="B259:C259"/>
    <mergeCell ref="B260:C260"/>
    <mergeCell ref="B261:C261"/>
    <mergeCell ref="A265:B266"/>
    <mergeCell ref="C256:C257"/>
    <mergeCell ref="G296:H296"/>
    <mergeCell ref="M297:N297"/>
    <mergeCell ref="A298:B298"/>
    <mergeCell ref="A300:B300"/>
    <mergeCell ref="A302:B303"/>
    <mergeCell ref="M303:N303"/>
    <mergeCell ref="C302:C303"/>
    <mergeCell ref="B304:C304"/>
    <mergeCell ref="B305:C305"/>
    <mergeCell ref="B306:C306"/>
    <mergeCell ref="B307:C307"/>
    <mergeCell ref="A311:B312"/>
    <mergeCell ref="M324:N324"/>
    <mergeCell ref="G323:H323"/>
    <mergeCell ref="A325:B325"/>
    <mergeCell ref="A327:B327"/>
    <mergeCell ref="A329:B330"/>
    <mergeCell ref="C329:C330"/>
    <mergeCell ref="M330:N330"/>
    <mergeCell ref="B331:C331"/>
    <mergeCell ref="G3:H3"/>
    <mergeCell ref="M4:N4"/>
    <mergeCell ref="A5:B5"/>
    <mergeCell ref="A7:B7"/>
    <mergeCell ref="A9:B10"/>
    <mergeCell ref="C9:C10"/>
    <mergeCell ref="M9:N9"/>
    <mergeCell ref="B12:C12"/>
    <mergeCell ref="B13:C13"/>
    <mergeCell ref="B14:C14"/>
    <mergeCell ref="A18:B19"/>
    <mergeCell ref="G34:H34"/>
    <mergeCell ref="A35:B35"/>
    <mergeCell ref="M35:N35"/>
    <mergeCell ref="A37:B37"/>
    <mergeCell ref="A39:B40"/>
    <mergeCell ref="C39:C40"/>
    <mergeCell ref="B42:C42"/>
    <mergeCell ref="B43:C43"/>
    <mergeCell ref="B44:C44"/>
    <mergeCell ref="A48:B49"/>
    <mergeCell ref="B45:C45"/>
    <mergeCell ref="B69:C69"/>
    <mergeCell ref="G70:H70"/>
    <mergeCell ref="M71:N71"/>
    <mergeCell ref="A72:B72"/>
    <mergeCell ref="A74:B74"/>
    <mergeCell ref="A76:B77"/>
    <mergeCell ref="C76:C77"/>
    <mergeCell ref="B79:C79"/>
    <mergeCell ref="B80:C80"/>
    <mergeCell ref="B81:C81"/>
    <mergeCell ref="A85:B86"/>
    <mergeCell ref="G99:H99"/>
    <mergeCell ref="M100:N100"/>
    <mergeCell ref="A101:B101"/>
    <mergeCell ref="A103:B103"/>
    <mergeCell ref="A105:B106"/>
    <mergeCell ref="C105:C106"/>
    <mergeCell ref="M106:N106"/>
    <mergeCell ref="B108:C108"/>
    <mergeCell ref="M108:N108"/>
    <mergeCell ref="A353:E353"/>
    <mergeCell ref="A354:C354"/>
    <mergeCell ref="A372:C372"/>
    <mergeCell ref="A374:C374"/>
    <mergeCell ref="E376:E378"/>
    <mergeCell ref="B332:C332"/>
    <mergeCell ref="B333:C333"/>
    <mergeCell ref="B334:C334"/>
    <mergeCell ref="A338:B339"/>
    <mergeCell ref="M338:N338"/>
    <mergeCell ref="M341:N341"/>
    <mergeCell ref="M347:N347"/>
  </mergeCells>
  <conditionalFormatting sqref="B1:B2 B58:B66 B95:B96 B98 B129:B130 B160 B193 B220 B246:B251 B253 B255 B258:B263 B293:B297 B299 B301 B304:B309 B321:B324 B326 B328 B331:B336 B349:B352 B360:B371 B373 B375:B1003">
    <cfRule type="notContainsBlanks" dxfId="0" priority="1">
      <formula>LEN(TRIM(B1))&gt;0</formula>
    </cfRule>
  </conditionalFormatting>
  <conditionalFormatting sqref="P4:P22 P100:P118 P132:P150 P162:P180 P195:P213 P222:P240 P251:P269 P297:P315 P324:P342">
    <cfRule type="notContainsBlanks" dxfId="0" priority="2">
      <formula>LEN(TRIM(P4))&gt;0</formula>
    </cfRule>
  </conditionalFormatting>
  <conditionalFormatting sqref="C6 C36 C73 C102 C134 C164 C197 C224 C253 C299 C326">
    <cfRule type="notContainsBlanks" dxfId="0" priority="3">
      <formula>LEN(TRIM(C6))&gt;0</formula>
    </cfRule>
  </conditionalFormatting>
  <conditionalFormatting sqref="C5 C35 C72 C101 C133 C163 C196 C223 C252 C298 C325">
    <cfRule type="notContainsBlanks" dxfId="0" priority="4">
      <formula>LEN(TRIM(C5))&gt;0</formula>
    </cfRule>
  </conditionalFormatting>
  <conditionalFormatting sqref="D1:D1003">
    <cfRule type="notContainsBlanks" dxfId="0" priority="5">
      <formula>LEN(TRIM(D1))&gt;0</formula>
    </cfRule>
  </conditionalFormatting>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0"/>
    <col customWidth="1" min="2" max="2" width="9.5"/>
    <col customWidth="1" min="4" max="4" width="13.25"/>
    <col customWidth="1" min="5" max="5" width="15.13"/>
    <col customWidth="1" min="6" max="6" width="8.0"/>
    <col customWidth="1" min="7" max="7" width="3.75"/>
    <col customWidth="1" min="8" max="8" width="3.88"/>
    <col customWidth="1" min="9" max="9" width="1.25"/>
    <col customWidth="1" min="10" max="10" width="16.5"/>
    <col customWidth="1" min="11" max="11" width="0.5"/>
    <col customWidth="1" min="12" max="12" width="8.13"/>
    <col customWidth="1" min="13" max="13" width="17.13"/>
    <col customWidth="1" min="14" max="14" width="16.88"/>
    <col customWidth="1" min="15" max="15" width="12.75"/>
    <col customWidth="1" min="16" max="16" width="8.88"/>
    <col customWidth="1" min="17" max="17" width="2.63"/>
    <col customWidth="1" min="18" max="18" width="1.75"/>
    <col customWidth="1" min="19" max="19" width="2.13"/>
    <col customWidth="1" min="20" max="20" width="8.13"/>
    <col customWidth="1" min="21" max="21" width="9.5"/>
    <col customWidth="1" min="22" max="22" width="9.75"/>
    <col customWidth="1" min="23" max="23" width="5.75"/>
    <col customWidth="1" min="24" max="24" width="11.13"/>
    <col customWidth="1" min="25" max="25" width="6.88"/>
    <col customWidth="1" min="26" max="26" width="9.0"/>
  </cols>
  <sheetData>
    <row r="1">
      <c r="A1" s="158"/>
      <c r="B1" s="159"/>
      <c r="C1" s="160"/>
      <c r="D1" s="161"/>
      <c r="E1" s="159"/>
      <c r="F1" s="162"/>
      <c r="G1" s="57"/>
      <c r="H1" s="57"/>
      <c r="I1" s="151"/>
      <c r="J1" s="163"/>
      <c r="K1" s="159"/>
      <c r="L1" s="162"/>
      <c r="M1" s="165"/>
      <c r="N1" s="166"/>
      <c r="O1" s="167"/>
      <c r="P1" s="168"/>
      <c r="Q1" s="159"/>
      <c r="R1" s="57"/>
      <c r="S1" s="157"/>
      <c r="T1" s="157"/>
      <c r="U1" s="157"/>
      <c r="V1" s="157"/>
      <c r="W1" s="157"/>
      <c r="X1" s="157"/>
      <c r="Y1" s="57"/>
      <c r="Z1" s="57"/>
    </row>
    <row r="2">
      <c r="A2" s="169" t="s">
        <v>98</v>
      </c>
      <c r="B2" s="170"/>
      <c r="C2" s="171"/>
      <c r="D2" s="172"/>
      <c r="E2" s="173"/>
      <c r="F2" s="174"/>
      <c r="G2" s="175" t="s">
        <v>333</v>
      </c>
      <c r="H2" s="176"/>
      <c r="I2" s="177"/>
      <c r="J2" s="151"/>
      <c r="K2" s="57"/>
      <c r="L2" s="150"/>
      <c r="M2" s="153"/>
      <c r="N2" s="154"/>
      <c r="O2" s="178"/>
      <c r="P2" s="156"/>
      <c r="Q2" s="57"/>
      <c r="R2" s="179"/>
      <c r="S2" s="180"/>
      <c r="T2" s="180"/>
      <c r="U2" s="180"/>
      <c r="V2" s="180"/>
      <c r="W2" s="180"/>
      <c r="X2" s="180"/>
      <c r="Y2" s="181"/>
      <c r="Z2" s="181"/>
    </row>
    <row r="3">
      <c r="A3" s="182"/>
      <c r="B3" s="105"/>
      <c r="C3" s="183"/>
      <c r="D3" s="172"/>
      <c r="E3" s="184" t="s">
        <v>335</v>
      </c>
      <c r="F3" s="180" t="s">
        <v>237</v>
      </c>
      <c r="G3" s="185" t="s">
        <v>336</v>
      </c>
      <c r="H3" s="186" t="s">
        <v>337</v>
      </c>
      <c r="I3" s="104"/>
      <c r="J3" s="104" t="s">
        <v>0</v>
      </c>
      <c r="K3" s="57"/>
      <c r="L3" s="150"/>
      <c r="M3" s="187" t="s">
        <v>338</v>
      </c>
      <c r="O3" s="178" t="s">
        <v>334</v>
      </c>
      <c r="P3" s="189"/>
      <c r="Q3" s="57"/>
      <c r="R3" s="179"/>
      <c r="S3" s="157"/>
      <c r="T3" s="157"/>
      <c r="U3" s="157"/>
      <c r="V3" s="157"/>
      <c r="W3" s="157"/>
      <c r="X3" s="157"/>
      <c r="Y3" s="57"/>
      <c r="Z3" s="57"/>
    </row>
    <row r="4">
      <c r="A4" s="190" t="s">
        <v>179</v>
      </c>
      <c r="C4" s="191">
        <f>SUM(F4:F34)</f>
        <v>6705</v>
      </c>
      <c r="D4" s="172"/>
      <c r="E4" s="192" t="s">
        <v>655</v>
      </c>
      <c r="F4" s="193">
        <v>540.0</v>
      </c>
      <c r="G4" s="194"/>
      <c r="H4" s="195"/>
      <c r="I4" s="151"/>
      <c r="K4" s="196"/>
      <c r="L4" s="150"/>
      <c r="P4" s="189"/>
      <c r="Q4" s="57"/>
      <c r="R4" s="179"/>
      <c r="S4" s="157"/>
      <c r="T4" s="157"/>
      <c r="U4" s="157"/>
      <c r="V4" s="157"/>
      <c r="W4" s="157"/>
      <c r="X4" s="157"/>
      <c r="Y4" s="57"/>
      <c r="Z4" s="57"/>
    </row>
    <row r="5">
      <c r="A5" s="198" t="s">
        <v>343</v>
      </c>
      <c r="B5" s="199" t="s">
        <v>321</v>
      </c>
      <c r="C5" s="191">
        <f>SUM(P5:P33)</f>
        <v>2100</v>
      </c>
      <c r="D5" s="149"/>
      <c r="E5" s="192" t="s">
        <v>433</v>
      </c>
      <c r="F5" s="193">
        <v>120.0</v>
      </c>
      <c r="G5" s="200"/>
      <c r="H5" s="195"/>
      <c r="I5" s="201"/>
      <c r="J5" s="367" t="s">
        <v>341</v>
      </c>
      <c r="K5" s="196"/>
      <c r="L5" s="150"/>
      <c r="M5" s="252"/>
      <c r="O5" s="368" t="s">
        <v>545</v>
      </c>
      <c r="P5" s="189">
        <v>2100.0</v>
      </c>
      <c r="Q5" s="57"/>
      <c r="R5" s="179"/>
      <c r="S5" s="157"/>
      <c r="T5" s="157"/>
      <c r="U5" s="157"/>
      <c r="V5" s="157"/>
      <c r="W5" s="157"/>
      <c r="X5" s="157"/>
      <c r="Y5" s="57"/>
      <c r="Z5" s="57"/>
    </row>
    <row r="6">
      <c r="A6" s="203" t="s">
        <v>201</v>
      </c>
      <c r="C6" s="204">
        <f>SUM(L5:L33)</f>
        <v>4818.21</v>
      </c>
      <c r="D6" s="149"/>
      <c r="E6" s="192" t="s">
        <v>533</v>
      </c>
      <c r="F6" s="193">
        <v>2100.0</v>
      </c>
      <c r="G6" s="297" t="s">
        <v>426</v>
      </c>
      <c r="H6" s="205"/>
      <c r="I6" s="151"/>
      <c r="J6" s="369" t="s">
        <v>345</v>
      </c>
      <c r="K6" s="196"/>
      <c r="L6" s="193">
        <v>11.82</v>
      </c>
      <c r="M6" s="252"/>
      <c r="O6" s="368"/>
      <c r="P6" s="189"/>
      <c r="Q6" s="57"/>
      <c r="R6" s="179"/>
      <c r="S6" s="157"/>
      <c r="T6" s="157"/>
      <c r="U6" s="157"/>
      <c r="V6" s="157"/>
      <c r="W6" s="157"/>
      <c r="X6" s="157"/>
      <c r="Y6" s="57"/>
      <c r="Z6" s="57"/>
    </row>
    <row r="7">
      <c r="A7" s="207"/>
      <c r="B7" s="105"/>
      <c r="C7" s="204"/>
      <c r="D7" s="149"/>
      <c r="E7" s="192" t="s">
        <v>611</v>
      </c>
      <c r="F7" s="193">
        <v>350.0</v>
      </c>
      <c r="G7" s="200"/>
      <c r="H7" s="205"/>
      <c r="I7" s="208"/>
      <c r="J7" s="370" t="s">
        <v>656</v>
      </c>
      <c r="K7" s="196"/>
      <c r="L7" s="193">
        <v>177.0</v>
      </c>
      <c r="M7" s="295" t="s">
        <v>443</v>
      </c>
      <c r="O7" s="371"/>
      <c r="P7" s="189"/>
      <c r="Q7" s="57"/>
      <c r="R7" s="179"/>
      <c r="S7" s="157"/>
      <c r="T7" s="157"/>
      <c r="U7" s="157"/>
      <c r="V7" s="157"/>
      <c r="W7" s="157"/>
      <c r="X7" s="157"/>
      <c r="Y7" s="57"/>
      <c r="Z7" s="57"/>
    </row>
    <row r="8">
      <c r="A8" s="211" t="s">
        <v>350</v>
      </c>
      <c r="C8" s="212">
        <f>C4-C6-C10-B16-B11</f>
        <v>907.79</v>
      </c>
      <c r="D8" s="149"/>
      <c r="E8" s="192" t="s">
        <v>657</v>
      </c>
      <c r="F8" s="193">
        <v>100.0</v>
      </c>
      <c r="G8" s="200"/>
      <c r="H8" s="205"/>
      <c r="I8" s="201"/>
      <c r="J8" s="370" t="s">
        <v>658</v>
      </c>
      <c r="K8" s="196"/>
      <c r="L8" s="193">
        <v>47.0</v>
      </c>
      <c r="M8" s="295" t="s">
        <v>659</v>
      </c>
      <c r="O8" s="371"/>
      <c r="P8" s="189"/>
      <c r="Q8" s="57"/>
      <c r="R8" s="179"/>
      <c r="S8" s="157"/>
      <c r="T8" s="157"/>
      <c r="U8" s="157"/>
      <c r="V8" s="157"/>
      <c r="W8" s="157"/>
      <c r="X8" s="157"/>
      <c r="Y8" s="57"/>
      <c r="Z8" s="57"/>
    </row>
    <row r="9">
      <c r="A9" s="213"/>
      <c r="C9" s="214"/>
      <c r="D9" s="149"/>
      <c r="E9" s="192" t="s">
        <v>569</v>
      </c>
      <c r="F9" s="193">
        <v>460.0</v>
      </c>
      <c r="G9" s="200"/>
      <c r="H9" s="205"/>
      <c r="I9" s="201"/>
      <c r="J9" s="370" t="s">
        <v>660</v>
      </c>
      <c r="K9" s="196"/>
      <c r="L9" s="193">
        <v>240.0</v>
      </c>
      <c r="M9" s="295"/>
      <c r="O9" s="371"/>
      <c r="P9" s="189"/>
      <c r="Q9" s="57"/>
      <c r="R9" s="179"/>
      <c r="S9" s="157"/>
      <c r="T9" s="157"/>
      <c r="U9" s="157"/>
      <c r="V9" s="157"/>
      <c r="W9" s="157"/>
      <c r="X9" s="157"/>
      <c r="Y9" s="57"/>
      <c r="Z9" s="57"/>
    </row>
    <row r="10">
      <c r="A10" s="216" t="s">
        <v>356</v>
      </c>
      <c r="C10" s="191">
        <v>840.0</v>
      </c>
      <c r="D10" s="149"/>
      <c r="E10" s="192" t="s">
        <v>661</v>
      </c>
      <c r="F10" s="193">
        <v>200.0</v>
      </c>
      <c r="G10" s="200"/>
      <c r="H10" s="205"/>
      <c r="I10" s="208"/>
      <c r="J10" s="370" t="s">
        <v>662</v>
      </c>
      <c r="K10" s="196"/>
      <c r="L10" s="193">
        <v>87.0</v>
      </c>
      <c r="M10" s="295" t="s">
        <v>663</v>
      </c>
      <c r="O10" s="371"/>
      <c r="P10" s="156"/>
      <c r="Q10" s="57"/>
      <c r="R10" s="179"/>
      <c r="S10" s="157"/>
      <c r="T10" s="157"/>
      <c r="U10" s="157"/>
      <c r="V10" s="157"/>
      <c r="W10" s="157"/>
      <c r="X10" s="157"/>
      <c r="Y10" s="57"/>
      <c r="Z10" s="57"/>
    </row>
    <row r="11">
      <c r="A11" s="218" t="s">
        <v>214</v>
      </c>
      <c r="B11" s="219"/>
      <c r="C11" s="372"/>
      <c r="D11" s="373" t="s">
        <v>664</v>
      </c>
      <c r="E11" s="192" t="s">
        <v>665</v>
      </c>
      <c r="F11" s="193">
        <v>85.0</v>
      </c>
      <c r="G11" s="200"/>
      <c r="H11" s="205"/>
      <c r="I11" s="151"/>
      <c r="J11" s="370" t="s">
        <v>666</v>
      </c>
      <c r="K11" s="196"/>
      <c r="L11" s="193">
        <v>85.0</v>
      </c>
      <c r="M11" s="295" t="s">
        <v>667</v>
      </c>
      <c r="O11" s="371"/>
      <c r="P11" s="156"/>
      <c r="Q11" s="57"/>
      <c r="R11" s="179"/>
      <c r="S11" s="157"/>
      <c r="T11" s="157"/>
      <c r="U11" s="157"/>
      <c r="V11" s="157"/>
      <c r="W11" s="157"/>
      <c r="X11" s="157"/>
      <c r="Y11" s="57"/>
      <c r="Z11" s="57"/>
    </row>
    <row r="12">
      <c r="A12" s="221" t="s">
        <v>272</v>
      </c>
      <c r="B12" s="222">
        <v>1250.0</v>
      </c>
      <c r="C12" s="223"/>
      <c r="D12" s="149"/>
      <c r="E12" s="192" t="s">
        <v>519</v>
      </c>
      <c r="F12" s="193">
        <v>80.0</v>
      </c>
      <c r="G12" s="200"/>
      <c r="H12" s="205"/>
      <c r="I12" s="208"/>
      <c r="J12" s="370" t="s">
        <v>668</v>
      </c>
      <c r="K12" s="196"/>
      <c r="L12" s="193"/>
      <c r="M12" s="252"/>
      <c r="O12" s="371"/>
      <c r="P12" s="156"/>
      <c r="Q12" s="57"/>
      <c r="R12" s="179"/>
      <c r="S12" s="157"/>
      <c r="T12" s="157"/>
      <c r="U12" s="157"/>
      <c r="V12" s="157"/>
      <c r="W12" s="157"/>
      <c r="X12" s="157"/>
      <c r="Y12" s="57"/>
      <c r="Z12" s="57"/>
    </row>
    <row r="13">
      <c r="A13" s="224" t="s">
        <v>361</v>
      </c>
      <c r="B13" s="225">
        <v>4050.0</v>
      </c>
      <c r="C13" s="226"/>
      <c r="D13" s="149"/>
      <c r="E13" s="192" t="s">
        <v>669</v>
      </c>
      <c r="F13" s="193">
        <v>760.0</v>
      </c>
      <c r="G13" s="200"/>
      <c r="H13" s="205"/>
      <c r="I13" s="151"/>
      <c r="J13" s="370" t="s">
        <v>670</v>
      </c>
      <c r="K13" s="196"/>
      <c r="L13" s="193">
        <v>1250.0</v>
      </c>
      <c r="M13" s="252"/>
      <c r="O13" s="371"/>
      <c r="P13" s="156"/>
      <c r="Q13" s="57"/>
      <c r="R13" s="179"/>
      <c r="S13" s="157"/>
      <c r="T13" s="157"/>
      <c r="U13" s="157"/>
      <c r="V13" s="157"/>
      <c r="W13" s="157"/>
      <c r="X13" s="157"/>
      <c r="Y13" s="57"/>
      <c r="Z13" s="57"/>
    </row>
    <row r="14">
      <c r="A14" s="57"/>
      <c r="B14" s="105"/>
      <c r="C14" s="105"/>
      <c r="D14" s="149"/>
      <c r="E14" s="192" t="s">
        <v>613</v>
      </c>
      <c r="F14" s="193">
        <v>500.0</v>
      </c>
      <c r="G14" s="194"/>
      <c r="H14" s="205"/>
      <c r="I14" s="227"/>
      <c r="J14" s="370" t="s">
        <v>217</v>
      </c>
      <c r="K14" s="196"/>
      <c r="L14" s="193"/>
      <c r="M14" s="252"/>
      <c r="O14" s="371"/>
      <c r="P14" s="156"/>
      <c r="Q14" s="57"/>
      <c r="R14" s="179"/>
      <c r="S14" s="157"/>
      <c r="T14" s="157"/>
      <c r="U14" s="157"/>
      <c r="V14" s="157"/>
      <c r="W14" s="157"/>
      <c r="X14" s="157"/>
      <c r="Y14" s="57"/>
      <c r="Z14" s="57"/>
    </row>
    <row r="15">
      <c r="A15" s="148"/>
      <c r="B15" s="148"/>
      <c r="C15" s="105"/>
      <c r="D15" s="149"/>
      <c r="E15" s="192" t="s">
        <v>518</v>
      </c>
      <c r="F15" s="193">
        <v>200.0</v>
      </c>
      <c r="G15" s="200"/>
      <c r="H15" s="205"/>
      <c r="I15" s="201"/>
      <c r="J15" s="374"/>
      <c r="K15" s="196"/>
      <c r="L15" s="193"/>
      <c r="M15" s="252"/>
      <c r="O15" s="371"/>
      <c r="P15" s="156"/>
      <c r="Q15" s="57"/>
      <c r="R15" s="179"/>
      <c r="S15" s="157"/>
      <c r="T15" s="157"/>
      <c r="U15" s="157"/>
      <c r="V15" s="157"/>
      <c r="W15" s="157"/>
      <c r="X15" s="157"/>
      <c r="Y15" s="57"/>
      <c r="Z15" s="57"/>
    </row>
    <row r="16">
      <c r="A16" s="229" t="s">
        <v>365</v>
      </c>
      <c r="B16" s="230">
        <f>SUM(C17,C18,C19,C20,C21,C22,C23,C24,C25,C26)</f>
        <v>139</v>
      </c>
      <c r="C16" s="231" t="s">
        <v>366</v>
      </c>
      <c r="D16" s="149"/>
      <c r="E16" s="192" t="s">
        <v>671</v>
      </c>
      <c r="F16" s="193">
        <v>80.0</v>
      </c>
      <c r="G16" s="194"/>
      <c r="H16" s="205"/>
      <c r="I16" s="208"/>
      <c r="J16" s="375" t="s">
        <v>672</v>
      </c>
      <c r="K16" s="196"/>
      <c r="L16" s="193">
        <v>87.02</v>
      </c>
      <c r="M16" s="252"/>
      <c r="O16" s="371"/>
      <c r="P16" s="189"/>
      <c r="Q16" s="57"/>
      <c r="R16" s="179"/>
      <c r="S16" s="157"/>
      <c r="T16" s="157"/>
      <c r="U16" s="157"/>
      <c r="V16" s="157"/>
      <c r="W16" s="157"/>
      <c r="X16" s="157"/>
      <c r="Y16" s="57"/>
      <c r="Z16" s="57"/>
    </row>
    <row r="17">
      <c r="A17" s="232" t="s">
        <v>369</v>
      </c>
      <c r="C17" s="233">
        <v>21.0</v>
      </c>
      <c r="D17" s="234" t="s">
        <v>673</v>
      </c>
      <c r="E17" s="192" t="s">
        <v>674</v>
      </c>
      <c r="F17" s="193">
        <v>250.0</v>
      </c>
      <c r="G17" s="200"/>
      <c r="H17" s="205"/>
      <c r="I17" s="151"/>
      <c r="J17" s="375" t="s">
        <v>675</v>
      </c>
      <c r="K17" s="196"/>
      <c r="L17" s="193"/>
      <c r="M17" s="252"/>
      <c r="O17" s="371"/>
      <c r="P17" s="156"/>
      <c r="Q17" s="57"/>
      <c r="R17" s="179"/>
      <c r="S17" s="157"/>
      <c r="T17" s="157"/>
      <c r="U17" s="157"/>
      <c r="V17" s="157"/>
      <c r="W17" s="157"/>
      <c r="X17" s="157"/>
      <c r="Y17" s="57"/>
      <c r="Z17" s="57"/>
    </row>
    <row r="18">
      <c r="C18" s="233">
        <v>118.0</v>
      </c>
      <c r="D18" s="234" t="s">
        <v>676</v>
      </c>
      <c r="E18" s="192"/>
      <c r="F18" s="193"/>
      <c r="G18" s="200"/>
      <c r="H18" s="205"/>
      <c r="I18" s="151"/>
      <c r="J18" s="375" t="s">
        <v>6</v>
      </c>
      <c r="K18" s="196"/>
      <c r="L18" s="193"/>
      <c r="M18" s="252"/>
      <c r="O18" s="371"/>
      <c r="P18" s="156"/>
      <c r="Q18" s="57"/>
      <c r="R18" s="179"/>
      <c r="S18" s="157"/>
      <c r="T18" s="157"/>
      <c r="U18" s="157"/>
      <c r="V18" s="157"/>
      <c r="W18" s="157"/>
      <c r="X18" s="157"/>
      <c r="Y18" s="57"/>
      <c r="Z18" s="57"/>
    </row>
    <row r="19">
      <c r="A19" s="57"/>
      <c r="B19" s="105"/>
      <c r="C19" s="235"/>
      <c r="D19" s="149"/>
      <c r="E19" s="192"/>
      <c r="F19" s="193"/>
      <c r="G19" s="200"/>
      <c r="H19" s="205"/>
      <c r="I19" s="201"/>
      <c r="J19" s="375" t="s">
        <v>677</v>
      </c>
      <c r="K19" s="196"/>
      <c r="L19" s="193">
        <v>50.0</v>
      </c>
      <c r="M19" s="295" t="s">
        <v>678</v>
      </c>
      <c r="O19" s="376"/>
      <c r="P19" s="156"/>
      <c r="Q19" s="57"/>
      <c r="R19" s="179"/>
      <c r="S19" s="157"/>
      <c r="T19" s="157"/>
      <c r="U19" s="157"/>
      <c r="V19" s="157"/>
      <c r="W19" s="157"/>
      <c r="X19" s="157"/>
      <c r="Y19" s="57"/>
      <c r="Z19" s="57"/>
    </row>
    <row r="20">
      <c r="A20" s="57"/>
      <c r="B20" s="105"/>
      <c r="C20" s="235"/>
      <c r="D20" s="149"/>
      <c r="E20" s="192"/>
      <c r="F20" s="193"/>
      <c r="G20" s="200"/>
      <c r="H20" s="205"/>
      <c r="I20" s="208"/>
      <c r="J20" s="375" t="s">
        <v>679</v>
      </c>
      <c r="K20" s="196"/>
      <c r="L20" s="193">
        <v>190.0</v>
      </c>
      <c r="M20" s="252"/>
      <c r="O20" s="376"/>
      <c r="P20" s="156"/>
      <c r="Q20" s="57"/>
      <c r="R20" s="179"/>
      <c r="S20" s="157"/>
      <c r="T20" s="157"/>
      <c r="U20" s="157"/>
      <c r="V20" s="157"/>
      <c r="W20" s="157"/>
      <c r="X20" s="157"/>
      <c r="Y20" s="57"/>
      <c r="Z20" s="57"/>
    </row>
    <row r="21">
      <c r="A21" s="57"/>
      <c r="B21" s="105"/>
      <c r="C21" s="235"/>
      <c r="D21" s="149"/>
      <c r="E21" s="192"/>
      <c r="F21" s="193"/>
      <c r="G21" s="200"/>
      <c r="H21" s="205"/>
      <c r="I21" s="208"/>
      <c r="J21" s="375" t="s">
        <v>680</v>
      </c>
      <c r="K21" s="196"/>
      <c r="L21" s="193">
        <v>205.0</v>
      </c>
      <c r="M21" s="295" t="s">
        <v>681</v>
      </c>
      <c r="O21" s="371"/>
      <c r="P21" s="156"/>
      <c r="Q21" s="57"/>
      <c r="R21" s="179"/>
      <c r="S21" s="157"/>
      <c r="T21" s="157"/>
      <c r="U21" s="157"/>
      <c r="V21" s="157"/>
      <c r="W21" s="157"/>
      <c r="X21" s="157"/>
      <c r="Y21" s="57"/>
      <c r="Z21" s="57"/>
    </row>
    <row r="22">
      <c r="A22" s="57"/>
      <c r="B22" s="105"/>
      <c r="C22" s="235"/>
      <c r="D22" s="149"/>
      <c r="E22" s="192"/>
      <c r="F22" s="193"/>
      <c r="G22" s="200"/>
      <c r="H22" s="205"/>
      <c r="I22" s="208"/>
      <c r="J22" s="377"/>
      <c r="K22" s="237"/>
      <c r="L22" s="193"/>
      <c r="M22" s="295"/>
      <c r="O22" s="371"/>
      <c r="P22" s="156"/>
      <c r="Q22" s="57"/>
      <c r="R22" s="179"/>
      <c r="S22" s="157"/>
      <c r="T22" s="157"/>
      <c r="U22" s="157"/>
      <c r="V22" s="157"/>
      <c r="W22" s="157"/>
      <c r="X22" s="157"/>
      <c r="Y22" s="57"/>
      <c r="Z22" s="57"/>
    </row>
    <row r="23">
      <c r="A23" s="238"/>
      <c r="B23" s="105"/>
      <c r="C23" s="235"/>
      <c r="D23" s="149"/>
      <c r="E23" s="192"/>
      <c r="F23" s="193"/>
      <c r="G23" s="200"/>
      <c r="H23" s="205"/>
      <c r="I23" s="208"/>
      <c r="J23" s="378" t="s">
        <v>682</v>
      </c>
      <c r="K23" s="237"/>
      <c r="L23" s="193">
        <v>60.0</v>
      </c>
      <c r="M23" s="295" t="s">
        <v>683</v>
      </c>
      <c r="O23" s="371"/>
      <c r="P23" s="156"/>
      <c r="Q23" s="57"/>
      <c r="R23" s="179"/>
      <c r="S23" s="157"/>
      <c r="T23" s="157"/>
      <c r="U23" s="157"/>
      <c r="V23" s="157"/>
      <c r="W23" s="157"/>
      <c r="X23" s="157"/>
      <c r="Y23" s="57"/>
      <c r="Z23" s="57"/>
    </row>
    <row r="24">
      <c r="A24" s="239"/>
      <c r="B24" s="105"/>
      <c r="C24" s="235"/>
      <c r="D24" s="149"/>
      <c r="E24" s="192"/>
      <c r="F24" s="193"/>
      <c r="G24" s="200"/>
      <c r="H24" s="205"/>
      <c r="I24" s="208"/>
      <c r="J24" s="378" t="s">
        <v>684</v>
      </c>
      <c r="K24" s="196"/>
      <c r="L24" s="193">
        <v>74.0</v>
      </c>
      <c r="M24" s="295" t="s">
        <v>685</v>
      </c>
      <c r="O24" s="371"/>
      <c r="P24" s="240"/>
      <c r="Q24" s="148"/>
      <c r="R24" s="241"/>
      <c r="S24" s="242"/>
      <c r="T24" s="242"/>
      <c r="U24" s="242"/>
      <c r="V24" s="242"/>
      <c r="W24" s="242"/>
      <c r="X24" s="242"/>
      <c r="Y24" s="148"/>
      <c r="Z24" s="148"/>
    </row>
    <row r="25">
      <c r="A25" s="148"/>
      <c r="B25" s="243"/>
      <c r="C25" s="244"/>
      <c r="D25" s="245"/>
      <c r="E25" s="246"/>
      <c r="F25" s="247"/>
      <c r="G25" s="248"/>
      <c r="H25" s="249"/>
      <c r="I25" s="208"/>
      <c r="J25" s="378" t="s">
        <v>686</v>
      </c>
      <c r="K25" s="196"/>
      <c r="L25" s="193"/>
      <c r="M25" s="252"/>
      <c r="O25" s="376"/>
      <c r="P25" s="240"/>
      <c r="Q25" s="148"/>
      <c r="R25" s="241"/>
      <c r="S25" s="242"/>
      <c r="T25" s="242"/>
      <c r="U25" s="242"/>
      <c r="V25" s="242"/>
      <c r="W25" s="242"/>
      <c r="X25" s="242"/>
      <c r="Y25" s="148"/>
      <c r="Z25" s="148"/>
    </row>
    <row r="26">
      <c r="A26" s="148"/>
      <c r="B26" s="243"/>
      <c r="C26" s="244"/>
      <c r="D26" s="245"/>
      <c r="E26" s="246"/>
      <c r="F26" s="247"/>
      <c r="G26" s="248"/>
      <c r="H26" s="249"/>
      <c r="I26" s="251"/>
      <c r="J26" s="379" t="s">
        <v>202</v>
      </c>
      <c r="K26" s="196"/>
      <c r="L26" s="193">
        <v>274.37</v>
      </c>
      <c r="M26" s="252"/>
      <c r="O26" s="368"/>
      <c r="P26" s="156"/>
      <c r="Q26" s="57"/>
      <c r="R26" s="179"/>
      <c r="S26" s="157"/>
      <c r="T26" s="157"/>
      <c r="U26" s="157"/>
      <c r="V26" s="157"/>
      <c r="W26" s="157"/>
      <c r="X26" s="157"/>
      <c r="Y26" s="57"/>
      <c r="Z26" s="57"/>
    </row>
    <row r="27">
      <c r="A27" s="148"/>
      <c r="B27" s="380" t="s">
        <v>687</v>
      </c>
      <c r="C27" s="380">
        <v>2031.0</v>
      </c>
      <c r="D27" s="245"/>
      <c r="E27" s="246"/>
      <c r="F27" s="247"/>
      <c r="G27" s="248"/>
      <c r="H27" s="249"/>
      <c r="I27" s="251"/>
      <c r="J27" s="379" t="s">
        <v>274</v>
      </c>
      <c r="K27" s="196"/>
      <c r="L27" s="247"/>
      <c r="M27" s="381" t="s">
        <v>688</v>
      </c>
      <c r="O27" s="371"/>
      <c r="P27" s="156"/>
      <c r="Q27" s="57"/>
      <c r="R27" s="179"/>
      <c r="S27" s="157"/>
      <c r="T27" s="157"/>
      <c r="U27" s="157"/>
      <c r="V27" s="157"/>
      <c r="W27" s="157"/>
      <c r="X27" s="157"/>
      <c r="Y27" s="57"/>
      <c r="Z27" s="57"/>
    </row>
    <row r="28">
      <c r="A28" s="148"/>
      <c r="B28" s="243"/>
      <c r="C28" s="380"/>
      <c r="D28" s="245"/>
      <c r="E28" s="246"/>
      <c r="F28" s="247"/>
      <c r="G28" s="248"/>
      <c r="H28" s="249"/>
      <c r="I28" s="251"/>
      <c r="J28" s="382"/>
      <c r="K28" s="196"/>
      <c r="L28" s="277"/>
      <c r="M28" s="252"/>
      <c r="O28" s="371"/>
      <c r="P28" s="156"/>
      <c r="Q28" s="57"/>
      <c r="R28" s="179"/>
      <c r="S28" s="157"/>
      <c r="T28" s="157"/>
      <c r="U28" s="157"/>
      <c r="V28" s="157"/>
      <c r="W28" s="157"/>
      <c r="X28" s="157"/>
      <c r="Y28" s="57"/>
      <c r="Z28" s="57"/>
    </row>
    <row r="29">
      <c r="A29" s="148"/>
      <c r="B29" s="380"/>
      <c r="C29" s="243"/>
      <c r="D29" s="245"/>
      <c r="E29" s="246"/>
      <c r="F29" s="247"/>
      <c r="G29" s="248"/>
      <c r="H29" s="249"/>
      <c r="I29" s="251"/>
      <c r="J29" s="383" t="s">
        <v>381</v>
      </c>
      <c r="K29" s="196"/>
      <c r="L29" s="247">
        <v>910.0</v>
      </c>
      <c r="M29" s="295"/>
      <c r="O29" s="376"/>
      <c r="P29" s="156"/>
      <c r="Q29" s="57"/>
      <c r="R29" s="179"/>
      <c r="S29" s="157"/>
      <c r="T29" s="157"/>
      <c r="U29" s="157"/>
      <c r="V29" s="157"/>
      <c r="W29" s="157"/>
      <c r="X29" s="157"/>
      <c r="Y29" s="57"/>
      <c r="Z29" s="57"/>
    </row>
    <row r="30">
      <c r="A30" s="148"/>
      <c r="B30" s="243"/>
      <c r="C30" s="243"/>
      <c r="D30" s="245"/>
      <c r="E30" s="246"/>
      <c r="F30" s="247"/>
      <c r="G30" s="248"/>
      <c r="H30" s="249"/>
      <c r="I30" s="251"/>
      <c r="J30" s="383" t="s">
        <v>383</v>
      </c>
      <c r="K30" s="196"/>
      <c r="L30" s="247">
        <v>1070.0</v>
      </c>
      <c r="M30" s="295" t="s">
        <v>689</v>
      </c>
      <c r="O30" s="376"/>
      <c r="P30" s="156"/>
      <c r="Q30" s="57"/>
      <c r="R30" s="179"/>
      <c r="S30" s="157"/>
      <c r="T30" s="157"/>
      <c r="U30" s="157"/>
      <c r="V30" s="157"/>
      <c r="W30" s="157"/>
      <c r="X30" s="157"/>
      <c r="Y30" s="57"/>
      <c r="Z30" s="57"/>
    </row>
    <row r="31">
      <c r="A31" s="148"/>
      <c r="B31" s="243"/>
      <c r="C31" s="243"/>
      <c r="D31" s="245"/>
      <c r="E31" s="246" t="s">
        <v>690</v>
      </c>
      <c r="F31" s="247"/>
      <c r="G31" s="248"/>
      <c r="H31" s="249"/>
      <c r="I31" s="251"/>
      <c r="J31" s="382"/>
      <c r="K31" s="196"/>
      <c r="L31" s="247"/>
      <c r="M31" s="252"/>
      <c r="O31" s="371"/>
      <c r="P31" s="156"/>
      <c r="Q31" s="57"/>
      <c r="R31" s="179"/>
      <c r="S31" s="157"/>
      <c r="T31" s="157"/>
      <c r="U31" s="157"/>
      <c r="V31" s="157"/>
      <c r="W31" s="157"/>
      <c r="X31" s="157"/>
      <c r="Y31" s="57"/>
      <c r="Z31" s="57"/>
    </row>
    <row r="32">
      <c r="A32" s="148"/>
      <c r="B32" s="243"/>
      <c r="C32" s="243"/>
      <c r="D32" s="245"/>
      <c r="E32" s="246" t="s">
        <v>691</v>
      </c>
      <c r="F32" s="247"/>
      <c r="G32" s="248"/>
      <c r="H32" s="249"/>
      <c r="I32" s="251"/>
      <c r="J32" s="384" t="s">
        <v>692</v>
      </c>
      <c r="K32" s="196"/>
      <c r="L32" s="247"/>
      <c r="M32" s="252"/>
      <c r="O32" s="376"/>
      <c r="P32" s="156"/>
      <c r="Q32" s="57"/>
      <c r="R32" s="179"/>
      <c r="S32" s="157"/>
      <c r="T32" s="157"/>
      <c r="U32" s="157"/>
      <c r="V32" s="157"/>
      <c r="W32" s="157"/>
      <c r="X32" s="157"/>
      <c r="Y32" s="57"/>
      <c r="Z32" s="57"/>
    </row>
    <row r="33">
      <c r="A33" s="148"/>
      <c r="B33" s="243"/>
      <c r="C33" s="243"/>
      <c r="D33" s="245"/>
      <c r="E33" s="246" t="s">
        <v>693</v>
      </c>
      <c r="F33" s="247">
        <v>230.0</v>
      </c>
      <c r="G33" s="248"/>
      <c r="H33" s="249"/>
      <c r="I33" s="251"/>
      <c r="J33" s="384" t="s">
        <v>694</v>
      </c>
      <c r="K33" s="196"/>
      <c r="L33" s="247"/>
      <c r="M33" s="252"/>
      <c r="O33" s="371"/>
      <c r="P33" s="156"/>
      <c r="Q33" s="57"/>
      <c r="R33" s="179"/>
      <c r="S33" s="157"/>
      <c r="T33" s="157"/>
      <c r="U33" s="157"/>
      <c r="V33" s="157"/>
      <c r="W33" s="157"/>
      <c r="X33" s="157"/>
      <c r="Y33" s="57"/>
      <c r="Z33" s="57"/>
    </row>
    <row r="34">
      <c r="A34" s="148"/>
      <c r="B34" s="243"/>
      <c r="C34" s="243"/>
      <c r="D34" s="245"/>
      <c r="E34" s="385" t="s">
        <v>695</v>
      </c>
      <c r="F34" s="247">
        <v>650.0</v>
      </c>
      <c r="G34" s="255"/>
      <c r="H34" s="249"/>
      <c r="I34" s="251"/>
      <c r="J34" s="251"/>
      <c r="K34" s="148"/>
      <c r="L34" s="277"/>
      <c r="M34" s="295"/>
      <c r="N34" s="250"/>
      <c r="O34" s="155"/>
      <c r="P34" s="156"/>
      <c r="Q34" s="57"/>
      <c r="R34" s="179"/>
      <c r="S34" s="157"/>
      <c r="T34" s="157"/>
      <c r="U34" s="157"/>
      <c r="V34" s="157"/>
      <c r="W34" s="157"/>
      <c r="X34" s="157"/>
      <c r="Y34" s="57"/>
      <c r="Z34" s="57"/>
    </row>
    <row r="35">
      <c r="A35" s="148"/>
      <c r="B35" s="243"/>
      <c r="C35" s="243"/>
      <c r="D35" s="148"/>
      <c r="E35" s="246"/>
      <c r="F35" s="247"/>
      <c r="G35" s="256"/>
      <c r="H35" s="257"/>
      <c r="I35" s="251"/>
      <c r="J35" s="251"/>
      <c r="K35" s="148"/>
      <c r="L35" s="277"/>
      <c r="M35" s="295"/>
      <c r="N35" s="250"/>
      <c r="O35" s="155"/>
      <c r="P35" s="156"/>
      <c r="Q35" s="57"/>
      <c r="R35" s="179"/>
      <c r="S35" s="157"/>
      <c r="T35" s="157"/>
      <c r="U35" s="157"/>
      <c r="V35" s="157"/>
      <c r="W35" s="157"/>
      <c r="X35" s="157"/>
      <c r="Y35" s="57"/>
      <c r="Z35" s="57"/>
    </row>
    <row r="36">
      <c r="A36" s="147"/>
      <c r="B36" s="243"/>
      <c r="C36" s="243"/>
      <c r="D36" s="149"/>
      <c r="E36" s="57"/>
      <c r="F36" s="150"/>
      <c r="G36" s="57"/>
      <c r="H36" s="57"/>
      <c r="I36" s="151"/>
      <c r="J36" s="151"/>
      <c r="K36" s="57"/>
      <c r="L36" s="150"/>
      <c r="M36" s="153"/>
      <c r="N36" s="154"/>
      <c r="O36" s="155"/>
      <c r="P36" s="156"/>
      <c r="Q36" s="57"/>
      <c r="R36" s="179"/>
      <c r="S36" s="157"/>
      <c r="T36" s="157"/>
      <c r="U36" s="157"/>
      <c r="V36" s="157"/>
      <c r="W36" s="157"/>
      <c r="X36" s="157"/>
      <c r="Y36" s="57"/>
      <c r="Z36" s="57"/>
    </row>
    <row r="37" ht="6.75" customHeight="1">
      <c r="A37" s="386"/>
      <c r="B37" s="170"/>
      <c r="C37" s="170"/>
      <c r="D37" s="387"/>
      <c r="E37" s="388"/>
      <c r="F37" s="389"/>
      <c r="G37" s="388"/>
      <c r="H37" s="388"/>
      <c r="I37" s="177"/>
      <c r="J37" s="177"/>
      <c r="K37" s="388"/>
      <c r="L37" s="389"/>
      <c r="M37" s="390"/>
      <c r="N37" s="391"/>
      <c r="O37" s="392"/>
      <c r="P37" s="393"/>
      <c r="Q37" s="388"/>
      <c r="R37" s="57"/>
      <c r="S37" s="157"/>
      <c r="T37" s="157"/>
      <c r="U37" s="157"/>
      <c r="V37" s="157"/>
      <c r="W37" s="157"/>
      <c r="X37" s="157"/>
      <c r="Y37" s="57"/>
      <c r="Z37" s="57"/>
    </row>
    <row r="38">
      <c r="A38" s="158"/>
      <c r="B38" s="159"/>
      <c r="C38" s="160"/>
      <c r="D38" s="161"/>
      <c r="E38" s="159"/>
      <c r="F38" s="162"/>
      <c r="G38" s="57"/>
      <c r="H38" s="57"/>
      <c r="I38" s="151"/>
      <c r="J38" s="163"/>
      <c r="K38" s="159"/>
      <c r="L38" s="162"/>
      <c r="M38" s="165"/>
      <c r="N38" s="166"/>
      <c r="O38" s="167"/>
      <c r="P38" s="168"/>
      <c r="Q38" s="159"/>
      <c r="R38" s="57"/>
      <c r="S38" s="394"/>
      <c r="T38" s="394"/>
      <c r="U38" s="394"/>
      <c r="V38" s="394"/>
      <c r="W38" s="394"/>
      <c r="X38" s="394"/>
      <c r="Y38" s="395"/>
      <c r="Z38" s="395"/>
    </row>
    <row r="39">
      <c r="A39" s="169" t="s">
        <v>104</v>
      </c>
      <c r="B39" s="170"/>
      <c r="C39" s="171"/>
      <c r="D39" s="172"/>
      <c r="E39" s="173"/>
      <c r="F39" s="174"/>
      <c r="G39" s="175" t="s">
        <v>333</v>
      </c>
      <c r="H39" s="176"/>
      <c r="I39" s="177"/>
      <c r="J39" s="151"/>
      <c r="K39" s="57"/>
      <c r="L39" s="150"/>
      <c r="M39" s="153"/>
      <c r="N39" s="154"/>
      <c r="O39" s="178"/>
      <c r="P39" s="156"/>
      <c r="Q39" s="57"/>
      <c r="R39" s="179"/>
      <c r="S39" s="394"/>
      <c r="T39" s="394"/>
      <c r="U39" s="394"/>
      <c r="V39" s="394"/>
      <c r="W39" s="394"/>
      <c r="X39" s="394"/>
      <c r="Y39" s="395"/>
      <c r="Z39" s="395"/>
    </row>
    <row r="40">
      <c r="A40" s="182"/>
      <c r="B40" s="105"/>
      <c r="C40" s="183"/>
      <c r="D40" s="172"/>
      <c r="E40" s="184" t="s">
        <v>335</v>
      </c>
      <c r="F40" s="180" t="s">
        <v>237</v>
      </c>
      <c r="G40" s="185" t="s">
        <v>336</v>
      </c>
      <c r="H40" s="186" t="s">
        <v>337</v>
      </c>
      <c r="I40" s="104"/>
      <c r="J40" s="104" t="s">
        <v>0</v>
      </c>
      <c r="K40" s="57"/>
      <c r="L40" s="150"/>
      <c r="M40" s="187" t="s">
        <v>338</v>
      </c>
      <c r="O40" s="178" t="s">
        <v>334</v>
      </c>
      <c r="P40" s="189"/>
      <c r="Q40" s="57"/>
      <c r="R40" s="179"/>
      <c r="S40" s="394"/>
      <c r="T40" s="394"/>
      <c r="U40" s="394"/>
      <c r="V40" s="394"/>
      <c r="W40" s="394"/>
      <c r="X40" s="394"/>
      <c r="Y40" s="395"/>
      <c r="Z40" s="395"/>
    </row>
    <row r="41">
      <c r="A41" s="190" t="s">
        <v>179</v>
      </c>
      <c r="C41" s="191">
        <f>SUM(F41:F71)</f>
        <v>10215</v>
      </c>
      <c r="D41" s="172"/>
      <c r="E41" s="192" t="s">
        <v>671</v>
      </c>
      <c r="F41" s="193">
        <v>540.0</v>
      </c>
      <c r="G41" s="194"/>
      <c r="H41" s="195"/>
      <c r="I41" s="151"/>
      <c r="K41" s="196"/>
      <c r="L41" s="150"/>
      <c r="P41" s="189"/>
      <c r="Q41" s="57"/>
      <c r="R41" s="179"/>
      <c r="S41" s="394"/>
      <c r="T41" s="394"/>
      <c r="U41" s="394"/>
      <c r="V41" s="394"/>
      <c r="W41" s="394"/>
      <c r="X41" s="394"/>
      <c r="Y41" s="395"/>
      <c r="Z41" s="395"/>
    </row>
    <row r="42">
      <c r="A42" s="198" t="s">
        <v>343</v>
      </c>
      <c r="B42" s="199" t="s">
        <v>321</v>
      </c>
      <c r="C42" s="191">
        <f>SUM(P42:P70)</f>
        <v>2420</v>
      </c>
      <c r="D42" s="149"/>
      <c r="E42" s="192" t="s">
        <v>696</v>
      </c>
      <c r="F42" s="193">
        <v>300.0</v>
      </c>
      <c r="G42" s="200"/>
      <c r="H42" s="195"/>
      <c r="I42" s="201"/>
      <c r="J42" s="367" t="s">
        <v>341</v>
      </c>
      <c r="K42" s="196"/>
      <c r="L42" s="150"/>
      <c r="M42" s="252"/>
      <c r="O42" s="368" t="s">
        <v>521</v>
      </c>
      <c r="P42" s="189">
        <v>500.0</v>
      </c>
      <c r="Q42" s="57"/>
      <c r="R42" s="179"/>
      <c r="S42" s="394"/>
      <c r="T42" s="394"/>
      <c r="U42" s="394"/>
      <c r="V42" s="394"/>
      <c r="W42" s="394"/>
      <c r="X42" s="394"/>
      <c r="Y42" s="395"/>
      <c r="Z42" s="395"/>
    </row>
    <row r="43">
      <c r="A43" s="203" t="s">
        <v>201</v>
      </c>
      <c r="C43" s="204">
        <f>SUM(L42:L70)</f>
        <v>7355</v>
      </c>
      <c r="D43" s="149"/>
      <c r="E43" s="192" t="s">
        <v>424</v>
      </c>
      <c r="F43" s="193">
        <v>500.0</v>
      </c>
      <c r="G43" s="200"/>
      <c r="H43" s="205"/>
      <c r="I43" s="151"/>
      <c r="J43" s="369" t="s">
        <v>345</v>
      </c>
      <c r="K43" s="196"/>
      <c r="L43" s="150"/>
      <c r="M43" s="252"/>
      <c r="O43" s="368" t="s">
        <v>697</v>
      </c>
      <c r="P43" s="189">
        <v>120.0</v>
      </c>
      <c r="Q43" s="57"/>
      <c r="R43" s="179"/>
      <c r="S43" s="394"/>
      <c r="T43" s="394"/>
      <c r="U43" s="394"/>
      <c r="V43" s="394"/>
      <c r="W43" s="394"/>
      <c r="X43" s="394"/>
      <c r="Y43" s="395"/>
      <c r="Z43" s="395"/>
    </row>
    <row r="44">
      <c r="A44" s="207"/>
      <c r="B44" s="105"/>
      <c r="C44" s="204"/>
      <c r="D44" s="149"/>
      <c r="E44" s="192" t="s">
        <v>611</v>
      </c>
      <c r="F44" s="193">
        <v>90.0</v>
      </c>
      <c r="G44" s="194"/>
      <c r="H44" s="205"/>
      <c r="I44" s="208"/>
      <c r="J44" s="370" t="s">
        <v>656</v>
      </c>
      <c r="K44" s="196"/>
      <c r="L44" s="193"/>
      <c r="M44" s="252"/>
      <c r="O44" s="368" t="s">
        <v>698</v>
      </c>
      <c r="P44" s="189">
        <v>1800.0</v>
      </c>
      <c r="Q44" s="57"/>
      <c r="R44" s="179"/>
      <c r="S44" s="394"/>
      <c r="T44" s="394"/>
      <c r="U44" s="394"/>
      <c r="V44" s="394"/>
      <c r="W44" s="394"/>
      <c r="X44" s="394"/>
      <c r="Y44" s="395"/>
      <c r="Z44" s="395"/>
    </row>
    <row r="45">
      <c r="A45" s="211" t="s">
        <v>350</v>
      </c>
      <c r="C45" s="212">
        <f>C41-C43-C47-B53-B48</f>
        <v>680.62</v>
      </c>
      <c r="D45" s="234"/>
      <c r="E45" s="192" t="s">
        <v>390</v>
      </c>
      <c r="F45" s="193">
        <v>160.0</v>
      </c>
      <c r="G45" s="396" t="s">
        <v>426</v>
      </c>
      <c r="H45" s="205"/>
      <c r="I45" s="201"/>
      <c r="J45" s="370" t="s">
        <v>658</v>
      </c>
      <c r="K45" s="196"/>
      <c r="L45" s="193">
        <v>34.0</v>
      </c>
      <c r="M45" s="295" t="s">
        <v>699</v>
      </c>
      <c r="O45" s="371"/>
      <c r="P45" s="189"/>
      <c r="Q45" s="57"/>
      <c r="R45" s="179"/>
      <c r="S45" s="394"/>
      <c r="T45" s="394"/>
      <c r="U45" s="394"/>
      <c r="V45" s="394"/>
      <c r="W45" s="394"/>
      <c r="X45" s="394"/>
      <c r="Y45" s="395"/>
      <c r="Z45" s="395"/>
    </row>
    <row r="46">
      <c r="A46" s="213"/>
      <c r="C46" s="214"/>
      <c r="D46" s="149"/>
      <c r="E46" s="192" t="s">
        <v>417</v>
      </c>
      <c r="F46" s="193">
        <v>1000.0</v>
      </c>
      <c r="G46" s="200"/>
      <c r="H46" s="205"/>
      <c r="I46" s="201"/>
      <c r="J46" s="370" t="s">
        <v>660</v>
      </c>
      <c r="K46" s="196"/>
      <c r="L46" s="193">
        <v>240.0</v>
      </c>
      <c r="M46" s="252"/>
      <c r="O46" s="371"/>
      <c r="P46" s="189"/>
      <c r="Q46" s="57"/>
      <c r="R46" s="179"/>
      <c r="S46" s="394"/>
      <c r="T46" s="394"/>
      <c r="U46" s="394"/>
      <c r="V46" s="394"/>
      <c r="W46" s="394"/>
      <c r="X46" s="394"/>
      <c r="Y46" s="395"/>
      <c r="Z46" s="395"/>
    </row>
    <row r="47">
      <c r="A47" s="216" t="s">
        <v>356</v>
      </c>
      <c r="C47" s="191">
        <v>968.0</v>
      </c>
      <c r="D47" s="149"/>
      <c r="E47" s="192" t="s">
        <v>431</v>
      </c>
      <c r="F47" s="193">
        <v>360.0</v>
      </c>
      <c r="G47" s="200"/>
      <c r="H47" s="205"/>
      <c r="I47" s="208"/>
      <c r="J47" s="370" t="s">
        <v>662</v>
      </c>
      <c r="K47" s="196"/>
      <c r="L47" s="193">
        <v>20.0</v>
      </c>
      <c r="M47" s="295" t="s">
        <v>700</v>
      </c>
      <c r="O47" s="371"/>
      <c r="P47" s="156"/>
      <c r="Q47" s="57"/>
      <c r="R47" s="179"/>
      <c r="S47" s="394"/>
      <c r="T47" s="394"/>
      <c r="U47" s="394"/>
      <c r="V47" s="394"/>
      <c r="W47" s="394"/>
      <c r="X47" s="394"/>
      <c r="Y47" s="395"/>
      <c r="Z47" s="395"/>
    </row>
    <row r="48">
      <c r="A48" s="218" t="s">
        <v>214</v>
      </c>
      <c r="B48" s="219">
        <v>600.0</v>
      </c>
      <c r="C48" s="372"/>
      <c r="D48" s="373" t="s">
        <v>664</v>
      </c>
      <c r="E48" s="192" t="s">
        <v>701</v>
      </c>
      <c r="F48" s="193">
        <v>80.0</v>
      </c>
      <c r="G48" s="200"/>
      <c r="H48" s="205"/>
      <c r="I48" s="151"/>
      <c r="J48" s="370" t="s">
        <v>666</v>
      </c>
      <c r="K48" s="196"/>
      <c r="L48" s="193"/>
      <c r="M48" s="252"/>
      <c r="O48" s="371"/>
      <c r="P48" s="156"/>
      <c r="Q48" s="57"/>
      <c r="R48" s="179"/>
      <c r="S48" s="394"/>
      <c r="T48" s="394"/>
      <c r="U48" s="394"/>
      <c r="V48" s="394"/>
      <c r="W48" s="394"/>
      <c r="X48" s="394"/>
      <c r="Y48" s="395"/>
      <c r="Z48" s="395"/>
    </row>
    <row r="49">
      <c r="A49" s="221" t="s">
        <v>272</v>
      </c>
      <c r="B49" s="222">
        <v>520.0</v>
      </c>
      <c r="C49" s="397"/>
      <c r="D49" s="149"/>
      <c r="E49" s="192" t="s">
        <v>518</v>
      </c>
      <c r="F49" s="193">
        <v>190.0</v>
      </c>
      <c r="G49" s="200"/>
      <c r="H49" s="205"/>
      <c r="I49" s="208"/>
      <c r="J49" s="370" t="s">
        <v>668</v>
      </c>
      <c r="K49" s="196"/>
      <c r="L49" s="193"/>
      <c r="M49" s="252"/>
      <c r="O49" s="371"/>
      <c r="P49" s="156"/>
      <c r="Q49" s="57"/>
      <c r="R49" s="179"/>
      <c r="S49" s="394"/>
      <c r="T49" s="394"/>
      <c r="U49" s="394"/>
      <c r="V49" s="394"/>
      <c r="W49" s="394"/>
      <c r="X49" s="394"/>
      <c r="Y49" s="395"/>
      <c r="Z49" s="395"/>
    </row>
    <row r="50">
      <c r="A50" s="224" t="s">
        <v>361</v>
      </c>
      <c r="B50" s="225">
        <v>4050.0</v>
      </c>
      <c r="C50" s="398"/>
      <c r="D50" s="149"/>
      <c r="E50" s="192" t="s">
        <v>702</v>
      </c>
      <c r="F50" s="193">
        <v>200.0</v>
      </c>
      <c r="G50" s="200"/>
      <c r="H50" s="205"/>
      <c r="I50" s="151"/>
      <c r="J50" s="370" t="s">
        <v>670</v>
      </c>
      <c r="K50" s="196"/>
      <c r="L50" s="193">
        <v>1250.0</v>
      </c>
      <c r="M50" s="252"/>
      <c r="O50" s="371"/>
      <c r="P50" s="156"/>
      <c r="Q50" s="57"/>
      <c r="R50" s="179"/>
      <c r="S50" s="394"/>
      <c r="T50" s="394"/>
      <c r="U50" s="394"/>
      <c r="V50" s="394"/>
      <c r="W50" s="394"/>
      <c r="X50" s="394"/>
      <c r="Y50" s="395"/>
      <c r="Z50" s="395"/>
    </row>
    <row r="51">
      <c r="A51" s="57"/>
      <c r="B51" s="105"/>
      <c r="C51" s="105"/>
      <c r="D51" s="149"/>
      <c r="E51" s="192" t="s">
        <v>703</v>
      </c>
      <c r="F51" s="193">
        <v>300.0</v>
      </c>
      <c r="G51" s="396" t="s">
        <v>426</v>
      </c>
      <c r="H51" s="205"/>
      <c r="I51" s="227"/>
      <c r="J51" s="370" t="s">
        <v>217</v>
      </c>
      <c r="K51" s="196"/>
      <c r="L51" s="193"/>
      <c r="M51" s="252"/>
      <c r="O51" s="371"/>
      <c r="P51" s="156"/>
      <c r="Q51" s="57"/>
      <c r="R51" s="179"/>
      <c r="S51" s="394"/>
      <c r="T51" s="394"/>
      <c r="U51" s="394"/>
      <c r="V51" s="394"/>
      <c r="W51" s="394"/>
      <c r="X51" s="394"/>
      <c r="Y51" s="395"/>
      <c r="Z51" s="395"/>
    </row>
    <row r="52">
      <c r="A52" s="148"/>
      <c r="B52" s="148"/>
      <c r="C52" s="105"/>
      <c r="D52" s="149"/>
      <c r="E52" s="192" t="s">
        <v>548</v>
      </c>
      <c r="F52" s="193">
        <v>500.0</v>
      </c>
      <c r="G52" s="297" t="s">
        <v>426</v>
      </c>
      <c r="H52" s="205"/>
      <c r="I52" s="201"/>
      <c r="J52" s="377" t="s">
        <v>704</v>
      </c>
      <c r="K52" s="196"/>
      <c r="L52" s="193">
        <v>160.0</v>
      </c>
      <c r="M52" s="252"/>
      <c r="O52" s="371"/>
      <c r="P52" s="156"/>
      <c r="Q52" s="57"/>
      <c r="R52" s="179"/>
      <c r="S52" s="394"/>
      <c r="T52" s="394"/>
      <c r="U52" s="394"/>
      <c r="V52" s="394"/>
      <c r="W52" s="394"/>
      <c r="X52" s="394"/>
      <c r="Y52" s="395"/>
      <c r="Z52" s="395"/>
    </row>
    <row r="53">
      <c r="A53" s="229" t="s">
        <v>365</v>
      </c>
      <c r="B53" s="230">
        <f>SUM(C54,C55,C56,C57,C58,C59,C60,C61,C62,C63)</f>
        <v>611.38</v>
      </c>
      <c r="C53" s="231" t="s">
        <v>366</v>
      </c>
      <c r="D53" s="149"/>
      <c r="E53" s="192" t="s">
        <v>613</v>
      </c>
      <c r="F53" s="193">
        <v>400.0</v>
      </c>
      <c r="G53" s="194"/>
      <c r="H53" s="205"/>
      <c r="I53" s="208"/>
      <c r="J53" s="375" t="s">
        <v>672</v>
      </c>
      <c r="K53" s="196"/>
      <c r="L53" s="193"/>
      <c r="M53" s="252"/>
      <c r="O53" s="371"/>
      <c r="P53" s="189"/>
      <c r="Q53" s="57"/>
      <c r="R53" s="179"/>
      <c r="S53" s="394"/>
      <c r="T53" s="394"/>
      <c r="U53" s="394"/>
      <c r="V53" s="394"/>
      <c r="W53" s="394"/>
      <c r="X53" s="394"/>
      <c r="Y53" s="395"/>
      <c r="Z53" s="395"/>
    </row>
    <row r="54">
      <c r="A54" s="232" t="s">
        <v>369</v>
      </c>
      <c r="C54" s="233">
        <v>193.0</v>
      </c>
      <c r="D54" s="234" t="s">
        <v>705</v>
      </c>
      <c r="E54" s="192" t="s">
        <v>706</v>
      </c>
      <c r="F54" s="193">
        <v>330.0</v>
      </c>
      <c r="G54" s="200"/>
      <c r="H54" s="205"/>
      <c r="I54" s="151"/>
      <c r="J54" s="375" t="s">
        <v>675</v>
      </c>
      <c r="K54" s="196"/>
      <c r="L54" s="193"/>
      <c r="M54" s="252"/>
      <c r="O54" s="371"/>
      <c r="P54" s="156"/>
      <c r="Q54" s="57"/>
      <c r="R54" s="179"/>
      <c r="S54" s="394"/>
      <c r="T54" s="394"/>
      <c r="U54" s="394"/>
      <c r="V54" s="394"/>
      <c r="W54" s="394"/>
      <c r="X54" s="394"/>
      <c r="Y54" s="395"/>
      <c r="Z54" s="395"/>
    </row>
    <row r="55">
      <c r="C55" s="233"/>
      <c r="D55" s="234"/>
      <c r="E55" s="192" t="s">
        <v>707</v>
      </c>
      <c r="F55" s="193">
        <v>120.0</v>
      </c>
      <c r="G55" s="297" t="s">
        <v>426</v>
      </c>
      <c r="H55" s="205"/>
      <c r="I55" s="151"/>
      <c r="J55" s="375" t="s">
        <v>6</v>
      </c>
      <c r="K55" s="196"/>
      <c r="L55" s="193"/>
      <c r="M55" s="252"/>
      <c r="O55" s="371"/>
      <c r="P55" s="156"/>
      <c r="Q55" s="57"/>
      <c r="R55" s="179"/>
      <c r="S55" s="394"/>
      <c r="T55" s="394"/>
      <c r="U55" s="394"/>
      <c r="V55" s="394"/>
      <c r="W55" s="394"/>
      <c r="X55" s="394"/>
      <c r="Y55" s="395"/>
      <c r="Z55" s="395"/>
    </row>
    <row r="56">
      <c r="A56" s="57"/>
      <c r="B56" s="105"/>
      <c r="C56" s="233">
        <v>10.0</v>
      </c>
      <c r="D56" s="234" t="s">
        <v>708</v>
      </c>
      <c r="E56" s="192" t="s">
        <v>567</v>
      </c>
      <c r="F56" s="193">
        <v>900.0</v>
      </c>
      <c r="G56" s="200"/>
      <c r="H56" s="205"/>
      <c r="I56" s="201"/>
      <c r="J56" s="375" t="s">
        <v>677</v>
      </c>
      <c r="K56" s="196"/>
      <c r="L56" s="193">
        <v>52.5</v>
      </c>
      <c r="M56" s="295" t="s">
        <v>709</v>
      </c>
      <c r="O56" s="376"/>
      <c r="P56" s="156"/>
      <c r="Q56" s="57"/>
      <c r="R56" s="179"/>
      <c r="S56" s="394"/>
      <c r="T56" s="394"/>
      <c r="U56" s="394"/>
      <c r="V56" s="394"/>
      <c r="W56" s="394"/>
      <c r="X56" s="394"/>
      <c r="Y56" s="395"/>
      <c r="Z56" s="395"/>
    </row>
    <row r="57">
      <c r="A57" s="57"/>
      <c r="B57" s="105"/>
      <c r="C57" s="233">
        <v>67.38</v>
      </c>
      <c r="D57" s="234" t="s">
        <v>710</v>
      </c>
      <c r="E57" s="192" t="s">
        <v>588</v>
      </c>
      <c r="F57" s="193">
        <v>80.0</v>
      </c>
      <c r="G57" s="200"/>
      <c r="H57" s="205"/>
      <c r="I57" s="208"/>
      <c r="J57" s="375" t="s">
        <v>679</v>
      </c>
      <c r="K57" s="196"/>
      <c r="L57" s="193">
        <v>238.5</v>
      </c>
      <c r="M57" s="295" t="s">
        <v>711</v>
      </c>
      <c r="O57" s="376"/>
      <c r="P57" s="156"/>
      <c r="Q57" s="57"/>
      <c r="R57" s="179"/>
      <c r="S57" s="394"/>
      <c r="T57" s="394"/>
      <c r="U57" s="394"/>
      <c r="V57" s="394"/>
      <c r="W57" s="394"/>
      <c r="X57" s="394"/>
      <c r="Y57" s="395"/>
      <c r="Z57" s="395"/>
    </row>
    <row r="58">
      <c r="A58" s="238"/>
      <c r="B58" s="105"/>
      <c r="C58" s="233">
        <v>117.0</v>
      </c>
      <c r="D58" s="234" t="s">
        <v>712</v>
      </c>
      <c r="E58" s="192" t="s">
        <v>340</v>
      </c>
      <c r="F58" s="193">
        <v>1800.0</v>
      </c>
      <c r="G58" s="297" t="s">
        <v>426</v>
      </c>
      <c r="H58" s="205"/>
      <c r="I58" s="208"/>
      <c r="J58" s="375" t="s">
        <v>680</v>
      </c>
      <c r="K58" s="196"/>
      <c r="L58" s="193"/>
      <c r="M58" s="252"/>
      <c r="O58" s="371"/>
      <c r="P58" s="156"/>
      <c r="Q58" s="57"/>
      <c r="R58" s="179"/>
      <c r="S58" s="399"/>
      <c r="T58" s="399"/>
      <c r="U58" s="399"/>
      <c r="V58" s="399"/>
      <c r="W58" s="399"/>
      <c r="X58" s="399"/>
      <c r="Y58" s="400"/>
      <c r="Z58" s="400"/>
    </row>
    <row r="59">
      <c r="A59" s="238"/>
      <c r="B59" s="105"/>
      <c r="C59" s="233">
        <v>200.0</v>
      </c>
      <c r="D59" s="234" t="s">
        <v>713</v>
      </c>
      <c r="E59" s="192" t="s">
        <v>569</v>
      </c>
      <c r="F59" s="193">
        <v>600.0</v>
      </c>
      <c r="G59" s="194"/>
      <c r="H59" s="205"/>
      <c r="I59" s="208"/>
      <c r="J59" s="377" t="s">
        <v>687</v>
      </c>
      <c r="K59" s="237"/>
      <c r="L59" s="193">
        <v>545.0</v>
      </c>
      <c r="M59" s="252"/>
      <c r="O59" s="371"/>
      <c r="P59" s="156"/>
      <c r="Q59" s="57"/>
      <c r="R59" s="179"/>
      <c r="S59" s="399"/>
      <c r="T59" s="399"/>
      <c r="U59" s="399"/>
      <c r="V59" s="399"/>
      <c r="W59" s="399"/>
      <c r="X59" s="399"/>
      <c r="Y59" s="400"/>
      <c r="Z59" s="400"/>
    </row>
    <row r="60">
      <c r="A60" s="238"/>
      <c r="B60" s="105"/>
      <c r="C60" s="233">
        <v>24.0</v>
      </c>
      <c r="D60" s="234" t="s">
        <v>714</v>
      </c>
      <c r="E60" s="192" t="s">
        <v>715</v>
      </c>
      <c r="F60" s="193">
        <v>200.0</v>
      </c>
      <c r="G60" s="200"/>
      <c r="H60" s="205"/>
      <c r="I60" s="208"/>
      <c r="J60" s="378" t="s">
        <v>682</v>
      </c>
      <c r="K60" s="237"/>
      <c r="L60" s="193">
        <v>60.0</v>
      </c>
      <c r="M60" s="295" t="s">
        <v>716</v>
      </c>
      <c r="O60" s="371"/>
      <c r="P60" s="156"/>
      <c r="Q60" s="57"/>
      <c r="R60" s="179"/>
      <c r="S60" s="394"/>
      <c r="T60" s="394"/>
      <c r="U60" s="394"/>
      <c r="V60" s="394"/>
      <c r="W60" s="394"/>
      <c r="X60" s="394"/>
      <c r="Y60" s="395"/>
      <c r="Z60" s="395"/>
    </row>
    <row r="61">
      <c r="A61" s="238"/>
      <c r="B61" s="105"/>
      <c r="C61" s="235"/>
      <c r="D61" s="149"/>
      <c r="E61" s="192"/>
      <c r="F61" s="193"/>
      <c r="G61" s="200"/>
      <c r="H61" s="205"/>
      <c r="I61" s="208"/>
      <c r="J61" s="378" t="s">
        <v>684</v>
      </c>
      <c r="K61" s="196"/>
      <c r="L61" s="193">
        <v>31.0</v>
      </c>
      <c r="M61" s="295" t="s">
        <v>717</v>
      </c>
      <c r="O61" s="371"/>
      <c r="P61" s="240"/>
      <c r="Q61" s="148"/>
      <c r="R61" s="241"/>
      <c r="S61" s="394"/>
      <c r="T61" s="394"/>
      <c r="U61" s="394"/>
      <c r="V61" s="394"/>
      <c r="W61" s="394"/>
      <c r="X61" s="394"/>
      <c r="Y61" s="395"/>
      <c r="Z61" s="395"/>
    </row>
    <row r="62">
      <c r="A62" s="333"/>
      <c r="B62" s="243"/>
      <c r="C62" s="244"/>
      <c r="D62" s="245"/>
      <c r="E62" s="246"/>
      <c r="F62" s="247"/>
      <c r="G62" s="248"/>
      <c r="H62" s="249"/>
      <c r="I62" s="208"/>
      <c r="J62" s="378" t="s">
        <v>686</v>
      </c>
      <c r="K62" s="196"/>
      <c r="L62" s="193">
        <v>600.0</v>
      </c>
      <c r="M62" s="295" t="s">
        <v>718</v>
      </c>
      <c r="O62" s="376"/>
      <c r="P62" s="240"/>
      <c r="Q62" s="148"/>
      <c r="R62" s="241"/>
      <c r="S62" s="394"/>
      <c r="T62" s="394"/>
      <c r="U62" s="394"/>
      <c r="V62" s="394"/>
      <c r="W62" s="394"/>
      <c r="X62" s="394"/>
      <c r="Y62" s="395"/>
      <c r="Z62" s="395"/>
    </row>
    <row r="63">
      <c r="A63" s="333"/>
      <c r="B63" s="380"/>
      <c r="C63" s="244"/>
      <c r="D63" s="245"/>
      <c r="E63" s="246"/>
      <c r="F63" s="247"/>
      <c r="G63" s="248"/>
      <c r="H63" s="249"/>
      <c r="I63" s="251"/>
      <c r="J63" s="379" t="s">
        <v>202</v>
      </c>
      <c r="K63" s="196"/>
      <c r="L63" s="193"/>
      <c r="M63" s="252"/>
      <c r="O63" s="368"/>
      <c r="P63" s="156"/>
      <c r="Q63" s="57"/>
      <c r="R63" s="179"/>
      <c r="S63" s="394"/>
      <c r="T63" s="394"/>
      <c r="U63" s="394"/>
      <c r="V63" s="394"/>
      <c r="W63" s="394"/>
      <c r="X63" s="394"/>
      <c r="Y63" s="395"/>
      <c r="Z63" s="395"/>
    </row>
    <row r="64">
      <c r="A64" s="333"/>
      <c r="B64" s="380"/>
      <c r="C64" s="380"/>
      <c r="D64" s="401"/>
      <c r="E64" s="246"/>
      <c r="F64" s="247"/>
      <c r="G64" s="248"/>
      <c r="H64" s="249"/>
      <c r="I64" s="251"/>
      <c r="J64" s="379" t="s">
        <v>274</v>
      </c>
      <c r="K64" s="196"/>
      <c r="L64" s="247">
        <v>213.0</v>
      </c>
      <c r="M64" s="252"/>
      <c r="O64" s="371"/>
      <c r="P64" s="156"/>
      <c r="Q64" s="57"/>
      <c r="R64" s="179"/>
      <c r="S64" s="394"/>
      <c r="T64" s="394"/>
      <c r="U64" s="394"/>
      <c r="V64" s="394"/>
      <c r="W64" s="394"/>
      <c r="X64" s="394"/>
      <c r="Y64" s="395"/>
      <c r="Z64" s="395"/>
    </row>
    <row r="65">
      <c r="A65" s="333"/>
      <c r="B65" s="380"/>
      <c r="C65" s="380"/>
      <c r="D65" s="245"/>
      <c r="E65" s="246"/>
      <c r="F65" s="247"/>
      <c r="G65" s="248"/>
      <c r="H65" s="249"/>
      <c r="I65" s="251"/>
      <c r="J65" s="382"/>
      <c r="K65" s="196"/>
      <c r="L65" s="277"/>
      <c r="M65" s="252"/>
      <c r="O65" s="371"/>
      <c r="P65" s="156"/>
      <c r="Q65" s="57"/>
      <c r="R65" s="179"/>
      <c r="S65" s="394"/>
      <c r="T65" s="394"/>
      <c r="U65" s="394"/>
      <c r="V65" s="394"/>
      <c r="W65" s="394"/>
      <c r="X65" s="394"/>
      <c r="Y65" s="395"/>
      <c r="Z65" s="395"/>
    </row>
    <row r="66">
      <c r="A66" s="148"/>
      <c r="B66" s="380"/>
      <c r="C66" s="380"/>
      <c r="D66" s="245"/>
      <c r="E66" s="246"/>
      <c r="F66" s="247"/>
      <c r="G66" s="248"/>
      <c r="H66" s="249"/>
      <c r="I66" s="251"/>
      <c r="J66" s="383" t="s">
        <v>381</v>
      </c>
      <c r="K66" s="196"/>
      <c r="L66" s="247">
        <v>980.0</v>
      </c>
      <c r="M66" s="295"/>
      <c r="O66" s="376"/>
      <c r="P66" s="156"/>
      <c r="Q66" s="57"/>
      <c r="R66" s="179"/>
      <c r="S66" s="394"/>
      <c r="T66" s="394"/>
      <c r="U66" s="394"/>
      <c r="V66" s="394"/>
      <c r="W66" s="394"/>
      <c r="X66" s="394"/>
      <c r="Y66" s="395"/>
      <c r="Z66" s="395"/>
    </row>
    <row r="67">
      <c r="A67" s="148"/>
      <c r="B67" s="243"/>
      <c r="C67" s="243"/>
      <c r="D67" s="245"/>
      <c r="E67" s="246"/>
      <c r="F67" s="247"/>
      <c r="G67" s="248"/>
      <c r="H67" s="249"/>
      <c r="I67" s="251"/>
      <c r="J67" s="383" t="s">
        <v>383</v>
      </c>
      <c r="K67" s="196"/>
      <c r="L67" s="247">
        <v>1050.0</v>
      </c>
      <c r="M67" s="295"/>
      <c r="O67" s="376"/>
      <c r="P67" s="156"/>
      <c r="Q67" s="57"/>
      <c r="R67" s="179"/>
      <c r="S67" s="394"/>
      <c r="T67" s="394"/>
      <c r="U67" s="394"/>
      <c r="V67" s="394"/>
      <c r="W67" s="394"/>
      <c r="X67" s="394"/>
      <c r="Y67" s="395"/>
      <c r="Z67" s="395"/>
    </row>
    <row r="68">
      <c r="A68" s="148"/>
      <c r="B68" s="243"/>
      <c r="C68" s="243"/>
      <c r="D68" s="245"/>
      <c r="E68" s="246" t="s">
        <v>690</v>
      </c>
      <c r="F68" s="247"/>
      <c r="G68" s="248"/>
      <c r="H68" s="249"/>
      <c r="I68" s="251"/>
      <c r="J68" s="382"/>
      <c r="K68" s="196"/>
      <c r="L68" s="247"/>
      <c r="M68" s="252"/>
      <c r="O68" s="371"/>
      <c r="P68" s="156"/>
      <c r="Q68" s="57"/>
      <c r="R68" s="179"/>
      <c r="S68" s="394"/>
      <c r="T68" s="394"/>
      <c r="U68" s="394"/>
      <c r="V68" s="394"/>
      <c r="W68" s="394"/>
      <c r="X68" s="394"/>
      <c r="Y68" s="395"/>
      <c r="Z68" s="395"/>
    </row>
    <row r="69">
      <c r="A69" s="148"/>
      <c r="B69" s="243"/>
      <c r="C69" s="243"/>
      <c r="D69" s="245"/>
      <c r="E69" s="246" t="s">
        <v>691</v>
      </c>
      <c r="F69" s="247"/>
      <c r="G69" s="248"/>
      <c r="H69" s="249"/>
      <c r="I69" s="251"/>
      <c r="J69" s="384" t="s">
        <v>692</v>
      </c>
      <c r="K69" s="196"/>
      <c r="L69" s="247"/>
      <c r="M69" s="252"/>
      <c r="O69" s="376"/>
      <c r="P69" s="156"/>
      <c r="Q69" s="57"/>
      <c r="R69" s="179"/>
      <c r="S69" s="394"/>
      <c r="T69" s="394"/>
      <c r="U69" s="394"/>
      <c r="V69" s="394"/>
      <c r="W69" s="394"/>
      <c r="X69" s="394"/>
      <c r="Y69" s="395"/>
      <c r="Z69" s="395"/>
    </row>
    <row r="70">
      <c r="A70" s="148"/>
      <c r="B70" s="243"/>
      <c r="C70" s="243"/>
      <c r="D70" s="245"/>
      <c r="E70" s="246" t="s">
        <v>693</v>
      </c>
      <c r="F70" s="247">
        <v>300.0</v>
      </c>
      <c r="G70" s="248"/>
      <c r="H70" s="249"/>
      <c r="I70" s="251"/>
      <c r="J70" s="384" t="s">
        <v>694</v>
      </c>
      <c r="K70" s="196"/>
      <c r="L70" s="247">
        <v>1881.0</v>
      </c>
      <c r="M70" s="295" t="s">
        <v>719</v>
      </c>
      <c r="O70" s="371"/>
      <c r="P70" s="156"/>
      <c r="Q70" s="57"/>
      <c r="R70" s="179"/>
      <c r="S70" s="394"/>
      <c r="T70" s="394"/>
      <c r="U70" s="394"/>
      <c r="V70" s="394"/>
      <c r="W70" s="394"/>
      <c r="X70" s="394"/>
      <c r="Y70" s="395"/>
      <c r="Z70" s="395"/>
    </row>
    <row r="71">
      <c r="A71" s="316"/>
      <c r="B71" s="243"/>
      <c r="C71" s="243"/>
      <c r="D71" s="245"/>
      <c r="E71" s="385" t="s">
        <v>695</v>
      </c>
      <c r="F71" s="247">
        <v>1265.0</v>
      </c>
      <c r="G71" s="255"/>
      <c r="H71" s="249"/>
      <c r="I71" s="251"/>
      <c r="J71" s="251"/>
      <c r="K71" s="148"/>
      <c r="L71" s="277"/>
      <c r="M71" s="295"/>
      <c r="N71" s="250"/>
      <c r="O71" s="155"/>
      <c r="P71" s="156"/>
      <c r="Q71" s="57"/>
      <c r="R71" s="179"/>
      <c r="S71" s="394"/>
      <c r="T71" s="394"/>
      <c r="U71" s="394"/>
      <c r="V71" s="394"/>
      <c r="W71" s="394"/>
      <c r="X71" s="394"/>
      <c r="Y71" s="395"/>
      <c r="Z71" s="395"/>
    </row>
    <row r="72">
      <c r="A72" s="316"/>
      <c r="B72" s="243"/>
      <c r="C72" s="243"/>
      <c r="D72" s="245"/>
      <c r="E72" s="246"/>
      <c r="F72" s="247"/>
      <c r="G72" s="256"/>
      <c r="H72" s="257"/>
      <c r="I72" s="251"/>
      <c r="J72" s="251"/>
      <c r="K72" s="148"/>
      <c r="L72" s="277"/>
      <c r="M72" s="295"/>
      <c r="N72" s="250"/>
      <c r="O72" s="155"/>
      <c r="P72" s="156"/>
      <c r="Q72" s="57"/>
      <c r="R72" s="179"/>
      <c r="S72" s="394"/>
      <c r="T72" s="394"/>
      <c r="U72" s="394"/>
      <c r="V72" s="394"/>
      <c r="W72" s="394"/>
      <c r="X72" s="394"/>
      <c r="Y72" s="395"/>
      <c r="Z72" s="395"/>
    </row>
    <row r="73" ht="6.75" customHeight="1">
      <c r="A73" s="147"/>
      <c r="B73" s="243"/>
      <c r="C73" s="243"/>
      <c r="D73" s="149"/>
      <c r="E73" s="57"/>
      <c r="F73" s="150"/>
      <c r="G73" s="57"/>
      <c r="H73" s="57"/>
      <c r="I73" s="151"/>
      <c r="J73" s="151"/>
      <c r="K73" s="57"/>
      <c r="L73" s="150"/>
      <c r="M73" s="153"/>
      <c r="N73" s="154"/>
      <c r="O73" s="155"/>
      <c r="P73" s="156"/>
      <c r="Q73" s="57"/>
      <c r="R73" s="179"/>
      <c r="S73" s="394"/>
      <c r="T73" s="394"/>
      <c r="U73" s="394"/>
      <c r="V73" s="394"/>
      <c r="W73" s="394"/>
      <c r="X73" s="394"/>
      <c r="Y73" s="395"/>
      <c r="Z73" s="395"/>
    </row>
    <row r="74" ht="8.25" customHeight="1">
      <c r="A74" s="386"/>
      <c r="B74" s="170"/>
      <c r="C74" s="170"/>
      <c r="D74" s="387"/>
      <c r="E74" s="388"/>
      <c r="F74" s="389"/>
      <c r="G74" s="388"/>
      <c r="H74" s="388"/>
      <c r="I74" s="177"/>
      <c r="J74" s="177"/>
      <c r="K74" s="388"/>
      <c r="L74" s="389"/>
      <c r="M74" s="390"/>
      <c r="N74" s="391"/>
      <c r="O74" s="392"/>
      <c r="P74" s="393"/>
      <c r="Q74" s="388"/>
      <c r="R74" s="57"/>
      <c r="S74" s="394"/>
      <c r="T74" s="394"/>
      <c r="U74" s="394"/>
      <c r="V74" s="394"/>
      <c r="W74" s="394"/>
      <c r="X74" s="394"/>
      <c r="Y74" s="395"/>
      <c r="Z74" s="395"/>
    </row>
    <row r="75">
      <c r="A75" s="402"/>
      <c r="B75" s="159"/>
      <c r="C75" s="159"/>
      <c r="D75" s="403"/>
      <c r="E75" s="159"/>
      <c r="F75" s="403"/>
      <c r="G75" s="159"/>
      <c r="H75" s="159"/>
      <c r="I75" s="159"/>
      <c r="J75" s="159"/>
      <c r="K75" s="159"/>
      <c r="L75" s="162"/>
      <c r="M75" s="159"/>
      <c r="N75" s="159"/>
      <c r="O75" s="159"/>
      <c r="P75" s="403"/>
      <c r="Q75" s="159"/>
      <c r="R75" s="57"/>
      <c r="S75" s="394"/>
      <c r="T75" s="394"/>
      <c r="U75" s="394"/>
      <c r="V75" s="394"/>
      <c r="W75" s="394"/>
      <c r="X75" s="394"/>
      <c r="Y75" s="395"/>
      <c r="Z75" s="395"/>
    </row>
    <row r="76">
      <c r="A76" s="270" t="s">
        <v>109</v>
      </c>
      <c r="B76" s="57"/>
      <c r="C76" s="404"/>
      <c r="D76" s="405"/>
      <c r="E76" s="406"/>
      <c r="F76" s="407"/>
      <c r="G76" s="408" t="s">
        <v>333</v>
      </c>
      <c r="H76" s="361"/>
      <c r="I76" s="239"/>
      <c r="J76" s="239"/>
      <c r="K76" s="57"/>
      <c r="L76" s="150"/>
      <c r="M76" s="239"/>
      <c r="N76" s="239"/>
      <c r="O76" s="239"/>
      <c r="P76" s="157"/>
      <c r="Q76" s="409"/>
      <c r="R76" s="57"/>
      <c r="S76" s="394"/>
      <c r="T76" s="394"/>
      <c r="U76" s="394"/>
      <c r="V76" s="394"/>
      <c r="W76" s="394"/>
      <c r="X76" s="394"/>
      <c r="Y76" s="395"/>
      <c r="Z76" s="395"/>
    </row>
    <row r="77">
      <c r="A77" s="182"/>
      <c r="B77" s="57"/>
      <c r="C77" s="404"/>
      <c r="D77" s="405"/>
      <c r="E77" s="410" t="s">
        <v>335</v>
      </c>
      <c r="F77" s="411" t="s">
        <v>237</v>
      </c>
      <c r="G77" s="412" t="s">
        <v>336</v>
      </c>
      <c r="H77" s="413" t="s">
        <v>337</v>
      </c>
      <c r="I77" s="57"/>
      <c r="J77" s="57" t="s">
        <v>0</v>
      </c>
      <c r="K77" s="57"/>
      <c r="L77" s="150"/>
      <c r="M77" s="414" t="s">
        <v>338</v>
      </c>
      <c r="O77" s="57" t="s">
        <v>334</v>
      </c>
      <c r="P77" s="157"/>
      <c r="Q77" s="409"/>
      <c r="R77" s="57"/>
      <c r="S77" s="394"/>
      <c r="T77" s="394"/>
      <c r="U77" s="394"/>
      <c r="V77" s="394"/>
      <c r="W77" s="394"/>
      <c r="X77" s="394"/>
      <c r="Y77" s="395"/>
      <c r="Z77" s="395"/>
    </row>
    <row r="78">
      <c r="A78" s="415" t="s">
        <v>179</v>
      </c>
      <c r="B78" s="214"/>
      <c r="C78" s="416">
        <f>SUM(F78:F108)</f>
        <v>7530</v>
      </c>
      <c r="D78" s="417"/>
      <c r="E78" s="192" t="s">
        <v>593</v>
      </c>
      <c r="F78" s="418">
        <v>200.0</v>
      </c>
      <c r="G78" s="419"/>
      <c r="H78" s="419"/>
      <c r="I78" s="57"/>
      <c r="K78" s="420"/>
      <c r="L78" s="150"/>
      <c r="P78" s="157"/>
      <c r="Q78" s="409"/>
      <c r="R78" s="57"/>
      <c r="S78" s="394"/>
      <c r="T78" s="394"/>
      <c r="U78" s="394"/>
      <c r="V78" s="394"/>
      <c r="W78" s="394"/>
      <c r="X78" s="394"/>
      <c r="Y78" s="395"/>
      <c r="Z78" s="395"/>
    </row>
    <row r="79">
      <c r="A79" s="421" t="s">
        <v>343</v>
      </c>
      <c r="B79" s="422" t="s">
        <v>321</v>
      </c>
      <c r="C79" s="416">
        <f>SUM(P79:P107)</f>
        <v>844</v>
      </c>
      <c r="D79" s="423"/>
      <c r="E79" s="192" t="s">
        <v>720</v>
      </c>
      <c r="F79" s="418">
        <v>300.0</v>
      </c>
      <c r="G79" s="419"/>
      <c r="H79" s="419"/>
      <c r="I79" s="57"/>
      <c r="J79" s="424" t="s">
        <v>341</v>
      </c>
      <c r="K79" s="420"/>
      <c r="L79" s="150"/>
      <c r="M79" s="425"/>
      <c r="O79" s="426" t="s">
        <v>416</v>
      </c>
      <c r="P79" s="423">
        <v>844.0</v>
      </c>
      <c r="Q79" s="409"/>
      <c r="R79" s="57"/>
      <c r="S79" s="394"/>
      <c r="T79" s="394"/>
      <c r="U79" s="394"/>
      <c r="V79" s="394"/>
      <c r="W79" s="394"/>
      <c r="X79" s="394"/>
      <c r="Y79" s="395"/>
      <c r="Z79" s="395"/>
    </row>
    <row r="80">
      <c r="A80" s="427" t="s">
        <v>201</v>
      </c>
      <c r="B80" s="214"/>
      <c r="C80" s="204">
        <f>SUM(L79:L107)</f>
        <v>5227</v>
      </c>
      <c r="D80" s="157"/>
      <c r="E80" s="192" t="s">
        <v>512</v>
      </c>
      <c r="F80" s="428">
        <v>1000.0</v>
      </c>
      <c r="G80" s="429" t="s">
        <v>426</v>
      </c>
      <c r="H80" s="419"/>
      <c r="I80" s="57"/>
      <c r="J80" s="430" t="s">
        <v>345</v>
      </c>
      <c r="K80" s="420"/>
      <c r="L80" s="193">
        <v>105.0</v>
      </c>
      <c r="M80" s="377" t="s">
        <v>721</v>
      </c>
      <c r="O80" s="431"/>
      <c r="P80" s="423"/>
      <c r="Q80" s="409"/>
      <c r="R80" s="57"/>
      <c r="S80" s="394"/>
      <c r="T80" s="394"/>
      <c r="U80" s="394"/>
      <c r="V80" s="394"/>
      <c r="W80" s="394"/>
      <c r="X80" s="394"/>
      <c r="Y80" s="395"/>
      <c r="Z80" s="395"/>
    </row>
    <row r="81">
      <c r="A81" s="432"/>
      <c r="B81" s="239"/>
      <c r="C81" s="204"/>
      <c r="D81" s="157"/>
      <c r="E81" s="192" t="s">
        <v>722</v>
      </c>
      <c r="F81" s="418">
        <v>650.0</v>
      </c>
      <c r="G81" s="419"/>
      <c r="H81" s="419"/>
      <c r="I81" s="239"/>
      <c r="J81" s="433" t="s">
        <v>656</v>
      </c>
      <c r="K81" s="420"/>
      <c r="L81" s="193">
        <v>287.0</v>
      </c>
      <c r="M81" s="377" t="s">
        <v>723</v>
      </c>
      <c r="O81" s="431"/>
      <c r="P81" s="423"/>
      <c r="Q81" s="409"/>
      <c r="R81" s="57"/>
      <c r="S81" s="394"/>
      <c r="T81" s="394"/>
      <c r="U81" s="394"/>
      <c r="V81" s="394"/>
      <c r="W81" s="394"/>
      <c r="X81" s="394"/>
      <c r="Y81" s="395"/>
      <c r="Z81" s="395"/>
    </row>
    <row r="82">
      <c r="A82" s="434" t="s">
        <v>350</v>
      </c>
      <c r="B82" s="214"/>
      <c r="C82" s="212">
        <f>C78-C80-C84-B90-B85</f>
        <v>1185</v>
      </c>
      <c r="D82" s="157"/>
      <c r="E82" s="192" t="s">
        <v>724</v>
      </c>
      <c r="F82" s="418">
        <v>300.0</v>
      </c>
      <c r="G82" s="419"/>
      <c r="H82" s="419"/>
      <c r="I82" s="239"/>
      <c r="J82" s="433" t="s">
        <v>658</v>
      </c>
      <c r="K82" s="420"/>
      <c r="L82" s="193">
        <v>19.0</v>
      </c>
      <c r="M82" s="377" t="s">
        <v>725</v>
      </c>
      <c r="O82" s="431"/>
      <c r="P82" s="423"/>
      <c r="Q82" s="409"/>
      <c r="R82" s="57"/>
      <c r="S82" s="394"/>
      <c r="T82" s="394"/>
      <c r="U82" s="394"/>
      <c r="V82" s="394"/>
      <c r="W82" s="394"/>
      <c r="X82" s="394"/>
      <c r="Y82" s="395"/>
      <c r="Z82" s="395"/>
    </row>
    <row r="83">
      <c r="A83" s="213"/>
      <c r="B83" s="214"/>
      <c r="C83" s="214"/>
      <c r="D83" s="157"/>
      <c r="E83" s="192" t="s">
        <v>726</v>
      </c>
      <c r="F83" s="418">
        <v>160.0</v>
      </c>
      <c r="G83" s="419"/>
      <c r="H83" s="419"/>
      <c r="I83" s="239"/>
      <c r="J83" s="433" t="s">
        <v>660</v>
      </c>
      <c r="K83" s="420"/>
      <c r="L83" s="193">
        <v>220.0</v>
      </c>
      <c r="M83" s="377" t="s">
        <v>727</v>
      </c>
      <c r="O83" s="431"/>
      <c r="P83" s="423"/>
      <c r="Q83" s="409"/>
      <c r="R83" s="57"/>
      <c r="S83" s="394"/>
      <c r="T83" s="394"/>
      <c r="U83" s="394"/>
      <c r="V83" s="394"/>
      <c r="W83" s="394"/>
      <c r="X83" s="394"/>
      <c r="Y83" s="395"/>
      <c r="Z83" s="395"/>
    </row>
    <row r="84">
      <c r="A84" s="435" t="s">
        <v>356</v>
      </c>
      <c r="B84" s="436"/>
      <c r="C84" s="437">
        <v>338.0</v>
      </c>
      <c r="D84" s="157"/>
      <c r="E84" s="192" t="s">
        <v>615</v>
      </c>
      <c r="F84" s="418">
        <v>900.0</v>
      </c>
      <c r="G84" s="429" t="s">
        <v>426</v>
      </c>
      <c r="H84" s="419"/>
      <c r="I84" s="57"/>
      <c r="J84" s="370" t="s">
        <v>662</v>
      </c>
      <c r="K84" s="420"/>
      <c r="L84" s="193">
        <v>105.0</v>
      </c>
      <c r="M84" s="377" t="s">
        <v>728</v>
      </c>
      <c r="O84" s="431"/>
      <c r="P84" s="157"/>
      <c r="Q84" s="409"/>
      <c r="R84" s="57"/>
      <c r="S84" s="394"/>
      <c r="T84" s="394"/>
      <c r="U84" s="394"/>
      <c r="V84" s="394"/>
      <c r="W84" s="394"/>
      <c r="X84" s="394"/>
      <c r="Y84" s="395"/>
      <c r="Z84" s="395"/>
    </row>
    <row r="85">
      <c r="A85" s="438" t="s">
        <v>214</v>
      </c>
      <c r="B85" s="439"/>
      <c r="C85" s="440"/>
      <c r="D85" s="373" t="s">
        <v>664</v>
      </c>
      <c r="E85" s="192" t="s">
        <v>547</v>
      </c>
      <c r="F85" s="418">
        <v>300.0</v>
      </c>
      <c r="G85" s="441" t="s">
        <v>426</v>
      </c>
      <c r="H85" s="419"/>
      <c r="I85" s="239"/>
      <c r="J85" s="433" t="s">
        <v>666</v>
      </c>
      <c r="K85" s="420"/>
      <c r="L85" s="150"/>
      <c r="M85" s="374"/>
      <c r="O85" s="431"/>
      <c r="P85" s="157"/>
      <c r="Q85" s="409"/>
      <c r="R85" s="57"/>
      <c r="S85" s="394"/>
      <c r="T85" s="394"/>
      <c r="U85" s="394"/>
      <c r="V85" s="394"/>
      <c r="W85" s="394"/>
      <c r="X85" s="394"/>
      <c r="Y85" s="395"/>
      <c r="Z85" s="395"/>
    </row>
    <row r="86">
      <c r="A86" s="442" t="s">
        <v>272</v>
      </c>
      <c r="B86" s="439">
        <v>1500.0</v>
      </c>
      <c r="C86" s="440"/>
      <c r="D86" s="157"/>
      <c r="E86" s="443" t="s">
        <v>729</v>
      </c>
      <c r="F86" s="418">
        <v>230.0</v>
      </c>
      <c r="G86" s="419"/>
      <c r="H86" s="419"/>
      <c r="I86" s="57"/>
      <c r="J86" s="444" t="s">
        <v>668</v>
      </c>
      <c r="K86" s="420"/>
      <c r="L86" s="150"/>
      <c r="M86" s="377"/>
      <c r="O86" s="431"/>
      <c r="P86" s="157"/>
      <c r="Q86" s="409"/>
      <c r="R86" s="57"/>
      <c r="S86" s="394"/>
      <c r="T86" s="394"/>
      <c r="U86" s="394"/>
      <c r="V86" s="394"/>
      <c r="W86" s="394"/>
      <c r="X86" s="394"/>
      <c r="Y86" s="395"/>
      <c r="Z86" s="395"/>
    </row>
    <row r="87">
      <c r="A87" s="445" t="s">
        <v>361</v>
      </c>
      <c r="B87" s="446">
        <v>5050.0</v>
      </c>
      <c r="C87" s="447"/>
      <c r="D87" s="157"/>
      <c r="E87" s="192" t="s">
        <v>669</v>
      </c>
      <c r="F87" s="418">
        <v>850.0</v>
      </c>
      <c r="G87" s="419"/>
      <c r="H87" s="419"/>
      <c r="I87" s="239"/>
      <c r="J87" s="433" t="s">
        <v>670</v>
      </c>
      <c r="K87" s="420"/>
      <c r="L87" s="193">
        <v>1250.0</v>
      </c>
      <c r="M87" s="377"/>
      <c r="O87" s="431"/>
      <c r="P87" s="157"/>
      <c r="Q87" s="409"/>
      <c r="R87" s="57"/>
      <c r="S87" s="394"/>
      <c r="T87" s="394"/>
      <c r="U87" s="394"/>
      <c r="V87" s="394"/>
      <c r="W87" s="394"/>
      <c r="X87" s="394"/>
      <c r="Y87" s="395"/>
      <c r="Z87" s="395"/>
    </row>
    <row r="88">
      <c r="A88" s="57"/>
      <c r="B88" s="57"/>
      <c r="C88" s="57"/>
      <c r="D88" s="157"/>
      <c r="E88" s="192" t="s">
        <v>348</v>
      </c>
      <c r="F88" s="418">
        <v>450.0</v>
      </c>
      <c r="G88" s="441" t="s">
        <v>426</v>
      </c>
      <c r="H88" s="419"/>
      <c r="I88" s="57"/>
      <c r="J88" s="444" t="s">
        <v>217</v>
      </c>
      <c r="K88" s="420"/>
      <c r="L88" s="150"/>
      <c r="M88" s="425"/>
      <c r="O88" s="431"/>
      <c r="P88" s="157"/>
      <c r="Q88" s="409"/>
      <c r="R88" s="57"/>
      <c r="S88" s="394"/>
      <c r="T88" s="394"/>
      <c r="U88" s="394"/>
      <c r="V88" s="394"/>
      <c r="W88" s="394"/>
      <c r="X88" s="394"/>
      <c r="Y88" s="395"/>
      <c r="Z88" s="395"/>
    </row>
    <row r="89">
      <c r="A89" s="57"/>
      <c r="B89" s="448"/>
      <c r="C89" s="57"/>
      <c r="D89" s="157"/>
      <c r="E89" s="192" t="s">
        <v>730</v>
      </c>
      <c r="F89" s="418">
        <v>300.0</v>
      </c>
      <c r="G89" s="419"/>
      <c r="H89" s="419"/>
      <c r="I89" s="57"/>
      <c r="J89" s="238"/>
      <c r="K89" s="420"/>
      <c r="L89" s="150"/>
      <c r="M89" s="425"/>
      <c r="O89" s="431"/>
      <c r="P89" s="157"/>
      <c r="Q89" s="409"/>
      <c r="R89" s="57"/>
      <c r="S89" s="399"/>
      <c r="T89" s="399"/>
      <c r="U89" s="399"/>
      <c r="V89" s="399"/>
      <c r="W89" s="399"/>
      <c r="X89" s="399"/>
      <c r="Y89" s="400"/>
      <c r="Z89" s="400"/>
    </row>
    <row r="90">
      <c r="A90" s="449" t="s">
        <v>365</v>
      </c>
      <c r="B90" s="450">
        <f>SUM(C91,C92,C93,C94,C95,C96,C97,C98,C99,C100)</f>
        <v>780</v>
      </c>
      <c r="C90" s="451" t="s">
        <v>366</v>
      </c>
      <c r="D90" s="157"/>
      <c r="E90" s="192" t="s">
        <v>431</v>
      </c>
      <c r="F90" s="418">
        <v>360.0</v>
      </c>
      <c r="G90" s="419"/>
      <c r="H90" s="419"/>
      <c r="I90" s="57"/>
      <c r="J90" s="452" t="s">
        <v>672</v>
      </c>
      <c r="K90" s="420"/>
      <c r="L90" s="150"/>
      <c r="M90" s="425"/>
      <c r="O90" s="431"/>
      <c r="P90" s="157"/>
      <c r="Q90" s="409"/>
      <c r="R90" s="57"/>
      <c r="S90" s="399"/>
      <c r="T90" s="399"/>
      <c r="U90" s="399"/>
      <c r="V90" s="399"/>
      <c r="W90" s="399"/>
      <c r="X90" s="399"/>
      <c r="Y90" s="400"/>
      <c r="Z90" s="400"/>
    </row>
    <row r="91">
      <c r="A91" s="453" t="s">
        <v>369</v>
      </c>
      <c r="C91" s="454">
        <v>350.0</v>
      </c>
      <c r="D91" s="423" t="s">
        <v>731</v>
      </c>
      <c r="E91" s="192" t="s">
        <v>613</v>
      </c>
      <c r="F91" s="418">
        <v>500.0</v>
      </c>
      <c r="G91" s="419"/>
      <c r="H91" s="419"/>
      <c r="I91" s="57"/>
      <c r="J91" s="452" t="s">
        <v>675</v>
      </c>
      <c r="K91" s="420"/>
      <c r="L91" s="150"/>
      <c r="M91" s="374"/>
      <c r="O91" s="431"/>
      <c r="P91" s="157"/>
      <c r="Q91" s="409"/>
      <c r="R91" s="57"/>
      <c r="S91" s="394"/>
      <c r="T91" s="394"/>
      <c r="U91" s="394"/>
      <c r="V91" s="394"/>
      <c r="W91" s="394"/>
      <c r="X91" s="394"/>
      <c r="Y91" s="395"/>
      <c r="Z91" s="395"/>
    </row>
    <row r="92">
      <c r="C92" s="454">
        <v>85.0</v>
      </c>
      <c r="D92" s="423" t="s">
        <v>732</v>
      </c>
      <c r="E92" s="192" t="s">
        <v>559</v>
      </c>
      <c r="F92" s="418">
        <v>250.0</v>
      </c>
      <c r="G92" s="455"/>
      <c r="H92" s="419"/>
      <c r="I92" s="239"/>
      <c r="J92" s="456" t="s">
        <v>6</v>
      </c>
      <c r="K92" s="420"/>
      <c r="L92" s="193">
        <v>200.0</v>
      </c>
      <c r="M92" s="377" t="s">
        <v>733</v>
      </c>
      <c r="O92" s="431"/>
      <c r="P92" s="157"/>
      <c r="Q92" s="409"/>
      <c r="R92" s="57"/>
      <c r="S92" s="394"/>
      <c r="T92" s="394"/>
      <c r="U92" s="394"/>
      <c r="V92" s="394"/>
      <c r="W92" s="394"/>
      <c r="X92" s="394"/>
      <c r="Y92" s="395"/>
      <c r="Z92" s="395"/>
    </row>
    <row r="93">
      <c r="A93" s="57"/>
      <c r="B93" s="57"/>
      <c r="C93" s="454">
        <v>36.0</v>
      </c>
      <c r="D93" s="423" t="s">
        <v>734</v>
      </c>
      <c r="E93" s="228"/>
      <c r="F93" s="457"/>
      <c r="G93" s="419"/>
      <c r="H93" s="419"/>
      <c r="I93" s="239"/>
      <c r="J93" s="375" t="s">
        <v>677</v>
      </c>
      <c r="K93" s="420"/>
      <c r="L93" s="150"/>
      <c r="M93" s="374"/>
      <c r="O93" s="431"/>
      <c r="P93" s="157"/>
      <c r="Q93" s="409"/>
      <c r="R93" s="57"/>
      <c r="S93" s="394"/>
      <c r="T93" s="394"/>
      <c r="U93" s="394"/>
      <c r="V93" s="394"/>
      <c r="W93" s="394"/>
      <c r="X93" s="394"/>
      <c r="Y93" s="395"/>
      <c r="Z93" s="395"/>
    </row>
    <row r="94">
      <c r="A94" s="57"/>
      <c r="B94" s="57"/>
      <c r="C94" s="454">
        <v>240.0</v>
      </c>
      <c r="D94" s="423" t="s">
        <v>735</v>
      </c>
      <c r="E94" s="228"/>
      <c r="F94" s="457"/>
      <c r="G94" s="419"/>
      <c r="H94" s="419"/>
      <c r="I94" s="239"/>
      <c r="J94" s="375" t="s">
        <v>679</v>
      </c>
      <c r="K94" s="420"/>
      <c r="L94" s="193">
        <v>275.0</v>
      </c>
      <c r="M94" s="377" t="s">
        <v>736</v>
      </c>
      <c r="O94" s="431"/>
      <c r="P94" s="157"/>
      <c r="Q94" s="409"/>
      <c r="R94" s="57"/>
      <c r="S94" s="394"/>
      <c r="T94" s="394"/>
      <c r="U94" s="394"/>
      <c r="V94" s="394"/>
      <c r="W94" s="394"/>
      <c r="X94" s="394"/>
      <c r="Y94" s="395"/>
      <c r="Z94" s="395"/>
    </row>
    <row r="95">
      <c r="A95" s="57"/>
      <c r="B95" s="57"/>
      <c r="C95" s="454">
        <v>69.0</v>
      </c>
      <c r="D95" s="423" t="s">
        <v>737</v>
      </c>
      <c r="E95" s="228"/>
      <c r="F95" s="457"/>
      <c r="G95" s="419"/>
      <c r="H95" s="419"/>
      <c r="I95" s="239"/>
      <c r="J95" s="456" t="s">
        <v>680</v>
      </c>
      <c r="K95" s="458"/>
      <c r="L95" s="193">
        <v>62.0</v>
      </c>
      <c r="M95" s="377" t="s">
        <v>738</v>
      </c>
      <c r="O95" s="431"/>
      <c r="P95" s="157"/>
      <c r="Q95" s="409"/>
      <c r="R95" s="57"/>
      <c r="S95" s="394"/>
      <c r="T95" s="394"/>
      <c r="U95" s="394"/>
      <c r="V95" s="394"/>
      <c r="W95" s="394"/>
      <c r="X95" s="394"/>
      <c r="Y95" s="395"/>
      <c r="Z95" s="395"/>
    </row>
    <row r="96">
      <c r="A96" s="239"/>
      <c r="B96" s="57"/>
      <c r="C96" s="459"/>
      <c r="D96" s="157"/>
      <c r="E96" s="206"/>
      <c r="F96" s="457"/>
      <c r="G96" s="419"/>
      <c r="H96" s="419"/>
      <c r="I96" s="239"/>
      <c r="J96" s="239"/>
      <c r="K96" s="458"/>
      <c r="L96" s="150"/>
      <c r="M96" s="377"/>
      <c r="O96" s="431"/>
      <c r="P96" s="157"/>
      <c r="Q96" s="409"/>
      <c r="R96" s="57"/>
      <c r="S96" s="394"/>
      <c r="T96" s="394"/>
      <c r="U96" s="394"/>
      <c r="V96" s="394"/>
      <c r="W96" s="394"/>
      <c r="X96" s="394"/>
      <c r="Y96" s="395"/>
      <c r="Z96" s="395"/>
    </row>
    <row r="97">
      <c r="A97" s="239"/>
      <c r="B97" s="57"/>
      <c r="C97" s="459"/>
      <c r="D97" s="157"/>
      <c r="E97" s="206"/>
      <c r="F97" s="457"/>
      <c r="G97" s="419"/>
      <c r="H97" s="419"/>
      <c r="I97" s="239"/>
      <c r="J97" s="378" t="s">
        <v>682</v>
      </c>
      <c r="K97" s="420"/>
      <c r="L97" s="193">
        <v>110.0</v>
      </c>
      <c r="M97" s="377" t="s">
        <v>739</v>
      </c>
      <c r="O97" s="431"/>
      <c r="P97" s="157"/>
      <c r="Q97" s="409"/>
      <c r="R97" s="57"/>
      <c r="S97" s="394"/>
      <c r="T97" s="394"/>
      <c r="U97" s="394"/>
      <c r="V97" s="394"/>
      <c r="W97" s="394"/>
      <c r="X97" s="394"/>
      <c r="Y97" s="395"/>
      <c r="Z97" s="395"/>
    </row>
    <row r="98">
      <c r="A98" s="57"/>
      <c r="B98" s="57"/>
      <c r="C98" s="459"/>
      <c r="D98" s="157"/>
      <c r="E98" s="206"/>
      <c r="F98" s="457"/>
      <c r="G98" s="419"/>
      <c r="H98" s="419"/>
      <c r="I98" s="239"/>
      <c r="J98" s="460" t="s">
        <v>684</v>
      </c>
      <c r="K98" s="420"/>
      <c r="L98" s="193">
        <v>141.0</v>
      </c>
      <c r="M98" s="377" t="s">
        <v>740</v>
      </c>
      <c r="O98" s="431"/>
      <c r="P98" s="157"/>
      <c r="Q98" s="409"/>
      <c r="R98" s="57"/>
      <c r="S98" s="394"/>
      <c r="T98" s="394"/>
      <c r="U98" s="394"/>
      <c r="V98" s="394"/>
      <c r="W98" s="394"/>
      <c r="X98" s="394"/>
      <c r="Y98" s="395"/>
      <c r="Z98" s="395"/>
    </row>
    <row r="99">
      <c r="A99" s="57"/>
      <c r="B99" s="57"/>
      <c r="C99" s="459"/>
      <c r="D99" s="157"/>
      <c r="E99" s="206"/>
      <c r="F99" s="457"/>
      <c r="G99" s="419"/>
      <c r="H99" s="419"/>
      <c r="I99" s="57"/>
      <c r="J99" s="460" t="s">
        <v>686</v>
      </c>
      <c r="K99" s="420"/>
      <c r="L99" s="150"/>
      <c r="M99" s="382"/>
      <c r="O99" s="431"/>
      <c r="P99" s="157"/>
      <c r="Q99" s="409"/>
      <c r="R99" s="57"/>
      <c r="S99" s="394"/>
      <c r="T99" s="394"/>
      <c r="U99" s="394"/>
      <c r="V99" s="394"/>
      <c r="W99" s="394"/>
      <c r="X99" s="394"/>
      <c r="Y99" s="395"/>
      <c r="Z99" s="395"/>
    </row>
    <row r="100">
      <c r="A100" s="57"/>
      <c r="B100" s="57"/>
      <c r="C100" s="459"/>
      <c r="D100" s="157"/>
      <c r="E100" s="206"/>
      <c r="F100" s="457"/>
      <c r="G100" s="419"/>
      <c r="H100" s="419"/>
      <c r="I100" s="57"/>
      <c r="J100" s="460" t="s">
        <v>202</v>
      </c>
      <c r="K100" s="420"/>
      <c r="L100" s="193"/>
      <c r="M100" s="382"/>
      <c r="O100" s="431"/>
      <c r="P100" s="157"/>
      <c r="Q100" s="409"/>
      <c r="R100" s="57"/>
      <c r="S100" s="394"/>
      <c r="T100" s="394"/>
      <c r="U100" s="394"/>
      <c r="V100" s="394"/>
      <c r="W100" s="394"/>
      <c r="X100" s="394"/>
      <c r="Y100" s="395"/>
      <c r="Z100" s="395"/>
    </row>
    <row r="101">
      <c r="A101" s="57"/>
      <c r="B101" s="57"/>
      <c r="C101" s="57"/>
      <c r="D101" s="157"/>
      <c r="E101" s="206"/>
      <c r="F101" s="457"/>
      <c r="G101" s="419"/>
      <c r="H101" s="419"/>
      <c r="I101" s="57"/>
      <c r="J101" s="461" t="s">
        <v>274</v>
      </c>
      <c r="K101" s="420"/>
      <c r="L101" s="193">
        <v>213.0</v>
      </c>
      <c r="M101" s="425"/>
      <c r="O101" s="431"/>
      <c r="P101" s="157"/>
      <c r="Q101" s="409"/>
      <c r="R101" s="57"/>
      <c r="S101" s="394"/>
      <c r="T101" s="394"/>
      <c r="U101" s="394"/>
      <c r="V101" s="394"/>
      <c r="W101" s="394"/>
      <c r="X101" s="394"/>
      <c r="Y101" s="395"/>
      <c r="Z101" s="395"/>
    </row>
    <row r="102">
      <c r="A102" s="239"/>
      <c r="B102" s="57"/>
      <c r="C102" s="57"/>
      <c r="D102" s="157"/>
      <c r="E102" s="206"/>
      <c r="F102" s="457"/>
      <c r="G102" s="419"/>
      <c r="H102" s="419"/>
      <c r="I102" s="57"/>
      <c r="J102" s="57"/>
      <c r="K102" s="420"/>
      <c r="L102" s="193"/>
      <c r="M102" s="374"/>
      <c r="O102" s="431"/>
      <c r="P102" s="157"/>
      <c r="Q102" s="409"/>
      <c r="R102" s="57"/>
      <c r="S102" s="394"/>
      <c r="T102" s="394"/>
      <c r="U102" s="394"/>
      <c r="V102" s="394"/>
      <c r="W102" s="394"/>
      <c r="X102" s="394"/>
      <c r="Y102" s="395"/>
      <c r="Z102" s="395"/>
    </row>
    <row r="103" ht="14.25" customHeight="1">
      <c r="A103" s="239"/>
      <c r="B103" s="57"/>
      <c r="C103" s="57"/>
      <c r="D103" s="157"/>
      <c r="E103" s="206"/>
      <c r="F103" s="457"/>
      <c r="G103" s="419"/>
      <c r="H103" s="419"/>
      <c r="I103" s="57"/>
      <c r="J103" s="462" t="s">
        <v>381</v>
      </c>
      <c r="K103" s="420"/>
      <c r="L103" s="193">
        <v>1155.0</v>
      </c>
      <c r="M103" s="377" t="s">
        <v>741</v>
      </c>
      <c r="O103" s="431"/>
      <c r="P103" s="157"/>
      <c r="Q103" s="409"/>
      <c r="R103" s="57"/>
      <c r="S103" s="394"/>
      <c r="T103" s="394"/>
      <c r="U103" s="394"/>
      <c r="V103" s="394"/>
      <c r="W103" s="394"/>
      <c r="X103" s="394"/>
      <c r="Y103" s="395"/>
      <c r="Z103" s="395"/>
    </row>
    <row r="104">
      <c r="A104" s="239"/>
      <c r="B104" s="57"/>
      <c r="C104" s="57"/>
      <c r="D104" s="157"/>
      <c r="E104" s="206"/>
      <c r="F104" s="457"/>
      <c r="G104" s="455"/>
      <c r="H104" s="455"/>
      <c r="I104" s="57"/>
      <c r="J104" s="462" t="s">
        <v>383</v>
      </c>
      <c r="K104" s="420"/>
      <c r="L104" s="193">
        <v>1055.0</v>
      </c>
      <c r="M104" s="377" t="s">
        <v>742</v>
      </c>
      <c r="O104" s="463"/>
      <c r="P104" s="157"/>
      <c r="Q104" s="409"/>
      <c r="R104" s="57"/>
      <c r="S104" s="394"/>
      <c r="T104" s="394"/>
      <c r="U104" s="394"/>
      <c r="V104" s="394"/>
      <c r="W104" s="394"/>
      <c r="X104" s="394"/>
      <c r="Y104" s="395"/>
      <c r="Z104" s="395"/>
    </row>
    <row r="105">
      <c r="A105" s="57"/>
      <c r="B105" s="57"/>
      <c r="C105" s="57"/>
      <c r="D105" s="157"/>
      <c r="E105" s="246" t="s">
        <v>690</v>
      </c>
      <c r="F105" s="457"/>
      <c r="G105" s="455"/>
      <c r="H105" s="455"/>
      <c r="I105" s="239"/>
      <c r="J105" s="239"/>
      <c r="K105" s="420"/>
      <c r="L105" s="193"/>
      <c r="M105" s="187"/>
      <c r="O105" s="463"/>
      <c r="P105" s="157"/>
      <c r="Q105" s="409"/>
      <c r="R105" s="57"/>
      <c r="S105" s="394"/>
      <c r="T105" s="394"/>
      <c r="U105" s="394"/>
      <c r="V105" s="394"/>
      <c r="W105" s="394"/>
      <c r="X105" s="394"/>
      <c r="Y105" s="395"/>
      <c r="Z105" s="395"/>
    </row>
    <row r="106">
      <c r="A106" s="239"/>
      <c r="B106" s="239"/>
      <c r="C106" s="157"/>
      <c r="D106" s="157"/>
      <c r="E106" s="246" t="s">
        <v>691</v>
      </c>
      <c r="F106" s="457"/>
      <c r="G106" s="455"/>
      <c r="H106" s="455"/>
      <c r="I106" s="57"/>
      <c r="J106" s="464" t="s">
        <v>692</v>
      </c>
      <c r="K106" s="420"/>
      <c r="L106" s="150"/>
      <c r="M106" s="374"/>
      <c r="O106" s="463"/>
      <c r="P106" s="157"/>
      <c r="Q106" s="409"/>
      <c r="R106" s="57"/>
      <c r="S106" s="394"/>
      <c r="T106" s="394"/>
      <c r="U106" s="394"/>
      <c r="V106" s="394"/>
      <c r="W106" s="394"/>
      <c r="X106" s="394"/>
      <c r="Y106" s="395"/>
      <c r="Z106" s="395"/>
    </row>
    <row r="107">
      <c r="A107" s="239"/>
      <c r="B107" s="239"/>
      <c r="C107" s="157"/>
      <c r="D107" s="157"/>
      <c r="E107" s="246" t="s">
        <v>693</v>
      </c>
      <c r="F107" s="457"/>
      <c r="G107" s="419"/>
      <c r="H107" s="419"/>
      <c r="I107" s="239"/>
      <c r="J107" s="464" t="s">
        <v>694</v>
      </c>
      <c r="K107" s="420"/>
      <c r="L107" s="193">
        <v>30.0</v>
      </c>
      <c r="M107" s="377" t="s">
        <v>743</v>
      </c>
      <c r="O107" s="463"/>
      <c r="P107" s="157"/>
      <c r="Q107" s="409"/>
      <c r="R107" s="57"/>
      <c r="S107" s="394"/>
      <c r="T107" s="394"/>
      <c r="U107" s="394"/>
      <c r="V107" s="394"/>
      <c r="W107" s="394"/>
      <c r="X107" s="394"/>
      <c r="Y107" s="395"/>
      <c r="Z107" s="395"/>
    </row>
    <row r="108">
      <c r="A108" s="239"/>
      <c r="B108" s="239"/>
      <c r="C108" s="157"/>
      <c r="D108" s="157"/>
      <c r="E108" s="385" t="s">
        <v>695</v>
      </c>
      <c r="F108" s="418">
        <v>780.0</v>
      </c>
      <c r="G108" s="455"/>
      <c r="H108" s="419"/>
      <c r="I108" s="57"/>
      <c r="J108" s="57"/>
      <c r="K108" s="57"/>
      <c r="L108" s="150"/>
      <c r="M108" s="57"/>
      <c r="N108" s="57"/>
      <c r="O108" s="239"/>
      <c r="P108" s="157"/>
      <c r="Q108" s="409"/>
      <c r="R108" s="57"/>
      <c r="S108" s="394"/>
      <c r="T108" s="394"/>
      <c r="U108" s="394"/>
      <c r="V108" s="394"/>
      <c r="W108" s="394"/>
      <c r="X108" s="394"/>
      <c r="Y108" s="395"/>
      <c r="Z108" s="395"/>
    </row>
    <row r="109">
      <c r="A109" s="57"/>
      <c r="B109" s="57"/>
      <c r="C109" s="157"/>
      <c r="D109" s="157"/>
      <c r="E109" s="239"/>
      <c r="F109" s="423"/>
      <c r="G109" s="57"/>
      <c r="H109" s="57"/>
      <c r="I109" s="239"/>
      <c r="J109" s="239"/>
      <c r="K109" s="57"/>
      <c r="L109" s="150"/>
      <c r="M109" s="57"/>
      <c r="N109" s="57"/>
      <c r="O109" s="239"/>
      <c r="P109" s="157"/>
      <c r="Q109" s="409"/>
      <c r="R109" s="57"/>
      <c r="S109" s="394"/>
      <c r="T109" s="394"/>
      <c r="U109" s="394"/>
      <c r="V109" s="394"/>
      <c r="W109" s="394"/>
      <c r="X109" s="394"/>
      <c r="Y109" s="395"/>
      <c r="Z109" s="395"/>
    </row>
    <row r="110">
      <c r="A110" s="402"/>
      <c r="B110" s="402"/>
      <c r="C110" s="403"/>
      <c r="D110" s="403"/>
      <c r="E110" s="402"/>
      <c r="F110" s="403"/>
      <c r="G110" s="159"/>
      <c r="H110" s="159"/>
      <c r="I110" s="402"/>
      <c r="J110" s="402"/>
      <c r="K110" s="159"/>
      <c r="L110" s="162"/>
      <c r="M110" s="159"/>
      <c r="N110" s="159"/>
      <c r="O110" s="402"/>
      <c r="P110" s="403"/>
      <c r="Q110" s="465"/>
      <c r="R110" s="57"/>
      <c r="S110" s="394"/>
      <c r="T110" s="394"/>
      <c r="U110" s="394"/>
      <c r="V110" s="394"/>
      <c r="W110" s="394"/>
      <c r="X110" s="394"/>
      <c r="Y110" s="395"/>
      <c r="Z110" s="395"/>
    </row>
    <row r="111">
      <c r="A111" s="402"/>
      <c r="B111" s="403"/>
      <c r="C111" s="159"/>
      <c r="D111" s="403"/>
      <c r="E111" s="402"/>
      <c r="F111" s="403"/>
      <c r="G111" s="159"/>
      <c r="H111" s="159"/>
      <c r="I111" s="402"/>
      <c r="J111" s="402"/>
      <c r="K111" s="159"/>
      <c r="L111" s="162"/>
      <c r="M111" s="159"/>
      <c r="N111" s="159"/>
      <c r="O111" s="159"/>
      <c r="P111" s="403"/>
      <c r="Q111" s="159"/>
      <c r="R111" s="57"/>
      <c r="S111" s="394"/>
      <c r="T111" s="394"/>
      <c r="U111" s="394"/>
      <c r="V111" s="394"/>
      <c r="W111" s="394"/>
      <c r="X111" s="394"/>
      <c r="Y111" s="395"/>
      <c r="Z111" s="395"/>
    </row>
    <row r="112">
      <c r="A112" s="270" t="s">
        <v>113</v>
      </c>
      <c r="B112" s="157"/>
      <c r="C112" s="466"/>
      <c r="D112" s="405"/>
      <c r="E112" s="406"/>
      <c r="F112" s="407"/>
      <c r="G112" s="467" t="s">
        <v>333</v>
      </c>
      <c r="H112" s="361"/>
      <c r="I112" s="57"/>
      <c r="J112" s="57"/>
      <c r="K112" s="57"/>
      <c r="L112" s="150"/>
      <c r="M112" s="239"/>
      <c r="N112" s="239"/>
      <c r="O112" s="57"/>
      <c r="P112" s="157"/>
      <c r="Q112" s="409"/>
      <c r="R112" s="57"/>
      <c r="S112" s="394"/>
      <c r="T112" s="394"/>
      <c r="U112" s="394"/>
      <c r="V112" s="394"/>
      <c r="W112" s="394"/>
      <c r="X112" s="394"/>
      <c r="Y112" s="395"/>
      <c r="Z112" s="395"/>
    </row>
    <row r="113">
      <c r="A113" s="468"/>
      <c r="B113" s="157"/>
      <c r="C113" s="466"/>
      <c r="D113" s="405"/>
      <c r="E113" s="469" t="s">
        <v>335</v>
      </c>
      <c r="F113" s="411" t="s">
        <v>237</v>
      </c>
      <c r="G113" s="412" t="s">
        <v>336</v>
      </c>
      <c r="H113" s="413" t="s">
        <v>337</v>
      </c>
      <c r="I113" s="239"/>
      <c r="J113" s="239" t="s">
        <v>0</v>
      </c>
      <c r="K113" s="57"/>
      <c r="L113" s="150"/>
      <c r="M113" s="414" t="s">
        <v>338</v>
      </c>
      <c r="O113" s="57" t="s">
        <v>334</v>
      </c>
      <c r="P113" s="157"/>
      <c r="Q113" s="409"/>
      <c r="R113" s="57"/>
      <c r="S113" s="399"/>
      <c r="T113" s="399"/>
      <c r="U113" s="399"/>
      <c r="V113" s="399"/>
      <c r="W113" s="399"/>
      <c r="X113" s="399"/>
      <c r="Y113" s="400"/>
      <c r="Z113" s="400"/>
    </row>
    <row r="114">
      <c r="A114" s="470" t="s">
        <v>179</v>
      </c>
      <c r="B114" s="214"/>
      <c r="C114" s="416">
        <f>SUM(F114:F144)</f>
        <v>0</v>
      </c>
      <c r="D114" s="405"/>
      <c r="E114" s="238"/>
      <c r="F114" s="418"/>
      <c r="G114" s="419"/>
      <c r="H114" s="419"/>
      <c r="I114" s="57"/>
      <c r="K114" s="420"/>
      <c r="L114" s="150"/>
      <c r="P114" s="157"/>
      <c r="Q114" s="409"/>
      <c r="R114" s="57"/>
      <c r="S114" s="399"/>
      <c r="T114" s="399"/>
      <c r="U114" s="399"/>
      <c r="V114" s="399"/>
      <c r="W114" s="399"/>
      <c r="X114" s="399"/>
      <c r="Y114" s="400"/>
      <c r="Z114" s="400"/>
    </row>
    <row r="115">
      <c r="A115" s="421" t="s">
        <v>343</v>
      </c>
      <c r="B115" s="422" t="s">
        <v>321</v>
      </c>
      <c r="C115" s="416">
        <f>SUM(P115:P143)</f>
        <v>0</v>
      </c>
      <c r="D115" s="157"/>
      <c r="E115" s="238"/>
      <c r="F115" s="418"/>
      <c r="G115" s="419"/>
      <c r="H115" s="419"/>
      <c r="I115" s="239"/>
      <c r="J115" s="471" t="s">
        <v>341</v>
      </c>
      <c r="K115" s="420"/>
      <c r="L115" s="150"/>
      <c r="M115" s="374"/>
      <c r="O115" s="431"/>
      <c r="P115" s="157"/>
      <c r="Q115" s="409"/>
      <c r="R115" s="57"/>
      <c r="S115" s="394"/>
      <c r="T115" s="394"/>
      <c r="U115" s="394"/>
      <c r="V115" s="394"/>
      <c r="W115" s="394"/>
      <c r="X115" s="394"/>
      <c r="Y115" s="395"/>
      <c r="Z115" s="395"/>
    </row>
    <row r="116">
      <c r="A116" s="427" t="s">
        <v>201</v>
      </c>
      <c r="B116" s="214"/>
      <c r="C116" s="204">
        <f>SUM(L115:L143)</f>
        <v>0</v>
      </c>
      <c r="D116" s="157"/>
      <c r="E116" s="239"/>
      <c r="F116" s="457"/>
      <c r="G116" s="419"/>
      <c r="H116" s="419"/>
      <c r="I116" s="239"/>
      <c r="J116" s="472" t="s">
        <v>345</v>
      </c>
      <c r="K116" s="420"/>
      <c r="L116" s="150"/>
      <c r="M116" s="374"/>
      <c r="O116" s="431"/>
      <c r="P116" s="157"/>
      <c r="Q116" s="409"/>
      <c r="R116" s="57"/>
      <c r="S116" s="394"/>
      <c r="T116" s="394"/>
      <c r="U116" s="394"/>
      <c r="V116" s="394"/>
      <c r="W116" s="394"/>
      <c r="X116" s="394"/>
      <c r="Y116" s="395"/>
      <c r="Z116" s="395"/>
    </row>
    <row r="117">
      <c r="A117" s="432"/>
      <c r="B117" s="157"/>
      <c r="C117" s="204"/>
      <c r="D117" s="157"/>
      <c r="E117" s="239"/>
      <c r="F117" s="457"/>
      <c r="G117" s="419"/>
      <c r="H117" s="419"/>
      <c r="I117" s="239"/>
      <c r="J117" s="433" t="s">
        <v>656</v>
      </c>
      <c r="K117" s="420"/>
      <c r="L117" s="150"/>
      <c r="M117" s="374"/>
      <c r="O117" s="431"/>
      <c r="P117" s="157"/>
      <c r="Q117" s="409"/>
      <c r="R117" s="57"/>
      <c r="S117" s="394"/>
      <c r="T117" s="394"/>
      <c r="U117" s="394"/>
      <c r="V117" s="394"/>
      <c r="W117" s="394"/>
      <c r="X117" s="394"/>
      <c r="Y117" s="395"/>
      <c r="Z117" s="395"/>
    </row>
    <row r="118">
      <c r="A118" s="434" t="s">
        <v>350</v>
      </c>
      <c r="B118" s="214"/>
      <c r="C118" s="273">
        <f>C114-C116-C120-B126-B121</f>
        <v>0</v>
      </c>
      <c r="D118" s="157"/>
      <c r="E118" s="239"/>
      <c r="F118" s="457"/>
      <c r="G118" s="455"/>
      <c r="H118" s="419"/>
      <c r="I118" s="57"/>
      <c r="J118" s="444" t="s">
        <v>658</v>
      </c>
      <c r="K118" s="420"/>
      <c r="L118" s="193"/>
      <c r="M118" s="377"/>
      <c r="O118" s="431"/>
      <c r="P118" s="157"/>
      <c r="Q118" s="409"/>
      <c r="R118" s="57"/>
      <c r="S118" s="394"/>
      <c r="T118" s="394"/>
      <c r="U118" s="394"/>
      <c r="V118" s="394"/>
      <c r="W118" s="394"/>
      <c r="X118" s="394"/>
      <c r="Y118" s="395"/>
      <c r="Z118" s="395"/>
    </row>
    <row r="119">
      <c r="A119" s="213"/>
      <c r="B119" s="214"/>
      <c r="C119" s="214"/>
      <c r="D119" s="157"/>
      <c r="E119" s="239"/>
      <c r="F119" s="457"/>
      <c r="G119" s="419"/>
      <c r="H119" s="419"/>
      <c r="I119" s="57"/>
      <c r="J119" s="444" t="s">
        <v>660</v>
      </c>
      <c r="K119" s="420"/>
      <c r="L119" s="193"/>
      <c r="M119" s="377"/>
      <c r="O119" s="431"/>
      <c r="P119" s="157"/>
      <c r="Q119" s="409"/>
      <c r="R119" s="57"/>
      <c r="S119" s="394"/>
      <c r="T119" s="394"/>
      <c r="U119" s="394"/>
      <c r="V119" s="394"/>
      <c r="W119" s="394"/>
      <c r="X119" s="394"/>
      <c r="Y119" s="395"/>
      <c r="Z119" s="395"/>
    </row>
    <row r="120">
      <c r="A120" s="473" t="s">
        <v>356</v>
      </c>
      <c r="B120" s="436"/>
      <c r="C120" s="447"/>
      <c r="D120" s="157"/>
      <c r="E120" s="239"/>
      <c r="F120" s="457"/>
      <c r="G120" s="455"/>
      <c r="H120" s="419"/>
      <c r="I120" s="239"/>
      <c r="J120" s="370" t="s">
        <v>662</v>
      </c>
      <c r="K120" s="420"/>
      <c r="L120" s="150"/>
      <c r="M120" s="374"/>
      <c r="O120" s="431"/>
      <c r="P120" s="157"/>
      <c r="Q120" s="409"/>
      <c r="R120" s="57"/>
      <c r="S120" s="394"/>
      <c r="T120" s="394"/>
      <c r="U120" s="394"/>
      <c r="V120" s="394"/>
      <c r="W120" s="394"/>
      <c r="X120" s="394"/>
      <c r="Y120" s="395"/>
      <c r="Z120" s="395"/>
    </row>
    <row r="121">
      <c r="A121" s="438" t="s">
        <v>214</v>
      </c>
      <c r="B121" s="474"/>
      <c r="C121" s="475"/>
      <c r="D121" s="373" t="s">
        <v>664</v>
      </c>
      <c r="E121" s="239"/>
      <c r="F121" s="457"/>
      <c r="G121" s="419"/>
      <c r="H121" s="419"/>
      <c r="I121" s="239"/>
      <c r="J121" s="433" t="s">
        <v>666</v>
      </c>
      <c r="K121" s="420"/>
      <c r="L121" s="150"/>
      <c r="M121" s="374"/>
      <c r="O121" s="431"/>
      <c r="P121" s="157"/>
      <c r="Q121" s="409"/>
      <c r="R121" s="57"/>
      <c r="S121" s="394"/>
      <c r="T121" s="394"/>
      <c r="U121" s="394"/>
      <c r="V121" s="394"/>
      <c r="W121" s="394"/>
      <c r="X121" s="394"/>
      <c r="Y121" s="395"/>
      <c r="Z121" s="395"/>
    </row>
    <row r="122">
      <c r="A122" s="442" t="s">
        <v>272</v>
      </c>
      <c r="B122" s="474">
        <v>711.0</v>
      </c>
      <c r="C122" s="475"/>
      <c r="D122" s="157"/>
      <c r="E122" s="239"/>
      <c r="F122" s="457"/>
      <c r="G122" s="419"/>
      <c r="H122" s="419"/>
      <c r="I122" s="239"/>
      <c r="J122" s="433" t="s">
        <v>668</v>
      </c>
      <c r="K122" s="420"/>
      <c r="L122" s="150"/>
      <c r="M122" s="377"/>
      <c r="O122" s="431"/>
      <c r="P122" s="157"/>
      <c r="Q122" s="409"/>
      <c r="R122" s="57"/>
      <c r="S122" s="394"/>
      <c r="T122" s="394"/>
      <c r="U122" s="394"/>
      <c r="V122" s="394"/>
      <c r="W122" s="394"/>
      <c r="X122" s="394"/>
      <c r="Y122" s="395"/>
      <c r="Z122" s="395"/>
    </row>
    <row r="123">
      <c r="A123" s="445" t="s">
        <v>361</v>
      </c>
      <c r="B123" s="476">
        <v>4050.0</v>
      </c>
      <c r="C123" s="447"/>
      <c r="D123" s="157"/>
      <c r="E123" s="239"/>
      <c r="F123" s="457"/>
      <c r="G123" s="419"/>
      <c r="H123" s="419"/>
      <c r="I123" s="239"/>
      <c r="J123" s="433" t="s">
        <v>670</v>
      </c>
      <c r="K123" s="458"/>
      <c r="L123" s="150"/>
      <c r="M123" s="377"/>
      <c r="O123" s="431"/>
      <c r="P123" s="157"/>
      <c r="Q123" s="409"/>
      <c r="R123" s="57"/>
      <c r="S123" s="394"/>
      <c r="T123" s="394"/>
      <c r="U123" s="394"/>
      <c r="V123" s="394"/>
      <c r="W123" s="394"/>
      <c r="X123" s="394"/>
      <c r="Y123" s="395"/>
      <c r="Z123" s="395"/>
    </row>
    <row r="124">
      <c r="A124" s="239"/>
      <c r="B124" s="57"/>
      <c r="C124" s="157"/>
      <c r="D124" s="157"/>
      <c r="E124" s="239"/>
      <c r="F124" s="457"/>
      <c r="G124" s="419"/>
      <c r="H124" s="419"/>
      <c r="I124" s="239"/>
      <c r="J124" s="433" t="s">
        <v>217</v>
      </c>
      <c r="K124" s="458"/>
      <c r="L124" s="150"/>
      <c r="M124" s="377"/>
      <c r="O124" s="431"/>
      <c r="P124" s="157"/>
      <c r="Q124" s="409"/>
      <c r="R124" s="57"/>
      <c r="S124" s="394"/>
      <c r="T124" s="394"/>
      <c r="U124" s="394"/>
      <c r="V124" s="394"/>
      <c r="W124" s="394"/>
      <c r="X124" s="394"/>
      <c r="Y124" s="395"/>
      <c r="Z124" s="395"/>
    </row>
    <row r="125">
      <c r="A125" s="239"/>
      <c r="B125" s="448"/>
      <c r="C125" s="157"/>
      <c r="D125" s="157"/>
      <c r="E125" s="239"/>
      <c r="F125" s="457"/>
      <c r="G125" s="419"/>
      <c r="H125" s="419"/>
      <c r="I125" s="239"/>
      <c r="J125" s="109" t="s">
        <v>744</v>
      </c>
      <c r="K125" s="420"/>
      <c r="L125" s="193"/>
      <c r="M125" s="374"/>
      <c r="O125" s="431"/>
      <c r="P125" s="157"/>
      <c r="Q125" s="409"/>
      <c r="R125" s="57"/>
      <c r="S125" s="394"/>
      <c r="T125" s="394"/>
      <c r="U125" s="394"/>
      <c r="V125" s="394"/>
      <c r="W125" s="394"/>
      <c r="X125" s="394"/>
      <c r="Y125" s="395"/>
      <c r="Z125" s="395"/>
    </row>
    <row r="126">
      <c r="A126" s="449" t="s">
        <v>365</v>
      </c>
      <c r="B126" s="450">
        <f>SUM(C127,C128,C129,C130,C131,C132,C133,C134,C135,C136)</f>
        <v>0</v>
      </c>
      <c r="C126" s="477" t="s">
        <v>366</v>
      </c>
      <c r="D126" s="157"/>
      <c r="E126" s="239"/>
      <c r="F126" s="457"/>
      <c r="G126" s="419"/>
      <c r="H126" s="419"/>
      <c r="I126" s="239"/>
      <c r="J126" s="456" t="s">
        <v>672</v>
      </c>
      <c r="K126" s="420"/>
      <c r="L126" s="150"/>
      <c r="M126" s="377"/>
      <c r="O126" s="431"/>
      <c r="P126" s="157"/>
      <c r="Q126" s="409"/>
      <c r="R126" s="57"/>
      <c r="S126" s="394"/>
      <c r="T126" s="394"/>
      <c r="U126" s="394"/>
      <c r="V126" s="394"/>
      <c r="W126" s="394"/>
      <c r="X126" s="394"/>
      <c r="Y126" s="395"/>
      <c r="Z126" s="395"/>
    </row>
    <row r="127">
      <c r="A127" s="453" t="s">
        <v>369</v>
      </c>
      <c r="C127" s="454"/>
      <c r="D127" s="423"/>
      <c r="E127" s="239"/>
      <c r="F127" s="457"/>
      <c r="G127" s="419"/>
      <c r="H127" s="419"/>
      <c r="I127" s="57"/>
      <c r="J127" s="456" t="s">
        <v>675</v>
      </c>
      <c r="K127" s="420"/>
      <c r="L127" s="150"/>
      <c r="M127" s="382"/>
      <c r="O127" s="431"/>
      <c r="P127" s="157"/>
      <c r="Q127" s="409"/>
      <c r="R127" s="57"/>
      <c r="S127" s="394"/>
      <c r="T127" s="394"/>
      <c r="U127" s="394"/>
      <c r="V127" s="394"/>
      <c r="W127" s="394"/>
      <c r="X127" s="394"/>
      <c r="Y127" s="395"/>
      <c r="Z127" s="395"/>
    </row>
    <row r="128">
      <c r="C128" s="459"/>
      <c r="D128" s="157"/>
      <c r="E128" s="239"/>
      <c r="F128" s="457"/>
      <c r="G128" s="455"/>
      <c r="H128" s="419"/>
      <c r="I128" s="57"/>
      <c r="J128" s="456" t="s">
        <v>6</v>
      </c>
      <c r="K128" s="420"/>
      <c r="L128" s="150"/>
      <c r="M128" s="425"/>
      <c r="O128" s="431"/>
      <c r="P128" s="157"/>
      <c r="Q128" s="409"/>
      <c r="R128" s="57"/>
      <c r="S128" s="394"/>
      <c r="T128" s="394"/>
      <c r="U128" s="394"/>
      <c r="V128" s="394"/>
      <c r="W128" s="394"/>
      <c r="X128" s="394"/>
      <c r="Y128" s="395"/>
      <c r="Z128" s="395"/>
    </row>
    <row r="129">
      <c r="A129" s="57"/>
      <c r="B129" s="57"/>
      <c r="C129" s="459"/>
      <c r="D129" s="157"/>
      <c r="E129" s="239"/>
      <c r="F129" s="457"/>
      <c r="G129" s="419"/>
      <c r="H129" s="419"/>
      <c r="I129" s="57"/>
      <c r="J129" s="375" t="s">
        <v>677</v>
      </c>
      <c r="K129" s="420"/>
      <c r="L129" s="150"/>
      <c r="M129" s="425"/>
      <c r="O129" s="431"/>
      <c r="P129" s="157"/>
      <c r="Q129" s="409"/>
      <c r="R129" s="57"/>
      <c r="S129" s="394"/>
      <c r="T129" s="394"/>
      <c r="U129" s="394"/>
      <c r="V129" s="394"/>
      <c r="W129" s="394"/>
      <c r="X129" s="394"/>
      <c r="Y129" s="395"/>
      <c r="Z129" s="395"/>
    </row>
    <row r="130">
      <c r="A130" s="57"/>
      <c r="B130" s="57"/>
      <c r="C130" s="459"/>
      <c r="D130" s="157"/>
      <c r="E130" s="239"/>
      <c r="F130" s="457"/>
      <c r="G130" s="419"/>
      <c r="H130" s="419"/>
      <c r="I130" s="57"/>
      <c r="J130" s="375" t="s">
        <v>679</v>
      </c>
      <c r="K130" s="420"/>
      <c r="L130" s="193"/>
      <c r="M130" s="382"/>
      <c r="O130" s="431"/>
      <c r="P130" s="157"/>
      <c r="Q130" s="409"/>
      <c r="R130" s="57"/>
      <c r="S130" s="394"/>
      <c r="T130" s="394"/>
      <c r="U130" s="394"/>
      <c r="V130" s="394"/>
      <c r="W130" s="394"/>
      <c r="X130" s="394"/>
      <c r="Y130" s="395"/>
      <c r="Z130" s="395"/>
    </row>
    <row r="131">
      <c r="A131" s="57"/>
      <c r="B131" s="57"/>
      <c r="C131" s="459"/>
      <c r="D131" s="157"/>
      <c r="E131" s="239"/>
      <c r="F131" s="457"/>
      <c r="G131" s="455"/>
      <c r="H131" s="419"/>
      <c r="I131" s="57"/>
      <c r="J131" s="452" t="s">
        <v>680</v>
      </c>
      <c r="K131" s="420"/>
      <c r="L131" s="150"/>
      <c r="M131" s="425"/>
      <c r="O131" s="431"/>
      <c r="P131" s="157"/>
      <c r="Q131" s="409"/>
      <c r="R131" s="57"/>
      <c r="S131" s="394"/>
      <c r="T131" s="394"/>
      <c r="U131" s="394"/>
      <c r="V131" s="394"/>
      <c r="W131" s="394"/>
      <c r="X131" s="394"/>
      <c r="Y131" s="395"/>
      <c r="Z131" s="395"/>
    </row>
    <row r="132">
      <c r="A132" s="57"/>
      <c r="B132" s="57"/>
      <c r="C132" s="459"/>
      <c r="D132" s="157"/>
      <c r="E132" s="239"/>
      <c r="F132" s="457"/>
      <c r="G132" s="419"/>
      <c r="H132" s="419"/>
      <c r="I132" s="57"/>
      <c r="J132" s="57"/>
      <c r="K132" s="420"/>
      <c r="L132" s="150"/>
      <c r="M132" s="425"/>
      <c r="O132" s="431"/>
      <c r="P132" s="157"/>
      <c r="Q132" s="409"/>
      <c r="R132" s="57"/>
      <c r="S132" s="394"/>
      <c r="T132" s="394"/>
      <c r="U132" s="394"/>
      <c r="V132" s="394"/>
      <c r="W132" s="394"/>
      <c r="X132" s="394"/>
      <c r="Y132" s="395"/>
      <c r="Z132" s="395"/>
    </row>
    <row r="133">
      <c r="A133" s="239"/>
      <c r="B133" s="57"/>
      <c r="C133" s="459"/>
      <c r="D133" s="157"/>
      <c r="E133" s="239"/>
      <c r="F133" s="457"/>
      <c r="G133" s="419"/>
      <c r="H133" s="419"/>
      <c r="I133" s="57"/>
      <c r="J133" s="378" t="s">
        <v>682</v>
      </c>
      <c r="K133" s="420"/>
      <c r="L133" s="150"/>
      <c r="M133" s="374"/>
      <c r="O133" s="431"/>
      <c r="P133" s="157"/>
      <c r="Q133" s="409"/>
      <c r="R133" s="57"/>
      <c r="S133" s="394"/>
      <c r="T133" s="394"/>
      <c r="U133" s="394"/>
      <c r="V133" s="394"/>
      <c r="W133" s="394"/>
      <c r="X133" s="394"/>
      <c r="Y133" s="395"/>
      <c r="Z133" s="395"/>
    </row>
    <row r="134">
      <c r="A134" s="239"/>
      <c r="B134" s="57"/>
      <c r="C134" s="459"/>
      <c r="D134" s="157"/>
      <c r="E134" s="57"/>
      <c r="G134" s="478"/>
      <c r="H134" s="419"/>
      <c r="I134" s="57"/>
      <c r="J134" s="461" t="s">
        <v>684</v>
      </c>
      <c r="K134" s="420"/>
      <c r="L134" s="193"/>
      <c r="M134" s="377"/>
      <c r="O134" s="431"/>
      <c r="P134" s="157"/>
      <c r="Q134" s="409"/>
      <c r="R134" s="57"/>
      <c r="S134" s="394"/>
      <c r="T134" s="394"/>
      <c r="U134" s="394"/>
      <c r="V134" s="394"/>
      <c r="W134" s="394"/>
      <c r="X134" s="394"/>
      <c r="Y134" s="395"/>
      <c r="Z134" s="395"/>
    </row>
    <row r="135">
      <c r="A135" s="239"/>
      <c r="B135" s="57"/>
      <c r="C135" s="459"/>
      <c r="D135" s="157"/>
      <c r="E135" s="57"/>
      <c r="F135" s="457"/>
      <c r="G135" s="455"/>
      <c r="H135" s="455"/>
      <c r="I135" s="57"/>
      <c r="J135" s="461" t="s">
        <v>686</v>
      </c>
      <c r="K135" s="420"/>
      <c r="L135" s="150"/>
      <c r="M135" s="374"/>
      <c r="O135" s="463"/>
      <c r="P135" s="157"/>
      <c r="Q135" s="409"/>
      <c r="R135" s="57"/>
      <c r="S135" s="394"/>
      <c r="T135" s="394"/>
      <c r="U135" s="394"/>
      <c r="V135" s="394"/>
      <c r="W135" s="394"/>
      <c r="X135" s="394"/>
      <c r="Y135" s="395"/>
      <c r="Z135" s="395"/>
    </row>
    <row r="136">
      <c r="A136" s="57"/>
      <c r="B136" s="57"/>
      <c r="C136" s="459"/>
      <c r="D136" s="157"/>
      <c r="E136" s="239"/>
      <c r="F136" s="457"/>
      <c r="G136" s="455"/>
      <c r="H136" s="455"/>
      <c r="I136" s="239"/>
      <c r="J136" s="460" t="s">
        <v>202</v>
      </c>
      <c r="K136" s="420"/>
      <c r="L136" s="193"/>
      <c r="M136" s="377"/>
      <c r="O136" s="463"/>
      <c r="P136" s="157"/>
      <c r="Q136" s="409"/>
      <c r="R136" s="57"/>
      <c r="S136" s="394"/>
      <c r="T136" s="394"/>
      <c r="U136" s="394"/>
      <c r="V136" s="394"/>
      <c r="W136" s="394"/>
      <c r="X136" s="394"/>
      <c r="Y136" s="395"/>
      <c r="Z136" s="395"/>
    </row>
    <row r="137">
      <c r="A137" s="239"/>
      <c r="B137" s="239"/>
      <c r="C137" s="157"/>
      <c r="D137" s="157"/>
      <c r="E137" s="239"/>
      <c r="F137" s="457"/>
      <c r="G137" s="455"/>
      <c r="H137" s="455"/>
      <c r="I137" s="57"/>
      <c r="J137" s="460" t="s">
        <v>274</v>
      </c>
      <c r="K137" s="420"/>
      <c r="L137" s="150"/>
      <c r="M137" s="374"/>
      <c r="O137" s="463"/>
      <c r="P137" s="157"/>
      <c r="Q137" s="409"/>
      <c r="R137" s="57"/>
      <c r="S137" s="394"/>
      <c r="T137" s="394"/>
      <c r="U137" s="394"/>
      <c r="V137" s="394"/>
      <c r="W137" s="394"/>
      <c r="X137" s="394"/>
      <c r="Y137" s="395"/>
      <c r="Z137" s="395"/>
    </row>
    <row r="138">
      <c r="A138" s="239"/>
      <c r="B138" s="239"/>
      <c r="C138" s="157"/>
      <c r="D138" s="157"/>
      <c r="E138" s="239"/>
      <c r="F138" s="457"/>
      <c r="G138" s="455"/>
      <c r="H138" s="419"/>
      <c r="I138" s="239"/>
      <c r="J138" s="239"/>
      <c r="K138" s="420"/>
      <c r="L138" s="150"/>
      <c r="M138" s="374"/>
      <c r="O138" s="431"/>
      <c r="P138" s="157"/>
      <c r="Q138" s="409"/>
      <c r="R138" s="57"/>
      <c r="S138" s="394"/>
      <c r="T138" s="394"/>
      <c r="U138" s="394"/>
      <c r="V138" s="394"/>
      <c r="W138" s="394"/>
      <c r="X138" s="394"/>
      <c r="Y138" s="395"/>
      <c r="Z138" s="395"/>
    </row>
    <row r="139">
      <c r="A139" s="239"/>
      <c r="B139" s="239"/>
      <c r="C139" s="157"/>
      <c r="D139" s="157"/>
      <c r="E139" s="157"/>
      <c r="F139" s="457"/>
      <c r="G139" s="419"/>
      <c r="H139" s="419"/>
      <c r="I139" s="57"/>
      <c r="J139" s="462" t="s">
        <v>381</v>
      </c>
      <c r="K139" s="420"/>
      <c r="L139" s="193"/>
      <c r="M139" s="374"/>
      <c r="O139" s="431"/>
      <c r="P139" s="157"/>
      <c r="Q139" s="409"/>
      <c r="R139" s="57"/>
      <c r="S139" s="394"/>
      <c r="T139" s="394"/>
      <c r="U139" s="394"/>
      <c r="V139" s="394"/>
      <c r="W139" s="394"/>
      <c r="X139" s="394"/>
      <c r="Y139" s="395"/>
      <c r="Z139" s="395"/>
    </row>
    <row r="140">
      <c r="A140" s="57"/>
      <c r="B140" s="57"/>
      <c r="C140" s="157"/>
      <c r="D140" s="157"/>
      <c r="E140" s="239"/>
      <c r="F140" s="457"/>
      <c r="G140" s="419"/>
      <c r="H140" s="419"/>
      <c r="I140" s="239"/>
      <c r="J140" s="479" t="s">
        <v>383</v>
      </c>
      <c r="K140" s="420"/>
      <c r="L140" s="193"/>
      <c r="M140" s="377"/>
      <c r="O140" s="431"/>
      <c r="P140" s="157"/>
      <c r="Q140" s="409"/>
      <c r="R140" s="57"/>
      <c r="S140" s="394"/>
      <c r="T140" s="394"/>
      <c r="U140" s="394"/>
      <c r="V140" s="394"/>
      <c r="W140" s="394"/>
      <c r="X140" s="394"/>
      <c r="Y140" s="395"/>
      <c r="Z140" s="395"/>
    </row>
    <row r="141">
      <c r="A141" s="239"/>
      <c r="B141" s="239"/>
      <c r="C141" s="157"/>
      <c r="D141" s="157"/>
      <c r="E141" s="246" t="s">
        <v>690</v>
      </c>
      <c r="F141" s="457"/>
      <c r="G141" s="419"/>
      <c r="H141" s="419"/>
      <c r="I141" s="239"/>
      <c r="J141" s="239"/>
      <c r="K141" s="420"/>
      <c r="L141" s="193"/>
      <c r="M141" s="374"/>
      <c r="O141" s="431"/>
      <c r="P141" s="157"/>
      <c r="Q141" s="409"/>
      <c r="R141" s="57"/>
      <c r="S141" s="394"/>
      <c r="T141" s="394"/>
      <c r="U141" s="394"/>
      <c r="V141" s="394"/>
      <c r="W141" s="394"/>
      <c r="X141" s="394"/>
      <c r="Y141" s="395"/>
      <c r="Z141" s="395"/>
    </row>
    <row r="142">
      <c r="A142" s="239"/>
      <c r="B142" s="239"/>
      <c r="C142" s="157"/>
      <c r="D142" s="157"/>
      <c r="E142" s="246" t="s">
        <v>691</v>
      </c>
      <c r="F142" s="457"/>
      <c r="G142" s="419"/>
      <c r="H142" s="419"/>
      <c r="I142" s="239"/>
      <c r="J142" s="464" t="s">
        <v>692</v>
      </c>
      <c r="K142" s="420"/>
      <c r="L142" s="150"/>
      <c r="M142" s="377"/>
      <c r="O142" s="431"/>
      <c r="P142" s="157"/>
      <c r="Q142" s="409"/>
      <c r="R142" s="57"/>
      <c r="S142" s="399"/>
      <c r="T142" s="399"/>
      <c r="U142" s="399"/>
      <c r="V142" s="399"/>
      <c r="W142" s="399"/>
      <c r="X142" s="399"/>
      <c r="Y142" s="400"/>
      <c r="Z142" s="400"/>
    </row>
    <row r="143">
      <c r="A143" s="239"/>
      <c r="B143" s="157"/>
      <c r="C143" s="57"/>
      <c r="D143" s="157"/>
      <c r="E143" s="246" t="s">
        <v>693</v>
      </c>
      <c r="F143" s="457"/>
      <c r="G143" s="419"/>
      <c r="H143" s="419"/>
      <c r="I143" s="239"/>
      <c r="J143" s="464" t="s">
        <v>694</v>
      </c>
      <c r="K143" s="420"/>
      <c r="L143" s="150"/>
      <c r="M143" s="374"/>
      <c r="O143" s="431"/>
      <c r="P143" s="157"/>
      <c r="Q143" s="409"/>
      <c r="R143" s="57"/>
      <c r="S143" s="399"/>
      <c r="T143" s="399"/>
      <c r="U143" s="399"/>
      <c r="V143" s="399"/>
      <c r="W143" s="399"/>
      <c r="X143" s="399"/>
      <c r="Y143" s="400"/>
      <c r="Z143" s="400"/>
    </row>
    <row r="144">
      <c r="A144" s="239"/>
      <c r="B144" s="157"/>
      <c r="C144" s="157"/>
      <c r="D144" s="157"/>
      <c r="E144" s="385" t="s">
        <v>695</v>
      </c>
      <c r="F144" s="418"/>
      <c r="G144" s="419"/>
      <c r="H144" s="419"/>
      <c r="I144" s="57"/>
      <c r="J144" s="57"/>
      <c r="K144" s="57"/>
      <c r="L144" s="150"/>
      <c r="M144" s="57"/>
      <c r="N144" s="57"/>
      <c r="O144" s="57"/>
      <c r="P144" s="157"/>
      <c r="Q144" s="409"/>
      <c r="R144" s="57"/>
      <c r="S144" s="394"/>
      <c r="T144" s="394"/>
      <c r="U144" s="394"/>
      <c r="V144" s="394"/>
      <c r="W144" s="394"/>
      <c r="X144" s="394"/>
      <c r="Y144" s="395"/>
      <c r="Z144" s="395"/>
    </row>
    <row r="145">
      <c r="A145" s="239"/>
      <c r="B145" s="157"/>
      <c r="C145" s="157"/>
      <c r="D145" s="157"/>
      <c r="E145" s="239"/>
      <c r="F145" s="157"/>
      <c r="G145" s="57"/>
      <c r="H145" s="57"/>
      <c r="I145" s="239"/>
      <c r="J145" s="239"/>
      <c r="K145" s="57"/>
      <c r="L145" s="150"/>
      <c r="M145" s="57"/>
      <c r="N145" s="57"/>
      <c r="O145" s="57"/>
      <c r="P145" s="157"/>
      <c r="Q145" s="409"/>
      <c r="R145" s="57"/>
      <c r="S145" s="394"/>
      <c r="T145" s="394"/>
      <c r="U145" s="394"/>
      <c r="V145" s="394"/>
      <c r="W145" s="394"/>
      <c r="X145" s="394"/>
      <c r="Y145" s="395"/>
      <c r="Z145" s="395"/>
    </row>
    <row r="146">
      <c r="A146" s="402"/>
      <c r="B146" s="403"/>
      <c r="C146" s="403"/>
      <c r="D146" s="403"/>
      <c r="E146" s="402"/>
      <c r="F146" s="403"/>
      <c r="G146" s="159"/>
      <c r="H146" s="159"/>
      <c r="I146" s="159"/>
      <c r="J146" s="159"/>
      <c r="K146" s="159"/>
      <c r="L146" s="162"/>
      <c r="M146" s="402"/>
      <c r="N146" s="402"/>
      <c r="O146" s="159"/>
      <c r="P146" s="403"/>
      <c r="Q146" s="465"/>
      <c r="R146" s="57"/>
      <c r="S146" s="394"/>
      <c r="T146" s="394"/>
      <c r="U146" s="394"/>
      <c r="V146" s="394"/>
      <c r="W146" s="394"/>
      <c r="X146" s="394"/>
      <c r="Y146" s="395"/>
      <c r="Z146" s="395"/>
    </row>
    <row r="147">
      <c r="A147" s="159"/>
      <c r="B147" s="159"/>
      <c r="C147" s="159"/>
      <c r="D147" s="403"/>
      <c r="E147" s="402"/>
      <c r="F147" s="403"/>
      <c r="G147" s="159"/>
      <c r="H147" s="159"/>
      <c r="I147" s="402"/>
      <c r="J147" s="402"/>
      <c r="K147" s="159"/>
      <c r="L147" s="162"/>
      <c r="M147" s="159"/>
      <c r="N147" s="159"/>
      <c r="O147" s="159"/>
      <c r="P147" s="403"/>
      <c r="Q147" s="159"/>
      <c r="R147" s="57"/>
      <c r="S147" s="394"/>
      <c r="T147" s="394"/>
      <c r="U147" s="394"/>
      <c r="V147" s="394"/>
      <c r="W147" s="394"/>
      <c r="X147" s="394"/>
      <c r="Y147" s="395"/>
      <c r="Z147" s="395"/>
    </row>
    <row r="148">
      <c r="A148" s="270" t="s">
        <v>117</v>
      </c>
      <c r="B148" s="157"/>
      <c r="C148" s="480"/>
      <c r="D148" s="405"/>
      <c r="E148" s="406"/>
      <c r="F148" s="407"/>
      <c r="G148" s="467" t="s">
        <v>333</v>
      </c>
      <c r="H148" s="361"/>
      <c r="I148" s="239"/>
      <c r="J148" s="239"/>
      <c r="K148" s="57"/>
      <c r="L148" s="150"/>
      <c r="M148" s="57"/>
      <c r="N148" s="57"/>
      <c r="O148" s="57"/>
      <c r="P148" s="157"/>
      <c r="Q148" s="409"/>
      <c r="R148" s="57"/>
      <c r="S148" s="394"/>
      <c r="T148" s="394"/>
      <c r="U148" s="394"/>
      <c r="V148" s="394"/>
      <c r="W148" s="394"/>
      <c r="X148" s="394"/>
      <c r="Y148" s="395"/>
      <c r="Z148" s="395"/>
    </row>
    <row r="149">
      <c r="A149" s="468"/>
      <c r="B149" s="239"/>
      <c r="C149" s="466"/>
      <c r="D149" s="405"/>
      <c r="E149" s="469" t="s">
        <v>335</v>
      </c>
      <c r="F149" s="411" t="s">
        <v>237</v>
      </c>
      <c r="G149" s="481" t="s">
        <v>336</v>
      </c>
      <c r="H149" s="413" t="s">
        <v>337</v>
      </c>
      <c r="I149" s="57"/>
      <c r="J149" s="57" t="s">
        <v>0</v>
      </c>
      <c r="K149" s="57"/>
      <c r="L149" s="150"/>
      <c r="M149" s="482" t="s">
        <v>338</v>
      </c>
      <c r="O149" s="57" t="s">
        <v>334</v>
      </c>
      <c r="P149" s="157"/>
      <c r="Q149" s="409"/>
      <c r="R149" s="57"/>
      <c r="S149" s="394"/>
      <c r="T149" s="394"/>
      <c r="U149" s="394"/>
      <c r="V149" s="394"/>
      <c r="W149" s="394"/>
      <c r="X149" s="394"/>
      <c r="Y149" s="395"/>
      <c r="Z149" s="395"/>
    </row>
    <row r="150">
      <c r="A150" s="483" t="s">
        <v>179</v>
      </c>
      <c r="B150" s="214"/>
      <c r="C150" s="416">
        <f>SUM(F150:F180)</f>
        <v>0</v>
      </c>
      <c r="D150" s="405"/>
      <c r="E150" s="239"/>
      <c r="F150" s="457"/>
      <c r="G150" s="419"/>
      <c r="H150" s="419"/>
      <c r="I150" s="57"/>
      <c r="K150" s="420"/>
      <c r="L150" s="150"/>
      <c r="P150" s="157"/>
      <c r="Q150" s="409"/>
      <c r="R150" s="57"/>
      <c r="S150" s="394"/>
      <c r="T150" s="394"/>
      <c r="U150" s="394"/>
      <c r="V150" s="394"/>
      <c r="W150" s="394"/>
      <c r="X150" s="394"/>
      <c r="Y150" s="395"/>
      <c r="Z150" s="395"/>
    </row>
    <row r="151">
      <c r="A151" s="421" t="s">
        <v>343</v>
      </c>
      <c r="B151" s="422" t="s">
        <v>321</v>
      </c>
      <c r="C151" s="416">
        <f>SUM(P151:P179)</f>
        <v>0</v>
      </c>
      <c r="D151" s="157"/>
      <c r="E151" s="239"/>
      <c r="F151" s="457"/>
      <c r="G151" s="455"/>
      <c r="H151" s="419"/>
      <c r="I151" s="239"/>
      <c r="J151" s="471" t="s">
        <v>341</v>
      </c>
      <c r="K151" s="420"/>
      <c r="L151" s="150"/>
      <c r="M151" s="377"/>
      <c r="O151" s="431"/>
      <c r="P151" s="157"/>
      <c r="Q151" s="409"/>
      <c r="R151" s="57"/>
      <c r="S151" s="394"/>
      <c r="T151" s="394"/>
      <c r="U151" s="394"/>
      <c r="V151" s="394"/>
      <c r="W151" s="394"/>
      <c r="X151" s="394"/>
      <c r="Y151" s="395"/>
      <c r="Z151" s="395"/>
    </row>
    <row r="152">
      <c r="A152" s="427" t="s">
        <v>201</v>
      </c>
      <c r="B152" s="214"/>
      <c r="C152" s="204">
        <f>SUM(L151:L179)</f>
        <v>0</v>
      </c>
      <c r="D152" s="157"/>
      <c r="E152" s="239"/>
      <c r="F152" s="457"/>
      <c r="G152" s="419"/>
      <c r="H152" s="419"/>
      <c r="I152" s="239"/>
      <c r="J152" s="472" t="s">
        <v>345</v>
      </c>
      <c r="K152" s="420"/>
      <c r="L152" s="150"/>
      <c r="M152" s="374"/>
      <c r="O152" s="431"/>
      <c r="P152" s="157"/>
      <c r="Q152" s="409"/>
      <c r="R152" s="57"/>
      <c r="S152" s="394"/>
      <c r="T152" s="394"/>
      <c r="U152" s="394"/>
      <c r="V152" s="394"/>
      <c r="W152" s="394"/>
      <c r="X152" s="394"/>
      <c r="Y152" s="395"/>
      <c r="Z152" s="395"/>
    </row>
    <row r="153">
      <c r="A153" s="484"/>
      <c r="B153" s="57"/>
      <c r="C153" s="204"/>
      <c r="D153" s="157"/>
      <c r="E153" s="239"/>
      <c r="F153" s="457"/>
      <c r="G153" s="419"/>
      <c r="H153" s="419"/>
      <c r="I153" s="239"/>
      <c r="J153" s="433" t="s">
        <v>656</v>
      </c>
      <c r="K153" s="420"/>
      <c r="L153" s="150"/>
      <c r="M153" s="377"/>
      <c r="O153" s="431"/>
      <c r="P153" s="157"/>
      <c r="Q153" s="409"/>
      <c r="R153" s="57"/>
      <c r="S153" s="394"/>
      <c r="T153" s="394"/>
      <c r="U153" s="394"/>
      <c r="V153" s="394"/>
      <c r="W153" s="394"/>
      <c r="X153" s="394"/>
      <c r="Y153" s="395"/>
      <c r="Z153" s="395"/>
    </row>
    <row r="154">
      <c r="A154" s="485" t="s">
        <v>350</v>
      </c>
      <c r="B154" s="214"/>
      <c r="C154" s="212">
        <f>C150-C152-C156-B162-B157</f>
        <v>0</v>
      </c>
      <c r="D154" s="157"/>
      <c r="E154" s="239"/>
      <c r="F154" s="457"/>
      <c r="G154" s="419"/>
      <c r="H154" s="419"/>
      <c r="I154" s="239"/>
      <c r="J154" s="433" t="s">
        <v>658</v>
      </c>
      <c r="K154" s="458"/>
      <c r="L154" s="150"/>
      <c r="M154" s="377"/>
      <c r="O154" s="431"/>
      <c r="P154" s="157"/>
      <c r="Q154" s="409"/>
      <c r="R154" s="57"/>
      <c r="S154" s="394"/>
      <c r="T154" s="394"/>
      <c r="U154" s="394"/>
      <c r="V154" s="394"/>
      <c r="W154" s="394"/>
      <c r="X154" s="394"/>
      <c r="Y154" s="395"/>
      <c r="Z154" s="395"/>
    </row>
    <row r="155">
      <c r="A155" s="213"/>
      <c r="B155" s="214"/>
      <c r="C155" s="214"/>
      <c r="D155" s="157"/>
      <c r="E155" s="239"/>
      <c r="F155" s="457"/>
      <c r="G155" s="419"/>
      <c r="H155" s="419"/>
      <c r="I155" s="239"/>
      <c r="J155" s="433" t="s">
        <v>660</v>
      </c>
      <c r="K155" s="458"/>
      <c r="L155" s="150"/>
      <c r="M155" s="377"/>
      <c r="O155" s="431"/>
      <c r="P155" s="157"/>
      <c r="Q155" s="409"/>
      <c r="R155" s="57"/>
      <c r="S155" s="394"/>
      <c r="T155" s="394"/>
      <c r="U155" s="394"/>
      <c r="V155" s="394"/>
      <c r="W155" s="394"/>
      <c r="X155" s="394"/>
      <c r="Y155" s="395"/>
      <c r="Z155" s="395"/>
    </row>
    <row r="156">
      <c r="A156" s="435" t="s">
        <v>356</v>
      </c>
      <c r="B156" s="436"/>
      <c r="C156" s="447"/>
      <c r="D156" s="157"/>
      <c r="E156" s="239"/>
      <c r="F156" s="457"/>
      <c r="G156" s="419"/>
      <c r="H156" s="419"/>
      <c r="I156" s="239"/>
      <c r="J156" s="370" t="s">
        <v>662</v>
      </c>
      <c r="K156" s="420"/>
      <c r="L156" s="150"/>
      <c r="M156" s="374"/>
      <c r="O156" s="431"/>
      <c r="P156" s="157"/>
      <c r="Q156" s="409"/>
      <c r="R156" s="57"/>
      <c r="S156" s="394"/>
      <c r="T156" s="394"/>
      <c r="U156" s="394"/>
      <c r="V156" s="394"/>
      <c r="W156" s="394"/>
      <c r="X156" s="394"/>
      <c r="Y156" s="395"/>
      <c r="Z156" s="395"/>
    </row>
    <row r="157">
      <c r="A157" s="486" t="s">
        <v>214</v>
      </c>
      <c r="B157" s="487"/>
      <c r="C157" s="488"/>
      <c r="D157" s="373" t="s">
        <v>664</v>
      </c>
      <c r="E157" s="239"/>
      <c r="F157" s="457"/>
      <c r="G157" s="419"/>
      <c r="H157" s="419"/>
      <c r="I157" s="239"/>
      <c r="J157" s="433" t="s">
        <v>666</v>
      </c>
      <c r="K157" s="420"/>
      <c r="L157" s="150"/>
      <c r="M157" s="377"/>
      <c r="O157" s="431"/>
      <c r="P157" s="157"/>
      <c r="Q157" s="409"/>
      <c r="R157" s="57"/>
      <c r="S157" s="394"/>
      <c r="T157" s="394"/>
      <c r="U157" s="394"/>
      <c r="V157" s="394"/>
      <c r="W157" s="394"/>
      <c r="X157" s="394"/>
      <c r="Y157" s="395"/>
      <c r="Z157" s="395"/>
    </row>
    <row r="158">
      <c r="A158" s="489" t="s">
        <v>272</v>
      </c>
      <c r="B158" s="487"/>
      <c r="C158" s="488"/>
      <c r="D158" s="157"/>
      <c r="E158" s="239"/>
      <c r="F158" s="457"/>
      <c r="G158" s="419"/>
      <c r="H158" s="419"/>
      <c r="I158" s="57"/>
      <c r="J158" s="433" t="s">
        <v>668</v>
      </c>
      <c r="K158" s="420"/>
      <c r="L158" s="150"/>
      <c r="M158" s="382"/>
      <c r="O158" s="431"/>
      <c r="P158" s="157"/>
      <c r="Q158" s="409"/>
      <c r="R158" s="57"/>
      <c r="S158" s="394"/>
      <c r="T158" s="394"/>
      <c r="U158" s="394"/>
      <c r="V158" s="394"/>
      <c r="W158" s="394"/>
      <c r="X158" s="394"/>
      <c r="Y158" s="395"/>
      <c r="Z158" s="395"/>
    </row>
    <row r="159">
      <c r="A159" s="445" t="s">
        <v>361</v>
      </c>
      <c r="B159" s="490"/>
      <c r="C159" s="491"/>
      <c r="D159" s="157"/>
      <c r="E159" s="239"/>
      <c r="F159" s="457"/>
      <c r="G159" s="419"/>
      <c r="H159" s="419"/>
      <c r="I159" s="57"/>
      <c r="J159" s="433" t="s">
        <v>670</v>
      </c>
      <c r="K159" s="420"/>
      <c r="L159" s="150"/>
      <c r="M159" s="425"/>
      <c r="O159" s="431"/>
      <c r="P159" s="157"/>
      <c r="Q159" s="409"/>
      <c r="R159" s="57"/>
      <c r="S159" s="394"/>
      <c r="T159" s="394"/>
      <c r="U159" s="394"/>
      <c r="V159" s="394"/>
      <c r="W159" s="394"/>
      <c r="X159" s="394"/>
      <c r="Y159" s="395"/>
      <c r="Z159" s="395"/>
    </row>
    <row r="160">
      <c r="A160" s="57"/>
      <c r="B160" s="57"/>
      <c r="C160" s="57"/>
      <c r="D160" s="157"/>
      <c r="E160" s="239"/>
      <c r="F160" s="457"/>
      <c r="G160" s="419"/>
      <c r="H160" s="419"/>
      <c r="I160" s="57"/>
      <c r="J160" s="444" t="s">
        <v>217</v>
      </c>
      <c r="K160" s="420"/>
      <c r="L160" s="150"/>
      <c r="M160" s="425"/>
      <c r="O160" s="431"/>
      <c r="P160" s="157"/>
      <c r="Q160" s="409"/>
      <c r="R160" s="57"/>
      <c r="S160" s="394"/>
      <c r="T160" s="394"/>
      <c r="U160" s="394"/>
      <c r="V160" s="394"/>
      <c r="W160" s="394"/>
      <c r="X160" s="394"/>
      <c r="Y160" s="395"/>
      <c r="Z160" s="395"/>
    </row>
    <row r="161">
      <c r="A161" s="57"/>
      <c r="B161" s="448"/>
      <c r="C161" s="57"/>
      <c r="D161" s="157"/>
      <c r="E161" s="239"/>
      <c r="F161" s="457"/>
      <c r="G161" s="455"/>
      <c r="H161" s="419"/>
      <c r="I161" s="57"/>
      <c r="J161" s="57"/>
      <c r="K161" s="420"/>
      <c r="L161" s="150"/>
      <c r="M161" s="425"/>
      <c r="O161" s="431"/>
      <c r="P161" s="157"/>
      <c r="Q161" s="409"/>
      <c r="R161" s="57"/>
      <c r="S161" s="394"/>
      <c r="T161" s="394"/>
      <c r="U161" s="394"/>
      <c r="V161" s="394"/>
      <c r="W161" s="394"/>
      <c r="X161" s="394"/>
      <c r="Y161" s="395"/>
      <c r="Z161" s="395"/>
    </row>
    <row r="162">
      <c r="A162" s="449" t="s">
        <v>365</v>
      </c>
      <c r="B162" s="450">
        <f>SUM(C163,C164,C165,C166,C167,C168,C169,C170,C171,C172)</f>
        <v>0</v>
      </c>
      <c r="C162" s="451" t="s">
        <v>366</v>
      </c>
      <c r="D162" s="157"/>
      <c r="E162" s="239"/>
      <c r="F162" s="457"/>
      <c r="G162" s="419"/>
      <c r="H162" s="419"/>
      <c r="I162" s="57"/>
      <c r="J162" s="452" t="s">
        <v>672</v>
      </c>
      <c r="K162" s="420"/>
      <c r="L162" s="150"/>
      <c r="M162" s="425"/>
      <c r="O162" s="431"/>
      <c r="P162" s="157"/>
      <c r="Q162" s="409"/>
      <c r="R162" s="57"/>
      <c r="S162" s="394"/>
      <c r="T162" s="394"/>
      <c r="U162" s="394"/>
      <c r="V162" s="394"/>
      <c r="W162" s="394"/>
      <c r="X162" s="394"/>
      <c r="Y162" s="395"/>
      <c r="Z162" s="395"/>
    </row>
    <row r="163">
      <c r="A163" s="453" t="s">
        <v>369</v>
      </c>
      <c r="C163" s="459"/>
      <c r="D163" s="157"/>
      <c r="E163" s="57"/>
      <c r="F163" s="457"/>
      <c r="G163" s="419"/>
      <c r="H163" s="419"/>
      <c r="I163" s="57"/>
      <c r="J163" s="452" t="s">
        <v>675</v>
      </c>
      <c r="K163" s="420"/>
      <c r="L163" s="150"/>
      <c r="M163" s="374"/>
      <c r="O163" s="431"/>
      <c r="P163" s="157"/>
      <c r="Q163" s="409"/>
      <c r="R163" s="57"/>
      <c r="S163" s="394"/>
      <c r="T163" s="394"/>
      <c r="U163" s="394"/>
      <c r="V163" s="394"/>
      <c r="W163" s="394"/>
      <c r="X163" s="394"/>
      <c r="Y163" s="395"/>
      <c r="Z163" s="395"/>
    </row>
    <row r="164">
      <c r="C164" s="459"/>
      <c r="D164" s="157"/>
      <c r="E164" s="57"/>
      <c r="F164" s="457"/>
      <c r="G164" s="455"/>
      <c r="H164" s="455"/>
      <c r="I164" s="57"/>
      <c r="J164" s="452" t="s">
        <v>6</v>
      </c>
      <c r="K164" s="420"/>
      <c r="L164" s="150"/>
      <c r="M164" s="374"/>
      <c r="O164" s="463"/>
      <c r="P164" s="157"/>
      <c r="Q164" s="409"/>
      <c r="R164" s="57"/>
      <c r="S164" s="394"/>
      <c r="T164" s="394"/>
      <c r="U164" s="394"/>
      <c r="V164" s="394"/>
      <c r="W164" s="394"/>
      <c r="X164" s="394"/>
      <c r="Y164" s="395"/>
      <c r="Z164" s="395"/>
    </row>
    <row r="165">
      <c r="A165" s="57"/>
      <c r="B165" s="57"/>
      <c r="C165" s="459"/>
      <c r="D165" s="157"/>
      <c r="E165" s="239"/>
      <c r="F165" s="457"/>
      <c r="G165" s="455"/>
      <c r="H165" s="455"/>
      <c r="I165" s="239"/>
      <c r="J165" s="375" t="s">
        <v>677</v>
      </c>
      <c r="K165" s="420"/>
      <c r="L165" s="150"/>
      <c r="M165" s="187"/>
      <c r="O165" s="463"/>
      <c r="P165" s="157"/>
      <c r="Q165" s="409"/>
      <c r="R165" s="57"/>
      <c r="S165" s="394"/>
      <c r="T165" s="394"/>
      <c r="U165" s="394"/>
      <c r="V165" s="394"/>
      <c r="W165" s="394"/>
      <c r="X165" s="394"/>
      <c r="Y165" s="395"/>
      <c r="Z165" s="395"/>
    </row>
    <row r="166">
      <c r="A166" s="239"/>
      <c r="B166" s="239"/>
      <c r="C166" s="459"/>
      <c r="D166" s="157"/>
      <c r="E166" s="239"/>
      <c r="F166" s="457"/>
      <c r="G166" s="455"/>
      <c r="H166" s="455"/>
      <c r="I166" s="57"/>
      <c r="J166" s="375" t="s">
        <v>679</v>
      </c>
      <c r="K166" s="420"/>
      <c r="L166" s="150"/>
      <c r="M166" s="374"/>
      <c r="O166" s="463"/>
      <c r="P166" s="157"/>
      <c r="Q166" s="409"/>
      <c r="R166" s="57"/>
      <c r="S166" s="394"/>
      <c r="T166" s="394"/>
      <c r="U166" s="394"/>
      <c r="V166" s="394"/>
      <c r="W166" s="394"/>
      <c r="X166" s="394"/>
      <c r="Y166" s="395"/>
      <c r="Z166" s="395"/>
    </row>
    <row r="167">
      <c r="A167" s="239"/>
      <c r="B167" s="239"/>
      <c r="C167" s="459"/>
      <c r="D167" s="157"/>
      <c r="E167" s="239"/>
      <c r="F167" s="457"/>
      <c r="G167" s="455"/>
      <c r="H167" s="419"/>
      <c r="I167" s="239"/>
      <c r="J167" s="456" t="s">
        <v>680</v>
      </c>
      <c r="K167" s="420"/>
      <c r="L167" s="150"/>
      <c r="M167" s="377"/>
      <c r="O167" s="463"/>
      <c r="P167" s="157"/>
      <c r="Q167" s="409"/>
      <c r="R167" s="57"/>
      <c r="S167" s="394"/>
      <c r="T167" s="394"/>
      <c r="U167" s="394"/>
      <c r="V167" s="394"/>
      <c r="W167" s="394"/>
      <c r="X167" s="394"/>
      <c r="Y167" s="395"/>
      <c r="Z167" s="395"/>
    </row>
    <row r="168">
      <c r="A168" s="239"/>
      <c r="B168" s="239"/>
      <c r="C168" s="459"/>
      <c r="D168" s="157"/>
      <c r="E168" s="239"/>
      <c r="F168" s="457"/>
      <c r="G168" s="419"/>
      <c r="H168" s="419"/>
      <c r="I168" s="57"/>
      <c r="J168" s="57"/>
      <c r="K168" s="420"/>
      <c r="L168" s="150"/>
      <c r="M168" s="374"/>
      <c r="O168" s="463"/>
      <c r="P168" s="157"/>
      <c r="Q168" s="409"/>
      <c r="R168" s="57"/>
      <c r="S168" s="399"/>
      <c r="T168" s="399"/>
      <c r="U168" s="399"/>
      <c r="V168" s="399"/>
      <c r="W168" s="399"/>
      <c r="X168" s="399"/>
      <c r="Y168" s="400"/>
      <c r="Z168" s="400"/>
    </row>
    <row r="169">
      <c r="A169" s="57"/>
      <c r="B169" s="57"/>
      <c r="C169" s="459"/>
      <c r="D169" s="157"/>
      <c r="E169" s="239"/>
      <c r="F169" s="457"/>
      <c r="G169" s="419"/>
      <c r="H169" s="419"/>
      <c r="I169" s="239"/>
      <c r="J169" s="378" t="s">
        <v>682</v>
      </c>
      <c r="K169" s="420"/>
      <c r="L169" s="150"/>
      <c r="M169" s="374"/>
      <c r="O169" s="463"/>
      <c r="P169" s="157"/>
      <c r="Q169" s="409"/>
      <c r="R169" s="57"/>
      <c r="S169" s="399"/>
      <c r="T169" s="399"/>
      <c r="U169" s="399"/>
      <c r="V169" s="399"/>
      <c r="W169" s="399"/>
      <c r="X169" s="399"/>
      <c r="Y169" s="400"/>
      <c r="Z169" s="400"/>
    </row>
    <row r="170">
      <c r="A170" s="57"/>
      <c r="B170" s="57"/>
      <c r="C170" s="459"/>
      <c r="D170" s="157"/>
      <c r="E170" s="239"/>
      <c r="F170" s="457"/>
      <c r="G170" s="455"/>
      <c r="H170" s="419"/>
      <c r="I170" s="57"/>
      <c r="J170" s="460" t="s">
        <v>684</v>
      </c>
      <c r="K170" s="420"/>
      <c r="L170" s="150"/>
      <c r="M170" s="425"/>
      <c r="O170" s="431"/>
      <c r="P170" s="157"/>
      <c r="Q170" s="409"/>
      <c r="R170" s="57"/>
      <c r="S170" s="394"/>
      <c r="T170" s="394"/>
      <c r="U170" s="394"/>
      <c r="V170" s="394"/>
      <c r="W170" s="394"/>
      <c r="X170" s="394"/>
      <c r="Y170" s="395"/>
      <c r="Z170" s="395"/>
    </row>
    <row r="171">
      <c r="A171" s="57"/>
      <c r="B171" s="57"/>
      <c r="C171" s="459"/>
      <c r="D171" s="157"/>
      <c r="E171" s="239"/>
      <c r="F171" s="457"/>
      <c r="G171" s="455"/>
      <c r="H171" s="419"/>
      <c r="I171" s="57"/>
      <c r="J171" s="461" t="s">
        <v>686</v>
      </c>
      <c r="K171" s="420"/>
      <c r="L171" s="150"/>
      <c r="M171" s="425"/>
      <c r="O171" s="431"/>
      <c r="P171" s="157"/>
      <c r="Q171" s="409"/>
      <c r="R171" s="57"/>
      <c r="S171" s="394"/>
      <c r="T171" s="394"/>
      <c r="U171" s="394"/>
      <c r="V171" s="394"/>
      <c r="W171" s="394"/>
      <c r="X171" s="394"/>
      <c r="Y171" s="395"/>
      <c r="Z171" s="395"/>
    </row>
    <row r="172">
      <c r="A172" s="239"/>
      <c r="B172" s="57"/>
      <c r="C172" s="459"/>
      <c r="D172" s="157"/>
      <c r="E172" s="57"/>
      <c r="F172" s="457"/>
      <c r="G172" s="419"/>
      <c r="H172" s="419"/>
      <c r="I172" s="57"/>
      <c r="J172" s="461" t="s">
        <v>202</v>
      </c>
      <c r="K172" s="420"/>
      <c r="L172" s="150"/>
      <c r="M172" s="374"/>
      <c r="O172" s="431"/>
      <c r="P172" s="157"/>
      <c r="Q172" s="409"/>
      <c r="R172" s="57"/>
      <c r="S172" s="394"/>
      <c r="T172" s="394"/>
      <c r="U172" s="394"/>
      <c r="V172" s="394"/>
      <c r="W172" s="394"/>
      <c r="X172" s="394"/>
      <c r="Y172" s="395"/>
      <c r="Z172" s="395"/>
    </row>
    <row r="173">
      <c r="A173" s="239"/>
      <c r="B173" s="57"/>
      <c r="C173" s="57"/>
      <c r="D173" s="157"/>
      <c r="E173" s="57"/>
      <c r="F173" s="457"/>
      <c r="G173" s="455"/>
      <c r="H173" s="455"/>
      <c r="I173" s="57"/>
      <c r="J173" s="461" t="s">
        <v>274</v>
      </c>
      <c r="K173" s="420"/>
      <c r="L173" s="150"/>
      <c r="M173" s="374"/>
      <c r="O173" s="463"/>
      <c r="P173" s="157"/>
      <c r="Q173" s="409"/>
      <c r="R173" s="57"/>
      <c r="S173" s="394"/>
      <c r="T173" s="394"/>
      <c r="U173" s="394"/>
      <c r="V173" s="394"/>
      <c r="W173" s="394"/>
      <c r="X173" s="394"/>
      <c r="Y173" s="395"/>
      <c r="Z173" s="395"/>
    </row>
    <row r="174">
      <c r="A174" s="57"/>
      <c r="B174" s="57"/>
      <c r="C174" s="57"/>
      <c r="D174" s="157"/>
      <c r="E174" s="239"/>
      <c r="F174" s="457"/>
      <c r="G174" s="455"/>
      <c r="H174" s="455"/>
      <c r="I174" s="239"/>
      <c r="J174" s="239"/>
      <c r="K174" s="420"/>
      <c r="L174" s="150"/>
      <c r="M174" s="187"/>
      <c r="O174" s="463"/>
      <c r="P174" s="157"/>
      <c r="Q174" s="409"/>
      <c r="R174" s="57"/>
      <c r="S174" s="394"/>
      <c r="T174" s="394"/>
      <c r="U174" s="394"/>
      <c r="V174" s="394"/>
      <c r="W174" s="394"/>
      <c r="X174" s="394"/>
      <c r="Y174" s="395"/>
      <c r="Z174" s="395"/>
    </row>
    <row r="175">
      <c r="A175" s="239"/>
      <c r="B175" s="239"/>
      <c r="C175" s="157"/>
      <c r="D175" s="157"/>
      <c r="E175" s="239"/>
      <c r="F175" s="457"/>
      <c r="G175" s="455"/>
      <c r="H175" s="455"/>
      <c r="I175" s="57"/>
      <c r="J175" s="479" t="s">
        <v>381</v>
      </c>
      <c r="K175" s="420"/>
      <c r="L175" s="150"/>
      <c r="M175" s="374"/>
      <c r="O175" s="463"/>
      <c r="P175" s="157"/>
      <c r="Q175" s="409"/>
      <c r="R175" s="57"/>
      <c r="S175" s="394"/>
      <c r="T175" s="394"/>
      <c r="U175" s="394"/>
      <c r="V175" s="394"/>
      <c r="W175" s="394"/>
      <c r="X175" s="394"/>
      <c r="Y175" s="395"/>
      <c r="Z175" s="395"/>
    </row>
    <row r="176">
      <c r="A176" s="239"/>
      <c r="B176" s="239"/>
      <c r="C176" s="157"/>
      <c r="D176" s="157"/>
      <c r="E176" s="239"/>
      <c r="F176" s="457"/>
      <c r="G176" s="419"/>
      <c r="H176" s="419"/>
      <c r="I176" s="239"/>
      <c r="J176" s="479" t="s">
        <v>383</v>
      </c>
      <c r="K176" s="420"/>
      <c r="L176" s="193"/>
      <c r="M176" s="374"/>
      <c r="O176" s="463"/>
      <c r="P176" s="157"/>
      <c r="Q176" s="409"/>
      <c r="R176" s="57"/>
      <c r="S176" s="394"/>
      <c r="T176" s="394"/>
      <c r="U176" s="394"/>
      <c r="V176" s="394"/>
      <c r="W176" s="394"/>
      <c r="X176" s="394"/>
      <c r="Y176" s="395"/>
      <c r="Z176" s="395"/>
    </row>
    <row r="177">
      <c r="A177" s="239"/>
      <c r="B177" s="239"/>
      <c r="C177" s="157"/>
      <c r="D177" s="157"/>
      <c r="E177" s="246" t="s">
        <v>690</v>
      </c>
      <c r="F177" s="457"/>
      <c r="G177" s="455"/>
      <c r="H177" s="419"/>
      <c r="I177" s="57"/>
      <c r="J177" s="57"/>
      <c r="K177" s="420"/>
      <c r="L177" s="150"/>
      <c r="M177" s="374"/>
      <c r="O177" s="463"/>
      <c r="P177" s="157"/>
      <c r="Q177" s="409"/>
      <c r="R177" s="57"/>
      <c r="S177" s="394"/>
      <c r="T177" s="394"/>
      <c r="U177" s="394"/>
      <c r="V177" s="394"/>
      <c r="W177" s="394"/>
      <c r="X177" s="394"/>
      <c r="Y177" s="395"/>
      <c r="Z177" s="395"/>
    </row>
    <row r="178">
      <c r="A178" s="57"/>
      <c r="B178" s="57"/>
      <c r="C178" s="157"/>
      <c r="D178" s="157"/>
      <c r="E178" s="246" t="s">
        <v>691</v>
      </c>
      <c r="F178" s="457"/>
      <c r="G178" s="419"/>
      <c r="H178" s="419"/>
      <c r="I178" s="239"/>
      <c r="J178" s="464" t="s">
        <v>692</v>
      </c>
      <c r="K178" s="420"/>
      <c r="L178" s="150"/>
      <c r="M178" s="374"/>
      <c r="O178" s="463"/>
      <c r="P178" s="157"/>
      <c r="Q178" s="409"/>
      <c r="R178" s="57"/>
      <c r="S178" s="394"/>
      <c r="T178" s="394"/>
      <c r="U178" s="394"/>
      <c r="V178" s="394"/>
      <c r="W178" s="394"/>
      <c r="X178" s="394"/>
      <c r="Y178" s="395"/>
      <c r="Z178" s="395"/>
    </row>
    <row r="179">
      <c r="A179" s="239"/>
      <c r="B179" s="239"/>
      <c r="C179" s="157"/>
      <c r="D179" s="157"/>
      <c r="E179" s="246" t="s">
        <v>693</v>
      </c>
      <c r="F179" s="457"/>
      <c r="G179" s="419"/>
      <c r="H179" s="419"/>
      <c r="I179" s="239"/>
      <c r="J179" s="464" t="s">
        <v>694</v>
      </c>
      <c r="K179" s="420"/>
      <c r="L179" s="150"/>
      <c r="M179" s="374"/>
      <c r="O179" s="463"/>
      <c r="P179" s="157"/>
      <c r="Q179" s="409"/>
      <c r="R179" s="57"/>
      <c r="S179" s="394"/>
      <c r="T179" s="394"/>
      <c r="U179" s="394"/>
      <c r="V179" s="394"/>
      <c r="W179" s="394"/>
      <c r="X179" s="394"/>
      <c r="Y179" s="395"/>
      <c r="Z179" s="395"/>
    </row>
    <row r="180">
      <c r="A180" s="239"/>
      <c r="B180" s="239"/>
      <c r="C180" s="157"/>
      <c r="D180" s="157"/>
      <c r="E180" s="385" t="s">
        <v>695</v>
      </c>
      <c r="F180" s="457"/>
      <c r="G180" s="419"/>
      <c r="H180" s="419"/>
      <c r="I180" s="239"/>
      <c r="J180" s="239"/>
      <c r="K180" s="57"/>
      <c r="L180" s="150"/>
      <c r="M180" s="239"/>
      <c r="N180" s="239"/>
      <c r="O180" s="57"/>
      <c r="P180" s="157"/>
      <c r="Q180" s="409"/>
      <c r="R180" s="57"/>
      <c r="S180" s="394"/>
      <c r="T180" s="394"/>
      <c r="U180" s="394"/>
      <c r="V180" s="394"/>
      <c r="W180" s="394"/>
      <c r="X180" s="394"/>
      <c r="Y180" s="395"/>
      <c r="Z180" s="395"/>
    </row>
    <row r="181">
      <c r="A181" s="239"/>
      <c r="B181" s="157"/>
      <c r="C181" s="157"/>
      <c r="D181" s="157"/>
      <c r="E181" s="239"/>
      <c r="F181" s="157"/>
      <c r="G181" s="57"/>
      <c r="H181" s="57"/>
      <c r="I181" s="239"/>
      <c r="J181" s="239"/>
      <c r="K181" s="57"/>
      <c r="L181" s="150"/>
      <c r="M181" s="57"/>
      <c r="N181" s="57"/>
      <c r="O181" s="57"/>
      <c r="P181" s="157"/>
      <c r="Q181" s="409"/>
      <c r="R181" s="57"/>
      <c r="S181" s="394"/>
      <c r="T181" s="394"/>
      <c r="U181" s="394"/>
      <c r="V181" s="394"/>
      <c r="W181" s="394"/>
      <c r="X181" s="394"/>
      <c r="Y181" s="395"/>
      <c r="Z181" s="395"/>
    </row>
    <row r="182">
      <c r="A182" s="402"/>
      <c r="B182" s="403"/>
      <c r="C182" s="403"/>
      <c r="D182" s="403"/>
      <c r="E182" s="402"/>
      <c r="F182" s="403"/>
      <c r="G182" s="159"/>
      <c r="H182" s="159"/>
      <c r="I182" s="159"/>
      <c r="J182" s="159"/>
      <c r="K182" s="159"/>
      <c r="L182" s="162"/>
      <c r="M182" s="159"/>
      <c r="N182" s="159"/>
      <c r="O182" s="159"/>
      <c r="P182" s="403"/>
      <c r="Q182" s="465"/>
      <c r="R182" s="57"/>
      <c r="S182" s="394"/>
      <c r="T182" s="394"/>
      <c r="U182" s="394"/>
      <c r="V182" s="394"/>
      <c r="W182" s="394"/>
      <c r="X182" s="394"/>
      <c r="Y182" s="395"/>
      <c r="Z182" s="395"/>
    </row>
    <row r="183">
      <c r="A183" s="402"/>
      <c r="B183" s="403"/>
      <c r="C183" s="403"/>
      <c r="D183" s="403"/>
      <c r="E183" s="402"/>
      <c r="F183" s="403"/>
      <c r="G183" s="159"/>
      <c r="H183" s="159"/>
      <c r="I183" s="159"/>
      <c r="J183" s="159"/>
      <c r="K183" s="159"/>
      <c r="L183" s="162"/>
      <c r="M183" s="402"/>
      <c r="N183" s="402"/>
      <c r="O183" s="159"/>
      <c r="P183" s="403"/>
      <c r="Q183" s="159"/>
      <c r="R183" s="57"/>
      <c r="S183" s="394"/>
      <c r="T183" s="394"/>
      <c r="U183" s="394"/>
      <c r="V183" s="394"/>
      <c r="W183" s="394"/>
      <c r="X183" s="394"/>
      <c r="Y183" s="395"/>
      <c r="Z183" s="395"/>
    </row>
    <row r="184">
      <c r="A184" s="270" t="s">
        <v>127</v>
      </c>
      <c r="B184" s="57"/>
      <c r="C184" s="404"/>
      <c r="D184" s="405"/>
      <c r="E184" s="406"/>
      <c r="F184" s="407"/>
      <c r="G184" s="467" t="s">
        <v>333</v>
      </c>
      <c r="H184" s="361"/>
      <c r="I184" s="57"/>
      <c r="J184" s="239"/>
      <c r="K184" s="57"/>
      <c r="L184" s="150"/>
      <c r="M184" s="57"/>
      <c r="N184" s="57"/>
      <c r="O184" s="57"/>
      <c r="P184" s="157"/>
      <c r="Q184" s="409"/>
      <c r="R184" s="57"/>
      <c r="S184" s="394"/>
      <c r="T184" s="394"/>
      <c r="U184" s="394"/>
      <c r="V184" s="394"/>
      <c r="W184" s="394"/>
      <c r="X184" s="394"/>
      <c r="Y184" s="395"/>
      <c r="Z184" s="395"/>
    </row>
    <row r="185">
      <c r="A185" s="182"/>
      <c r="B185" s="57"/>
      <c r="C185" s="404"/>
      <c r="D185" s="405"/>
      <c r="E185" s="469" t="s">
        <v>335</v>
      </c>
      <c r="F185" s="411" t="s">
        <v>237</v>
      </c>
      <c r="G185" s="481" t="s">
        <v>336</v>
      </c>
      <c r="H185" s="413" t="s">
        <v>337</v>
      </c>
      <c r="I185" s="57"/>
      <c r="J185" s="57" t="s">
        <v>0</v>
      </c>
      <c r="K185" s="57"/>
      <c r="L185" s="150"/>
      <c r="M185" s="414" t="s">
        <v>338</v>
      </c>
      <c r="O185" s="57" t="s">
        <v>334</v>
      </c>
      <c r="P185" s="157"/>
      <c r="Q185" s="409"/>
      <c r="R185" s="57"/>
      <c r="S185" s="394"/>
      <c r="T185" s="394"/>
      <c r="U185" s="394"/>
      <c r="V185" s="394"/>
      <c r="W185" s="394"/>
      <c r="X185" s="394"/>
      <c r="Y185" s="395"/>
      <c r="Z185" s="395"/>
    </row>
    <row r="186">
      <c r="A186" s="415" t="s">
        <v>179</v>
      </c>
      <c r="B186" s="214"/>
      <c r="C186" s="416">
        <f>SUM(F186:F216)</f>
        <v>0</v>
      </c>
      <c r="D186" s="405"/>
      <c r="E186" s="57"/>
      <c r="F186" s="457"/>
      <c r="G186" s="419"/>
      <c r="H186" s="419"/>
      <c r="I186" s="57"/>
      <c r="K186" s="420"/>
      <c r="L186" s="150"/>
      <c r="P186" s="157"/>
      <c r="Q186" s="409"/>
      <c r="R186" s="57"/>
      <c r="S186" s="394"/>
      <c r="T186" s="394"/>
      <c r="U186" s="394"/>
      <c r="V186" s="394"/>
      <c r="W186" s="394"/>
      <c r="X186" s="394"/>
      <c r="Y186" s="395"/>
      <c r="Z186" s="395"/>
    </row>
    <row r="187">
      <c r="A187" s="492" t="s">
        <v>343</v>
      </c>
      <c r="B187" s="422" t="s">
        <v>321</v>
      </c>
      <c r="C187" s="416">
        <f>SUM(P187:P215)</f>
        <v>0</v>
      </c>
      <c r="D187" s="157"/>
      <c r="E187" s="57"/>
      <c r="F187" s="457"/>
      <c r="G187" s="455"/>
      <c r="H187" s="455"/>
      <c r="I187" s="57"/>
      <c r="J187" s="424" t="s">
        <v>341</v>
      </c>
      <c r="K187" s="420"/>
      <c r="L187" s="150"/>
      <c r="M187" s="374"/>
      <c r="O187" s="463"/>
      <c r="P187" s="157"/>
      <c r="Q187" s="409"/>
      <c r="R187" s="57"/>
      <c r="S187" s="394"/>
      <c r="T187" s="394"/>
      <c r="U187" s="394"/>
      <c r="V187" s="394"/>
      <c r="W187" s="394"/>
      <c r="X187" s="394"/>
      <c r="Y187" s="395"/>
      <c r="Z187" s="395"/>
    </row>
    <row r="188">
      <c r="A188" s="427" t="s">
        <v>201</v>
      </c>
      <c r="B188" s="214"/>
      <c r="C188" s="204">
        <f>SUM(L187:L215)</f>
        <v>0</v>
      </c>
      <c r="D188" s="157"/>
      <c r="E188" s="239"/>
      <c r="F188" s="457"/>
      <c r="G188" s="455"/>
      <c r="H188" s="455"/>
      <c r="I188" s="239"/>
      <c r="J188" s="472" t="s">
        <v>345</v>
      </c>
      <c r="K188" s="420"/>
      <c r="L188" s="150"/>
      <c r="M188" s="187"/>
      <c r="O188" s="463"/>
      <c r="P188" s="157"/>
      <c r="Q188" s="409"/>
      <c r="R188" s="57"/>
      <c r="S188" s="394"/>
      <c r="T188" s="394"/>
      <c r="U188" s="394"/>
      <c r="V188" s="394"/>
      <c r="W188" s="394"/>
      <c r="X188" s="394"/>
      <c r="Y188" s="395"/>
      <c r="Z188" s="395"/>
    </row>
    <row r="189">
      <c r="A189" s="432"/>
      <c r="B189" s="239"/>
      <c r="C189" s="204"/>
      <c r="D189" s="157"/>
      <c r="E189" s="239"/>
      <c r="F189" s="457"/>
      <c r="G189" s="455"/>
      <c r="H189" s="455"/>
      <c r="I189" s="57"/>
      <c r="J189" s="433" t="s">
        <v>656</v>
      </c>
      <c r="K189" s="420"/>
      <c r="L189" s="150"/>
      <c r="M189" s="374"/>
      <c r="O189" s="463"/>
      <c r="P189" s="157"/>
      <c r="Q189" s="409"/>
      <c r="R189" s="57"/>
      <c r="S189" s="394"/>
      <c r="T189" s="394"/>
      <c r="U189" s="394"/>
      <c r="V189" s="394"/>
      <c r="W189" s="394"/>
      <c r="X189" s="394"/>
      <c r="Y189" s="395"/>
      <c r="Z189" s="395"/>
    </row>
    <row r="190">
      <c r="A190" s="434" t="s">
        <v>350</v>
      </c>
      <c r="B190" s="214"/>
      <c r="C190" s="212">
        <f>C186-C188-C192-B198-B193</f>
        <v>0</v>
      </c>
      <c r="D190" s="157"/>
      <c r="E190" s="239"/>
      <c r="F190" s="457"/>
      <c r="G190" s="419"/>
      <c r="H190" s="419"/>
      <c r="I190" s="239"/>
      <c r="J190" s="433" t="s">
        <v>658</v>
      </c>
      <c r="K190" s="420"/>
      <c r="L190" s="150"/>
      <c r="M190" s="374"/>
      <c r="O190" s="463"/>
      <c r="P190" s="157"/>
      <c r="Q190" s="409"/>
      <c r="R190" s="57"/>
      <c r="S190" s="394"/>
      <c r="T190" s="394"/>
      <c r="U190" s="394"/>
      <c r="V190" s="394"/>
      <c r="W190" s="394"/>
      <c r="X190" s="394"/>
      <c r="Y190" s="395"/>
      <c r="Z190" s="395"/>
    </row>
    <row r="191">
      <c r="A191" s="213"/>
      <c r="B191" s="214"/>
      <c r="C191" s="214"/>
      <c r="D191" s="157"/>
      <c r="E191" s="239"/>
      <c r="F191" s="457"/>
      <c r="G191" s="455"/>
      <c r="H191" s="419"/>
      <c r="I191" s="57"/>
      <c r="J191" s="444" t="s">
        <v>660</v>
      </c>
      <c r="K191" s="420"/>
      <c r="L191" s="150"/>
      <c r="M191" s="374"/>
      <c r="O191" s="463"/>
      <c r="P191" s="157"/>
      <c r="Q191" s="409"/>
      <c r="R191" s="57"/>
      <c r="S191" s="394"/>
      <c r="T191" s="394"/>
      <c r="U191" s="394"/>
      <c r="V191" s="394"/>
      <c r="W191" s="394"/>
      <c r="X191" s="394"/>
      <c r="Y191" s="395"/>
      <c r="Z191" s="395"/>
    </row>
    <row r="192">
      <c r="A192" s="473" t="s">
        <v>356</v>
      </c>
      <c r="B192" s="436"/>
      <c r="C192" s="447"/>
      <c r="D192" s="157"/>
      <c r="E192" s="239"/>
      <c r="F192" s="457"/>
      <c r="G192" s="419"/>
      <c r="H192" s="419"/>
      <c r="I192" s="239"/>
      <c r="J192" s="370" t="s">
        <v>662</v>
      </c>
      <c r="K192" s="420"/>
      <c r="L192" s="150"/>
      <c r="M192" s="374"/>
      <c r="O192" s="463"/>
      <c r="P192" s="157"/>
      <c r="Q192" s="409"/>
      <c r="R192" s="57"/>
      <c r="S192" s="394"/>
      <c r="T192" s="394"/>
      <c r="U192" s="394"/>
      <c r="V192" s="394"/>
      <c r="W192" s="394"/>
      <c r="X192" s="394"/>
      <c r="Y192" s="395"/>
      <c r="Z192" s="395"/>
    </row>
    <row r="193">
      <c r="A193" s="438" t="s">
        <v>214</v>
      </c>
      <c r="B193" s="493"/>
      <c r="C193" s="494"/>
      <c r="D193" s="373" t="s">
        <v>664</v>
      </c>
      <c r="E193" s="239"/>
      <c r="F193" s="457"/>
      <c r="G193" s="419"/>
      <c r="H193" s="419"/>
      <c r="I193" s="239"/>
      <c r="J193" s="433" t="s">
        <v>666</v>
      </c>
      <c r="K193" s="420"/>
      <c r="L193" s="150"/>
      <c r="M193" s="374"/>
      <c r="O193" s="463"/>
      <c r="P193" s="157"/>
      <c r="Q193" s="409"/>
      <c r="R193" s="57"/>
      <c r="S193" s="394"/>
      <c r="T193" s="394"/>
      <c r="U193" s="394"/>
      <c r="V193" s="394"/>
      <c r="W193" s="394"/>
      <c r="X193" s="394"/>
      <c r="Y193" s="395"/>
      <c r="Z193" s="395"/>
    </row>
    <row r="194">
      <c r="A194" s="442" t="s">
        <v>272</v>
      </c>
      <c r="B194" s="493"/>
      <c r="C194" s="494"/>
      <c r="D194" s="157"/>
      <c r="E194" s="239"/>
      <c r="F194" s="457"/>
      <c r="G194" s="419"/>
      <c r="H194" s="419"/>
      <c r="I194" s="239"/>
      <c r="J194" s="433" t="s">
        <v>668</v>
      </c>
      <c r="K194" s="420"/>
      <c r="L194" s="150"/>
      <c r="M194" s="377"/>
      <c r="O194" s="431"/>
      <c r="P194" s="157"/>
      <c r="Q194" s="409"/>
      <c r="R194" s="57"/>
      <c r="S194" s="394"/>
      <c r="T194" s="394"/>
      <c r="U194" s="394"/>
      <c r="V194" s="394"/>
      <c r="W194" s="394"/>
      <c r="X194" s="394"/>
      <c r="Y194" s="395"/>
      <c r="Z194" s="395"/>
    </row>
    <row r="195">
      <c r="A195" s="495" t="s">
        <v>361</v>
      </c>
      <c r="B195" s="496"/>
      <c r="C195" s="437"/>
      <c r="D195" s="157"/>
      <c r="E195" s="239"/>
      <c r="F195" s="457"/>
      <c r="G195" s="419"/>
      <c r="H195" s="419"/>
      <c r="I195" s="239"/>
      <c r="J195" s="433" t="s">
        <v>670</v>
      </c>
      <c r="K195" s="420"/>
      <c r="L195" s="150"/>
      <c r="M195" s="374"/>
      <c r="O195" s="431"/>
      <c r="P195" s="157"/>
      <c r="Q195" s="409"/>
      <c r="R195" s="57"/>
      <c r="S195" s="394"/>
      <c r="T195" s="394"/>
      <c r="U195" s="394"/>
      <c r="V195" s="394"/>
      <c r="W195" s="394"/>
      <c r="X195" s="394"/>
      <c r="Y195" s="395"/>
      <c r="Z195" s="395"/>
    </row>
    <row r="196">
      <c r="A196" s="239"/>
      <c r="B196" s="157"/>
      <c r="C196" s="157"/>
      <c r="D196" s="157"/>
      <c r="E196" s="239"/>
      <c r="F196" s="457"/>
      <c r="G196" s="419"/>
      <c r="H196" s="419"/>
      <c r="I196" s="57"/>
      <c r="J196" s="444" t="s">
        <v>217</v>
      </c>
      <c r="K196" s="420"/>
      <c r="L196" s="150"/>
      <c r="M196" s="374"/>
      <c r="O196" s="431"/>
      <c r="P196" s="157"/>
      <c r="Q196" s="409"/>
      <c r="R196" s="57"/>
      <c r="S196" s="394"/>
      <c r="T196" s="394"/>
      <c r="U196" s="394"/>
      <c r="V196" s="394"/>
      <c r="W196" s="394"/>
      <c r="X196" s="394"/>
      <c r="Y196" s="395"/>
      <c r="Z196" s="395"/>
    </row>
    <row r="197">
      <c r="A197" s="239"/>
      <c r="B197" s="497"/>
      <c r="C197" s="157"/>
      <c r="D197" s="157"/>
      <c r="E197" s="239"/>
      <c r="F197" s="457"/>
      <c r="G197" s="419"/>
      <c r="H197" s="419"/>
      <c r="I197" s="239"/>
      <c r="J197" s="239"/>
      <c r="K197" s="420"/>
      <c r="L197" s="150"/>
      <c r="M197" s="374"/>
      <c r="O197" s="431"/>
      <c r="P197" s="157"/>
      <c r="Q197" s="409"/>
      <c r="R197" s="57"/>
      <c r="S197" s="399"/>
      <c r="T197" s="399"/>
      <c r="U197" s="399"/>
      <c r="V197" s="399"/>
      <c r="W197" s="399"/>
      <c r="X197" s="399"/>
      <c r="Y197" s="400"/>
      <c r="Z197" s="400"/>
    </row>
    <row r="198">
      <c r="A198" s="498" t="s">
        <v>365</v>
      </c>
      <c r="B198" s="450">
        <f>SUM(C199,C200,C201,C202,C203,C204,C205,C206,C207,C208)</f>
        <v>0</v>
      </c>
      <c r="C198" s="477" t="s">
        <v>366</v>
      </c>
      <c r="D198" s="157"/>
      <c r="E198" s="239"/>
      <c r="F198" s="457"/>
      <c r="G198" s="419"/>
      <c r="H198" s="419"/>
      <c r="I198" s="57"/>
      <c r="J198" s="452" t="s">
        <v>672</v>
      </c>
      <c r="K198" s="420"/>
      <c r="L198" s="150"/>
      <c r="M198" s="377"/>
      <c r="O198" s="431"/>
      <c r="P198" s="157"/>
      <c r="Q198" s="409"/>
      <c r="R198" s="57"/>
      <c r="S198" s="399"/>
      <c r="T198" s="399"/>
      <c r="U198" s="399"/>
      <c r="V198" s="399"/>
      <c r="W198" s="399"/>
      <c r="X198" s="399"/>
      <c r="Y198" s="400"/>
      <c r="Z198" s="400"/>
    </row>
    <row r="199">
      <c r="A199" s="453" t="s">
        <v>369</v>
      </c>
      <c r="C199" s="459"/>
      <c r="D199" s="157"/>
      <c r="E199" s="239"/>
      <c r="F199" s="457"/>
      <c r="G199" s="419"/>
      <c r="H199" s="419"/>
      <c r="I199" s="239"/>
      <c r="J199" s="456" t="s">
        <v>675</v>
      </c>
      <c r="K199" s="420"/>
      <c r="L199" s="150"/>
      <c r="M199" s="374"/>
      <c r="O199" s="431"/>
      <c r="P199" s="157"/>
      <c r="Q199" s="409"/>
      <c r="R199" s="57"/>
      <c r="S199" s="394"/>
      <c r="T199" s="394"/>
      <c r="U199" s="394"/>
      <c r="V199" s="394"/>
      <c r="W199" s="394"/>
      <c r="X199" s="394"/>
      <c r="Y199" s="395"/>
      <c r="Z199" s="395"/>
    </row>
    <row r="200">
      <c r="C200" s="459"/>
      <c r="D200" s="157"/>
      <c r="E200" s="239"/>
      <c r="F200" s="457"/>
      <c r="G200" s="419"/>
      <c r="H200" s="419"/>
      <c r="I200" s="57"/>
      <c r="J200" s="452" t="s">
        <v>6</v>
      </c>
      <c r="K200" s="420"/>
      <c r="L200" s="150"/>
      <c r="M200" s="374"/>
      <c r="O200" s="463"/>
      <c r="P200" s="157"/>
      <c r="Q200" s="409"/>
      <c r="R200" s="57"/>
      <c r="S200" s="394"/>
      <c r="T200" s="394"/>
      <c r="U200" s="394"/>
      <c r="V200" s="394"/>
      <c r="W200" s="394"/>
      <c r="X200" s="394"/>
      <c r="Y200" s="395"/>
      <c r="Z200" s="395"/>
    </row>
    <row r="201">
      <c r="A201" s="57"/>
      <c r="B201" s="57"/>
      <c r="C201" s="459"/>
      <c r="D201" s="157"/>
      <c r="E201" s="239"/>
      <c r="F201" s="457"/>
      <c r="G201" s="419"/>
      <c r="H201" s="419"/>
      <c r="I201" s="239"/>
      <c r="J201" s="375" t="s">
        <v>677</v>
      </c>
      <c r="K201" s="420"/>
      <c r="L201" s="150"/>
      <c r="M201" s="374"/>
      <c r="O201" s="463"/>
      <c r="P201" s="157"/>
      <c r="Q201" s="409"/>
      <c r="R201" s="57"/>
      <c r="S201" s="394"/>
      <c r="T201" s="394"/>
      <c r="U201" s="394"/>
      <c r="V201" s="394"/>
      <c r="W201" s="394"/>
      <c r="X201" s="394"/>
      <c r="Y201" s="395"/>
      <c r="Z201" s="395"/>
    </row>
    <row r="202">
      <c r="A202" s="239"/>
      <c r="B202" s="239"/>
      <c r="C202" s="459"/>
      <c r="D202" s="157"/>
      <c r="E202" s="239"/>
      <c r="F202" s="457"/>
      <c r="G202" s="419"/>
      <c r="H202" s="419"/>
      <c r="I202" s="239"/>
      <c r="J202" s="375" t="s">
        <v>679</v>
      </c>
      <c r="K202" s="420"/>
      <c r="L202" s="150"/>
      <c r="M202" s="374"/>
      <c r="O202" s="463"/>
      <c r="P202" s="157"/>
      <c r="Q202" s="409"/>
      <c r="R202" s="57"/>
      <c r="S202" s="394"/>
      <c r="T202" s="394"/>
      <c r="U202" s="394"/>
      <c r="V202" s="394"/>
      <c r="W202" s="394"/>
      <c r="X202" s="394"/>
      <c r="Y202" s="395"/>
      <c r="Z202" s="395"/>
    </row>
    <row r="203">
      <c r="A203" s="239"/>
      <c r="B203" s="239"/>
      <c r="C203" s="459"/>
      <c r="D203" s="157"/>
      <c r="E203" s="239"/>
      <c r="F203" s="457"/>
      <c r="G203" s="419"/>
      <c r="H203" s="419"/>
      <c r="I203" s="239"/>
      <c r="J203" s="456" t="s">
        <v>680</v>
      </c>
      <c r="K203" s="420"/>
      <c r="L203" s="150"/>
      <c r="M203" s="377"/>
      <c r="O203" s="431"/>
      <c r="P203" s="157"/>
      <c r="Q203" s="409"/>
      <c r="R203" s="57"/>
      <c r="S203" s="394"/>
      <c r="T203" s="394"/>
      <c r="U203" s="394"/>
      <c r="V203" s="394"/>
      <c r="W203" s="394"/>
      <c r="X203" s="394"/>
      <c r="Y203" s="395"/>
      <c r="Z203" s="395"/>
    </row>
    <row r="204">
      <c r="A204" s="239"/>
      <c r="B204" s="157"/>
      <c r="C204" s="459"/>
      <c r="D204" s="157"/>
      <c r="E204" s="239"/>
      <c r="F204" s="457"/>
      <c r="G204" s="419"/>
      <c r="H204" s="419"/>
      <c r="I204" s="239"/>
      <c r="J204" s="239"/>
      <c r="K204" s="420"/>
      <c r="L204" s="150"/>
      <c r="M204" s="374"/>
      <c r="O204" s="431"/>
      <c r="P204" s="157"/>
      <c r="Q204" s="409"/>
      <c r="R204" s="57"/>
      <c r="S204" s="394"/>
      <c r="T204" s="394"/>
      <c r="U204" s="394"/>
      <c r="V204" s="394"/>
      <c r="W204" s="394"/>
      <c r="X204" s="394"/>
      <c r="Y204" s="395"/>
      <c r="Z204" s="395"/>
    </row>
    <row r="205">
      <c r="A205" s="239"/>
      <c r="B205" s="157"/>
      <c r="C205" s="459"/>
      <c r="D205" s="157"/>
      <c r="E205" s="239"/>
      <c r="F205" s="457"/>
      <c r="G205" s="419"/>
      <c r="H205" s="419"/>
      <c r="I205" s="57"/>
      <c r="J205" s="378" t="s">
        <v>682</v>
      </c>
      <c r="K205" s="420"/>
      <c r="L205" s="150"/>
      <c r="M205" s="374"/>
      <c r="O205" s="431"/>
      <c r="P205" s="157"/>
      <c r="Q205" s="409"/>
      <c r="R205" s="57"/>
      <c r="S205" s="394"/>
      <c r="T205" s="394"/>
      <c r="U205" s="394"/>
      <c r="V205" s="394"/>
      <c r="W205" s="394"/>
      <c r="X205" s="394"/>
      <c r="Y205" s="395"/>
      <c r="Z205" s="395"/>
    </row>
    <row r="206">
      <c r="A206" s="239"/>
      <c r="B206" s="157"/>
      <c r="C206" s="459"/>
      <c r="D206" s="157"/>
      <c r="E206" s="239"/>
      <c r="F206" s="457"/>
      <c r="G206" s="419"/>
      <c r="H206" s="419"/>
      <c r="I206" s="239"/>
      <c r="J206" s="460" t="s">
        <v>684</v>
      </c>
      <c r="K206" s="420"/>
      <c r="L206" s="150"/>
      <c r="M206" s="374"/>
      <c r="O206" s="431"/>
      <c r="P206" s="157"/>
      <c r="Q206" s="409"/>
      <c r="R206" s="57"/>
      <c r="S206" s="394"/>
      <c r="T206" s="394"/>
      <c r="U206" s="394"/>
      <c r="V206" s="394"/>
      <c r="W206" s="394"/>
      <c r="X206" s="394"/>
      <c r="Y206" s="395"/>
      <c r="Z206" s="395"/>
    </row>
    <row r="207">
      <c r="A207" s="239"/>
      <c r="B207" s="157"/>
      <c r="C207" s="459"/>
      <c r="D207" s="157"/>
      <c r="E207" s="239"/>
      <c r="F207" s="457"/>
      <c r="G207" s="419"/>
      <c r="H207" s="419"/>
      <c r="I207" s="57"/>
      <c r="J207" s="461" t="s">
        <v>686</v>
      </c>
      <c r="K207" s="420"/>
      <c r="L207" s="150"/>
      <c r="M207" s="377"/>
      <c r="O207" s="431"/>
      <c r="P207" s="157"/>
      <c r="Q207" s="409"/>
      <c r="R207" s="57"/>
      <c r="S207" s="394"/>
      <c r="T207" s="394"/>
      <c r="U207" s="394"/>
      <c r="V207" s="394"/>
      <c r="W207" s="394"/>
      <c r="X207" s="394"/>
      <c r="Y207" s="395"/>
      <c r="Z207" s="395"/>
    </row>
    <row r="208">
      <c r="A208" s="57"/>
      <c r="B208" s="57"/>
      <c r="C208" s="459"/>
      <c r="D208" s="157"/>
      <c r="E208" s="239"/>
      <c r="F208" s="457"/>
      <c r="G208" s="455"/>
      <c r="H208" s="419"/>
      <c r="I208" s="239"/>
      <c r="J208" s="460" t="s">
        <v>202</v>
      </c>
      <c r="K208" s="420"/>
      <c r="L208" s="150"/>
      <c r="M208" s="374"/>
      <c r="O208" s="431"/>
      <c r="P208" s="157"/>
      <c r="Q208" s="409"/>
      <c r="R208" s="57"/>
      <c r="S208" s="394"/>
      <c r="T208" s="394"/>
      <c r="U208" s="394"/>
      <c r="V208" s="394"/>
      <c r="W208" s="394"/>
      <c r="X208" s="394"/>
      <c r="Y208" s="395"/>
      <c r="Z208" s="395"/>
    </row>
    <row r="209">
      <c r="A209" s="57"/>
      <c r="B209" s="57"/>
      <c r="C209" s="57"/>
      <c r="D209" s="157"/>
      <c r="E209" s="239"/>
      <c r="F209" s="457"/>
      <c r="G209" s="419"/>
      <c r="H209" s="419"/>
      <c r="I209" s="239"/>
      <c r="J209" s="460" t="s">
        <v>274</v>
      </c>
      <c r="K209" s="420"/>
      <c r="L209" s="150"/>
      <c r="M209" s="374"/>
      <c r="O209" s="431"/>
      <c r="P209" s="157"/>
      <c r="Q209" s="409"/>
      <c r="R209" s="57"/>
      <c r="S209" s="394"/>
      <c r="T209" s="394"/>
      <c r="U209" s="394"/>
      <c r="V209" s="394"/>
      <c r="W209" s="394"/>
      <c r="X209" s="394"/>
      <c r="Y209" s="395"/>
      <c r="Z209" s="395"/>
    </row>
    <row r="210">
      <c r="A210" s="239"/>
      <c r="B210" s="157"/>
      <c r="C210" s="239"/>
      <c r="D210" s="157"/>
      <c r="E210" s="239"/>
      <c r="F210" s="457"/>
      <c r="G210" s="419"/>
      <c r="H210" s="419"/>
      <c r="I210" s="239"/>
      <c r="J210" s="239"/>
      <c r="K210" s="420"/>
      <c r="L210" s="150"/>
      <c r="M210" s="374"/>
      <c r="O210" s="431"/>
      <c r="P210" s="157"/>
      <c r="Q210" s="409"/>
      <c r="R210" s="57"/>
      <c r="S210" s="394"/>
      <c r="T210" s="394"/>
      <c r="U210" s="394"/>
      <c r="V210" s="394"/>
      <c r="W210" s="394"/>
      <c r="X210" s="394"/>
      <c r="Y210" s="395"/>
      <c r="Z210" s="395"/>
    </row>
    <row r="211">
      <c r="A211" s="239"/>
      <c r="B211" s="239"/>
      <c r="C211" s="157"/>
      <c r="D211" s="157"/>
      <c r="E211" s="239"/>
      <c r="F211" s="457"/>
      <c r="G211" s="419"/>
      <c r="H211" s="419"/>
      <c r="I211" s="57"/>
      <c r="J211" s="462" t="s">
        <v>381</v>
      </c>
      <c r="K211" s="420"/>
      <c r="L211" s="150"/>
      <c r="M211" s="377"/>
      <c r="O211" s="431"/>
      <c r="P211" s="157"/>
      <c r="Q211" s="409"/>
      <c r="R211" s="57"/>
      <c r="S211" s="394"/>
      <c r="T211" s="394"/>
      <c r="U211" s="394"/>
      <c r="V211" s="394"/>
      <c r="W211" s="394"/>
      <c r="X211" s="394"/>
      <c r="Y211" s="395"/>
      <c r="Z211" s="395"/>
    </row>
    <row r="212">
      <c r="A212" s="239"/>
      <c r="B212" s="239"/>
      <c r="C212" s="157"/>
      <c r="D212" s="157"/>
      <c r="E212" s="239"/>
      <c r="F212" s="457"/>
      <c r="G212" s="419"/>
      <c r="H212" s="419"/>
      <c r="I212" s="57"/>
      <c r="J212" s="462" t="s">
        <v>383</v>
      </c>
      <c r="K212" s="420"/>
      <c r="L212" s="150"/>
      <c r="M212" s="377"/>
      <c r="O212" s="431"/>
      <c r="P212" s="157"/>
      <c r="Q212" s="409"/>
      <c r="R212" s="57"/>
      <c r="S212" s="394"/>
      <c r="T212" s="394"/>
      <c r="U212" s="394"/>
      <c r="V212" s="394"/>
      <c r="W212" s="394"/>
      <c r="X212" s="394"/>
      <c r="Y212" s="395"/>
      <c r="Z212" s="395"/>
    </row>
    <row r="213">
      <c r="A213" s="57"/>
      <c r="B213" s="57"/>
      <c r="C213" s="157"/>
      <c r="D213" s="157"/>
      <c r="E213" s="246" t="s">
        <v>690</v>
      </c>
      <c r="F213" s="457"/>
      <c r="G213" s="455"/>
      <c r="H213" s="419"/>
      <c r="I213" s="239"/>
      <c r="J213" s="239"/>
      <c r="K213" s="420"/>
      <c r="L213" s="150"/>
      <c r="M213" s="374"/>
      <c r="O213" s="431"/>
      <c r="P213" s="157"/>
      <c r="Q213" s="409"/>
      <c r="R213" s="57"/>
      <c r="S213" s="394"/>
      <c r="T213" s="394"/>
      <c r="U213" s="394"/>
      <c r="V213" s="394"/>
      <c r="W213" s="394"/>
      <c r="X213" s="394"/>
      <c r="Y213" s="395"/>
      <c r="Z213" s="395"/>
    </row>
    <row r="214">
      <c r="A214" s="57"/>
      <c r="B214" s="57"/>
      <c r="C214" s="57"/>
      <c r="D214" s="157"/>
      <c r="E214" s="246" t="s">
        <v>691</v>
      </c>
      <c r="F214" s="457"/>
      <c r="G214" s="455"/>
      <c r="H214" s="419"/>
      <c r="I214" s="57"/>
      <c r="J214" s="464" t="s">
        <v>692</v>
      </c>
      <c r="K214" s="420"/>
      <c r="L214" s="150"/>
      <c r="M214" s="425"/>
      <c r="O214" s="431"/>
      <c r="P214" s="157"/>
      <c r="Q214" s="409"/>
      <c r="R214" s="57"/>
      <c r="S214" s="394"/>
      <c r="T214" s="394"/>
      <c r="U214" s="394"/>
      <c r="V214" s="394"/>
      <c r="W214" s="394"/>
      <c r="X214" s="394"/>
      <c r="Y214" s="395"/>
      <c r="Z214" s="395"/>
    </row>
    <row r="215">
      <c r="A215" s="57"/>
      <c r="B215" s="57"/>
      <c r="C215" s="57"/>
      <c r="D215" s="157"/>
      <c r="E215" s="246" t="s">
        <v>693</v>
      </c>
      <c r="F215" s="457"/>
      <c r="G215" s="455"/>
      <c r="H215" s="419"/>
      <c r="I215" s="57"/>
      <c r="J215" s="499" t="s">
        <v>694</v>
      </c>
      <c r="K215" s="420"/>
      <c r="L215" s="150"/>
      <c r="M215" s="425"/>
      <c r="O215" s="431"/>
      <c r="P215" s="157"/>
      <c r="Q215" s="409"/>
      <c r="R215" s="57"/>
      <c r="S215" s="394"/>
      <c r="T215" s="394"/>
      <c r="U215" s="394"/>
      <c r="V215" s="394"/>
      <c r="W215" s="394"/>
      <c r="X215" s="394"/>
      <c r="Y215" s="395"/>
      <c r="Z215" s="395"/>
    </row>
    <row r="216">
      <c r="A216" s="239"/>
      <c r="B216" s="57"/>
      <c r="C216" s="57"/>
      <c r="D216" s="157"/>
      <c r="E216" s="385" t="s">
        <v>695</v>
      </c>
      <c r="F216" s="457"/>
      <c r="G216" s="419"/>
      <c r="H216" s="419"/>
      <c r="I216" s="57"/>
      <c r="J216" s="57"/>
      <c r="K216" s="57"/>
      <c r="L216" s="150"/>
      <c r="M216" s="57"/>
      <c r="N216" s="57"/>
      <c r="O216" s="57"/>
      <c r="P216" s="157"/>
      <c r="Q216" s="409"/>
      <c r="R216" s="57"/>
      <c r="S216" s="394"/>
      <c r="T216" s="394"/>
      <c r="U216" s="394"/>
      <c r="V216" s="394"/>
      <c r="W216" s="394"/>
      <c r="X216" s="394"/>
      <c r="Y216" s="395"/>
      <c r="Z216" s="395"/>
    </row>
    <row r="217">
      <c r="A217" s="239"/>
      <c r="B217" s="57"/>
      <c r="C217" s="57"/>
      <c r="D217" s="157"/>
      <c r="E217" s="57"/>
      <c r="F217" s="157"/>
      <c r="G217" s="239"/>
      <c r="H217" s="239"/>
      <c r="I217" s="57"/>
      <c r="J217" s="57"/>
      <c r="K217" s="57"/>
      <c r="L217" s="150"/>
      <c r="M217" s="57"/>
      <c r="N217" s="57"/>
      <c r="O217" s="239"/>
      <c r="P217" s="157"/>
      <c r="Q217" s="409"/>
      <c r="R217" s="57"/>
      <c r="S217" s="394"/>
      <c r="T217" s="394"/>
      <c r="U217" s="394"/>
      <c r="V217" s="394"/>
      <c r="W217" s="394"/>
      <c r="X217" s="394"/>
      <c r="Y217" s="395"/>
      <c r="Z217" s="395"/>
    </row>
    <row r="218">
      <c r="A218" s="159"/>
      <c r="B218" s="159"/>
      <c r="C218" s="159"/>
      <c r="D218" s="403"/>
      <c r="E218" s="402"/>
      <c r="F218" s="403"/>
      <c r="G218" s="402"/>
      <c r="H218" s="402"/>
      <c r="I218" s="402"/>
      <c r="J218" s="402"/>
      <c r="K218" s="159"/>
      <c r="L218" s="162"/>
      <c r="M218" s="402"/>
      <c r="N218" s="402"/>
      <c r="O218" s="402"/>
      <c r="P218" s="403"/>
      <c r="Q218" s="465"/>
      <c r="R218" s="57"/>
      <c r="S218" s="394"/>
      <c r="T218" s="394"/>
      <c r="U218" s="394"/>
      <c r="V218" s="394"/>
      <c r="W218" s="394"/>
      <c r="X218" s="394"/>
      <c r="Y218" s="395"/>
      <c r="Z218" s="395"/>
    </row>
    <row r="219">
      <c r="A219" s="402"/>
      <c r="B219" s="402"/>
      <c r="C219" s="403"/>
      <c r="D219" s="403"/>
      <c r="E219" s="402"/>
      <c r="F219" s="403"/>
      <c r="G219" s="402"/>
      <c r="H219" s="402"/>
      <c r="I219" s="159"/>
      <c r="J219" s="402"/>
      <c r="K219" s="159"/>
      <c r="L219" s="162"/>
      <c r="M219" s="159"/>
      <c r="N219" s="159"/>
      <c r="O219" s="402"/>
      <c r="P219" s="403"/>
      <c r="Q219" s="159"/>
      <c r="R219" s="57"/>
      <c r="S219" s="394"/>
      <c r="T219" s="394"/>
      <c r="U219" s="394"/>
      <c r="V219" s="394"/>
      <c r="W219" s="394"/>
      <c r="X219" s="394"/>
      <c r="Y219" s="395"/>
      <c r="Z219" s="395"/>
    </row>
    <row r="220">
      <c r="A220" s="270" t="s">
        <v>71</v>
      </c>
      <c r="B220" s="239"/>
      <c r="C220" s="466"/>
      <c r="D220" s="405"/>
      <c r="E220" s="406"/>
      <c r="F220" s="407"/>
      <c r="G220" s="467" t="s">
        <v>333</v>
      </c>
      <c r="H220" s="361"/>
      <c r="I220" s="239"/>
      <c r="J220" s="239"/>
      <c r="K220" s="57"/>
      <c r="L220" s="150"/>
      <c r="M220" s="57"/>
      <c r="N220" s="57"/>
      <c r="O220" s="239"/>
      <c r="P220" s="157"/>
      <c r="Q220" s="409"/>
      <c r="R220" s="57"/>
      <c r="S220" s="394"/>
      <c r="T220" s="394"/>
      <c r="U220" s="394"/>
      <c r="V220" s="394"/>
      <c r="W220" s="394"/>
      <c r="X220" s="394"/>
      <c r="Y220" s="395"/>
      <c r="Z220" s="395"/>
    </row>
    <row r="221">
      <c r="A221" s="468"/>
      <c r="B221" s="239"/>
      <c r="C221" s="466"/>
      <c r="D221" s="405"/>
      <c r="E221" s="469" t="s">
        <v>335</v>
      </c>
      <c r="F221" s="411" t="s">
        <v>237</v>
      </c>
      <c r="G221" s="481" t="s">
        <v>336</v>
      </c>
      <c r="H221" s="413" t="s">
        <v>337</v>
      </c>
      <c r="I221" s="57"/>
      <c r="J221" s="57" t="s">
        <v>0</v>
      </c>
      <c r="K221" s="57"/>
      <c r="L221" s="150"/>
      <c r="M221" s="414" t="s">
        <v>338</v>
      </c>
      <c r="O221" s="239" t="s">
        <v>334</v>
      </c>
      <c r="P221" s="157"/>
      <c r="Q221" s="409"/>
      <c r="R221" s="57"/>
      <c r="S221" s="394"/>
      <c r="T221" s="394"/>
      <c r="U221" s="394"/>
      <c r="V221" s="394"/>
      <c r="W221" s="394"/>
      <c r="X221" s="394"/>
      <c r="Y221" s="395"/>
      <c r="Z221" s="395"/>
    </row>
    <row r="222">
      <c r="A222" s="415" t="s">
        <v>179</v>
      </c>
      <c r="B222" s="214"/>
      <c r="C222" s="416">
        <f>SUM(F222:F252)</f>
        <v>0</v>
      </c>
      <c r="D222" s="405"/>
      <c r="E222" s="239"/>
      <c r="F222" s="457"/>
      <c r="G222" s="419"/>
      <c r="H222" s="419"/>
      <c r="I222" s="239"/>
      <c r="K222" s="420"/>
      <c r="L222" s="150"/>
      <c r="P222" s="157"/>
      <c r="Q222" s="409"/>
      <c r="R222" s="57"/>
      <c r="S222" s="399"/>
      <c r="T222" s="399"/>
      <c r="U222" s="399"/>
      <c r="V222" s="399"/>
      <c r="W222" s="399"/>
      <c r="X222" s="399"/>
      <c r="Y222" s="400"/>
      <c r="Z222" s="400"/>
    </row>
    <row r="223">
      <c r="A223" s="492" t="s">
        <v>343</v>
      </c>
      <c r="B223" s="500" t="s">
        <v>321</v>
      </c>
      <c r="C223" s="416">
        <f>SUM(P223:P251)</f>
        <v>0</v>
      </c>
      <c r="D223" s="157"/>
      <c r="E223" s="239"/>
      <c r="F223" s="457"/>
      <c r="G223" s="419"/>
      <c r="H223" s="419"/>
      <c r="I223" s="239"/>
      <c r="J223" s="471" t="s">
        <v>341</v>
      </c>
      <c r="K223" s="420"/>
      <c r="L223" s="150"/>
      <c r="M223" s="374"/>
      <c r="O223" s="463"/>
      <c r="P223" s="157"/>
      <c r="Q223" s="409"/>
      <c r="R223" s="57"/>
      <c r="S223" s="399"/>
      <c r="T223" s="399"/>
      <c r="U223" s="399"/>
      <c r="V223" s="399"/>
      <c r="W223" s="399"/>
      <c r="X223" s="399"/>
      <c r="Y223" s="400"/>
      <c r="Z223" s="400"/>
    </row>
    <row r="224">
      <c r="A224" s="501" t="s">
        <v>201</v>
      </c>
      <c r="B224" s="214"/>
      <c r="C224" s="204">
        <f>SUM(L223:L251)</f>
        <v>0</v>
      </c>
      <c r="D224" s="157"/>
      <c r="E224" s="239"/>
      <c r="F224" s="457"/>
      <c r="G224" s="419"/>
      <c r="H224" s="419"/>
      <c r="I224" s="239"/>
      <c r="J224" s="472" t="s">
        <v>345</v>
      </c>
      <c r="K224" s="420"/>
      <c r="L224" s="150"/>
      <c r="M224" s="377"/>
      <c r="O224" s="431"/>
      <c r="P224" s="157"/>
      <c r="Q224" s="409"/>
      <c r="R224" s="57"/>
      <c r="S224" s="394"/>
      <c r="T224" s="394"/>
      <c r="U224" s="394"/>
      <c r="V224" s="394"/>
      <c r="W224" s="394"/>
      <c r="X224" s="394"/>
      <c r="Y224" s="395"/>
      <c r="Z224" s="395"/>
    </row>
    <row r="225">
      <c r="A225" s="432"/>
      <c r="B225" s="157"/>
      <c r="C225" s="204"/>
      <c r="D225" s="157"/>
      <c r="E225" s="239"/>
      <c r="F225" s="457"/>
      <c r="G225" s="419"/>
      <c r="H225" s="419"/>
      <c r="I225" s="239"/>
      <c r="J225" s="433" t="s">
        <v>656</v>
      </c>
      <c r="K225" s="420"/>
      <c r="L225" s="150"/>
      <c r="M225" s="374"/>
      <c r="O225" s="431"/>
      <c r="P225" s="157"/>
      <c r="Q225" s="409"/>
      <c r="R225" s="57"/>
      <c r="S225" s="394"/>
      <c r="T225" s="394"/>
      <c r="U225" s="394"/>
      <c r="V225" s="394"/>
      <c r="W225" s="394"/>
      <c r="X225" s="394"/>
      <c r="Y225" s="395"/>
      <c r="Z225" s="395"/>
    </row>
    <row r="226">
      <c r="A226" s="502" t="s">
        <v>350</v>
      </c>
      <c r="B226" s="214"/>
      <c r="C226" s="212">
        <f>C222-C224-C228-B234-B229</f>
        <v>0</v>
      </c>
      <c r="D226" s="157"/>
      <c r="E226" s="239"/>
      <c r="F226" s="457"/>
      <c r="G226" s="419"/>
      <c r="H226" s="419"/>
      <c r="I226" s="57"/>
      <c r="J226" s="444" t="s">
        <v>658</v>
      </c>
      <c r="K226" s="420"/>
      <c r="L226" s="150"/>
      <c r="M226" s="374"/>
      <c r="O226" s="431"/>
      <c r="P226" s="157"/>
      <c r="Q226" s="409"/>
      <c r="R226" s="57"/>
      <c r="S226" s="394"/>
      <c r="T226" s="394"/>
      <c r="U226" s="394"/>
      <c r="V226" s="394"/>
      <c r="W226" s="394"/>
      <c r="X226" s="394"/>
      <c r="Y226" s="395"/>
      <c r="Z226" s="395"/>
    </row>
    <row r="227">
      <c r="A227" s="213"/>
      <c r="B227" s="214"/>
      <c r="C227" s="214"/>
      <c r="D227" s="157"/>
      <c r="E227" s="239"/>
      <c r="F227" s="457"/>
      <c r="G227" s="419"/>
      <c r="H227" s="419"/>
      <c r="I227" s="239"/>
      <c r="J227" s="370" t="s">
        <v>660</v>
      </c>
      <c r="K227" s="420"/>
      <c r="L227" s="150"/>
      <c r="M227" s="374"/>
      <c r="O227" s="431"/>
      <c r="P227" s="157"/>
      <c r="Q227" s="409"/>
      <c r="R227" s="57"/>
      <c r="S227" s="394"/>
      <c r="T227" s="394"/>
      <c r="U227" s="394"/>
      <c r="V227" s="394"/>
      <c r="W227" s="394"/>
      <c r="X227" s="394"/>
      <c r="Y227" s="395"/>
      <c r="Z227" s="395"/>
    </row>
    <row r="228">
      <c r="A228" s="435" t="s">
        <v>356</v>
      </c>
      <c r="B228" s="436"/>
      <c r="C228" s="437"/>
      <c r="D228" s="157"/>
      <c r="E228" s="239"/>
      <c r="F228" s="457"/>
      <c r="G228" s="419"/>
      <c r="H228" s="419"/>
      <c r="I228" s="57"/>
      <c r="J228" s="370" t="s">
        <v>662</v>
      </c>
      <c r="K228" s="420"/>
      <c r="L228" s="150"/>
      <c r="M228" s="377"/>
      <c r="O228" s="431"/>
      <c r="P228" s="157"/>
      <c r="Q228" s="409"/>
      <c r="R228" s="57"/>
      <c r="S228" s="394"/>
      <c r="T228" s="394"/>
      <c r="U228" s="394"/>
      <c r="V228" s="394"/>
      <c r="W228" s="394"/>
      <c r="X228" s="394"/>
      <c r="Y228" s="395"/>
      <c r="Z228" s="395"/>
    </row>
    <row r="229">
      <c r="A229" s="486" t="s">
        <v>214</v>
      </c>
      <c r="B229" s="503"/>
      <c r="C229" s="475"/>
      <c r="D229" s="373" t="s">
        <v>664</v>
      </c>
      <c r="E229" s="239"/>
      <c r="F229" s="457"/>
      <c r="G229" s="419"/>
      <c r="H229" s="419"/>
      <c r="I229" s="239"/>
      <c r="J229" s="433" t="s">
        <v>666</v>
      </c>
      <c r="K229" s="420"/>
      <c r="L229" s="150"/>
      <c r="M229" s="374"/>
      <c r="O229" s="431"/>
      <c r="P229" s="157"/>
      <c r="Q229" s="409"/>
      <c r="R229" s="57"/>
      <c r="S229" s="394"/>
      <c r="T229" s="394"/>
      <c r="U229" s="394"/>
      <c r="V229" s="394"/>
      <c r="W229" s="394"/>
      <c r="X229" s="394"/>
      <c r="Y229" s="395"/>
      <c r="Z229" s="395"/>
    </row>
    <row r="230">
      <c r="A230" s="442" t="s">
        <v>272</v>
      </c>
      <c r="B230" s="493"/>
      <c r="C230" s="494"/>
      <c r="D230" s="157"/>
      <c r="E230" s="239"/>
      <c r="F230" s="457"/>
      <c r="G230" s="419"/>
      <c r="H230" s="419"/>
      <c r="I230" s="239"/>
      <c r="J230" s="433" t="s">
        <v>668</v>
      </c>
      <c r="K230" s="420"/>
      <c r="L230" s="150"/>
      <c r="M230" s="377"/>
      <c r="O230" s="431"/>
      <c r="P230" s="157"/>
      <c r="Q230" s="409"/>
      <c r="R230" s="57"/>
      <c r="S230" s="394"/>
      <c r="T230" s="394"/>
      <c r="U230" s="394"/>
      <c r="V230" s="394"/>
      <c r="W230" s="394"/>
      <c r="X230" s="394"/>
      <c r="Y230" s="395"/>
      <c r="Z230" s="395"/>
    </row>
    <row r="231">
      <c r="A231" s="495" t="s">
        <v>361</v>
      </c>
      <c r="B231" s="496"/>
      <c r="C231" s="437"/>
      <c r="D231" s="157"/>
      <c r="E231" s="239"/>
      <c r="F231" s="457"/>
      <c r="G231" s="419"/>
      <c r="H231" s="419"/>
      <c r="I231" s="239"/>
      <c r="J231" s="433" t="s">
        <v>670</v>
      </c>
      <c r="K231" s="420"/>
      <c r="L231" s="150"/>
      <c r="M231" s="374"/>
      <c r="O231" s="431"/>
      <c r="P231" s="157"/>
      <c r="Q231" s="409"/>
      <c r="R231" s="57"/>
      <c r="S231" s="394"/>
      <c r="T231" s="394"/>
      <c r="U231" s="394"/>
      <c r="V231" s="394"/>
      <c r="W231" s="394"/>
      <c r="X231" s="394"/>
      <c r="Y231" s="395"/>
      <c r="Z231" s="395"/>
    </row>
    <row r="232">
      <c r="A232" s="239"/>
      <c r="B232" s="157"/>
      <c r="C232" s="157"/>
      <c r="D232" s="157"/>
      <c r="E232" s="239"/>
      <c r="F232" s="457"/>
      <c r="G232" s="419"/>
      <c r="H232" s="419"/>
      <c r="I232" s="57"/>
      <c r="J232" s="444" t="s">
        <v>217</v>
      </c>
      <c r="K232" s="420"/>
      <c r="L232" s="150"/>
      <c r="M232" s="374"/>
      <c r="O232" s="431"/>
      <c r="P232" s="157"/>
      <c r="Q232" s="409"/>
      <c r="R232" s="57"/>
      <c r="S232" s="394"/>
      <c r="T232" s="394"/>
      <c r="U232" s="394"/>
      <c r="V232" s="394"/>
      <c r="W232" s="394"/>
      <c r="X232" s="394"/>
      <c r="Y232" s="395"/>
      <c r="Z232" s="395"/>
    </row>
    <row r="233">
      <c r="A233" s="239"/>
      <c r="B233" s="497"/>
      <c r="C233" s="157"/>
      <c r="D233" s="157"/>
      <c r="E233" s="239"/>
      <c r="F233" s="457"/>
      <c r="G233" s="419"/>
      <c r="H233" s="419"/>
      <c r="I233" s="239"/>
      <c r="J233" s="239"/>
      <c r="K233" s="420"/>
      <c r="L233" s="150"/>
      <c r="M233" s="374"/>
      <c r="O233" s="431"/>
      <c r="P233" s="157"/>
      <c r="Q233" s="409"/>
      <c r="R233" s="57"/>
      <c r="S233" s="394"/>
      <c r="T233" s="394"/>
      <c r="U233" s="394"/>
      <c r="V233" s="394"/>
      <c r="W233" s="394"/>
      <c r="X233" s="394"/>
      <c r="Y233" s="395"/>
      <c r="Z233" s="395"/>
    </row>
    <row r="234">
      <c r="A234" s="498" t="s">
        <v>365</v>
      </c>
      <c r="B234" s="450">
        <f>SUM(C235,C236,C237,C238,C239,C240,C241,C242,C243,C244)</f>
        <v>0</v>
      </c>
      <c r="C234" s="477" t="s">
        <v>366</v>
      </c>
      <c r="D234" s="157"/>
      <c r="E234" s="239"/>
      <c r="F234" s="457"/>
      <c r="G234" s="419"/>
      <c r="H234" s="419"/>
      <c r="I234" s="57"/>
      <c r="J234" s="452" t="s">
        <v>672</v>
      </c>
      <c r="K234" s="420"/>
      <c r="L234" s="150"/>
      <c r="M234" s="377"/>
      <c r="O234" s="431"/>
      <c r="P234" s="157"/>
      <c r="Q234" s="409"/>
      <c r="R234" s="57"/>
      <c r="S234" s="394"/>
      <c r="T234" s="394"/>
      <c r="U234" s="394"/>
      <c r="V234" s="394"/>
      <c r="W234" s="394"/>
      <c r="X234" s="394"/>
      <c r="Y234" s="395"/>
      <c r="Z234" s="395"/>
    </row>
    <row r="235">
      <c r="A235" s="453" t="s">
        <v>369</v>
      </c>
      <c r="C235" s="459"/>
      <c r="D235" s="157"/>
      <c r="E235" s="239"/>
      <c r="F235" s="457"/>
      <c r="G235" s="419"/>
      <c r="H235" s="419"/>
      <c r="I235" s="239"/>
      <c r="J235" s="456" t="s">
        <v>675</v>
      </c>
      <c r="K235" s="420"/>
      <c r="L235" s="150"/>
      <c r="M235" s="374"/>
      <c r="O235" s="431"/>
      <c r="P235" s="157"/>
      <c r="Q235" s="409"/>
      <c r="R235" s="57"/>
      <c r="S235" s="394"/>
      <c r="T235" s="394"/>
      <c r="U235" s="394"/>
      <c r="V235" s="394"/>
      <c r="W235" s="394"/>
      <c r="X235" s="394"/>
      <c r="Y235" s="395"/>
      <c r="Z235" s="395"/>
    </row>
    <row r="236">
      <c r="C236" s="459"/>
      <c r="D236" s="157"/>
      <c r="E236" s="239"/>
      <c r="F236" s="457"/>
      <c r="G236" s="419"/>
      <c r="H236" s="419"/>
      <c r="I236" s="239"/>
      <c r="J236" s="456" t="s">
        <v>6</v>
      </c>
      <c r="K236" s="420"/>
      <c r="L236" s="150"/>
      <c r="M236" s="374"/>
      <c r="O236" s="431"/>
      <c r="P236" s="157"/>
      <c r="Q236" s="409"/>
      <c r="R236" s="57"/>
      <c r="S236" s="394"/>
      <c r="T236" s="394"/>
      <c r="U236" s="394"/>
      <c r="V236" s="394"/>
      <c r="W236" s="394"/>
      <c r="X236" s="394"/>
      <c r="Y236" s="395"/>
      <c r="Z236" s="395"/>
    </row>
    <row r="237">
      <c r="A237" s="239"/>
      <c r="B237" s="157"/>
      <c r="C237" s="459"/>
      <c r="D237" s="157"/>
      <c r="E237" s="239"/>
      <c r="F237" s="457"/>
      <c r="G237" s="419"/>
      <c r="H237" s="419"/>
      <c r="I237" s="239"/>
      <c r="J237" s="375" t="s">
        <v>677</v>
      </c>
      <c r="K237" s="420"/>
      <c r="L237" s="150"/>
      <c r="M237" s="374"/>
      <c r="O237" s="431"/>
      <c r="P237" s="157"/>
      <c r="Q237" s="409"/>
      <c r="R237" s="57"/>
      <c r="S237" s="394"/>
      <c r="T237" s="394"/>
      <c r="U237" s="394"/>
      <c r="V237" s="394"/>
      <c r="W237" s="394"/>
      <c r="X237" s="394"/>
      <c r="Y237" s="395"/>
      <c r="Z237" s="395"/>
    </row>
    <row r="238">
      <c r="A238" s="239"/>
      <c r="B238" s="239"/>
      <c r="C238" s="459"/>
      <c r="D238" s="157"/>
      <c r="E238" s="239"/>
      <c r="F238" s="457"/>
      <c r="G238" s="419"/>
      <c r="H238" s="419"/>
      <c r="I238" s="57"/>
      <c r="J238" s="375" t="s">
        <v>679</v>
      </c>
      <c r="K238" s="420"/>
      <c r="L238" s="150"/>
      <c r="M238" s="377"/>
      <c r="O238" s="431"/>
      <c r="P238" s="157"/>
      <c r="Q238" s="409"/>
      <c r="R238" s="57"/>
      <c r="S238" s="394"/>
      <c r="T238" s="394"/>
      <c r="U238" s="394"/>
      <c r="V238" s="394"/>
      <c r="W238" s="394"/>
      <c r="X238" s="394"/>
      <c r="Y238" s="395"/>
      <c r="Z238" s="395"/>
    </row>
    <row r="239">
      <c r="A239" s="239"/>
      <c r="B239" s="239"/>
      <c r="C239" s="459"/>
      <c r="D239" s="157"/>
      <c r="E239" s="239"/>
      <c r="F239" s="457"/>
      <c r="G239" s="419"/>
      <c r="H239" s="419"/>
      <c r="I239" s="57"/>
      <c r="J239" s="452" t="s">
        <v>680</v>
      </c>
      <c r="K239" s="420"/>
      <c r="L239" s="150"/>
      <c r="M239" s="377"/>
      <c r="O239" s="431"/>
      <c r="P239" s="157"/>
      <c r="Q239" s="409"/>
      <c r="R239" s="57"/>
      <c r="S239" s="394"/>
      <c r="T239" s="394"/>
      <c r="U239" s="394"/>
      <c r="V239" s="394"/>
      <c r="W239" s="394"/>
      <c r="X239" s="394"/>
      <c r="Y239" s="395"/>
      <c r="Z239" s="395"/>
    </row>
    <row r="240">
      <c r="A240" s="57"/>
      <c r="B240" s="57"/>
      <c r="C240" s="459"/>
      <c r="D240" s="157"/>
      <c r="E240" s="239"/>
      <c r="F240" s="457"/>
      <c r="G240" s="419"/>
      <c r="H240" s="419"/>
      <c r="I240" s="239"/>
      <c r="J240" s="239"/>
      <c r="K240" s="420"/>
      <c r="L240" s="150"/>
      <c r="M240" s="374"/>
      <c r="O240" s="431"/>
      <c r="P240" s="157"/>
      <c r="Q240" s="409"/>
      <c r="R240" s="57"/>
      <c r="S240" s="394"/>
      <c r="T240" s="394"/>
      <c r="U240" s="394"/>
      <c r="V240" s="394"/>
      <c r="W240" s="394"/>
      <c r="X240" s="394"/>
      <c r="Y240" s="395"/>
      <c r="Z240" s="395"/>
    </row>
    <row r="241">
      <c r="A241" s="57"/>
      <c r="B241" s="57"/>
      <c r="C241" s="459"/>
      <c r="D241" s="157"/>
      <c r="E241" s="239"/>
      <c r="F241" s="457"/>
      <c r="G241" s="455"/>
      <c r="H241" s="419"/>
      <c r="I241" s="239"/>
      <c r="J241" s="378" t="s">
        <v>682</v>
      </c>
      <c r="K241" s="420"/>
      <c r="L241" s="150"/>
      <c r="M241" s="374"/>
      <c r="O241" s="431"/>
      <c r="P241" s="157"/>
      <c r="Q241" s="409"/>
      <c r="R241" s="57"/>
      <c r="S241" s="394"/>
      <c r="T241" s="394"/>
      <c r="U241" s="394"/>
      <c r="V241" s="394"/>
      <c r="W241" s="394"/>
      <c r="X241" s="394"/>
      <c r="Y241" s="395"/>
      <c r="Z241" s="395"/>
    </row>
    <row r="242">
      <c r="A242" s="57"/>
      <c r="B242" s="57"/>
      <c r="C242" s="459"/>
      <c r="D242" s="157"/>
      <c r="E242" s="239"/>
      <c r="F242" s="457"/>
      <c r="G242" s="419"/>
      <c r="H242" s="419"/>
      <c r="I242" s="239"/>
      <c r="J242" s="460" t="s">
        <v>684</v>
      </c>
      <c r="K242" s="420"/>
      <c r="L242" s="150"/>
      <c r="M242" s="377"/>
      <c r="O242" s="431"/>
      <c r="P242" s="157"/>
      <c r="Q242" s="409"/>
      <c r="R242" s="57"/>
      <c r="S242" s="394"/>
      <c r="T242" s="394"/>
      <c r="U242" s="394"/>
      <c r="V242" s="394"/>
      <c r="W242" s="394"/>
      <c r="X242" s="394"/>
      <c r="Y242" s="395"/>
      <c r="Z242" s="395"/>
    </row>
    <row r="243">
      <c r="A243" s="57"/>
      <c r="B243" s="57"/>
      <c r="C243" s="459"/>
      <c r="D243" s="157"/>
      <c r="E243" s="239"/>
      <c r="F243" s="457"/>
      <c r="G243" s="419"/>
      <c r="H243" s="419"/>
      <c r="I243" s="239"/>
      <c r="J243" s="460" t="s">
        <v>686</v>
      </c>
      <c r="K243" s="458"/>
      <c r="L243" s="150"/>
      <c r="M243" s="377"/>
      <c r="O243" s="431"/>
      <c r="P243" s="157"/>
      <c r="Q243" s="409"/>
      <c r="R243" s="57"/>
      <c r="S243" s="394"/>
      <c r="T243" s="394"/>
      <c r="U243" s="394"/>
      <c r="V243" s="394"/>
      <c r="W243" s="394"/>
      <c r="X243" s="394"/>
      <c r="Y243" s="395"/>
      <c r="Z243" s="395"/>
    </row>
    <row r="244">
      <c r="A244" s="239"/>
      <c r="B244" s="57"/>
      <c r="C244" s="459"/>
      <c r="D244" s="157"/>
      <c r="E244" s="239"/>
      <c r="F244" s="457"/>
      <c r="G244" s="419"/>
      <c r="H244" s="419"/>
      <c r="I244" s="239"/>
      <c r="J244" s="460" t="s">
        <v>202</v>
      </c>
      <c r="K244" s="458"/>
      <c r="L244" s="150"/>
      <c r="M244" s="377"/>
      <c r="O244" s="431"/>
      <c r="P244" s="157"/>
      <c r="Q244" s="409"/>
      <c r="R244" s="57"/>
      <c r="S244" s="394"/>
      <c r="T244" s="394"/>
      <c r="U244" s="394"/>
      <c r="V244" s="394"/>
      <c r="W244" s="394"/>
      <c r="X244" s="394"/>
      <c r="Y244" s="395"/>
      <c r="Z244" s="395"/>
    </row>
    <row r="245">
      <c r="A245" s="239"/>
      <c r="B245" s="57"/>
      <c r="C245" s="157"/>
      <c r="D245" s="157"/>
      <c r="E245" s="239"/>
      <c r="F245" s="457"/>
      <c r="G245" s="419"/>
      <c r="H245" s="419"/>
      <c r="I245" s="239"/>
      <c r="J245" s="460" t="s">
        <v>274</v>
      </c>
      <c r="K245" s="420"/>
      <c r="L245" s="150"/>
      <c r="M245" s="374"/>
      <c r="O245" s="431"/>
      <c r="P245" s="157"/>
      <c r="Q245" s="409"/>
      <c r="R245" s="57"/>
      <c r="S245" s="394"/>
      <c r="T245" s="394"/>
      <c r="U245" s="394"/>
      <c r="V245" s="394"/>
      <c r="W245" s="394"/>
      <c r="X245" s="394"/>
      <c r="Y245" s="395"/>
      <c r="Z245" s="395"/>
    </row>
    <row r="246">
      <c r="A246" s="57"/>
      <c r="B246" s="57"/>
      <c r="C246" s="157"/>
      <c r="D246" s="157"/>
      <c r="E246" s="239"/>
      <c r="F246" s="457"/>
      <c r="G246" s="455"/>
      <c r="H246" s="419"/>
      <c r="I246" s="239"/>
      <c r="J246" s="239"/>
      <c r="K246" s="420"/>
      <c r="L246" s="150"/>
      <c r="M246" s="377"/>
      <c r="O246" s="431"/>
      <c r="P246" s="157"/>
      <c r="Q246" s="409"/>
      <c r="R246" s="57"/>
      <c r="S246" s="394"/>
      <c r="T246" s="394"/>
      <c r="U246" s="394"/>
      <c r="V246" s="394"/>
      <c r="W246" s="394"/>
      <c r="X246" s="394"/>
      <c r="Y246" s="395"/>
      <c r="Z246" s="395"/>
    </row>
    <row r="247">
      <c r="A247" s="57"/>
      <c r="B247" s="57"/>
      <c r="C247" s="157"/>
      <c r="D247" s="157"/>
      <c r="E247" s="239"/>
      <c r="F247" s="457"/>
      <c r="G247" s="419"/>
      <c r="H247" s="419"/>
      <c r="I247" s="57"/>
      <c r="J247" s="479" t="s">
        <v>381</v>
      </c>
      <c r="K247" s="420"/>
      <c r="L247" s="150"/>
      <c r="M247" s="382"/>
      <c r="O247" s="431"/>
      <c r="P247" s="157"/>
      <c r="Q247" s="409"/>
      <c r="R247" s="57"/>
      <c r="S247" s="399"/>
      <c r="T247" s="399"/>
      <c r="U247" s="399"/>
      <c r="V247" s="399"/>
      <c r="W247" s="399"/>
      <c r="X247" s="399"/>
      <c r="Y247" s="400"/>
      <c r="Z247" s="400"/>
    </row>
    <row r="248">
      <c r="A248" s="57"/>
      <c r="B248" s="57"/>
      <c r="C248" s="57"/>
      <c r="D248" s="157"/>
      <c r="E248" s="239"/>
      <c r="F248" s="457"/>
      <c r="G248" s="419"/>
      <c r="H248" s="419"/>
      <c r="I248" s="57"/>
      <c r="J248" s="479" t="s">
        <v>383</v>
      </c>
      <c r="K248" s="420"/>
      <c r="L248" s="150"/>
      <c r="M248" s="425"/>
      <c r="O248" s="431"/>
      <c r="P248" s="157"/>
      <c r="Q248" s="409"/>
      <c r="R248" s="57"/>
      <c r="S248" s="399"/>
      <c r="T248" s="399"/>
      <c r="U248" s="399"/>
      <c r="V248" s="399"/>
      <c r="W248" s="399"/>
      <c r="X248" s="399"/>
      <c r="Y248" s="400"/>
      <c r="Z248" s="400"/>
    </row>
    <row r="249">
      <c r="A249" s="57"/>
      <c r="B249" s="57"/>
      <c r="C249" s="57"/>
      <c r="D249" s="157"/>
      <c r="E249" s="246" t="s">
        <v>690</v>
      </c>
      <c r="F249" s="457"/>
      <c r="G249" s="455"/>
      <c r="H249" s="419"/>
      <c r="I249" s="57"/>
      <c r="J249" s="239"/>
      <c r="K249" s="420"/>
      <c r="L249" s="150"/>
      <c r="M249" s="425"/>
      <c r="O249" s="431"/>
      <c r="P249" s="157"/>
      <c r="Q249" s="409"/>
      <c r="R249" s="57"/>
      <c r="S249" s="399"/>
      <c r="T249" s="399"/>
      <c r="U249" s="399"/>
      <c r="V249" s="399"/>
      <c r="W249" s="399"/>
      <c r="X249" s="399"/>
      <c r="Y249" s="400"/>
      <c r="Z249" s="400"/>
    </row>
    <row r="250">
      <c r="A250" s="57"/>
      <c r="B250" s="57"/>
      <c r="C250" s="57"/>
      <c r="D250" s="157"/>
      <c r="E250" s="246" t="s">
        <v>691</v>
      </c>
      <c r="F250" s="457"/>
      <c r="G250" s="455"/>
      <c r="H250" s="419"/>
      <c r="I250" s="57"/>
      <c r="J250" s="499" t="s">
        <v>692</v>
      </c>
      <c r="K250" s="420"/>
      <c r="L250" s="150"/>
      <c r="M250" s="425"/>
      <c r="O250" s="431"/>
      <c r="P250" s="157"/>
      <c r="Q250" s="409"/>
      <c r="R250" s="57"/>
      <c r="S250" s="394"/>
      <c r="T250" s="394"/>
      <c r="U250" s="394"/>
      <c r="V250" s="394"/>
      <c r="W250" s="394"/>
      <c r="X250" s="394"/>
      <c r="Y250" s="395"/>
      <c r="Z250" s="395"/>
    </row>
    <row r="251">
      <c r="A251" s="239"/>
      <c r="B251" s="57"/>
      <c r="C251" s="57"/>
      <c r="D251" s="157"/>
      <c r="E251" s="246" t="s">
        <v>693</v>
      </c>
      <c r="F251" s="457"/>
      <c r="G251" s="419"/>
      <c r="H251" s="419"/>
      <c r="I251" s="57"/>
      <c r="J251" s="499" t="s">
        <v>694</v>
      </c>
      <c r="K251" s="420"/>
      <c r="L251" s="150"/>
      <c r="M251" s="374"/>
      <c r="O251" s="431"/>
      <c r="P251" s="157"/>
      <c r="Q251" s="409"/>
      <c r="R251" s="57"/>
      <c r="S251" s="394"/>
      <c r="T251" s="394"/>
      <c r="U251" s="394"/>
      <c r="V251" s="394"/>
      <c r="W251" s="394"/>
      <c r="X251" s="394"/>
      <c r="Y251" s="395"/>
      <c r="Z251" s="395"/>
    </row>
    <row r="252">
      <c r="A252" s="239"/>
      <c r="B252" s="57"/>
      <c r="C252" s="57"/>
      <c r="D252" s="157"/>
      <c r="E252" s="385" t="s">
        <v>695</v>
      </c>
      <c r="F252" s="457"/>
      <c r="G252" s="455"/>
      <c r="H252" s="455"/>
      <c r="I252" s="57"/>
      <c r="J252" s="57"/>
      <c r="K252" s="57"/>
      <c r="L252" s="150"/>
      <c r="M252" s="57"/>
      <c r="N252" s="57"/>
      <c r="O252" s="239"/>
      <c r="P252" s="157"/>
      <c r="Q252" s="409"/>
      <c r="R252" s="57"/>
      <c r="S252" s="394"/>
      <c r="T252" s="394"/>
      <c r="U252" s="394"/>
      <c r="V252" s="394"/>
      <c r="W252" s="394"/>
      <c r="X252" s="394"/>
      <c r="Y252" s="395"/>
      <c r="Z252" s="395"/>
    </row>
    <row r="253">
      <c r="A253" s="57"/>
      <c r="B253" s="57"/>
      <c r="C253" s="57"/>
      <c r="D253" s="157"/>
      <c r="E253" s="239"/>
      <c r="F253" s="157"/>
      <c r="G253" s="239"/>
      <c r="H253" s="239"/>
      <c r="I253" s="239"/>
      <c r="J253" s="239"/>
      <c r="K253" s="57"/>
      <c r="L253" s="150"/>
      <c r="M253" s="239"/>
      <c r="N253" s="239"/>
      <c r="O253" s="239"/>
      <c r="P253" s="157"/>
      <c r="Q253" s="409"/>
      <c r="R253" s="57"/>
      <c r="S253" s="394"/>
      <c r="T253" s="394"/>
      <c r="U253" s="394"/>
      <c r="V253" s="394"/>
      <c r="W253" s="394"/>
      <c r="X253" s="394"/>
      <c r="Y253" s="395"/>
      <c r="Z253" s="395"/>
    </row>
    <row r="254">
      <c r="A254" s="402"/>
      <c r="B254" s="402"/>
      <c r="C254" s="403"/>
      <c r="D254" s="403"/>
      <c r="E254" s="402"/>
      <c r="F254" s="403"/>
      <c r="G254" s="402"/>
      <c r="H254" s="402"/>
      <c r="I254" s="159"/>
      <c r="J254" s="402"/>
      <c r="K254" s="159"/>
      <c r="L254" s="162"/>
      <c r="M254" s="159"/>
      <c r="N254" s="159"/>
      <c r="O254" s="402"/>
      <c r="P254" s="403"/>
      <c r="Q254" s="465"/>
      <c r="R254" s="57"/>
      <c r="S254" s="394"/>
      <c r="T254" s="394"/>
      <c r="U254" s="394"/>
      <c r="V254" s="394"/>
      <c r="W254" s="394"/>
      <c r="X254" s="394"/>
      <c r="Y254" s="395"/>
      <c r="Z254" s="395"/>
    </row>
    <row r="255">
      <c r="A255" s="402"/>
      <c r="B255" s="402"/>
      <c r="C255" s="403"/>
      <c r="D255" s="403"/>
      <c r="E255" s="402"/>
      <c r="F255" s="403"/>
      <c r="G255" s="159"/>
      <c r="H255" s="159"/>
      <c r="I255" s="402"/>
      <c r="J255" s="402"/>
      <c r="K255" s="159"/>
      <c r="L255" s="162"/>
      <c r="M255" s="159"/>
      <c r="N255" s="159"/>
      <c r="O255" s="402"/>
      <c r="P255" s="403"/>
      <c r="Q255" s="159"/>
      <c r="R255" s="57"/>
      <c r="S255" s="394"/>
      <c r="T255" s="394"/>
      <c r="U255" s="394"/>
      <c r="V255" s="394"/>
      <c r="W255" s="394"/>
      <c r="X255" s="394"/>
      <c r="Y255" s="395"/>
      <c r="Z255" s="395"/>
    </row>
    <row r="256">
      <c r="A256" s="270" t="s">
        <v>75</v>
      </c>
      <c r="B256" s="239"/>
      <c r="C256" s="466"/>
      <c r="D256" s="405"/>
      <c r="E256" s="406"/>
      <c r="F256" s="407"/>
      <c r="G256" s="467" t="s">
        <v>333</v>
      </c>
      <c r="H256" s="361"/>
      <c r="I256" s="57"/>
      <c r="J256" s="57"/>
      <c r="K256" s="57"/>
      <c r="L256" s="150"/>
      <c r="M256" s="57"/>
      <c r="N256" s="57"/>
      <c r="O256" s="239"/>
      <c r="P256" s="157"/>
      <c r="Q256" s="409"/>
      <c r="R256" s="57"/>
      <c r="S256" s="394"/>
      <c r="T256" s="394"/>
      <c r="U256" s="394"/>
      <c r="V256" s="394"/>
      <c r="W256" s="394"/>
      <c r="X256" s="394"/>
      <c r="Y256" s="395"/>
      <c r="Z256" s="395"/>
    </row>
    <row r="257">
      <c r="A257" s="182"/>
      <c r="B257" s="57"/>
      <c r="C257" s="466"/>
      <c r="D257" s="405"/>
      <c r="E257" s="469" t="s">
        <v>335</v>
      </c>
      <c r="F257" s="411" t="s">
        <v>237</v>
      </c>
      <c r="G257" s="412" t="s">
        <v>336</v>
      </c>
      <c r="H257" s="413" t="s">
        <v>337</v>
      </c>
      <c r="I257" s="239"/>
      <c r="J257" s="239" t="s">
        <v>0</v>
      </c>
      <c r="K257" s="57"/>
      <c r="L257" s="150"/>
      <c r="M257" s="414" t="s">
        <v>338</v>
      </c>
      <c r="O257" s="239" t="s">
        <v>334</v>
      </c>
      <c r="P257" s="157"/>
      <c r="Q257" s="409"/>
      <c r="R257" s="57"/>
      <c r="S257" s="394"/>
      <c r="T257" s="394"/>
      <c r="U257" s="394"/>
      <c r="V257" s="394"/>
      <c r="W257" s="394"/>
      <c r="X257" s="394"/>
      <c r="Y257" s="395"/>
      <c r="Z257" s="395"/>
    </row>
    <row r="258">
      <c r="A258" s="483" t="s">
        <v>179</v>
      </c>
      <c r="B258" s="214"/>
      <c r="C258" s="416">
        <f>SUM(F258:F288)</f>
        <v>0</v>
      </c>
      <c r="D258" s="405"/>
      <c r="E258" s="239"/>
      <c r="F258" s="457"/>
      <c r="G258" s="419"/>
      <c r="H258" s="419"/>
      <c r="I258" s="239"/>
      <c r="K258" s="420"/>
      <c r="L258" s="150"/>
      <c r="P258" s="157"/>
      <c r="Q258" s="409"/>
      <c r="R258" s="57"/>
      <c r="S258" s="394"/>
      <c r="T258" s="394"/>
      <c r="U258" s="394"/>
      <c r="V258" s="394"/>
      <c r="W258" s="394"/>
      <c r="X258" s="394"/>
      <c r="Y258" s="395"/>
      <c r="Z258" s="395"/>
    </row>
    <row r="259">
      <c r="A259" s="492" t="s">
        <v>343</v>
      </c>
      <c r="B259" s="500" t="s">
        <v>321</v>
      </c>
      <c r="C259" s="416">
        <f>SUM(P259:P287)</f>
        <v>0</v>
      </c>
      <c r="D259" s="157"/>
      <c r="E259" s="239"/>
      <c r="F259" s="457"/>
      <c r="G259" s="419"/>
      <c r="H259" s="419"/>
      <c r="I259" s="239"/>
      <c r="J259" s="471" t="s">
        <v>341</v>
      </c>
      <c r="K259" s="420"/>
      <c r="L259" s="150"/>
      <c r="M259" s="377"/>
      <c r="O259" s="431"/>
      <c r="P259" s="157"/>
      <c r="Q259" s="409"/>
      <c r="R259" s="57"/>
      <c r="S259" s="394"/>
      <c r="T259" s="394"/>
      <c r="U259" s="394"/>
      <c r="V259" s="394"/>
      <c r="W259" s="394"/>
      <c r="X259" s="394"/>
      <c r="Y259" s="395"/>
      <c r="Z259" s="395"/>
    </row>
    <row r="260">
      <c r="A260" s="504" t="s">
        <v>201</v>
      </c>
      <c r="B260" s="214"/>
      <c r="C260" s="204">
        <f>SUM(L259:L287)</f>
        <v>0</v>
      </c>
      <c r="D260" s="157"/>
      <c r="E260" s="239"/>
      <c r="F260" s="457"/>
      <c r="G260" s="419"/>
      <c r="H260" s="419"/>
      <c r="I260" s="239"/>
      <c r="J260" s="472" t="s">
        <v>345</v>
      </c>
      <c r="K260" s="420"/>
      <c r="L260" s="150"/>
      <c r="M260" s="374"/>
      <c r="O260" s="431"/>
      <c r="P260" s="157"/>
      <c r="Q260" s="409"/>
      <c r="R260" s="57"/>
      <c r="S260" s="394"/>
      <c r="T260" s="394"/>
      <c r="U260" s="394"/>
      <c r="V260" s="394"/>
      <c r="W260" s="394"/>
      <c r="X260" s="394"/>
      <c r="Y260" s="395"/>
      <c r="Z260" s="395"/>
    </row>
    <row r="261">
      <c r="A261" s="432"/>
      <c r="B261" s="157"/>
      <c r="C261" s="204"/>
      <c r="D261" s="157"/>
      <c r="E261" s="239"/>
      <c r="F261" s="457"/>
      <c r="G261" s="419"/>
      <c r="H261" s="419"/>
      <c r="I261" s="57"/>
      <c r="J261" s="444" t="s">
        <v>656</v>
      </c>
      <c r="K261" s="420"/>
      <c r="L261" s="150"/>
      <c r="M261" s="374"/>
      <c r="O261" s="431"/>
      <c r="P261" s="157"/>
      <c r="Q261" s="409"/>
      <c r="R261" s="57"/>
      <c r="S261" s="394"/>
      <c r="T261" s="394"/>
      <c r="U261" s="394"/>
      <c r="V261" s="394"/>
      <c r="W261" s="394"/>
      <c r="X261" s="394"/>
      <c r="Y261" s="395"/>
      <c r="Z261" s="395"/>
    </row>
    <row r="262">
      <c r="A262" s="502" t="s">
        <v>350</v>
      </c>
      <c r="B262" s="214"/>
      <c r="C262" s="212">
        <f>C258-C260-C264-B270-B265</f>
        <v>0</v>
      </c>
      <c r="D262" s="157"/>
      <c r="E262" s="239"/>
      <c r="F262" s="457"/>
      <c r="G262" s="419"/>
      <c r="H262" s="419"/>
      <c r="I262" s="239"/>
      <c r="J262" s="433" t="s">
        <v>658</v>
      </c>
      <c r="K262" s="420"/>
      <c r="L262" s="150"/>
      <c r="M262" s="374"/>
      <c r="O262" s="431"/>
      <c r="P262" s="157"/>
      <c r="Q262" s="409"/>
      <c r="R262" s="57"/>
      <c r="S262" s="394"/>
      <c r="T262" s="394"/>
      <c r="U262" s="394"/>
      <c r="V262" s="394"/>
      <c r="W262" s="394"/>
      <c r="X262" s="394"/>
      <c r="Y262" s="395"/>
      <c r="Z262" s="395"/>
    </row>
    <row r="263">
      <c r="A263" s="213"/>
      <c r="B263" s="214"/>
      <c r="C263" s="214"/>
      <c r="D263" s="157"/>
      <c r="E263" s="239"/>
      <c r="F263" s="457"/>
      <c r="G263" s="419"/>
      <c r="H263" s="419"/>
      <c r="I263" s="57"/>
      <c r="J263" s="444" t="s">
        <v>660</v>
      </c>
      <c r="K263" s="420"/>
      <c r="L263" s="150"/>
      <c r="M263" s="377"/>
      <c r="O263" s="431"/>
      <c r="P263" s="157"/>
      <c r="Q263" s="409"/>
      <c r="R263" s="57"/>
      <c r="S263" s="394"/>
      <c r="T263" s="394"/>
      <c r="U263" s="394"/>
      <c r="V263" s="394"/>
      <c r="W263" s="394"/>
      <c r="X263" s="394"/>
      <c r="Y263" s="395"/>
      <c r="Z263" s="395"/>
    </row>
    <row r="264">
      <c r="A264" s="473" t="s">
        <v>356</v>
      </c>
      <c r="B264" s="436"/>
      <c r="C264" s="447"/>
      <c r="D264" s="157"/>
      <c r="E264" s="239"/>
      <c r="F264" s="457"/>
      <c r="G264" s="419"/>
      <c r="H264" s="419"/>
      <c r="I264" s="239"/>
      <c r="J264" s="370" t="s">
        <v>662</v>
      </c>
      <c r="K264" s="420"/>
      <c r="L264" s="150"/>
      <c r="M264" s="374"/>
      <c r="O264" s="431"/>
      <c r="P264" s="157"/>
      <c r="Q264" s="409"/>
      <c r="R264" s="57"/>
      <c r="S264" s="394"/>
      <c r="T264" s="394"/>
      <c r="U264" s="394"/>
      <c r="V264" s="394"/>
      <c r="W264" s="394"/>
      <c r="X264" s="394"/>
      <c r="Y264" s="395"/>
      <c r="Z264" s="395"/>
    </row>
    <row r="265">
      <c r="A265" s="486" t="s">
        <v>214</v>
      </c>
      <c r="B265" s="503"/>
      <c r="C265" s="475"/>
      <c r="D265" s="373" t="s">
        <v>664</v>
      </c>
      <c r="E265" s="239"/>
      <c r="F265" s="457"/>
      <c r="G265" s="419"/>
      <c r="H265" s="419"/>
      <c r="I265" s="239"/>
      <c r="J265" s="433" t="s">
        <v>666</v>
      </c>
      <c r="K265" s="420"/>
      <c r="L265" s="150"/>
      <c r="M265" s="374"/>
      <c r="O265" s="431"/>
      <c r="P265" s="157"/>
      <c r="Q265" s="409"/>
      <c r="R265" s="57"/>
      <c r="S265" s="394"/>
      <c r="T265" s="394"/>
      <c r="U265" s="394"/>
      <c r="V265" s="394"/>
      <c r="W265" s="394"/>
      <c r="X265" s="394"/>
      <c r="Y265" s="395"/>
      <c r="Z265" s="395"/>
    </row>
    <row r="266">
      <c r="A266" s="442" t="s">
        <v>272</v>
      </c>
      <c r="B266" s="505"/>
      <c r="C266" s="506"/>
      <c r="D266" s="157"/>
      <c r="E266" s="239"/>
      <c r="F266" s="457"/>
      <c r="G266" s="455"/>
      <c r="H266" s="419"/>
      <c r="I266" s="239"/>
      <c r="J266" s="433" t="s">
        <v>668</v>
      </c>
      <c r="K266" s="420"/>
      <c r="L266" s="150"/>
      <c r="M266" s="374"/>
      <c r="O266" s="431"/>
      <c r="P266" s="157"/>
      <c r="Q266" s="409"/>
      <c r="R266" s="57"/>
      <c r="S266" s="394"/>
      <c r="T266" s="394"/>
      <c r="U266" s="394"/>
      <c r="V266" s="394"/>
      <c r="W266" s="394"/>
      <c r="X266" s="394"/>
      <c r="Y266" s="395"/>
      <c r="Z266" s="395"/>
    </row>
    <row r="267">
      <c r="A267" s="495" t="s">
        <v>361</v>
      </c>
      <c r="B267" s="507"/>
      <c r="C267" s="508"/>
      <c r="D267" s="157"/>
      <c r="E267" s="239"/>
      <c r="F267" s="457"/>
      <c r="G267" s="455"/>
      <c r="H267" s="419"/>
      <c r="I267" s="57"/>
      <c r="J267" s="444" t="s">
        <v>670</v>
      </c>
      <c r="K267" s="420"/>
      <c r="L267" s="150"/>
      <c r="M267" s="377"/>
      <c r="O267" s="431"/>
      <c r="P267" s="157"/>
      <c r="Q267" s="409"/>
      <c r="R267" s="57"/>
      <c r="S267" s="394"/>
      <c r="T267" s="394"/>
      <c r="U267" s="394"/>
      <c r="V267" s="394"/>
      <c r="W267" s="394"/>
      <c r="X267" s="394"/>
      <c r="Y267" s="395"/>
      <c r="Z267" s="395"/>
    </row>
    <row r="268">
      <c r="A268" s="239"/>
      <c r="B268" s="239"/>
      <c r="C268" s="157"/>
      <c r="D268" s="157"/>
      <c r="E268" s="239"/>
      <c r="F268" s="457"/>
      <c r="G268" s="455"/>
      <c r="H268" s="419"/>
      <c r="I268" s="57"/>
      <c r="J268" s="444" t="s">
        <v>217</v>
      </c>
      <c r="K268" s="420"/>
      <c r="L268" s="150"/>
      <c r="M268" s="377"/>
      <c r="O268" s="431"/>
      <c r="P268" s="157"/>
      <c r="Q268" s="409"/>
      <c r="R268" s="57"/>
      <c r="S268" s="394"/>
      <c r="T268" s="394"/>
      <c r="U268" s="394"/>
      <c r="V268" s="394"/>
      <c r="W268" s="394"/>
      <c r="X268" s="394"/>
      <c r="Y268" s="395"/>
      <c r="Z268" s="395"/>
    </row>
    <row r="269">
      <c r="A269" s="57"/>
      <c r="B269" s="448"/>
      <c r="C269" s="57"/>
      <c r="D269" s="157"/>
      <c r="E269" s="239"/>
      <c r="F269" s="457"/>
      <c r="G269" s="455"/>
      <c r="H269" s="419"/>
      <c r="I269" s="57"/>
      <c r="J269" s="239"/>
      <c r="K269" s="420"/>
      <c r="L269" s="150"/>
      <c r="M269" s="425"/>
      <c r="O269" s="431"/>
      <c r="P269" s="157"/>
      <c r="Q269" s="409"/>
      <c r="R269" s="57"/>
      <c r="S269" s="394"/>
      <c r="T269" s="394"/>
      <c r="U269" s="394"/>
      <c r="V269" s="394"/>
      <c r="W269" s="394"/>
      <c r="X269" s="394"/>
      <c r="Y269" s="395"/>
      <c r="Z269" s="395"/>
    </row>
    <row r="270">
      <c r="A270" s="449" t="s">
        <v>365</v>
      </c>
      <c r="B270" s="450">
        <f>SUM(C271,C272,C273,C274,C275,C276,C277,C278,C279,C280)</f>
        <v>0</v>
      </c>
      <c r="C270" s="451" t="s">
        <v>366</v>
      </c>
      <c r="D270" s="157"/>
      <c r="E270" s="239"/>
      <c r="F270" s="457"/>
      <c r="G270" s="455"/>
      <c r="H270" s="419"/>
      <c r="I270" s="57"/>
      <c r="J270" s="452" t="s">
        <v>672</v>
      </c>
      <c r="K270" s="420"/>
      <c r="L270" s="150"/>
      <c r="M270" s="425"/>
      <c r="O270" s="431"/>
      <c r="P270" s="157"/>
      <c r="Q270" s="409"/>
      <c r="R270" s="57"/>
      <c r="S270" s="394"/>
      <c r="T270" s="394"/>
      <c r="U270" s="394"/>
      <c r="V270" s="394"/>
      <c r="W270" s="394"/>
      <c r="X270" s="394"/>
      <c r="Y270" s="395"/>
      <c r="Z270" s="395"/>
    </row>
    <row r="271">
      <c r="A271" s="453" t="s">
        <v>369</v>
      </c>
      <c r="C271" s="459"/>
      <c r="D271" s="157"/>
      <c r="E271" s="57"/>
      <c r="F271" s="457"/>
      <c r="G271" s="419"/>
      <c r="H271" s="419"/>
      <c r="I271" s="57"/>
      <c r="J271" s="452" t="s">
        <v>675</v>
      </c>
      <c r="K271" s="420"/>
      <c r="L271" s="150"/>
      <c r="M271" s="374"/>
      <c r="O271" s="431"/>
      <c r="P271" s="157"/>
      <c r="Q271" s="409"/>
      <c r="R271" s="57"/>
      <c r="S271" s="394"/>
      <c r="T271" s="394"/>
      <c r="U271" s="394"/>
      <c r="V271" s="394"/>
      <c r="W271" s="394"/>
      <c r="X271" s="394"/>
      <c r="Y271" s="395"/>
      <c r="Z271" s="395"/>
    </row>
    <row r="272">
      <c r="C272" s="459"/>
      <c r="D272" s="157"/>
      <c r="E272" s="57"/>
      <c r="F272" s="457"/>
      <c r="G272" s="455"/>
      <c r="H272" s="455"/>
      <c r="I272" s="57"/>
      <c r="J272" s="452" t="s">
        <v>6</v>
      </c>
      <c r="K272" s="420"/>
      <c r="L272" s="150"/>
      <c r="M272" s="374"/>
      <c r="O272" s="463"/>
      <c r="P272" s="157"/>
      <c r="Q272" s="409"/>
      <c r="R272" s="57"/>
      <c r="S272" s="394"/>
      <c r="T272" s="394"/>
      <c r="U272" s="394"/>
      <c r="V272" s="394"/>
      <c r="W272" s="394"/>
      <c r="X272" s="394"/>
      <c r="Y272" s="395"/>
      <c r="Z272" s="395"/>
    </row>
    <row r="273">
      <c r="A273" s="57"/>
      <c r="B273" s="57"/>
      <c r="C273" s="459"/>
      <c r="D273" s="157"/>
      <c r="E273" s="239"/>
      <c r="F273" s="457"/>
      <c r="G273" s="455"/>
      <c r="H273" s="455"/>
      <c r="I273" s="239"/>
      <c r="J273" s="375" t="s">
        <v>677</v>
      </c>
      <c r="K273" s="420"/>
      <c r="L273" s="150"/>
      <c r="M273" s="187"/>
      <c r="O273" s="463"/>
      <c r="P273" s="157"/>
      <c r="Q273" s="409"/>
      <c r="R273" s="57"/>
      <c r="S273" s="399"/>
      <c r="T273" s="399"/>
      <c r="U273" s="399"/>
      <c r="V273" s="399"/>
      <c r="W273" s="399"/>
      <c r="X273" s="399"/>
      <c r="Y273" s="400"/>
      <c r="Z273" s="400"/>
    </row>
    <row r="274">
      <c r="A274" s="239"/>
      <c r="B274" s="239"/>
      <c r="C274" s="459"/>
      <c r="D274" s="157"/>
      <c r="E274" s="239"/>
      <c r="F274" s="457"/>
      <c r="G274" s="455"/>
      <c r="H274" s="455"/>
      <c r="I274" s="57"/>
      <c r="J274" s="375" t="s">
        <v>679</v>
      </c>
      <c r="K274" s="420"/>
      <c r="L274" s="150"/>
      <c r="M274" s="374"/>
      <c r="O274" s="463"/>
      <c r="P274" s="157"/>
      <c r="Q274" s="409"/>
      <c r="R274" s="57"/>
      <c r="S274" s="399"/>
      <c r="T274" s="399"/>
      <c r="U274" s="399"/>
      <c r="V274" s="399"/>
      <c r="W274" s="399"/>
      <c r="X274" s="399"/>
      <c r="Y274" s="400"/>
      <c r="Z274" s="400"/>
    </row>
    <row r="275">
      <c r="A275" s="239"/>
      <c r="B275" s="239"/>
      <c r="C275" s="459"/>
      <c r="D275" s="157"/>
      <c r="E275" s="239"/>
      <c r="F275" s="457"/>
      <c r="G275" s="419"/>
      <c r="H275" s="419"/>
      <c r="I275" s="239"/>
      <c r="J275" s="456" t="s">
        <v>680</v>
      </c>
      <c r="K275" s="420"/>
      <c r="L275" s="150"/>
      <c r="M275" s="374"/>
      <c r="O275" s="463"/>
      <c r="P275" s="157"/>
      <c r="Q275" s="409"/>
      <c r="R275" s="57"/>
      <c r="S275" s="394"/>
      <c r="T275" s="394"/>
      <c r="U275" s="394"/>
      <c r="V275" s="394"/>
      <c r="W275" s="394"/>
      <c r="X275" s="394"/>
      <c r="Y275" s="395"/>
      <c r="Z275" s="395"/>
    </row>
    <row r="276">
      <c r="A276" s="239"/>
      <c r="B276" s="239"/>
      <c r="C276" s="459"/>
      <c r="D276" s="157"/>
      <c r="E276" s="239"/>
      <c r="F276" s="457"/>
      <c r="G276" s="455"/>
      <c r="H276" s="419"/>
      <c r="I276" s="57"/>
      <c r="J276" s="57"/>
      <c r="K276" s="420"/>
      <c r="L276" s="150"/>
      <c r="M276" s="374"/>
      <c r="O276" s="463"/>
      <c r="P276" s="157"/>
      <c r="Q276" s="409"/>
      <c r="R276" s="57"/>
      <c r="S276" s="394"/>
      <c r="T276" s="394"/>
      <c r="U276" s="394"/>
      <c r="V276" s="394"/>
      <c r="W276" s="394"/>
      <c r="X276" s="394"/>
      <c r="Y276" s="395"/>
      <c r="Z276" s="395"/>
    </row>
    <row r="277">
      <c r="A277" s="57"/>
      <c r="B277" s="57"/>
      <c r="C277" s="459"/>
      <c r="D277" s="157"/>
      <c r="E277" s="239"/>
      <c r="F277" s="457"/>
      <c r="G277" s="419"/>
      <c r="H277" s="419"/>
      <c r="I277" s="239"/>
      <c r="J277" s="378" t="s">
        <v>682</v>
      </c>
      <c r="K277" s="420"/>
      <c r="L277" s="150"/>
      <c r="M277" s="374"/>
      <c r="O277" s="463"/>
      <c r="P277" s="157"/>
      <c r="Q277" s="409"/>
      <c r="R277" s="57"/>
      <c r="S277" s="394"/>
      <c r="T277" s="394"/>
      <c r="U277" s="394"/>
      <c r="V277" s="394"/>
      <c r="W277" s="394"/>
      <c r="X277" s="394"/>
      <c r="Y277" s="395"/>
      <c r="Z277" s="395"/>
    </row>
    <row r="278">
      <c r="A278" s="239"/>
      <c r="B278" s="239"/>
      <c r="C278" s="459"/>
      <c r="D278" s="157"/>
      <c r="E278" s="239"/>
      <c r="F278" s="457"/>
      <c r="G278" s="419"/>
      <c r="H278" s="419"/>
      <c r="I278" s="239"/>
      <c r="J278" s="460" t="s">
        <v>684</v>
      </c>
      <c r="K278" s="420"/>
      <c r="L278" s="150"/>
      <c r="M278" s="374"/>
      <c r="O278" s="463"/>
      <c r="P278" s="157"/>
      <c r="Q278" s="409"/>
      <c r="R278" s="57"/>
      <c r="S278" s="394"/>
      <c r="T278" s="394"/>
      <c r="U278" s="394"/>
      <c r="V278" s="394"/>
      <c r="W278" s="394"/>
      <c r="X278" s="394"/>
      <c r="Y278" s="395"/>
      <c r="Z278" s="395"/>
    </row>
    <row r="279">
      <c r="A279" s="239"/>
      <c r="B279" s="239"/>
      <c r="C279" s="459"/>
      <c r="D279" s="157"/>
      <c r="E279" s="239"/>
      <c r="F279" s="457"/>
      <c r="G279" s="419"/>
      <c r="H279" s="419"/>
      <c r="I279" s="239"/>
      <c r="J279" s="460" t="s">
        <v>686</v>
      </c>
      <c r="K279" s="420"/>
      <c r="L279" s="150"/>
      <c r="M279" s="377"/>
      <c r="O279" s="431"/>
      <c r="P279" s="157"/>
      <c r="Q279" s="409"/>
      <c r="R279" s="57"/>
      <c r="S279" s="394"/>
      <c r="T279" s="394"/>
      <c r="U279" s="394"/>
      <c r="V279" s="394"/>
      <c r="W279" s="394"/>
      <c r="X279" s="394"/>
      <c r="Y279" s="395"/>
      <c r="Z279" s="395"/>
    </row>
    <row r="280">
      <c r="A280" s="239"/>
      <c r="B280" s="157"/>
      <c r="C280" s="459"/>
      <c r="D280" s="157"/>
      <c r="E280" s="239"/>
      <c r="F280" s="457"/>
      <c r="G280" s="419"/>
      <c r="H280" s="419"/>
      <c r="I280" s="239"/>
      <c r="J280" s="460" t="s">
        <v>202</v>
      </c>
      <c r="K280" s="420"/>
      <c r="L280" s="150"/>
      <c r="M280" s="374"/>
      <c r="O280" s="431"/>
      <c r="P280" s="157"/>
      <c r="Q280" s="409"/>
      <c r="R280" s="57"/>
      <c r="S280" s="394"/>
      <c r="T280" s="394"/>
      <c r="U280" s="394"/>
      <c r="V280" s="394"/>
      <c r="W280" s="394"/>
      <c r="X280" s="394"/>
      <c r="Y280" s="395"/>
      <c r="Z280" s="395"/>
    </row>
    <row r="281">
      <c r="A281" s="239"/>
      <c r="B281" s="157"/>
      <c r="C281" s="157"/>
      <c r="D281" s="157"/>
      <c r="E281" s="239"/>
      <c r="F281" s="457"/>
      <c r="G281" s="419"/>
      <c r="H281" s="419"/>
      <c r="I281" s="57"/>
      <c r="J281" s="461" t="s">
        <v>274</v>
      </c>
      <c r="K281" s="420"/>
      <c r="L281" s="150"/>
      <c r="M281" s="374"/>
      <c r="O281" s="431"/>
      <c r="P281" s="157"/>
      <c r="Q281" s="409"/>
      <c r="R281" s="57"/>
      <c r="S281" s="394"/>
      <c r="T281" s="394"/>
      <c r="U281" s="394"/>
      <c r="V281" s="394"/>
      <c r="W281" s="394"/>
      <c r="X281" s="394"/>
      <c r="Y281" s="395"/>
      <c r="Z281" s="395"/>
    </row>
    <row r="282">
      <c r="A282" s="239"/>
      <c r="B282" s="157"/>
      <c r="C282" s="157"/>
      <c r="D282" s="157"/>
      <c r="E282" s="239"/>
      <c r="F282" s="457"/>
      <c r="G282" s="419"/>
      <c r="H282" s="419"/>
      <c r="I282" s="239"/>
      <c r="J282" s="239"/>
      <c r="K282" s="420"/>
      <c r="L282" s="150"/>
      <c r="M282" s="374"/>
      <c r="O282" s="431"/>
      <c r="P282" s="157"/>
      <c r="Q282" s="409"/>
      <c r="R282" s="57"/>
      <c r="S282" s="394"/>
      <c r="T282" s="394"/>
      <c r="U282" s="394"/>
      <c r="V282" s="394"/>
      <c r="W282" s="394"/>
      <c r="X282" s="394"/>
      <c r="Y282" s="395"/>
      <c r="Z282" s="395"/>
    </row>
    <row r="283">
      <c r="A283" s="239"/>
      <c r="B283" s="157"/>
      <c r="C283" s="157"/>
      <c r="D283" s="157"/>
      <c r="E283" s="239"/>
      <c r="F283" s="457"/>
      <c r="G283" s="419"/>
      <c r="H283" s="419"/>
      <c r="I283" s="57"/>
      <c r="J283" s="462" t="s">
        <v>381</v>
      </c>
      <c r="K283" s="420"/>
      <c r="L283" s="150"/>
      <c r="M283" s="377"/>
      <c r="O283" s="431"/>
      <c r="P283" s="157"/>
      <c r="Q283" s="409"/>
      <c r="R283" s="57"/>
      <c r="S283" s="394"/>
      <c r="T283" s="394"/>
      <c r="U283" s="394"/>
      <c r="V283" s="394"/>
      <c r="W283" s="394"/>
      <c r="X283" s="394"/>
      <c r="Y283" s="395"/>
      <c r="Z283" s="395"/>
    </row>
    <row r="284">
      <c r="A284" s="57"/>
      <c r="B284" s="57"/>
      <c r="C284" s="57"/>
      <c r="D284" s="157"/>
      <c r="E284" s="239"/>
      <c r="F284" s="457"/>
      <c r="G284" s="419"/>
      <c r="H284" s="419"/>
      <c r="I284" s="239"/>
      <c r="J284" s="479" t="s">
        <v>383</v>
      </c>
      <c r="K284" s="420"/>
      <c r="L284" s="150"/>
      <c r="M284" s="374"/>
      <c r="O284" s="431"/>
      <c r="P284" s="157"/>
      <c r="Q284" s="409"/>
      <c r="R284" s="57"/>
      <c r="S284" s="394"/>
      <c r="T284" s="394"/>
      <c r="U284" s="394"/>
      <c r="V284" s="394"/>
      <c r="W284" s="394"/>
      <c r="X284" s="394"/>
      <c r="Y284" s="395"/>
      <c r="Z284" s="395"/>
    </row>
    <row r="285">
      <c r="A285" s="57"/>
      <c r="B285" s="57"/>
      <c r="C285" s="57"/>
      <c r="D285" s="157"/>
      <c r="E285" s="246" t="s">
        <v>690</v>
      </c>
      <c r="F285" s="457"/>
      <c r="G285" s="455"/>
      <c r="H285" s="419"/>
      <c r="I285" s="57"/>
      <c r="J285" s="239"/>
      <c r="K285" s="420"/>
      <c r="L285" s="150"/>
      <c r="M285" s="425"/>
      <c r="O285" s="431"/>
      <c r="P285" s="157"/>
      <c r="Q285" s="409"/>
      <c r="R285" s="57"/>
      <c r="S285" s="394"/>
      <c r="T285" s="394"/>
      <c r="U285" s="394"/>
      <c r="V285" s="394"/>
      <c r="W285" s="394"/>
      <c r="X285" s="394"/>
      <c r="Y285" s="395"/>
      <c r="Z285" s="395"/>
    </row>
    <row r="286">
      <c r="A286" s="57"/>
      <c r="B286" s="57"/>
      <c r="C286" s="57"/>
      <c r="D286" s="157"/>
      <c r="E286" s="246" t="s">
        <v>691</v>
      </c>
      <c r="F286" s="457"/>
      <c r="G286" s="455"/>
      <c r="H286" s="419"/>
      <c r="I286" s="57"/>
      <c r="J286" s="499" t="s">
        <v>692</v>
      </c>
      <c r="K286" s="420"/>
      <c r="L286" s="150"/>
      <c r="M286" s="425"/>
      <c r="O286" s="431"/>
      <c r="P286" s="157"/>
      <c r="Q286" s="409"/>
      <c r="R286" s="57"/>
      <c r="S286" s="394"/>
      <c r="T286" s="394"/>
      <c r="U286" s="394"/>
      <c r="V286" s="394"/>
      <c r="W286" s="394"/>
      <c r="X286" s="394"/>
      <c r="Y286" s="395"/>
      <c r="Z286" s="395"/>
    </row>
    <row r="287">
      <c r="A287" s="239"/>
      <c r="B287" s="57"/>
      <c r="C287" s="57"/>
      <c r="D287" s="157"/>
      <c r="E287" s="246" t="s">
        <v>693</v>
      </c>
      <c r="F287" s="457"/>
      <c r="G287" s="419"/>
      <c r="H287" s="419"/>
      <c r="I287" s="57"/>
      <c r="J287" s="499" t="s">
        <v>694</v>
      </c>
      <c r="K287" s="420"/>
      <c r="L287" s="150"/>
      <c r="M287" s="374"/>
      <c r="O287" s="431"/>
      <c r="P287" s="157"/>
      <c r="Q287" s="409"/>
      <c r="R287" s="57"/>
      <c r="S287" s="394"/>
      <c r="T287" s="394"/>
      <c r="U287" s="394"/>
      <c r="V287" s="394"/>
      <c r="W287" s="394"/>
      <c r="X287" s="394"/>
      <c r="Y287" s="395"/>
      <c r="Z287" s="395"/>
    </row>
    <row r="288">
      <c r="A288" s="239"/>
      <c r="B288" s="57"/>
      <c r="C288" s="57"/>
      <c r="D288" s="157"/>
      <c r="E288" s="385" t="s">
        <v>695</v>
      </c>
      <c r="F288" s="457"/>
      <c r="G288" s="455"/>
      <c r="H288" s="455"/>
      <c r="I288" s="57"/>
      <c r="J288" s="57"/>
      <c r="K288" s="57"/>
      <c r="L288" s="150"/>
      <c r="M288" s="57"/>
      <c r="N288" s="57"/>
      <c r="O288" s="239"/>
      <c r="P288" s="157"/>
      <c r="Q288" s="409"/>
      <c r="R288" s="57"/>
      <c r="S288" s="394"/>
      <c r="T288" s="394"/>
      <c r="U288" s="394"/>
      <c r="V288" s="394"/>
      <c r="W288" s="394"/>
      <c r="X288" s="394"/>
      <c r="Y288" s="395"/>
      <c r="Z288" s="395"/>
    </row>
    <row r="289">
      <c r="A289" s="57"/>
      <c r="B289" s="57"/>
      <c r="C289" s="57"/>
      <c r="D289" s="157"/>
      <c r="E289" s="239"/>
      <c r="F289" s="157"/>
      <c r="G289" s="239"/>
      <c r="H289" s="239"/>
      <c r="I289" s="239"/>
      <c r="J289" s="239"/>
      <c r="K289" s="57"/>
      <c r="L289" s="150"/>
      <c r="M289" s="239"/>
      <c r="N289" s="239"/>
      <c r="O289" s="239"/>
      <c r="P289" s="157"/>
      <c r="Q289" s="409"/>
      <c r="R289" s="57"/>
      <c r="S289" s="394"/>
      <c r="T289" s="394"/>
      <c r="U289" s="394"/>
      <c r="V289" s="394"/>
      <c r="W289" s="394"/>
      <c r="X289" s="394"/>
      <c r="Y289" s="395"/>
      <c r="Z289" s="395"/>
    </row>
    <row r="290">
      <c r="A290" s="402"/>
      <c r="B290" s="402"/>
      <c r="C290" s="403"/>
      <c r="D290" s="403"/>
      <c r="E290" s="402"/>
      <c r="F290" s="403"/>
      <c r="G290" s="402"/>
      <c r="H290" s="402"/>
      <c r="I290" s="159"/>
      <c r="J290" s="402"/>
      <c r="K290" s="159"/>
      <c r="L290" s="162"/>
      <c r="M290" s="159"/>
      <c r="N290" s="159"/>
      <c r="O290" s="402"/>
      <c r="P290" s="403"/>
      <c r="Q290" s="465"/>
      <c r="R290" s="57"/>
      <c r="S290" s="394"/>
      <c r="T290" s="394"/>
      <c r="U290" s="394"/>
      <c r="V290" s="394"/>
      <c r="W290" s="394"/>
      <c r="X290" s="394"/>
      <c r="Y290" s="395"/>
      <c r="Z290" s="395"/>
    </row>
    <row r="291">
      <c r="A291" s="402"/>
      <c r="B291" s="402"/>
      <c r="C291" s="403"/>
      <c r="D291" s="403"/>
      <c r="E291" s="402"/>
      <c r="F291" s="403"/>
      <c r="G291" s="159"/>
      <c r="H291" s="159"/>
      <c r="I291" s="402"/>
      <c r="J291" s="402"/>
      <c r="K291" s="159"/>
      <c r="L291" s="162"/>
      <c r="M291" s="159"/>
      <c r="N291" s="159"/>
      <c r="O291" s="402"/>
      <c r="P291" s="403"/>
      <c r="Q291" s="159"/>
      <c r="R291" s="57"/>
      <c r="S291" s="394"/>
      <c r="T291" s="394"/>
      <c r="U291" s="394"/>
      <c r="V291" s="394"/>
      <c r="W291" s="394"/>
      <c r="X291" s="394"/>
      <c r="Y291" s="395"/>
      <c r="Z291" s="395"/>
    </row>
    <row r="292">
      <c r="A292" s="270" t="s">
        <v>79</v>
      </c>
      <c r="B292" s="239"/>
      <c r="C292" s="466"/>
      <c r="D292" s="405"/>
      <c r="E292" s="406"/>
      <c r="F292" s="407"/>
      <c r="G292" s="467" t="s">
        <v>333</v>
      </c>
      <c r="H292" s="361"/>
      <c r="I292" s="57"/>
      <c r="J292" s="57"/>
      <c r="K292" s="57"/>
      <c r="L292" s="150"/>
      <c r="M292" s="57"/>
      <c r="N292" s="57"/>
      <c r="O292" s="239"/>
      <c r="P292" s="157"/>
      <c r="Q292" s="409"/>
      <c r="R292" s="57"/>
      <c r="S292" s="394"/>
      <c r="T292" s="394"/>
      <c r="U292" s="394"/>
      <c r="V292" s="394"/>
      <c r="W292" s="394"/>
      <c r="X292" s="394"/>
      <c r="Y292" s="395"/>
      <c r="Z292" s="395"/>
    </row>
    <row r="293">
      <c r="A293" s="182"/>
      <c r="B293" s="57"/>
      <c r="C293" s="466"/>
      <c r="D293" s="405"/>
      <c r="E293" s="469" t="s">
        <v>335</v>
      </c>
      <c r="F293" s="411" t="s">
        <v>237</v>
      </c>
      <c r="G293" s="412" t="s">
        <v>336</v>
      </c>
      <c r="H293" s="413" t="s">
        <v>337</v>
      </c>
      <c r="I293" s="239"/>
      <c r="J293" s="239" t="s">
        <v>0</v>
      </c>
      <c r="K293" s="57"/>
      <c r="L293" s="150"/>
      <c r="M293" s="414" t="s">
        <v>338</v>
      </c>
      <c r="O293" s="239" t="s">
        <v>334</v>
      </c>
      <c r="P293" s="157"/>
      <c r="Q293" s="409"/>
      <c r="R293" s="57"/>
      <c r="S293" s="394"/>
      <c r="T293" s="394"/>
      <c r="U293" s="394"/>
      <c r="V293" s="394"/>
      <c r="W293" s="394"/>
      <c r="X293" s="394"/>
      <c r="Y293" s="395"/>
      <c r="Z293" s="395"/>
    </row>
    <row r="294">
      <c r="A294" s="483" t="s">
        <v>179</v>
      </c>
      <c r="B294" s="214"/>
      <c r="C294" s="416">
        <f>SUM(F294:F324)</f>
        <v>0</v>
      </c>
      <c r="D294" s="405"/>
      <c r="E294" s="239"/>
      <c r="F294" s="457"/>
      <c r="G294" s="419"/>
      <c r="H294" s="419"/>
      <c r="I294" s="239"/>
      <c r="K294" s="420"/>
      <c r="L294" s="150"/>
      <c r="P294" s="157"/>
      <c r="Q294" s="409"/>
      <c r="R294" s="57"/>
      <c r="S294" s="394"/>
      <c r="T294" s="394"/>
      <c r="U294" s="394"/>
      <c r="V294" s="394"/>
      <c r="W294" s="394"/>
      <c r="X294" s="394"/>
      <c r="Y294" s="395"/>
      <c r="Z294" s="395"/>
    </row>
    <row r="295">
      <c r="A295" s="492" t="s">
        <v>343</v>
      </c>
      <c r="B295" s="500" t="s">
        <v>321</v>
      </c>
      <c r="C295" s="416">
        <f>SUM(P295:P323)</f>
        <v>0</v>
      </c>
      <c r="D295" s="157"/>
      <c r="E295" s="239"/>
      <c r="F295" s="457"/>
      <c r="G295" s="419"/>
      <c r="H295" s="419"/>
      <c r="I295" s="239"/>
      <c r="J295" s="471" t="s">
        <v>341</v>
      </c>
      <c r="K295" s="420"/>
      <c r="L295" s="150"/>
      <c r="M295" s="377"/>
      <c r="O295" s="431"/>
      <c r="P295" s="157"/>
      <c r="Q295" s="409"/>
      <c r="R295" s="57"/>
      <c r="S295" s="394"/>
      <c r="T295" s="394"/>
      <c r="U295" s="394"/>
      <c r="V295" s="394"/>
      <c r="W295" s="394"/>
      <c r="X295" s="394"/>
      <c r="Y295" s="395"/>
      <c r="Z295" s="395"/>
    </row>
    <row r="296">
      <c r="A296" s="504" t="s">
        <v>201</v>
      </c>
      <c r="B296" s="214"/>
      <c r="C296" s="204">
        <f>SUM(L295:L323)</f>
        <v>0</v>
      </c>
      <c r="D296" s="157"/>
      <c r="E296" s="239"/>
      <c r="F296" s="457"/>
      <c r="G296" s="419"/>
      <c r="H296" s="419"/>
      <c r="I296" s="239"/>
      <c r="J296" s="472" t="s">
        <v>345</v>
      </c>
      <c r="K296" s="420"/>
      <c r="L296" s="150"/>
      <c r="M296" s="374"/>
      <c r="O296" s="431"/>
      <c r="P296" s="157"/>
      <c r="Q296" s="409"/>
      <c r="R296" s="57"/>
      <c r="S296" s="394"/>
      <c r="T296" s="394"/>
      <c r="U296" s="394"/>
      <c r="V296" s="394"/>
      <c r="W296" s="394"/>
      <c r="X296" s="394"/>
      <c r="Y296" s="395"/>
      <c r="Z296" s="395"/>
    </row>
    <row r="297">
      <c r="A297" s="432"/>
      <c r="B297" s="157"/>
      <c r="C297" s="204"/>
      <c r="D297" s="157"/>
      <c r="E297" s="239"/>
      <c r="F297" s="457"/>
      <c r="G297" s="419"/>
      <c r="H297" s="419"/>
      <c r="I297" s="57"/>
      <c r="J297" s="444" t="s">
        <v>656</v>
      </c>
      <c r="K297" s="420"/>
      <c r="L297" s="150"/>
      <c r="M297" s="374"/>
      <c r="O297" s="431"/>
      <c r="P297" s="157"/>
      <c r="Q297" s="409"/>
      <c r="R297" s="57"/>
      <c r="S297" s="394"/>
      <c r="T297" s="394"/>
      <c r="U297" s="394"/>
      <c r="V297" s="394"/>
      <c r="W297" s="394"/>
      <c r="X297" s="394"/>
      <c r="Y297" s="395"/>
      <c r="Z297" s="395"/>
    </row>
    <row r="298">
      <c r="A298" s="502" t="s">
        <v>350</v>
      </c>
      <c r="B298" s="214"/>
      <c r="C298" s="212">
        <f>C294-C296-C300-B306-B301</f>
        <v>0</v>
      </c>
      <c r="D298" s="157"/>
      <c r="E298" s="239"/>
      <c r="F298" s="457"/>
      <c r="G298" s="419"/>
      <c r="H298" s="419"/>
      <c r="I298" s="239"/>
      <c r="J298" s="433" t="s">
        <v>658</v>
      </c>
      <c r="K298" s="420"/>
      <c r="L298" s="150"/>
      <c r="M298" s="374"/>
      <c r="O298" s="431"/>
      <c r="P298" s="157"/>
      <c r="Q298" s="409"/>
      <c r="R298" s="57"/>
      <c r="S298" s="394"/>
      <c r="T298" s="394"/>
      <c r="U298" s="394"/>
      <c r="V298" s="394"/>
      <c r="W298" s="394"/>
      <c r="X298" s="394"/>
      <c r="Y298" s="395"/>
      <c r="Z298" s="395"/>
    </row>
    <row r="299">
      <c r="A299" s="213"/>
      <c r="B299" s="214"/>
      <c r="C299" s="214"/>
      <c r="D299" s="157"/>
      <c r="E299" s="239"/>
      <c r="F299" s="457"/>
      <c r="G299" s="419"/>
      <c r="H299" s="419"/>
      <c r="I299" s="57"/>
      <c r="J299" s="444" t="s">
        <v>660</v>
      </c>
      <c r="K299" s="420"/>
      <c r="L299" s="150"/>
      <c r="M299" s="377"/>
      <c r="O299" s="431"/>
      <c r="P299" s="157"/>
      <c r="Q299" s="409"/>
      <c r="R299" s="57"/>
      <c r="S299" s="394"/>
      <c r="T299" s="394"/>
      <c r="U299" s="394"/>
      <c r="V299" s="394"/>
      <c r="W299" s="394"/>
      <c r="X299" s="394"/>
      <c r="Y299" s="395"/>
      <c r="Z299" s="395"/>
    </row>
    <row r="300">
      <c r="A300" s="473" t="s">
        <v>356</v>
      </c>
      <c r="B300" s="436"/>
      <c r="C300" s="447"/>
      <c r="D300" s="157"/>
      <c r="E300" s="239"/>
      <c r="F300" s="457"/>
      <c r="G300" s="419"/>
      <c r="H300" s="419"/>
      <c r="I300" s="239"/>
      <c r="J300" s="370" t="s">
        <v>662</v>
      </c>
      <c r="K300" s="420"/>
      <c r="L300" s="150"/>
      <c r="M300" s="374"/>
      <c r="O300" s="431"/>
      <c r="P300" s="157"/>
      <c r="Q300" s="409"/>
      <c r="R300" s="57"/>
      <c r="S300" s="394"/>
      <c r="T300" s="394"/>
      <c r="U300" s="394"/>
      <c r="V300" s="394"/>
      <c r="W300" s="394"/>
      <c r="X300" s="394"/>
      <c r="Y300" s="395"/>
      <c r="Z300" s="395"/>
    </row>
    <row r="301">
      <c r="A301" s="438" t="s">
        <v>214</v>
      </c>
      <c r="B301" s="474"/>
      <c r="C301" s="509"/>
      <c r="D301" s="373" t="s">
        <v>664</v>
      </c>
      <c r="E301" s="239"/>
      <c r="F301" s="457"/>
      <c r="G301" s="419"/>
      <c r="H301" s="419"/>
      <c r="I301" s="239"/>
      <c r="J301" s="433" t="s">
        <v>666</v>
      </c>
      <c r="K301" s="420"/>
      <c r="L301" s="150"/>
      <c r="M301" s="374"/>
      <c r="O301" s="431"/>
      <c r="P301" s="157"/>
      <c r="Q301" s="409"/>
      <c r="R301" s="57"/>
      <c r="S301" s="394"/>
      <c r="T301" s="394"/>
      <c r="U301" s="394"/>
      <c r="V301" s="394"/>
      <c r="W301" s="394"/>
      <c r="X301" s="394"/>
      <c r="Y301" s="395"/>
      <c r="Z301" s="395"/>
    </row>
    <row r="302">
      <c r="A302" s="489" t="s">
        <v>272</v>
      </c>
      <c r="B302" s="487"/>
      <c r="C302" s="488"/>
      <c r="D302" s="157"/>
      <c r="E302" s="239"/>
      <c r="F302" s="457"/>
      <c r="G302" s="455"/>
      <c r="H302" s="419"/>
      <c r="I302" s="57"/>
      <c r="J302" s="433" t="s">
        <v>668</v>
      </c>
      <c r="K302" s="420"/>
      <c r="L302" s="150"/>
      <c r="M302" s="425"/>
      <c r="O302" s="431"/>
      <c r="P302" s="157"/>
      <c r="Q302" s="409"/>
      <c r="R302" s="57"/>
      <c r="S302" s="394"/>
      <c r="T302" s="394"/>
      <c r="U302" s="394"/>
      <c r="V302" s="394"/>
      <c r="W302" s="394"/>
      <c r="X302" s="394"/>
      <c r="Y302" s="395"/>
      <c r="Z302" s="395"/>
    </row>
    <row r="303">
      <c r="A303" s="445" t="s">
        <v>361</v>
      </c>
      <c r="B303" s="490"/>
      <c r="C303" s="491"/>
      <c r="D303" s="157"/>
      <c r="E303" s="239"/>
      <c r="F303" s="457"/>
      <c r="G303" s="455"/>
      <c r="H303" s="419"/>
      <c r="I303" s="57"/>
      <c r="J303" s="444" t="s">
        <v>670</v>
      </c>
      <c r="K303" s="420"/>
      <c r="L303" s="150"/>
      <c r="M303" s="425"/>
      <c r="O303" s="431"/>
      <c r="P303" s="157"/>
      <c r="Q303" s="409"/>
      <c r="R303" s="57"/>
      <c r="S303" s="394"/>
      <c r="T303" s="394"/>
      <c r="U303" s="394"/>
      <c r="V303" s="394"/>
      <c r="W303" s="394"/>
      <c r="X303" s="394"/>
      <c r="Y303" s="395"/>
      <c r="Z303" s="395"/>
    </row>
    <row r="304">
      <c r="A304" s="239"/>
      <c r="B304" s="57"/>
      <c r="C304" s="57"/>
      <c r="D304" s="157"/>
      <c r="E304" s="57"/>
      <c r="F304" s="457"/>
      <c r="G304" s="419"/>
      <c r="H304" s="419"/>
      <c r="I304" s="57"/>
      <c r="J304" s="444" t="s">
        <v>217</v>
      </c>
      <c r="K304" s="420"/>
      <c r="L304" s="150"/>
      <c r="M304" s="374"/>
      <c r="O304" s="431"/>
      <c r="P304" s="157"/>
      <c r="Q304" s="409"/>
      <c r="R304" s="57"/>
      <c r="S304" s="394"/>
      <c r="T304" s="394"/>
      <c r="U304" s="394"/>
      <c r="V304" s="394"/>
      <c r="W304" s="394"/>
      <c r="X304" s="394"/>
      <c r="Y304" s="395"/>
      <c r="Z304" s="395"/>
    </row>
    <row r="305">
      <c r="A305" s="239"/>
      <c r="B305" s="448"/>
      <c r="C305" s="57"/>
      <c r="D305" s="157"/>
      <c r="E305" s="57"/>
      <c r="F305" s="457"/>
      <c r="G305" s="455"/>
      <c r="H305" s="455"/>
      <c r="I305" s="57"/>
      <c r="J305" s="57"/>
      <c r="K305" s="420"/>
      <c r="L305" s="150"/>
      <c r="M305" s="374"/>
      <c r="O305" s="463"/>
      <c r="P305" s="157"/>
      <c r="Q305" s="409"/>
      <c r="R305" s="57"/>
      <c r="S305" s="394"/>
      <c r="T305" s="394"/>
      <c r="U305" s="394"/>
      <c r="V305" s="394"/>
      <c r="W305" s="394"/>
      <c r="X305" s="394"/>
      <c r="Y305" s="395"/>
      <c r="Z305" s="395"/>
    </row>
    <row r="306">
      <c r="A306" s="449" t="s">
        <v>365</v>
      </c>
      <c r="B306" s="450">
        <f>SUM(C307,C308,C309,C310,C311,C312,C313,C314,C315,C316)</f>
        <v>0</v>
      </c>
      <c r="C306" s="451" t="s">
        <v>366</v>
      </c>
      <c r="D306" s="157"/>
      <c r="E306" s="239"/>
      <c r="F306" s="457"/>
      <c r="G306" s="455"/>
      <c r="H306" s="455"/>
      <c r="I306" s="239"/>
      <c r="J306" s="456" t="s">
        <v>672</v>
      </c>
      <c r="K306" s="420"/>
      <c r="L306" s="150"/>
      <c r="M306" s="187"/>
      <c r="O306" s="463"/>
      <c r="P306" s="157"/>
      <c r="Q306" s="409"/>
      <c r="R306" s="57"/>
      <c r="S306" s="394"/>
      <c r="T306" s="394"/>
      <c r="U306" s="394"/>
      <c r="V306" s="394"/>
      <c r="W306" s="394"/>
      <c r="X306" s="394"/>
      <c r="Y306" s="395"/>
      <c r="Z306" s="395"/>
    </row>
    <row r="307">
      <c r="A307" s="510" t="s">
        <v>369</v>
      </c>
      <c r="C307" s="459"/>
      <c r="D307" s="157"/>
      <c r="E307" s="239"/>
      <c r="F307" s="457"/>
      <c r="G307" s="455"/>
      <c r="H307" s="455"/>
      <c r="I307" s="57"/>
      <c r="J307" s="456" t="s">
        <v>675</v>
      </c>
      <c r="K307" s="420"/>
      <c r="L307" s="150"/>
      <c r="M307" s="374"/>
      <c r="O307" s="463"/>
      <c r="P307" s="157"/>
      <c r="Q307" s="409"/>
      <c r="R307" s="57"/>
      <c r="S307" s="394"/>
      <c r="T307" s="394"/>
      <c r="U307" s="394"/>
      <c r="V307" s="394"/>
      <c r="W307" s="394"/>
      <c r="X307" s="394"/>
      <c r="Y307" s="395"/>
      <c r="Z307" s="395"/>
    </row>
    <row r="308">
      <c r="C308" s="459"/>
      <c r="D308" s="157"/>
      <c r="E308" s="239"/>
      <c r="F308" s="457"/>
      <c r="G308" s="419"/>
      <c r="H308" s="419"/>
      <c r="I308" s="239"/>
      <c r="J308" s="456" t="s">
        <v>6</v>
      </c>
      <c r="K308" s="420"/>
      <c r="L308" s="150"/>
      <c r="M308" s="374"/>
      <c r="O308" s="463"/>
      <c r="P308" s="157"/>
      <c r="Q308" s="409"/>
      <c r="R308" s="57"/>
      <c r="S308" s="394"/>
      <c r="T308" s="394"/>
      <c r="U308" s="394"/>
      <c r="V308" s="394"/>
      <c r="W308" s="394"/>
      <c r="X308" s="394"/>
      <c r="Y308" s="395"/>
      <c r="Z308" s="395"/>
    </row>
    <row r="309">
      <c r="A309" s="239"/>
      <c r="B309" s="239"/>
      <c r="C309" s="459"/>
      <c r="D309" s="157"/>
      <c r="E309" s="239"/>
      <c r="F309" s="457"/>
      <c r="G309" s="455"/>
      <c r="H309" s="419"/>
      <c r="I309" s="57"/>
      <c r="J309" s="375" t="s">
        <v>677</v>
      </c>
      <c r="K309" s="420"/>
      <c r="L309" s="150"/>
      <c r="M309" s="374"/>
      <c r="O309" s="463"/>
      <c r="P309" s="157"/>
      <c r="Q309" s="409"/>
      <c r="R309" s="57"/>
      <c r="S309" s="394"/>
      <c r="T309" s="394"/>
      <c r="U309" s="394"/>
      <c r="V309" s="394"/>
      <c r="W309" s="394"/>
      <c r="X309" s="394"/>
      <c r="Y309" s="395"/>
      <c r="Z309" s="395"/>
    </row>
    <row r="310">
      <c r="A310" s="57"/>
      <c r="B310" s="57"/>
      <c r="C310" s="459"/>
      <c r="D310" s="157"/>
      <c r="E310" s="239"/>
      <c r="F310" s="457"/>
      <c r="G310" s="419"/>
      <c r="H310" s="419"/>
      <c r="I310" s="239"/>
      <c r="J310" s="375" t="s">
        <v>679</v>
      </c>
      <c r="K310" s="420"/>
      <c r="L310" s="150"/>
      <c r="M310" s="374"/>
      <c r="O310" s="463"/>
      <c r="P310" s="157"/>
      <c r="Q310" s="409"/>
      <c r="R310" s="57"/>
      <c r="S310" s="394"/>
      <c r="T310" s="394"/>
      <c r="U310" s="394"/>
      <c r="V310" s="394"/>
      <c r="W310" s="394"/>
      <c r="X310" s="394"/>
      <c r="Y310" s="395"/>
      <c r="Z310" s="395"/>
    </row>
    <row r="311">
      <c r="A311" s="239"/>
      <c r="B311" s="239"/>
      <c r="C311" s="459"/>
      <c r="D311" s="157"/>
      <c r="E311" s="239"/>
      <c r="F311" s="457"/>
      <c r="G311" s="419"/>
      <c r="H311" s="419"/>
      <c r="I311" s="239"/>
      <c r="J311" s="456" t="s">
        <v>680</v>
      </c>
      <c r="K311" s="420"/>
      <c r="L311" s="150"/>
      <c r="M311" s="374"/>
      <c r="O311" s="463"/>
      <c r="P311" s="157"/>
      <c r="Q311" s="409"/>
      <c r="R311" s="57"/>
      <c r="S311" s="394"/>
      <c r="T311" s="394"/>
      <c r="U311" s="394"/>
      <c r="V311" s="394"/>
      <c r="W311" s="394"/>
      <c r="X311" s="394"/>
      <c r="Y311" s="395"/>
      <c r="Z311" s="395"/>
    </row>
    <row r="312">
      <c r="A312" s="239"/>
      <c r="B312" s="239"/>
      <c r="C312" s="459"/>
      <c r="D312" s="157"/>
      <c r="E312" s="239"/>
      <c r="F312" s="457"/>
      <c r="G312" s="419"/>
      <c r="H312" s="419"/>
      <c r="I312" s="239"/>
      <c r="J312" s="239"/>
      <c r="K312" s="420"/>
      <c r="L312" s="150"/>
      <c r="M312" s="377"/>
      <c r="O312" s="431"/>
      <c r="P312" s="157"/>
      <c r="Q312" s="409"/>
      <c r="R312" s="57"/>
      <c r="S312" s="394"/>
      <c r="T312" s="394"/>
      <c r="U312" s="394"/>
      <c r="V312" s="394"/>
      <c r="W312" s="394"/>
      <c r="X312" s="394"/>
      <c r="Y312" s="395"/>
      <c r="Z312" s="395"/>
    </row>
    <row r="313">
      <c r="A313" s="239"/>
      <c r="B313" s="157"/>
      <c r="C313" s="459"/>
      <c r="D313" s="157"/>
      <c r="E313" s="239"/>
      <c r="F313" s="457"/>
      <c r="G313" s="419"/>
      <c r="H313" s="419"/>
      <c r="I313" s="239"/>
      <c r="J313" s="378" t="s">
        <v>682</v>
      </c>
      <c r="K313" s="420"/>
      <c r="L313" s="150"/>
      <c r="M313" s="374"/>
      <c r="O313" s="431"/>
      <c r="P313" s="157"/>
      <c r="Q313" s="409"/>
      <c r="R313" s="57"/>
      <c r="S313" s="394"/>
      <c r="T313" s="394"/>
      <c r="U313" s="394"/>
      <c r="V313" s="394"/>
      <c r="W313" s="394"/>
      <c r="X313" s="394"/>
      <c r="Y313" s="395"/>
      <c r="Z313" s="395"/>
    </row>
    <row r="314">
      <c r="A314" s="239"/>
      <c r="B314" s="157"/>
      <c r="C314" s="459"/>
      <c r="D314" s="157"/>
      <c r="E314" s="239"/>
      <c r="F314" s="457"/>
      <c r="G314" s="419"/>
      <c r="H314" s="419"/>
      <c r="I314" s="57"/>
      <c r="J314" s="461" t="s">
        <v>684</v>
      </c>
      <c r="K314" s="420"/>
      <c r="L314" s="150"/>
      <c r="M314" s="374"/>
      <c r="O314" s="431"/>
      <c r="P314" s="157"/>
      <c r="Q314" s="409"/>
      <c r="R314" s="57"/>
      <c r="S314" s="394"/>
      <c r="T314" s="394"/>
      <c r="U314" s="394"/>
      <c r="V314" s="394"/>
      <c r="W314" s="394"/>
      <c r="X314" s="394"/>
      <c r="Y314" s="395"/>
      <c r="Z314" s="395"/>
    </row>
    <row r="315">
      <c r="A315" s="239"/>
      <c r="B315" s="157"/>
      <c r="C315" s="459"/>
      <c r="D315" s="157"/>
      <c r="E315" s="239"/>
      <c r="F315" s="457"/>
      <c r="G315" s="419"/>
      <c r="H315" s="419"/>
      <c r="I315" s="239"/>
      <c r="J315" s="460" t="s">
        <v>686</v>
      </c>
      <c r="K315" s="420"/>
      <c r="L315" s="150"/>
      <c r="M315" s="374"/>
      <c r="O315" s="431"/>
      <c r="P315" s="157"/>
      <c r="Q315" s="409"/>
      <c r="R315" s="57"/>
      <c r="S315" s="394"/>
      <c r="T315" s="394"/>
      <c r="U315" s="394"/>
      <c r="V315" s="394"/>
      <c r="W315" s="394"/>
      <c r="X315" s="394"/>
      <c r="Y315" s="395"/>
      <c r="Z315" s="395"/>
    </row>
    <row r="316">
      <c r="A316" s="239"/>
      <c r="B316" s="157"/>
      <c r="C316" s="459"/>
      <c r="D316" s="157"/>
      <c r="E316" s="239"/>
      <c r="F316" s="457"/>
      <c r="G316" s="419"/>
      <c r="H316" s="419"/>
      <c r="I316" s="57"/>
      <c r="J316" s="461" t="s">
        <v>202</v>
      </c>
      <c r="K316" s="420"/>
      <c r="L316" s="150"/>
      <c r="M316" s="377"/>
      <c r="O316" s="431"/>
      <c r="P316" s="157"/>
      <c r="Q316" s="409"/>
      <c r="R316" s="57"/>
      <c r="S316" s="399"/>
      <c r="T316" s="399"/>
      <c r="U316" s="399"/>
      <c r="V316" s="399"/>
      <c r="W316" s="399"/>
      <c r="X316" s="399"/>
      <c r="Y316" s="400"/>
      <c r="Z316" s="400"/>
    </row>
    <row r="317">
      <c r="A317" s="57"/>
      <c r="B317" s="57"/>
      <c r="C317" s="57"/>
      <c r="D317" s="157"/>
      <c r="E317" s="239"/>
      <c r="F317" s="457"/>
      <c r="G317" s="419"/>
      <c r="H317" s="419"/>
      <c r="I317" s="239"/>
      <c r="J317" s="460" t="s">
        <v>274</v>
      </c>
      <c r="K317" s="420"/>
      <c r="L317" s="150"/>
      <c r="M317" s="374"/>
      <c r="O317" s="431"/>
      <c r="P317" s="157"/>
      <c r="Q317" s="409"/>
      <c r="R317" s="57"/>
      <c r="S317" s="399"/>
      <c r="T317" s="399"/>
      <c r="U317" s="399"/>
      <c r="V317" s="399"/>
      <c r="W317" s="399"/>
      <c r="X317" s="399"/>
      <c r="Y317" s="400"/>
      <c r="Z317" s="400"/>
    </row>
    <row r="318">
      <c r="A318" s="57"/>
      <c r="B318" s="57"/>
      <c r="C318" s="157"/>
      <c r="D318" s="157"/>
      <c r="E318" s="57"/>
      <c r="F318" s="457"/>
      <c r="G318" s="419"/>
      <c r="H318" s="419"/>
      <c r="I318" s="239"/>
      <c r="J318" s="239"/>
      <c r="K318" s="458"/>
      <c r="L318" s="150"/>
      <c r="M318" s="377"/>
      <c r="O318" s="431"/>
      <c r="P318" s="157"/>
      <c r="Q318" s="409"/>
      <c r="R318" s="57"/>
      <c r="S318" s="394"/>
      <c r="T318" s="394"/>
      <c r="U318" s="394"/>
      <c r="V318" s="394"/>
      <c r="W318" s="394"/>
      <c r="X318" s="394"/>
      <c r="Y318" s="395"/>
      <c r="Z318" s="395"/>
    </row>
    <row r="319">
      <c r="A319" s="239"/>
      <c r="B319" s="57"/>
      <c r="C319" s="157"/>
      <c r="D319" s="157"/>
      <c r="E319" s="57"/>
      <c r="F319" s="457"/>
      <c r="G319" s="419"/>
      <c r="H319" s="419"/>
      <c r="I319" s="239"/>
      <c r="J319" s="479" t="s">
        <v>381</v>
      </c>
      <c r="K319" s="458"/>
      <c r="L319" s="150"/>
      <c r="M319" s="377"/>
      <c r="O319" s="431"/>
      <c r="P319" s="157"/>
      <c r="Q319" s="409"/>
      <c r="R319" s="57"/>
      <c r="S319" s="394"/>
      <c r="T319" s="394"/>
      <c r="U319" s="394"/>
      <c r="V319" s="394"/>
      <c r="W319" s="394"/>
      <c r="X319" s="394"/>
      <c r="Y319" s="395"/>
      <c r="Z319" s="395"/>
    </row>
    <row r="320">
      <c r="A320" s="239"/>
      <c r="B320" s="57"/>
      <c r="C320" s="157"/>
      <c r="D320" s="157"/>
      <c r="E320" s="57"/>
      <c r="F320" s="457"/>
      <c r="G320" s="419"/>
      <c r="H320" s="419"/>
      <c r="I320" s="239"/>
      <c r="J320" s="479" t="s">
        <v>383</v>
      </c>
      <c r="K320" s="420"/>
      <c r="L320" s="150"/>
      <c r="M320" s="374"/>
      <c r="O320" s="431"/>
      <c r="P320" s="157"/>
      <c r="Q320" s="409"/>
      <c r="R320" s="57"/>
      <c r="S320" s="394"/>
      <c r="T320" s="394"/>
      <c r="U320" s="394"/>
      <c r="V320" s="394"/>
      <c r="W320" s="394"/>
      <c r="X320" s="394"/>
      <c r="Y320" s="395"/>
      <c r="Z320" s="395"/>
    </row>
    <row r="321">
      <c r="A321" s="57"/>
      <c r="B321" s="57"/>
      <c r="C321" s="157"/>
      <c r="D321" s="157"/>
      <c r="E321" s="246" t="s">
        <v>690</v>
      </c>
      <c r="F321" s="457"/>
      <c r="G321" s="419"/>
      <c r="H321" s="419"/>
      <c r="I321" s="239"/>
      <c r="J321" s="239"/>
      <c r="K321" s="420"/>
      <c r="L321" s="150"/>
      <c r="M321" s="377"/>
      <c r="O321" s="431"/>
      <c r="P321" s="157"/>
      <c r="Q321" s="409"/>
      <c r="R321" s="57"/>
      <c r="S321" s="394"/>
      <c r="T321" s="394"/>
      <c r="U321" s="394"/>
      <c r="V321" s="394"/>
      <c r="W321" s="394"/>
      <c r="X321" s="394"/>
      <c r="Y321" s="395"/>
      <c r="Z321" s="395"/>
    </row>
    <row r="322">
      <c r="A322" s="57"/>
      <c r="B322" s="57"/>
      <c r="C322" s="157"/>
      <c r="D322" s="157"/>
      <c r="E322" s="246" t="s">
        <v>691</v>
      </c>
      <c r="F322" s="457"/>
      <c r="G322" s="419"/>
      <c r="H322" s="419"/>
      <c r="I322" s="57"/>
      <c r="J322" s="464" t="s">
        <v>692</v>
      </c>
      <c r="K322" s="420"/>
      <c r="L322" s="150"/>
      <c r="M322" s="382"/>
      <c r="O322" s="431"/>
      <c r="P322" s="157"/>
      <c r="Q322" s="409"/>
      <c r="R322" s="57"/>
      <c r="S322" s="394"/>
      <c r="T322" s="394"/>
      <c r="U322" s="394"/>
      <c r="V322" s="394"/>
      <c r="W322" s="394"/>
      <c r="X322" s="394"/>
      <c r="Y322" s="395"/>
      <c r="Z322" s="395"/>
    </row>
    <row r="323">
      <c r="A323" s="57"/>
      <c r="B323" s="57"/>
      <c r="C323" s="57"/>
      <c r="D323" s="157"/>
      <c r="E323" s="246" t="s">
        <v>693</v>
      </c>
      <c r="F323" s="457"/>
      <c r="G323" s="419"/>
      <c r="H323" s="419"/>
      <c r="I323" s="57"/>
      <c r="J323" s="499" t="s">
        <v>694</v>
      </c>
      <c r="K323" s="420"/>
      <c r="L323" s="150"/>
      <c r="M323" s="425"/>
      <c r="O323" s="431"/>
      <c r="P323" s="157"/>
      <c r="Q323" s="409"/>
      <c r="R323" s="57"/>
      <c r="S323" s="394"/>
      <c r="T323" s="394"/>
      <c r="U323" s="394"/>
      <c r="V323" s="394"/>
      <c r="W323" s="394"/>
      <c r="X323" s="394"/>
      <c r="Y323" s="395"/>
      <c r="Z323" s="395"/>
    </row>
    <row r="324">
      <c r="A324" s="239"/>
      <c r="B324" s="57"/>
      <c r="C324" s="57"/>
      <c r="D324" s="157"/>
      <c r="E324" s="385" t="s">
        <v>695</v>
      </c>
      <c r="F324" s="457"/>
      <c r="G324" s="419"/>
      <c r="H324" s="419"/>
      <c r="I324" s="57"/>
      <c r="J324" s="57"/>
      <c r="K324" s="57"/>
      <c r="L324" s="150"/>
      <c r="M324" s="57"/>
      <c r="N324" s="57"/>
      <c r="O324" s="57"/>
      <c r="P324" s="157"/>
      <c r="Q324" s="409"/>
      <c r="R324" s="57"/>
      <c r="S324" s="394"/>
      <c r="T324" s="394"/>
      <c r="U324" s="394"/>
      <c r="V324" s="394"/>
      <c r="W324" s="394"/>
      <c r="X324" s="394"/>
      <c r="Y324" s="395"/>
      <c r="Z324" s="395"/>
    </row>
    <row r="325">
      <c r="A325" s="57"/>
      <c r="B325" s="57"/>
      <c r="C325" s="57"/>
      <c r="D325" s="157"/>
      <c r="E325" s="239"/>
      <c r="F325" s="157"/>
      <c r="G325" s="239"/>
      <c r="H325" s="57"/>
      <c r="I325" s="57"/>
      <c r="J325" s="239"/>
      <c r="K325" s="57"/>
      <c r="L325" s="150"/>
      <c r="M325" s="57"/>
      <c r="N325" s="57"/>
      <c r="O325" s="57"/>
      <c r="P325" s="157"/>
      <c r="Q325" s="409"/>
      <c r="R325" s="57"/>
      <c r="S325" s="394"/>
      <c r="T325" s="394"/>
      <c r="U325" s="394"/>
      <c r="V325" s="394"/>
      <c r="W325" s="394"/>
      <c r="X325" s="394"/>
      <c r="Y325" s="395"/>
      <c r="Z325" s="395"/>
    </row>
    <row r="326">
      <c r="A326" s="159"/>
      <c r="B326" s="159"/>
      <c r="C326" s="159"/>
      <c r="D326" s="403"/>
      <c r="E326" s="402"/>
      <c r="F326" s="403"/>
      <c r="G326" s="402"/>
      <c r="H326" s="159"/>
      <c r="I326" s="159"/>
      <c r="J326" s="159"/>
      <c r="K326" s="159"/>
      <c r="L326" s="162"/>
      <c r="M326" s="159"/>
      <c r="N326" s="159"/>
      <c r="O326" s="159"/>
      <c r="P326" s="403"/>
      <c r="Q326" s="465"/>
      <c r="R326" s="57"/>
      <c r="S326" s="394"/>
      <c r="T326" s="394"/>
      <c r="U326" s="394"/>
      <c r="V326" s="394"/>
      <c r="W326" s="394"/>
      <c r="X326" s="394"/>
      <c r="Y326" s="395"/>
      <c r="Z326" s="395"/>
    </row>
    <row r="327">
      <c r="A327" s="402"/>
      <c r="B327" s="159"/>
      <c r="C327" s="159"/>
      <c r="D327" s="403"/>
      <c r="E327" s="159"/>
      <c r="F327" s="403"/>
      <c r="G327" s="159"/>
      <c r="H327" s="159"/>
      <c r="I327" s="159"/>
      <c r="J327" s="159"/>
      <c r="K327" s="159"/>
      <c r="L327" s="162"/>
      <c r="M327" s="159"/>
      <c r="N327" s="159"/>
      <c r="O327" s="159"/>
      <c r="P327" s="403"/>
      <c r="Q327" s="159"/>
      <c r="R327" s="57"/>
      <c r="S327" s="394"/>
      <c r="T327" s="394"/>
      <c r="U327" s="394"/>
      <c r="V327" s="394"/>
      <c r="W327" s="394"/>
      <c r="X327" s="394"/>
      <c r="Y327" s="395"/>
      <c r="Z327" s="395"/>
    </row>
    <row r="328">
      <c r="A328" s="270" t="s">
        <v>85</v>
      </c>
      <c r="B328" s="57"/>
      <c r="C328" s="404"/>
      <c r="D328" s="405"/>
      <c r="E328" s="173"/>
      <c r="F328" s="407"/>
      <c r="G328" s="408" t="s">
        <v>333</v>
      </c>
      <c r="H328" s="361"/>
      <c r="I328" s="57"/>
      <c r="J328" s="57"/>
      <c r="K328" s="57"/>
      <c r="L328" s="150"/>
      <c r="M328" s="57"/>
      <c r="N328" s="57"/>
      <c r="O328" s="239"/>
      <c r="P328" s="157"/>
      <c r="Q328" s="409"/>
      <c r="R328" s="57"/>
      <c r="S328" s="394"/>
      <c r="T328" s="394"/>
      <c r="U328" s="394"/>
      <c r="V328" s="394"/>
      <c r="W328" s="394"/>
      <c r="X328" s="394"/>
      <c r="Y328" s="395"/>
      <c r="Z328" s="395"/>
    </row>
    <row r="329">
      <c r="A329" s="182"/>
      <c r="B329" s="57"/>
      <c r="C329" s="404"/>
      <c r="D329" s="405"/>
      <c r="E329" s="469" t="s">
        <v>335</v>
      </c>
      <c r="F329" s="411" t="s">
        <v>237</v>
      </c>
      <c r="G329" s="481" t="s">
        <v>336</v>
      </c>
      <c r="H329" s="511" t="s">
        <v>337</v>
      </c>
      <c r="I329" s="239"/>
      <c r="J329" s="239" t="s">
        <v>0</v>
      </c>
      <c r="K329" s="57"/>
      <c r="L329" s="150"/>
      <c r="M329" s="482" t="s">
        <v>338</v>
      </c>
      <c r="O329" s="239" t="s">
        <v>334</v>
      </c>
      <c r="P329" s="157"/>
      <c r="Q329" s="409"/>
      <c r="R329" s="57"/>
      <c r="S329" s="394"/>
      <c r="T329" s="394"/>
      <c r="U329" s="394"/>
      <c r="V329" s="394"/>
      <c r="W329" s="394"/>
      <c r="X329" s="394"/>
      <c r="Y329" s="395"/>
      <c r="Z329" s="395"/>
    </row>
    <row r="330">
      <c r="A330" s="483" t="s">
        <v>179</v>
      </c>
      <c r="B330" s="214"/>
      <c r="C330" s="416">
        <f>SUM(F330:F360)</f>
        <v>0</v>
      </c>
      <c r="D330" s="405"/>
      <c r="E330" s="239"/>
      <c r="F330" s="457"/>
      <c r="G330" s="455"/>
      <c r="H330" s="455"/>
      <c r="I330" s="57"/>
      <c r="K330" s="420"/>
      <c r="L330" s="150"/>
      <c r="P330" s="157"/>
      <c r="Q330" s="409"/>
      <c r="R330" s="57"/>
      <c r="S330" s="394"/>
      <c r="T330" s="394"/>
      <c r="U330" s="394"/>
      <c r="V330" s="394"/>
      <c r="W330" s="394"/>
      <c r="X330" s="394"/>
      <c r="Y330" s="395"/>
      <c r="Z330" s="395"/>
    </row>
    <row r="331">
      <c r="A331" s="492" t="s">
        <v>343</v>
      </c>
      <c r="B331" s="500" t="s">
        <v>321</v>
      </c>
      <c r="C331" s="416">
        <f>SUM(P331:P359)</f>
        <v>0</v>
      </c>
      <c r="D331" s="157"/>
      <c r="E331" s="239"/>
      <c r="F331" s="457"/>
      <c r="G331" s="419"/>
      <c r="H331" s="419"/>
      <c r="I331" s="239"/>
      <c r="J331" s="471" t="s">
        <v>341</v>
      </c>
      <c r="K331" s="420"/>
      <c r="L331" s="150"/>
      <c r="M331" s="374"/>
      <c r="O331" s="463"/>
      <c r="P331" s="157"/>
      <c r="Q331" s="409"/>
      <c r="R331" s="57"/>
      <c r="S331" s="394"/>
      <c r="T331" s="394"/>
      <c r="U331" s="394"/>
      <c r="V331" s="394"/>
      <c r="W331" s="394"/>
      <c r="X331" s="394"/>
      <c r="Y331" s="395"/>
      <c r="Z331" s="395"/>
    </row>
    <row r="332">
      <c r="A332" s="501" t="s">
        <v>201</v>
      </c>
      <c r="B332" s="214"/>
      <c r="C332" s="204">
        <f>SUM(L331:L359)</f>
        <v>0</v>
      </c>
      <c r="D332" s="157"/>
      <c r="E332" s="239"/>
      <c r="F332" s="457"/>
      <c r="G332" s="455"/>
      <c r="H332" s="419"/>
      <c r="I332" s="57"/>
      <c r="J332" s="430" t="s">
        <v>345</v>
      </c>
      <c r="K332" s="420"/>
      <c r="L332" s="150"/>
      <c r="M332" s="374"/>
      <c r="O332" s="463"/>
      <c r="P332" s="157"/>
      <c r="Q332" s="409"/>
      <c r="R332" s="57"/>
      <c r="S332" s="394"/>
      <c r="T332" s="394"/>
      <c r="U332" s="394"/>
      <c r="V332" s="394"/>
      <c r="W332" s="394"/>
      <c r="X332" s="394"/>
      <c r="Y332" s="395"/>
      <c r="Z332" s="395"/>
    </row>
    <row r="333">
      <c r="A333" s="484"/>
      <c r="B333" s="57"/>
      <c r="C333" s="204"/>
      <c r="D333" s="157"/>
      <c r="E333" s="239"/>
      <c r="F333" s="457"/>
      <c r="G333" s="419"/>
      <c r="H333" s="419"/>
      <c r="I333" s="239"/>
      <c r="J333" s="433" t="s">
        <v>656</v>
      </c>
      <c r="K333" s="420"/>
      <c r="L333" s="150"/>
      <c r="M333" s="374"/>
      <c r="O333" s="463"/>
      <c r="P333" s="157"/>
      <c r="Q333" s="409"/>
      <c r="R333" s="57"/>
      <c r="S333" s="394"/>
      <c r="T333" s="394"/>
      <c r="U333" s="394"/>
      <c r="V333" s="394"/>
      <c r="W333" s="394"/>
      <c r="X333" s="394"/>
      <c r="Y333" s="395"/>
      <c r="Z333" s="395"/>
    </row>
    <row r="334">
      <c r="A334" s="434" t="s">
        <v>350</v>
      </c>
      <c r="B334" s="214"/>
      <c r="C334" s="212">
        <f>C330-C332-C336-B342-B337</f>
        <v>0</v>
      </c>
      <c r="D334" s="157"/>
      <c r="E334" s="239"/>
      <c r="F334" s="457"/>
      <c r="G334" s="419"/>
      <c r="H334" s="419"/>
      <c r="I334" s="239"/>
      <c r="J334" s="433" t="s">
        <v>658</v>
      </c>
      <c r="K334" s="420"/>
      <c r="L334" s="150"/>
      <c r="M334" s="374"/>
      <c r="O334" s="463"/>
      <c r="P334" s="157"/>
      <c r="Q334" s="409"/>
      <c r="R334" s="57"/>
      <c r="S334" s="394"/>
      <c r="T334" s="394"/>
      <c r="U334" s="394"/>
      <c r="V334" s="394"/>
      <c r="W334" s="394"/>
      <c r="X334" s="394"/>
      <c r="Y334" s="395"/>
      <c r="Z334" s="395"/>
    </row>
    <row r="335">
      <c r="A335" s="213"/>
      <c r="B335" s="214"/>
      <c r="C335" s="214"/>
      <c r="D335" s="157"/>
      <c r="E335" s="239"/>
      <c r="F335" s="457"/>
      <c r="G335" s="419"/>
      <c r="H335" s="419"/>
      <c r="I335" s="239"/>
      <c r="J335" s="433" t="s">
        <v>660</v>
      </c>
      <c r="K335" s="420"/>
      <c r="L335" s="150"/>
      <c r="M335" s="377"/>
      <c r="O335" s="431"/>
      <c r="P335" s="157"/>
      <c r="Q335" s="409"/>
      <c r="R335" s="57"/>
      <c r="S335" s="394"/>
      <c r="T335" s="394"/>
      <c r="U335" s="394"/>
      <c r="V335" s="394"/>
      <c r="W335" s="394"/>
      <c r="X335" s="394"/>
      <c r="Y335" s="395"/>
      <c r="Z335" s="395"/>
    </row>
    <row r="336">
      <c r="A336" s="435" t="s">
        <v>356</v>
      </c>
      <c r="B336" s="436"/>
      <c r="C336" s="437"/>
      <c r="D336" s="157"/>
      <c r="E336" s="239"/>
      <c r="F336" s="457"/>
      <c r="G336" s="419"/>
      <c r="H336" s="419"/>
      <c r="I336" s="239"/>
      <c r="J336" s="370" t="s">
        <v>662</v>
      </c>
      <c r="K336" s="420"/>
      <c r="L336" s="150"/>
      <c r="M336" s="374"/>
      <c r="O336" s="431"/>
      <c r="P336" s="157"/>
      <c r="Q336" s="409"/>
      <c r="R336" s="57"/>
      <c r="S336" s="394"/>
      <c r="T336" s="394"/>
      <c r="U336" s="394"/>
      <c r="V336" s="394"/>
      <c r="W336" s="394"/>
      <c r="X336" s="394"/>
      <c r="Y336" s="395"/>
      <c r="Z336" s="395"/>
    </row>
    <row r="337">
      <c r="A337" s="438" t="s">
        <v>214</v>
      </c>
      <c r="B337" s="439"/>
      <c r="C337" s="440"/>
      <c r="D337" s="373" t="s">
        <v>664</v>
      </c>
      <c r="E337" s="239"/>
      <c r="F337" s="457"/>
      <c r="G337" s="419"/>
      <c r="H337" s="419"/>
      <c r="I337" s="57"/>
      <c r="J337" s="444" t="s">
        <v>666</v>
      </c>
      <c r="K337" s="420"/>
      <c r="L337" s="150"/>
      <c r="M337" s="374"/>
      <c r="O337" s="431"/>
      <c r="P337" s="157"/>
      <c r="Q337" s="409"/>
      <c r="R337" s="57"/>
      <c r="S337" s="394"/>
      <c r="T337" s="394"/>
      <c r="U337" s="394"/>
      <c r="V337" s="394"/>
      <c r="W337" s="394"/>
      <c r="X337" s="394"/>
      <c r="Y337" s="395"/>
      <c r="Z337" s="395"/>
    </row>
    <row r="338">
      <c r="A338" s="442" t="s">
        <v>272</v>
      </c>
      <c r="B338" s="439"/>
      <c r="C338" s="440"/>
      <c r="D338" s="157"/>
      <c r="E338" s="239"/>
      <c r="F338" s="457"/>
      <c r="G338" s="419"/>
      <c r="H338" s="419"/>
      <c r="I338" s="239"/>
      <c r="J338" s="433" t="s">
        <v>668</v>
      </c>
      <c r="K338" s="420"/>
      <c r="L338" s="150"/>
      <c r="M338" s="374"/>
      <c r="O338" s="431"/>
      <c r="P338" s="157"/>
      <c r="Q338" s="409"/>
      <c r="R338" s="57"/>
      <c r="S338" s="394"/>
      <c r="T338" s="394"/>
      <c r="U338" s="394"/>
      <c r="V338" s="394"/>
      <c r="W338" s="394"/>
      <c r="X338" s="394"/>
      <c r="Y338" s="395"/>
      <c r="Z338" s="395"/>
    </row>
    <row r="339">
      <c r="A339" s="495" t="s">
        <v>361</v>
      </c>
      <c r="B339" s="496"/>
      <c r="C339" s="437"/>
      <c r="D339" s="157"/>
      <c r="E339" s="239"/>
      <c r="F339" s="457"/>
      <c r="G339" s="419"/>
      <c r="H339" s="419"/>
      <c r="I339" s="57"/>
      <c r="J339" s="444" t="s">
        <v>670</v>
      </c>
      <c r="K339" s="420"/>
      <c r="L339" s="150"/>
      <c r="M339" s="377"/>
      <c r="O339" s="431"/>
      <c r="P339" s="157"/>
      <c r="Q339" s="409"/>
      <c r="R339" s="57"/>
      <c r="S339" s="394"/>
      <c r="T339" s="394"/>
      <c r="U339" s="394"/>
      <c r="V339" s="394"/>
      <c r="W339" s="394"/>
      <c r="X339" s="394"/>
      <c r="Y339" s="395"/>
      <c r="Z339" s="395"/>
    </row>
    <row r="340">
      <c r="A340" s="57"/>
      <c r="B340" s="57"/>
      <c r="C340" s="57"/>
      <c r="D340" s="157"/>
      <c r="E340" s="239"/>
      <c r="F340" s="457"/>
      <c r="G340" s="419"/>
      <c r="H340" s="419"/>
      <c r="I340" s="239"/>
      <c r="J340" s="433" t="s">
        <v>217</v>
      </c>
      <c r="K340" s="420"/>
      <c r="L340" s="150"/>
      <c r="M340" s="374"/>
      <c r="O340" s="431"/>
      <c r="P340" s="157"/>
      <c r="Q340" s="409"/>
      <c r="R340" s="57"/>
      <c r="S340" s="394"/>
      <c r="T340" s="394"/>
      <c r="U340" s="394"/>
      <c r="V340" s="394"/>
      <c r="W340" s="394"/>
      <c r="X340" s="394"/>
      <c r="Y340" s="395"/>
      <c r="Z340" s="395"/>
    </row>
    <row r="341">
      <c r="A341" s="239"/>
      <c r="B341" s="512"/>
      <c r="C341" s="157"/>
      <c r="D341" s="157"/>
      <c r="E341" s="57"/>
      <c r="F341" s="457"/>
      <c r="G341" s="419"/>
      <c r="H341" s="419"/>
      <c r="I341" s="57"/>
      <c r="J341" s="57"/>
      <c r="K341" s="420"/>
      <c r="L341" s="150"/>
      <c r="M341" s="377"/>
      <c r="O341" s="431"/>
      <c r="P341" s="157"/>
      <c r="Q341" s="409"/>
      <c r="R341" s="57"/>
      <c r="S341" s="399"/>
      <c r="T341" s="399"/>
      <c r="U341" s="399"/>
      <c r="V341" s="399"/>
      <c r="W341" s="399"/>
      <c r="X341" s="399"/>
      <c r="Y341" s="400"/>
      <c r="Z341" s="400"/>
    </row>
    <row r="342">
      <c r="A342" s="449" t="s">
        <v>365</v>
      </c>
      <c r="B342" s="450">
        <f>SUM(C343,C344,C345,C346,C347,C348,C349,C350,C351,C352)</f>
        <v>0</v>
      </c>
      <c r="C342" s="477" t="s">
        <v>366</v>
      </c>
      <c r="D342" s="157"/>
      <c r="E342" s="57"/>
      <c r="F342" s="457"/>
      <c r="G342" s="419"/>
      <c r="H342" s="419"/>
      <c r="I342" s="239"/>
      <c r="J342" s="456" t="s">
        <v>672</v>
      </c>
      <c r="K342" s="420"/>
      <c r="L342" s="150"/>
      <c r="M342" s="377"/>
      <c r="O342" s="431"/>
      <c r="P342" s="157"/>
      <c r="Q342" s="409"/>
      <c r="R342" s="57"/>
      <c r="S342" s="399"/>
      <c r="T342" s="399"/>
      <c r="U342" s="399"/>
      <c r="V342" s="399"/>
      <c r="W342" s="399"/>
      <c r="X342" s="399"/>
      <c r="Y342" s="400"/>
      <c r="Z342" s="400"/>
    </row>
    <row r="343">
      <c r="A343" s="453" t="s">
        <v>369</v>
      </c>
      <c r="C343" s="459"/>
      <c r="D343" s="157"/>
      <c r="E343" s="57"/>
      <c r="F343" s="457"/>
      <c r="G343" s="419"/>
      <c r="H343" s="419"/>
      <c r="I343" s="239"/>
      <c r="J343" s="456" t="s">
        <v>675</v>
      </c>
      <c r="K343" s="420"/>
      <c r="L343" s="150"/>
      <c r="M343" s="377"/>
      <c r="O343" s="431"/>
      <c r="P343" s="157"/>
      <c r="Q343" s="409"/>
      <c r="R343" s="57"/>
      <c r="S343" s="399"/>
      <c r="T343" s="399"/>
      <c r="U343" s="399"/>
      <c r="V343" s="399"/>
      <c r="W343" s="399"/>
      <c r="X343" s="399"/>
      <c r="Y343" s="400"/>
      <c r="Z343" s="400"/>
    </row>
    <row r="344">
      <c r="C344" s="459"/>
      <c r="D344" s="157"/>
      <c r="E344" s="57"/>
      <c r="F344" s="457"/>
      <c r="G344" s="419"/>
      <c r="H344" s="419"/>
      <c r="I344" s="239"/>
      <c r="J344" s="456" t="s">
        <v>6</v>
      </c>
      <c r="K344" s="420"/>
      <c r="L344" s="150"/>
      <c r="M344" s="377"/>
      <c r="O344" s="431"/>
      <c r="P344" s="157"/>
      <c r="Q344" s="409"/>
      <c r="R344" s="57"/>
      <c r="S344" s="399"/>
      <c r="T344" s="399"/>
      <c r="U344" s="399"/>
      <c r="V344" s="399"/>
      <c r="W344" s="399"/>
      <c r="X344" s="399"/>
      <c r="Y344" s="400"/>
      <c r="Z344" s="400"/>
    </row>
    <row r="345">
      <c r="A345" s="57"/>
      <c r="B345" s="57"/>
      <c r="C345" s="459"/>
      <c r="D345" s="157"/>
      <c r="E345" s="57"/>
      <c r="F345" s="457"/>
      <c r="G345" s="419"/>
      <c r="H345" s="419"/>
      <c r="I345" s="239"/>
      <c r="J345" s="375" t="s">
        <v>677</v>
      </c>
      <c r="K345" s="458"/>
      <c r="L345" s="150"/>
      <c r="M345" s="377"/>
      <c r="O345" s="431"/>
      <c r="P345" s="157"/>
      <c r="Q345" s="409"/>
      <c r="R345" s="57"/>
      <c r="S345" s="399"/>
      <c r="T345" s="399"/>
      <c r="U345" s="399"/>
      <c r="V345" s="399"/>
      <c r="W345" s="399"/>
      <c r="X345" s="399"/>
      <c r="Y345" s="400"/>
      <c r="Z345" s="400"/>
    </row>
    <row r="346">
      <c r="A346" s="239"/>
      <c r="B346" s="57"/>
      <c r="C346" s="459"/>
      <c r="D346" s="157"/>
      <c r="E346" s="57"/>
      <c r="F346" s="457"/>
      <c r="G346" s="419"/>
      <c r="H346" s="419"/>
      <c r="I346" s="239"/>
      <c r="J346" s="375" t="s">
        <v>679</v>
      </c>
      <c r="K346" s="458"/>
      <c r="L346" s="150"/>
      <c r="M346" s="377"/>
      <c r="O346" s="431"/>
      <c r="P346" s="157"/>
      <c r="Q346" s="409"/>
      <c r="R346" s="57"/>
      <c r="S346" s="399"/>
      <c r="T346" s="399"/>
      <c r="U346" s="399"/>
      <c r="V346" s="399"/>
      <c r="W346" s="399"/>
      <c r="X346" s="399"/>
      <c r="Y346" s="400"/>
      <c r="Z346" s="400"/>
    </row>
    <row r="347">
      <c r="A347" s="239"/>
      <c r="B347" s="57"/>
      <c r="C347" s="459"/>
      <c r="D347" s="157"/>
      <c r="E347" s="57"/>
      <c r="F347" s="457"/>
      <c r="G347" s="419"/>
      <c r="H347" s="419"/>
      <c r="I347" s="239"/>
      <c r="J347" s="456" t="s">
        <v>680</v>
      </c>
      <c r="K347" s="458"/>
      <c r="L347" s="150"/>
      <c r="M347" s="377"/>
      <c r="O347" s="431"/>
      <c r="P347" s="157"/>
      <c r="Q347" s="409"/>
      <c r="R347" s="57"/>
      <c r="S347" s="399"/>
      <c r="T347" s="399"/>
      <c r="U347" s="399"/>
      <c r="V347" s="399"/>
      <c r="W347" s="399"/>
      <c r="X347" s="399"/>
      <c r="Y347" s="400"/>
      <c r="Z347" s="400"/>
    </row>
    <row r="348">
      <c r="A348" s="239"/>
      <c r="B348" s="57"/>
      <c r="C348" s="459"/>
      <c r="D348" s="157"/>
      <c r="E348" s="57"/>
      <c r="F348" s="457"/>
      <c r="G348" s="419"/>
      <c r="H348" s="419"/>
      <c r="I348" s="239"/>
      <c r="J348" s="239"/>
      <c r="K348" s="420"/>
      <c r="L348" s="150"/>
      <c r="M348" s="374"/>
      <c r="O348" s="431"/>
      <c r="P348" s="157"/>
      <c r="Q348" s="409"/>
      <c r="R348" s="57"/>
      <c r="S348" s="399"/>
      <c r="T348" s="399"/>
      <c r="U348" s="399"/>
      <c r="V348" s="399"/>
      <c r="W348" s="399"/>
      <c r="X348" s="399"/>
      <c r="Y348" s="400"/>
      <c r="Z348" s="400"/>
    </row>
    <row r="349">
      <c r="A349" s="57"/>
      <c r="B349" s="57"/>
      <c r="C349" s="459"/>
      <c r="D349" s="157"/>
      <c r="E349" s="239"/>
      <c r="F349" s="457"/>
      <c r="G349" s="419"/>
      <c r="H349" s="419"/>
      <c r="I349" s="239"/>
      <c r="J349" s="378" t="s">
        <v>682</v>
      </c>
      <c r="K349" s="420"/>
      <c r="L349" s="150"/>
      <c r="M349" s="377"/>
      <c r="O349" s="431"/>
      <c r="P349" s="157"/>
      <c r="Q349" s="409"/>
      <c r="R349" s="57"/>
      <c r="S349" s="399"/>
      <c r="T349" s="399"/>
      <c r="U349" s="399"/>
      <c r="V349" s="399"/>
      <c r="W349" s="399"/>
      <c r="X349" s="399"/>
      <c r="Y349" s="400"/>
      <c r="Z349" s="400"/>
    </row>
    <row r="350">
      <c r="A350" s="57"/>
      <c r="B350" s="57"/>
      <c r="C350" s="459"/>
      <c r="D350" s="157"/>
      <c r="E350" s="239"/>
      <c r="F350" s="457"/>
      <c r="G350" s="419"/>
      <c r="H350" s="419"/>
      <c r="I350" s="57"/>
      <c r="J350" s="460" t="s">
        <v>684</v>
      </c>
      <c r="K350" s="420"/>
      <c r="L350" s="150"/>
      <c r="M350" s="382"/>
      <c r="O350" s="431"/>
      <c r="P350" s="157"/>
      <c r="Q350" s="409"/>
      <c r="R350" s="57"/>
      <c r="S350" s="399"/>
      <c r="T350" s="399"/>
      <c r="U350" s="399"/>
      <c r="V350" s="399"/>
      <c r="W350" s="399"/>
      <c r="X350" s="399"/>
      <c r="Y350" s="400"/>
      <c r="Z350" s="400"/>
    </row>
    <row r="351">
      <c r="A351" s="57"/>
      <c r="B351" s="57"/>
      <c r="C351" s="459"/>
      <c r="D351" s="157"/>
      <c r="E351" s="239"/>
      <c r="F351" s="457"/>
      <c r="G351" s="419"/>
      <c r="H351" s="419"/>
      <c r="I351" s="57"/>
      <c r="J351" s="460" t="s">
        <v>686</v>
      </c>
      <c r="K351" s="420"/>
      <c r="L351" s="150"/>
      <c r="M351" s="425"/>
      <c r="O351" s="431"/>
      <c r="P351" s="157"/>
      <c r="Q351" s="409"/>
      <c r="R351" s="57"/>
      <c r="S351" s="399"/>
      <c r="T351" s="399"/>
      <c r="U351" s="399"/>
      <c r="V351" s="399"/>
      <c r="W351" s="399"/>
      <c r="X351" s="399"/>
      <c r="Y351" s="400"/>
      <c r="Z351" s="400"/>
    </row>
    <row r="352">
      <c r="A352" s="57"/>
      <c r="B352" s="57"/>
      <c r="C352" s="459"/>
      <c r="D352" s="157"/>
      <c r="E352" s="57"/>
      <c r="F352" s="457"/>
      <c r="G352" s="419"/>
      <c r="H352" s="419"/>
      <c r="I352" s="57"/>
      <c r="J352" s="460" t="s">
        <v>202</v>
      </c>
      <c r="K352" s="420"/>
      <c r="L352" s="150"/>
      <c r="M352" s="425"/>
      <c r="O352" s="431"/>
      <c r="P352" s="157"/>
      <c r="Q352" s="409"/>
      <c r="R352" s="57"/>
      <c r="S352" s="399"/>
      <c r="T352" s="399"/>
      <c r="U352" s="399"/>
      <c r="V352" s="399"/>
      <c r="W352" s="399"/>
      <c r="X352" s="399"/>
      <c r="Y352" s="400"/>
      <c r="Z352" s="400"/>
    </row>
    <row r="353">
      <c r="A353" s="239"/>
      <c r="B353" s="57"/>
      <c r="C353" s="57"/>
      <c r="D353" s="157"/>
      <c r="E353" s="57"/>
      <c r="F353" s="457"/>
      <c r="G353" s="419"/>
      <c r="H353" s="419"/>
      <c r="I353" s="57"/>
      <c r="J353" s="461" t="s">
        <v>274</v>
      </c>
      <c r="K353" s="420"/>
      <c r="L353" s="150"/>
      <c r="M353" s="374"/>
      <c r="O353" s="431"/>
      <c r="P353" s="157"/>
      <c r="Q353" s="409"/>
      <c r="R353" s="57"/>
      <c r="S353" s="399"/>
      <c r="T353" s="399"/>
      <c r="U353" s="399"/>
      <c r="V353" s="399"/>
      <c r="W353" s="399"/>
      <c r="X353" s="399"/>
      <c r="Y353" s="400"/>
      <c r="Z353" s="400"/>
    </row>
    <row r="354">
      <c r="A354" s="57"/>
      <c r="B354" s="57"/>
      <c r="C354" s="57"/>
      <c r="D354" s="157"/>
      <c r="E354" s="57"/>
      <c r="F354" s="457"/>
      <c r="G354" s="419"/>
      <c r="H354" s="419"/>
      <c r="I354" s="57"/>
      <c r="J354" s="57"/>
      <c r="K354" s="420"/>
      <c r="L354" s="150"/>
      <c r="M354" s="252"/>
      <c r="O354" s="431"/>
      <c r="P354" s="157"/>
      <c r="Q354" s="409"/>
      <c r="R354" s="57"/>
      <c r="S354" s="242"/>
      <c r="T354" s="242"/>
      <c r="U354" s="242"/>
      <c r="V354" s="242"/>
      <c r="W354" s="242"/>
      <c r="X354" s="242"/>
      <c r="Y354" s="148"/>
      <c r="Z354" s="148"/>
    </row>
    <row r="355">
      <c r="A355" s="239"/>
      <c r="B355" s="239"/>
      <c r="C355" s="239"/>
      <c r="D355" s="157"/>
      <c r="E355" s="239"/>
      <c r="F355" s="457"/>
      <c r="G355" s="419"/>
      <c r="H355" s="419"/>
      <c r="I355" s="57"/>
      <c r="J355" s="462" t="s">
        <v>381</v>
      </c>
      <c r="K355" s="420"/>
      <c r="L355" s="150"/>
      <c r="M355" s="252"/>
      <c r="O355" s="431"/>
      <c r="P355" s="157"/>
      <c r="Q355" s="409"/>
      <c r="R355" s="57"/>
      <c r="S355" s="242"/>
      <c r="T355" s="242"/>
      <c r="U355" s="242"/>
      <c r="V355" s="242"/>
      <c r="W355" s="242"/>
      <c r="X355" s="242"/>
      <c r="Y355" s="148"/>
      <c r="Z355" s="148"/>
    </row>
    <row r="356" ht="31.5" customHeight="1">
      <c r="A356" s="157"/>
      <c r="B356" s="157"/>
      <c r="C356" s="157"/>
      <c r="D356" s="157"/>
      <c r="E356" s="57"/>
      <c r="F356" s="457"/>
      <c r="G356" s="419"/>
      <c r="H356" s="419"/>
      <c r="I356" s="57"/>
      <c r="J356" s="462" t="s">
        <v>383</v>
      </c>
      <c r="K356" s="458"/>
      <c r="L356" s="193"/>
      <c r="M356" s="308"/>
      <c r="O356" s="431"/>
      <c r="P356" s="157"/>
      <c r="Q356" s="409"/>
      <c r="R356" s="57"/>
      <c r="S356" s="326"/>
      <c r="T356" s="326"/>
      <c r="U356" s="326"/>
      <c r="V356" s="326"/>
      <c r="W356" s="326"/>
      <c r="X356" s="326"/>
      <c r="Y356" s="324"/>
      <c r="Z356" s="324"/>
    </row>
    <row r="357">
      <c r="A357" s="157"/>
      <c r="B357" s="57"/>
      <c r="C357" s="239"/>
      <c r="D357" s="157"/>
      <c r="E357" s="246" t="s">
        <v>690</v>
      </c>
      <c r="F357" s="457"/>
      <c r="G357" s="419"/>
      <c r="H357" s="419"/>
      <c r="I357" s="57"/>
      <c r="J357" s="57"/>
      <c r="K357" s="458"/>
      <c r="L357" s="150"/>
      <c r="M357" s="308"/>
      <c r="O357" s="431"/>
      <c r="P357" s="157"/>
      <c r="Q357" s="409"/>
      <c r="R357" s="57"/>
      <c r="S357" s="242"/>
      <c r="T357" s="242"/>
      <c r="U357" s="242"/>
      <c r="V357" s="242"/>
      <c r="W357" s="242"/>
      <c r="X357" s="242"/>
      <c r="Y357" s="148"/>
      <c r="Z357" s="148"/>
    </row>
    <row r="358">
      <c r="A358" s="157"/>
      <c r="B358" s="57"/>
      <c r="C358" s="239"/>
      <c r="D358" s="157"/>
      <c r="E358" s="246" t="s">
        <v>691</v>
      </c>
      <c r="F358" s="457"/>
      <c r="G358" s="419"/>
      <c r="H358" s="419"/>
      <c r="I358" s="57"/>
      <c r="J358" s="499" t="s">
        <v>692</v>
      </c>
      <c r="K358" s="458"/>
      <c r="L358" s="150"/>
      <c r="M358" s="308"/>
      <c r="O358" s="431"/>
      <c r="P358" s="157"/>
      <c r="Q358" s="409"/>
      <c r="R358" s="57"/>
      <c r="S358" s="242"/>
      <c r="T358" s="242"/>
      <c r="U358" s="242"/>
      <c r="V358" s="242"/>
      <c r="W358" s="242"/>
      <c r="X358" s="242"/>
      <c r="Y358" s="148"/>
      <c r="Z358" s="148"/>
    </row>
    <row r="359">
      <c r="A359" s="157"/>
      <c r="B359" s="57"/>
      <c r="C359" s="239"/>
      <c r="D359" s="157"/>
      <c r="E359" s="246" t="s">
        <v>693</v>
      </c>
      <c r="F359" s="457"/>
      <c r="G359" s="419"/>
      <c r="H359" s="419"/>
      <c r="I359" s="57"/>
      <c r="J359" s="499" t="s">
        <v>694</v>
      </c>
      <c r="K359" s="458"/>
      <c r="L359" s="150"/>
      <c r="M359" s="308"/>
      <c r="O359" s="431"/>
      <c r="P359" s="157"/>
      <c r="Q359" s="409"/>
      <c r="R359" s="57"/>
      <c r="S359" s="242"/>
      <c r="T359" s="242"/>
      <c r="U359" s="242"/>
      <c r="V359" s="242"/>
      <c r="W359" s="242"/>
      <c r="X359" s="242"/>
      <c r="Y359" s="148"/>
      <c r="Z359" s="148"/>
    </row>
    <row r="360">
      <c r="A360" s="157"/>
      <c r="B360" s="239"/>
      <c r="C360" s="239"/>
      <c r="D360" s="157"/>
      <c r="E360" s="385" t="s">
        <v>695</v>
      </c>
      <c r="F360" s="457"/>
      <c r="G360" s="419"/>
      <c r="H360" s="419"/>
      <c r="I360" s="57"/>
      <c r="J360" s="57"/>
      <c r="K360" s="239"/>
      <c r="L360" s="150"/>
      <c r="M360" s="57"/>
      <c r="N360" s="57"/>
      <c r="O360" s="57"/>
      <c r="P360" s="157"/>
      <c r="Q360" s="409"/>
      <c r="R360" s="57"/>
      <c r="S360" s="242"/>
      <c r="T360" s="242"/>
      <c r="U360" s="242"/>
      <c r="V360" s="242"/>
      <c r="W360" s="242"/>
      <c r="X360" s="242"/>
      <c r="Y360" s="148"/>
      <c r="Z360" s="148"/>
    </row>
    <row r="361">
      <c r="A361" s="157"/>
      <c r="B361" s="57"/>
      <c r="C361" s="239"/>
      <c r="D361" s="157"/>
      <c r="E361" s="57"/>
      <c r="F361" s="157"/>
      <c r="G361" s="57"/>
      <c r="H361" s="57"/>
      <c r="I361" s="57"/>
      <c r="J361" s="57"/>
      <c r="K361" s="239"/>
      <c r="L361" s="150"/>
      <c r="M361" s="57"/>
      <c r="N361" s="57"/>
      <c r="O361" s="57"/>
      <c r="P361" s="157"/>
      <c r="Q361" s="409"/>
      <c r="R361" s="57"/>
      <c r="S361" s="242"/>
      <c r="T361" s="242"/>
      <c r="U361" s="242"/>
      <c r="V361" s="242"/>
      <c r="W361" s="242"/>
      <c r="X361" s="242"/>
      <c r="Y361" s="148"/>
      <c r="Z361" s="148"/>
    </row>
    <row r="362">
      <c r="A362" s="403"/>
      <c r="B362" s="159"/>
      <c r="C362" s="402"/>
      <c r="D362" s="403"/>
      <c r="E362" s="159"/>
      <c r="F362" s="403"/>
      <c r="G362" s="159"/>
      <c r="H362" s="159"/>
      <c r="I362" s="159"/>
      <c r="J362" s="159"/>
      <c r="K362" s="159"/>
      <c r="L362" s="162"/>
      <c r="M362" s="159"/>
      <c r="N362" s="159"/>
      <c r="O362" s="159"/>
      <c r="P362" s="403"/>
      <c r="Q362" s="465"/>
      <c r="R362" s="57"/>
      <c r="S362" s="242"/>
      <c r="T362" s="242"/>
      <c r="U362" s="242"/>
      <c r="V362" s="242"/>
      <c r="W362" s="242"/>
      <c r="X362" s="242"/>
      <c r="Y362" s="148"/>
      <c r="Z362" s="148"/>
    </row>
    <row r="363">
      <c r="A363" s="403"/>
      <c r="B363" s="159"/>
      <c r="C363" s="402"/>
      <c r="D363" s="403"/>
      <c r="E363" s="159"/>
      <c r="F363" s="403"/>
      <c r="G363" s="159"/>
      <c r="H363" s="159"/>
      <c r="I363" s="159"/>
      <c r="J363" s="159"/>
      <c r="K363" s="159"/>
      <c r="L363" s="162"/>
      <c r="M363" s="159"/>
      <c r="N363" s="159"/>
      <c r="O363" s="159"/>
      <c r="P363" s="403"/>
      <c r="Q363" s="159"/>
      <c r="R363" s="57"/>
      <c r="S363" s="242"/>
      <c r="T363" s="242"/>
      <c r="U363" s="242"/>
      <c r="V363" s="242"/>
      <c r="W363" s="242"/>
      <c r="X363" s="242"/>
      <c r="Y363" s="148"/>
      <c r="Z363" s="148"/>
    </row>
    <row r="364">
      <c r="A364" s="513" t="s">
        <v>614</v>
      </c>
      <c r="B364" s="57"/>
      <c r="C364" s="480"/>
      <c r="D364" s="405"/>
      <c r="E364" s="173"/>
      <c r="F364" s="407"/>
      <c r="G364" s="467" t="s">
        <v>333</v>
      </c>
      <c r="H364" s="361"/>
      <c r="I364" s="57"/>
      <c r="J364" s="57"/>
      <c r="K364" s="57"/>
      <c r="L364" s="150"/>
      <c r="M364" s="57"/>
      <c r="N364" s="57"/>
      <c r="O364" s="57"/>
      <c r="P364" s="157"/>
      <c r="Q364" s="409"/>
      <c r="R364" s="57"/>
      <c r="S364" s="242"/>
      <c r="T364" s="242"/>
      <c r="U364" s="242"/>
      <c r="V364" s="242"/>
      <c r="W364" s="242"/>
      <c r="X364" s="242"/>
      <c r="Y364" s="148"/>
      <c r="Z364" s="148"/>
    </row>
    <row r="365">
      <c r="A365" s="514"/>
      <c r="B365" s="57"/>
      <c r="C365" s="480"/>
      <c r="D365" s="405"/>
      <c r="E365" s="410" t="s">
        <v>335</v>
      </c>
      <c r="F365" s="411" t="s">
        <v>237</v>
      </c>
      <c r="G365" s="412" t="s">
        <v>336</v>
      </c>
      <c r="H365" s="413" t="s">
        <v>337</v>
      </c>
      <c r="I365" s="57"/>
      <c r="J365" s="57" t="s">
        <v>0</v>
      </c>
      <c r="K365" s="57"/>
      <c r="L365" s="150"/>
      <c r="M365" s="414" t="s">
        <v>338</v>
      </c>
      <c r="O365" s="57" t="s">
        <v>334</v>
      </c>
      <c r="P365" s="157"/>
      <c r="Q365" s="409"/>
      <c r="R365" s="57"/>
      <c r="S365" s="242"/>
      <c r="T365" s="242"/>
      <c r="U365" s="242"/>
      <c r="V365" s="242"/>
      <c r="W365" s="242"/>
      <c r="X365" s="242"/>
      <c r="Y365" s="148"/>
      <c r="Z365" s="148"/>
    </row>
    <row r="366">
      <c r="A366" s="415" t="s">
        <v>179</v>
      </c>
      <c r="B366" s="214"/>
      <c r="C366" s="416">
        <f>SUM(F366:F396)</f>
        <v>0</v>
      </c>
      <c r="D366" s="405"/>
      <c r="E366" s="57"/>
      <c r="F366" s="457"/>
      <c r="G366" s="419"/>
      <c r="H366" s="419"/>
      <c r="I366" s="57"/>
      <c r="K366" s="420"/>
      <c r="L366" s="150"/>
      <c r="P366" s="157"/>
      <c r="Q366" s="409"/>
      <c r="R366" s="57"/>
      <c r="S366" s="242"/>
      <c r="T366" s="242"/>
      <c r="U366" s="242"/>
      <c r="V366" s="242"/>
      <c r="W366" s="242"/>
      <c r="X366" s="242"/>
      <c r="Y366" s="148"/>
      <c r="Z366" s="148"/>
    </row>
    <row r="367">
      <c r="A367" s="492" t="s">
        <v>343</v>
      </c>
      <c r="B367" s="422" t="s">
        <v>321</v>
      </c>
      <c r="C367" s="416">
        <f>SUM(P367:P395)</f>
        <v>0</v>
      </c>
      <c r="D367" s="157"/>
      <c r="E367" s="57"/>
      <c r="F367" s="457"/>
      <c r="G367" s="419"/>
      <c r="H367" s="419"/>
      <c r="I367" s="57"/>
      <c r="J367" s="424" t="s">
        <v>341</v>
      </c>
      <c r="K367" s="420"/>
      <c r="L367" s="150"/>
      <c r="M367" s="252"/>
      <c r="O367" s="431"/>
      <c r="P367" s="157"/>
      <c r="Q367" s="409"/>
      <c r="R367" s="57"/>
      <c r="S367" s="242"/>
      <c r="T367" s="242"/>
      <c r="U367" s="242"/>
      <c r="V367" s="242"/>
      <c r="W367" s="242"/>
      <c r="X367" s="242"/>
      <c r="Y367" s="148"/>
      <c r="Z367" s="148"/>
    </row>
    <row r="368">
      <c r="A368" s="427" t="s">
        <v>201</v>
      </c>
      <c r="B368" s="214"/>
      <c r="C368" s="204">
        <f>SUM(L367:L395)</f>
        <v>0</v>
      </c>
      <c r="D368" s="157"/>
      <c r="E368" s="57"/>
      <c r="F368" s="457"/>
      <c r="G368" s="419"/>
      <c r="H368" s="419"/>
      <c r="I368" s="57"/>
      <c r="J368" s="430" t="s">
        <v>345</v>
      </c>
      <c r="K368" s="420"/>
      <c r="L368" s="150"/>
      <c r="M368" s="252"/>
      <c r="O368" s="431"/>
      <c r="P368" s="157"/>
      <c r="Q368" s="409"/>
      <c r="R368" s="57"/>
      <c r="S368" s="242"/>
      <c r="T368" s="242"/>
      <c r="U368" s="242"/>
      <c r="V368" s="242"/>
      <c r="W368" s="242"/>
      <c r="X368" s="242"/>
      <c r="Y368" s="148"/>
      <c r="Z368" s="148"/>
    </row>
    <row r="369">
      <c r="A369" s="484"/>
      <c r="B369" s="57"/>
      <c r="C369" s="204"/>
      <c r="D369" s="157"/>
      <c r="E369" s="57"/>
      <c r="F369" s="457"/>
      <c r="G369" s="419"/>
      <c r="H369" s="419"/>
      <c r="I369" s="57"/>
      <c r="J369" s="444" t="s">
        <v>656</v>
      </c>
      <c r="K369" s="420"/>
      <c r="L369" s="150"/>
      <c r="M369" s="252"/>
      <c r="O369" s="431"/>
      <c r="P369" s="157"/>
      <c r="Q369" s="409"/>
      <c r="R369" s="57"/>
      <c r="S369" s="242"/>
      <c r="T369" s="242"/>
      <c r="U369" s="242"/>
      <c r="V369" s="242"/>
      <c r="W369" s="242"/>
      <c r="X369" s="242"/>
      <c r="Y369" s="148"/>
      <c r="Z369" s="148"/>
    </row>
    <row r="370">
      <c r="A370" s="485" t="s">
        <v>350</v>
      </c>
      <c r="B370" s="214"/>
      <c r="C370" s="212">
        <f>C366-C368-C372-B378-B373</f>
        <v>0</v>
      </c>
      <c r="D370" s="157"/>
      <c r="E370" s="57"/>
      <c r="F370" s="457"/>
      <c r="G370" s="419"/>
      <c r="H370" s="419"/>
      <c r="I370" s="57"/>
      <c r="J370" s="444" t="s">
        <v>658</v>
      </c>
      <c r="K370" s="420"/>
      <c r="L370" s="150"/>
      <c r="M370" s="252"/>
      <c r="O370" s="431"/>
      <c r="P370" s="157"/>
      <c r="Q370" s="409"/>
      <c r="R370" s="57"/>
      <c r="S370" s="242"/>
      <c r="T370" s="242"/>
      <c r="U370" s="242"/>
      <c r="V370" s="242"/>
      <c r="W370" s="242"/>
      <c r="X370" s="242"/>
      <c r="Y370" s="148"/>
      <c r="Z370" s="148"/>
    </row>
    <row r="371">
      <c r="A371" s="213"/>
      <c r="B371" s="214"/>
      <c r="C371" s="214"/>
      <c r="D371" s="157"/>
      <c r="E371" s="57"/>
      <c r="F371" s="457"/>
      <c r="G371" s="419"/>
      <c r="H371" s="419"/>
      <c r="I371" s="57"/>
      <c r="J371" s="444" t="s">
        <v>660</v>
      </c>
      <c r="K371" s="420"/>
      <c r="L371" s="150"/>
      <c r="M371" s="252"/>
      <c r="O371" s="431"/>
      <c r="P371" s="157"/>
      <c r="Q371" s="409"/>
      <c r="R371" s="57"/>
      <c r="S371" s="242"/>
      <c r="T371" s="242"/>
      <c r="U371" s="242"/>
      <c r="V371" s="242"/>
      <c r="W371" s="242"/>
      <c r="X371" s="242"/>
      <c r="Y371" s="148"/>
      <c r="Z371" s="148"/>
    </row>
    <row r="372">
      <c r="A372" s="435" t="s">
        <v>356</v>
      </c>
      <c r="B372" s="436"/>
      <c r="C372" s="515"/>
      <c r="D372" s="157"/>
      <c r="E372" s="57"/>
      <c r="F372" s="457"/>
      <c r="G372" s="419"/>
      <c r="H372" s="419"/>
      <c r="I372" s="57"/>
      <c r="J372" s="370" t="s">
        <v>662</v>
      </c>
      <c r="K372" s="420"/>
      <c r="L372" s="150"/>
      <c r="M372" s="252"/>
      <c r="O372" s="431"/>
      <c r="P372" s="157"/>
      <c r="Q372" s="409"/>
      <c r="R372" s="57"/>
      <c r="S372" s="242"/>
      <c r="T372" s="242"/>
      <c r="U372" s="242"/>
      <c r="V372" s="242"/>
      <c r="W372" s="242"/>
      <c r="X372" s="242"/>
      <c r="Y372" s="148"/>
      <c r="Z372" s="148"/>
    </row>
    <row r="373">
      <c r="A373" s="486" t="s">
        <v>214</v>
      </c>
      <c r="B373" s="363"/>
      <c r="C373" s="516"/>
      <c r="D373" s="373" t="s">
        <v>664</v>
      </c>
      <c r="E373" s="57"/>
      <c r="F373" s="457"/>
      <c r="G373" s="419"/>
      <c r="H373" s="419"/>
      <c r="I373" s="57"/>
      <c r="J373" s="444" t="s">
        <v>666</v>
      </c>
      <c r="K373" s="420"/>
      <c r="L373" s="150"/>
      <c r="M373" s="252"/>
      <c r="O373" s="431"/>
      <c r="P373" s="157"/>
      <c r="Q373" s="409"/>
      <c r="R373" s="57"/>
      <c r="S373" s="242"/>
      <c r="T373" s="242"/>
      <c r="U373" s="242"/>
      <c r="V373" s="242"/>
      <c r="W373" s="242"/>
      <c r="X373" s="242"/>
      <c r="Y373" s="148"/>
      <c r="Z373" s="148"/>
    </row>
    <row r="374">
      <c r="A374" s="442" t="s">
        <v>272</v>
      </c>
      <c r="B374" s="517"/>
      <c r="C374" s="518"/>
      <c r="D374" s="157"/>
      <c r="E374" s="57"/>
      <c r="F374" s="457"/>
      <c r="G374" s="419"/>
      <c r="H374" s="419"/>
      <c r="I374" s="57"/>
      <c r="J374" s="444" t="s">
        <v>668</v>
      </c>
      <c r="K374" s="420"/>
      <c r="L374" s="150"/>
      <c r="M374" s="252"/>
      <c r="O374" s="431"/>
      <c r="P374" s="157"/>
      <c r="Q374" s="409"/>
      <c r="R374" s="57"/>
      <c r="S374" s="326"/>
      <c r="T374" s="326"/>
      <c r="U374" s="326"/>
      <c r="V374" s="326"/>
      <c r="W374" s="326"/>
      <c r="X374" s="326"/>
      <c r="Y374" s="324"/>
      <c r="Z374" s="324"/>
    </row>
    <row r="375">
      <c r="A375" s="445" t="s">
        <v>361</v>
      </c>
      <c r="B375" s="519"/>
      <c r="C375" s="515"/>
      <c r="D375" s="157"/>
      <c r="E375" s="57"/>
      <c r="F375" s="457"/>
      <c r="G375" s="419"/>
      <c r="H375" s="419"/>
      <c r="I375" s="57"/>
      <c r="J375" s="444" t="s">
        <v>670</v>
      </c>
      <c r="K375" s="420"/>
      <c r="L375" s="150"/>
      <c r="M375" s="252"/>
      <c r="O375" s="431"/>
      <c r="P375" s="157"/>
      <c r="Q375" s="409"/>
      <c r="R375" s="57"/>
      <c r="S375" s="242"/>
      <c r="T375" s="242"/>
      <c r="U375" s="242"/>
      <c r="V375" s="242"/>
      <c r="W375" s="242"/>
      <c r="X375" s="242"/>
      <c r="Y375" s="148"/>
      <c r="Z375" s="148"/>
    </row>
    <row r="376">
      <c r="A376" s="239"/>
      <c r="B376" s="239"/>
      <c r="C376" s="239"/>
      <c r="D376" s="157"/>
      <c r="E376" s="57"/>
      <c r="F376" s="457"/>
      <c r="G376" s="419"/>
      <c r="H376" s="419"/>
      <c r="I376" s="57"/>
      <c r="J376" s="444" t="s">
        <v>217</v>
      </c>
      <c r="K376" s="420"/>
      <c r="L376" s="150"/>
      <c r="M376" s="252"/>
      <c r="O376" s="431"/>
      <c r="P376" s="157"/>
      <c r="Q376" s="409"/>
      <c r="R376" s="57"/>
      <c r="S376" s="242"/>
      <c r="T376" s="242"/>
      <c r="U376" s="242"/>
      <c r="V376" s="242"/>
      <c r="W376" s="242"/>
      <c r="X376" s="242"/>
      <c r="Y376" s="148"/>
      <c r="Z376" s="148"/>
    </row>
    <row r="377">
      <c r="A377" s="239"/>
      <c r="B377" s="448"/>
      <c r="C377" s="57"/>
      <c r="D377" s="157"/>
      <c r="E377" s="57"/>
      <c r="F377" s="457"/>
      <c r="G377" s="419"/>
      <c r="H377" s="419"/>
      <c r="I377" s="57"/>
      <c r="J377" s="57"/>
      <c r="K377" s="420"/>
      <c r="L377" s="150"/>
      <c r="M377" s="252"/>
      <c r="O377" s="431"/>
      <c r="P377" s="157"/>
      <c r="Q377" s="409"/>
      <c r="R377" s="57"/>
      <c r="S377" s="242"/>
      <c r="T377" s="242"/>
      <c r="U377" s="242"/>
      <c r="V377" s="242"/>
      <c r="W377" s="242"/>
      <c r="X377" s="242"/>
      <c r="Y377" s="148"/>
      <c r="Z377" s="148"/>
    </row>
    <row r="378">
      <c r="A378" s="449" t="s">
        <v>365</v>
      </c>
      <c r="B378" s="450">
        <f>SUM(C379,C380,C381,C382,C383,C384,C385,C386,C387,C388)</f>
        <v>0</v>
      </c>
      <c r="C378" s="451" t="s">
        <v>366</v>
      </c>
      <c r="D378" s="157"/>
      <c r="E378" s="239"/>
      <c r="F378" s="457"/>
      <c r="G378" s="419"/>
      <c r="H378" s="419"/>
      <c r="I378" s="57"/>
      <c r="J378" s="452" t="s">
        <v>672</v>
      </c>
      <c r="K378" s="420"/>
      <c r="L378" s="150"/>
      <c r="M378" s="252"/>
      <c r="O378" s="431"/>
      <c r="P378" s="157"/>
      <c r="Q378" s="409"/>
      <c r="R378" s="57"/>
      <c r="S378" s="242"/>
      <c r="T378" s="242"/>
      <c r="U378" s="242"/>
      <c r="V378" s="242"/>
      <c r="W378" s="242"/>
      <c r="X378" s="242"/>
      <c r="Y378" s="148"/>
      <c r="Z378" s="148"/>
    </row>
    <row r="379">
      <c r="A379" s="453" t="s">
        <v>369</v>
      </c>
      <c r="C379" s="459"/>
      <c r="D379" s="157"/>
      <c r="E379" s="239"/>
      <c r="F379" s="457"/>
      <c r="G379" s="419"/>
      <c r="H379" s="419"/>
      <c r="I379" s="57"/>
      <c r="J379" s="452" t="s">
        <v>675</v>
      </c>
      <c r="K379" s="420"/>
      <c r="L379" s="150"/>
      <c r="M379" s="252"/>
      <c r="O379" s="431"/>
      <c r="P379" s="157"/>
      <c r="Q379" s="409"/>
      <c r="R379" s="57"/>
      <c r="S379" s="242"/>
      <c r="T379" s="242"/>
      <c r="U379" s="242"/>
      <c r="V379" s="242"/>
      <c r="W379" s="242"/>
      <c r="X379" s="242"/>
      <c r="Y379" s="148"/>
      <c r="Z379" s="148"/>
    </row>
    <row r="380">
      <c r="C380" s="459"/>
      <c r="D380" s="157"/>
      <c r="E380" s="239"/>
      <c r="F380" s="457"/>
      <c r="G380" s="419"/>
      <c r="H380" s="419"/>
      <c r="I380" s="57"/>
      <c r="J380" s="452" t="s">
        <v>6</v>
      </c>
      <c r="K380" s="420"/>
      <c r="L380" s="150"/>
      <c r="M380" s="252"/>
      <c r="O380" s="431"/>
      <c r="P380" s="157"/>
      <c r="Q380" s="409"/>
      <c r="R380" s="57"/>
      <c r="S380" s="242"/>
      <c r="T380" s="242"/>
      <c r="U380" s="242"/>
      <c r="V380" s="242"/>
      <c r="W380" s="242"/>
      <c r="X380" s="242"/>
      <c r="Y380" s="148"/>
      <c r="Z380" s="148"/>
    </row>
    <row r="381">
      <c r="A381" s="57"/>
      <c r="B381" s="57"/>
      <c r="C381" s="459"/>
      <c r="D381" s="157"/>
      <c r="E381" s="57"/>
      <c r="F381" s="457"/>
      <c r="G381" s="419"/>
      <c r="H381" s="419"/>
      <c r="I381" s="57"/>
      <c r="J381" s="375" t="s">
        <v>677</v>
      </c>
      <c r="K381" s="420"/>
      <c r="L381" s="150"/>
      <c r="M381" s="252"/>
      <c r="O381" s="431"/>
      <c r="P381" s="157"/>
      <c r="Q381" s="409"/>
      <c r="R381" s="57"/>
      <c r="S381" s="242"/>
      <c r="T381" s="242"/>
      <c r="U381" s="242"/>
      <c r="V381" s="242"/>
      <c r="W381" s="242"/>
      <c r="X381" s="242"/>
      <c r="Y381" s="148"/>
      <c r="Z381" s="148"/>
    </row>
    <row r="382">
      <c r="A382" s="57"/>
      <c r="B382" s="57"/>
      <c r="C382" s="459"/>
      <c r="D382" s="157"/>
      <c r="E382" s="57"/>
      <c r="F382" s="457"/>
      <c r="G382" s="419"/>
      <c r="H382" s="419"/>
      <c r="I382" s="57"/>
      <c r="J382" s="375" t="s">
        <v>679</v>
      </c>
      <c r="K382" s="420"/>
      <c r="L382" s="150"/>
      <c r="M382" s="252"/>
      <c r="O382" s="431"/>
      <c r="P382" s="157"/>
      <c r="Q382" s="409"/>
      <c r="R382" s="57"/>
      <c r="S382" s="242"/>
      <c r="T382" s="242"/>
      <c r="U382" s="242"/>
      <c r="V382" s="242"/>
      <c r="W382" s="242"/>
      <c r="X382" s="242"/>
      <c r="Y382" s="148"/>
      <c r="Z382" s="148"/>
    </row>
    <row r="383">
      <c r="A383" s="57"/>
      <c r="B383" s="57"/>
      <c r="C383" s="459"/>
      <c r="D383" s="157"/>
      <c r="E383" s="57"/>
      <c r="F383" s="457"/>
      <c r="G383" s="419"/>
      <c r="H383" s="419"/>
      <c r="I383" s="57"/>
      <c r="J383" s="452" t="s">
        <v>680</v>
      </c>
      <c r="K383" s="420"/>
      <c r="L383" s="150"/>
      <c r="M383" s="252"/>
      <c r="O383" s="431"/>
      <c r="P383" s="157"/>
      <c r="Q383" s="409"/>
      <c r="R383" s="57"/>
      <c r="S383" s="242"/>
      <c r="T383" s="242"/>
      <c r="U383" s="242"/>
      <c r="V383" s="242"/>
      <c r="W383" s="242"/>
      <c r="X383" s="242"/>
      <c r="Y383" s="148"/>
      <c r="Z383" s="148"/>
    </row>
    <row r="384">
      <c r="A384" s="57"/>
      <c r="B384" s="57"/>
      <c r="C384" s="459"/>
      <c r="D384" s="157"/>
      <c r="E384" s="57"/>
      <c r="F384" s="457"/>
      <c r="G384" s="419"/>
      <c r="H384" s="419"/>
      <c r="I384" s="57"/>
      <c r="J384" s="57"/>
      <c r="K384" s="420"/>
      <c r="L384" s="150"/>
      <c r="M384" s="252"/>
      <c r="O384" s="431"/>
      <c r="P384" s="157"/>
      <c r="Q384" s="409"/>
      <c r="R384" s="57"/>
      <c r="S384" s="242"/>
      <c r="T384" s="242"/>
      <c r="U384" s="242"/>
      <c r="V384" s="242"/>
      <c r="W384" s="242"/>
      <c r="X384" s="242"/>
      <c r="Y384" s="148"/>
      <c r="Z384" s="148"/>
    </row>
    <row r="385">
      <c r="A385" s="57"/>
      <c r="B385" s="57"/>
      <c r="C385" s="459"/>
      <c r="D385" s="157"/>
      <c r="E385" s="57"/>
      <c r="F385" s="457"/>
      <c r="G385" s="419"/>
      <c r="H385" s="419"/>
      <c r="I385" s="57"/>
      <c r="J385" s="378" t="s">
        <v>682</v>
      </c>
      <c r="K385" s="420"/>
      <c r="L385" s="150"/>
      <c r="M385" s="252"/>
      <c r="O385" s="431"/>
      <c r="P385" s="157"/>
      <c r="Q385" s="409"/>
      <c r="R385" s="57"/>
      <c r="S385" s="242"/>
      <c r="T385" s="242"/>
      <c r="U385" s="242"/>
      <c r="V385" s="242"/>
      <c r="W385" s="242"/>
      <c r="X385" s="242"/>
      <c r="Y385" s="148"/>
      <c r="Z385" s="148"/>
    </row>
    <row r="386">
      <c r="A386" s="57"/>
      <c r="B386" s="57"/>
      <c r="C386" s="459"/>
      <c r="D386" s="157"/>
      <c r="E386" s="57"/>
      <c r="F386" s="457"/>
      <c r="G386" s="419"/>
      <c r="H386" s="419"/>
      <c r="I386" s="57"/>
      <c r="J386" s="461" t="s">
        <v>684</v>
      </c>
      <c r="K386" s="420"/>
      <c r="L386" s="150"/>
      <c r="M386" s="252"/>
      <c r="O386" s="431"/>
      <c r="P386" s="157"/>
      <c r="Q386" s="409"/>
      <c r="R386" s="57"/>
      <c r="S386" s="242"/>
      <c r="T386" s="242"/>
      <c r="U386" s="242"/>
      <c r="V386" s="242"/>
      <c r="W386" s="242"/>
      <c r="X386" s="242"/>
      <c r="Y386" s="148"/>
      <c r="Z386" s="148"/>
    </row>
    <row r="387">
      <c r="A387" s="57"/>
      <c r="B387" s="57"/>
      <c r="C387" s="459"/>
      <c r="D387" s="157"/>
      <c r="E387" s="57"/>
      <c r="F387" s="457"/>
      <c r="G387" s="419"/>
      <c r="H387" s="419"/>
      <c r="I387" s="57"/>
      <c r="J387" s="461" t="s">
        <v>686</v>
      </c>
      <c r="K387" s="420"/>
      <c r="L387" s="150"/>
      <c r="M387" s="252"/>
      <c r="O387" s="431"/>
      <c r="P387" s="157"/>
      <c r="Q387" s="409"/>
      <c r="R387" s="57"/>
      <c r="S387" s="242"/>
      <c r="T387" s="242"/>
      <c r="U387" s="242"/>
      <c r="V387" s="242"/>
      <c r="W387" s="242"/>
      <c r="X387" s="242"/>
      <c r="Y387" s="148"/>
      <c r="Z387" s="148"/>
    </row>
    <row r="388">
      <c r="A388" s="57"/>
      <c r="B388" s="57"/>
      <c r="C388" s="459"/>
      <c r="D388" s="157"/>
      <c r="E388" s="57"/>
      <c r="F388" s="457"/>
      <c r="G388" s="419"/>
      <c r="H388" s="419"/>
      <c r="I388" s="57"/>
      <c r="J388" s="461" t="s">
        <v>202</v>
      </c>
      <c r="K388" s="420"/>
      <c r="L388" s="150"/>
      <c r="M388" s="252"/>
      <c r="O388" s="431"/>
      <c r="P388" s="157"/>
      <c r="Q388" s="409"/>
      <c r="R388" s="57"/>
      <c r="S388" s="242"/>
      <c r="T388" s="242"/>
      <c r="U388" s="242"/>
      <c r="V388" s="242"/>
      <c r="W388" s="242"/>
      <c r="X388" s="242"/>
      <c r="Y388" s="148"/>
      <c r="Z388" s="148"/>
    </row>
    <row r="389">
      <c r="A389" s="57"/>
      <c r="B389" s="57"/>
      <c r="C389" s="57"/>
      <c r="D389" s="157"/>
      <c r="E389" s="57"/>
      <c r="F389" s="457"/>
      <c r="G389" s="419"/>
      <c r="H389" s="419"/>
      <c r="I389" s="57"/>
      <c r="J389" s="461" t="s">
        <v>274</v>
      </c>
      <c r="K389" s="420"/>
      <c r="L389" s="150"/>
      <c r="M389" s="252"/>
      <c r="O389" s="431"/>
      <c r="P389" s="157"/>
      <c r="Q389" s="409"/>
      <c r="R389" s="57"/>
      <c r="S389" s="242"/>
      <c r="T389" s="242"/>
      <c r="U389" s="242"/>
      <c r="V389" s="242"/>
      <c r="W389" s="242"/>
      <c r="X389" s="242"/>
      <c r="Y389" s="148"/>
      <c r="Z389" s="148"/>
    </row>
    <row r="390">
      <c r="A390" s="57"/>
      <c r="B390" s="57"/>
      <c r="C390" s="57"/>
      <c r="D390" s="157"/>
      <c r="E390" s="57"/>
      <c r="F390" s="457"/>
      <c r="G390" s="419"/>
      <c r="H390" s="419"/>
      <c r="I390" s="57"/>
      <c r="J390" s="57"/>
      <c r="K390" s="420"/>
      <c r="L390" s="150"/>
      <c r="M390" s="252"/>
      <c r="O390" s="431"/>
      <c r="P390" s="157"/>
      <c r="Q390" s="409"/>
      <c r="R390" s="57"/>
      <c r="S390" s="242"/>
      <c r="T390" s="242"/>
      <c r="U390" s="242"/>
      <c r="V390" s="242"/>
      <c r="W390" s="242"/>
      <c r="X390" s="242"/>
      <c r="Y390" s="148"/>
      <c r="Z390" s="148"/>
    </row>
    <row r="391">
      <c r="A391" s="57"/>
      <c r="B391" s="57"/>
      <c r="C391" s="57"/>
      <c r="D391" s="157"/>
      <c r="E391" s="57"/>
      <c r="F391" s="457"/>
      <c r="G391" s="419"/>
      <c r="H391" s="419"/>
      <c r="I391" s="57"/>
      <c r="J391" s="462" t="s">
        <v>381</v>
      </c>
      <c r="K391" s="420"/>
      <c r="L391" s="150"/>
      <c r="M391" s="252"/>
      <c r="O391" s="431"/>
      <c r="P391" s="157"/>
      <c r="Q391" s="409"/>
      <c r="R391" s="57"/>
      <c r="S391" s="242"/>
      <c r="T391" s="242"/>
      <c r="U391" s="242"/>
      <c r="V391" s="242"/>
      <c r="W391" s="242"/>
      <c r="X391" s="242"/>
      <c r="Y391" s="148"/>
      <c r="Z391" s="148"/>
    </row>
    <row r="392">
      <c r="A392" s="57"/>
      <c r="B392" s="57"/>
      <c r="C392" s="57"/>
      <c r="D392" s="157"/>
      <c r="E392" s="57"/>
      <c r="F392" s="457"/>
      <c r="G392" s="419"/>
      <c r="H392" s="419"/>
      <c r="I392" s="57"/>
      <c r="J392" s="462" t="s">
        <v>383</v>
      </c>
      <c r="K392" s="420"/>
      <c r="L392" s="150"/>
      <c r="M392" s="252"/>
      <c r="O392" s="431"/>
      <c r="P392" s="157"/>
      <c r="Q392" s="409"/>
      <c r="R392" s="57"/>
      <c r="S392" s="242"/>
      <c r="T392" s="242"/>
      <c r="U392" s="242"/>
      <c r="V392" s="242"/>
      <c r="W392" s="242"/>
      <c r="X392" s="242"/>
      <c r="Y392" s="148"/>
      <c r="Z392" s="148"/>
    </row>
    <row r="393">
      <c r="A393" s="57"/>
      <c r="B393" s="57"/>
      <c r="C393" s="57"/>
      <c r="D393" s="157"/>
      <c r="E393" s="246" t="s">
        <v>690</v>
      </c>
      <c r="F393" s="457"/>
      <c r="G393" s="419"/>
      <c r="H393" s="419"/>
      <c r="I393" s="57"/>
      <c r="J393" s="57"/>
      <c r="K393" s="420"/>
      <c r="L393" s="150"/>
      <c r="M393" s="252"/>
      <c r="O393" s="431"/>
      <c r="P393" s="157"/>
      <c r="Q393" s="409"/>
      <c r="R393" s="57"/>
      <c r="S393" s="242"/>
      <c r="T393" s="242"/>
      <c r="U393" s="242"/>
      <c r="V393" s="242"/>
      <c r="W393" s="242"/>
      <c r="X393" s="242"/>
      <c r="Y393" s="148"/>
      <c r="Z393" s="148"/>
    </row>
    <row r="394">
      <c r="A394" s="57"/>
      <c r="B394" s="57"/>
      <c r="C394" s="57"/>
      <c r="D394" s="157"/>
      <c r="E394" s="246" t="s">
        <v>691</v>
      </c>
      <c r="F394" s="457"/>
      <c r="G394" s="419"/>
      <c r="H394" s="419"/>
      <c r="I394" s="57"/>
      <c r="J394" s="499" t="s">
        <v>692</v>
      </c>
      <c r="K394" s="420"/>
      <c r="L394" s="150"/>
      <c r="M394" s="252"/>
      <c r="O394" s="431"/>
      <c r="P394" s="157"/>
      <c r="Q394" s="409"/>
      <c r="R394" s="57"/>
      <c r="S394" s="242"/>
      <c r="T394" s="242"/>
      <c r="U394" s="242"/>
      <c r="V394" s="242"/>
      <c r="W394" s="242"/>
      <c r="X394" s="242"/>
      <c r="Y394" s="148"/>
      <c r="Z394" s="148"/>
    </row>
    <row r="395">
      <c r="A395" s="57"/>
      <c r="B395" s="57"/>
      <c r="C395" s="57"/>
      <c r="D395" s="157"/>
      <c r="E395" s="246" t="s">
        <v>693</v>
      </c>
      <c r="F395" s="457"/>
      <c r="G395" s="419"/>
      <c r="H395" s="419"/>
      <c r="I395" s="57"/>
      <c r="J395" s="499" t="s">
        <v>694</v>
      </c>
      <c r="K395" s="420"/>
      <c r="L395" s="150"/>
      <c r="M395" s="252"/>
      <c r="O395" s="431"/>
      <c r="P395" s="157"/>
      <c r="Q395" s="409"/>
      <c r="R395" s="57"/>
      <c r="S395" s="242"/>
      <c r="T395" s="242"/>
      <c r="U395" s="242"/>
      <c r="V395" s="242"/>
      <c r="W395" s="242"/>
      <c r="X395" s="242"/>
      <c r="Y395" s="148"/>
      <c r="Z395" s="148"/>
    </row>
    <row r="396">
      <c r="A396" s="57"/>
      <c r="B396" s="57"/>
      <c r="C396" s="57"/>
      <c r="D396" s="157"/>
      <c r="E396" s="385" t="s">
        <v>695</v>
      </c>
      <c r="F396" s="418"/>
      <c r="G396" s="419"/>
      <c r="H396" s="419"/>
      <c r="I396" s="57"/>
      <c r="J396" s="57"/>
      <c r="K396" s="57"/>
      <c r="L396" s="150"/>
      <c r="M396" s="57"/>
      <c r="N396" s="57"/>
      <c r="O396" s="57"/>
      <c r="P396" s="157"/>
      <c r="Q396" s="409"/>
      <c r="R396" s="57"/>
      <c r="S396" s="242"/>
      <c r="T396" s="242"/>
      <c r="U396" s="242"/>
      <c r="V396" s="242"/>
      <c r="W396" s="242"/>
      <c r="X396" s="242"/>
      <c r="Y396" s="148"/>
      <c r="Z396" s="148"/>
    </row>
    <row r="397">
      <c r="A397" s="57"/>
      <c r="B397" s="57"/>
      <c r="C397" s="57"/>
      <c r="D397" s="157"/>
      <c r="E397" s="57"/>
      <c r="F397" s="157"/>
      <c r="G397" s="57"/>
      <c r="H397" s="57"/>
      <c r="I397" s="57"/>
      <c r="J397" s="57"/>
      <c r="K397" s="57"/>
      <c r="L397" s="150"/>
      <c r="M397" s="57"/>
      <c r="N397" s="57"/>
      <c r="O397" s="57"/>
      <c r="P397" s="157"/>
      <c r="Q397" s="409"/>
      <c r="R397" s="57"/>
      <c r="S397" s="242"/>
      <c r="T397" s="242"/>
      <c r="U397" s="242"/>
      <c r="V397" s="242"/>
      <c r="W397" s="242"/>
      <c r="X397" s="242"/>
      <c r="Y397" s="148"/>
      <c r="Z397" s="148"/>
    </row>
    <row r="398">
      <c r="A398" s="159"/>
      <c r="B398" s="159"/>
      <c r="C398" s="159"/>
      <c r="D398" s="403"/>
      <c r="E398" s="159"/>
      <c r="F398" s="403"/>
      <c r="G398" s="159"/>
      <c r="H398" s="159"/>
      <c r="I398" s="159"/>
      <c r="J398" s="159"/>
      <c r="K398" s="159"/>
      <c r="L398" s="162"/>
      <c r="M398" s="159"/>
      <c r="N398" s="159"/>
      <c r="O398" s="159"/>
      <c r="P398" s="403"/>
      <c r="Q398" s="465"/>
      <c r="R398" s="57"/>
      <c r="S398" s="242"/>
      <c r="T398" s="242"/>
      <c r="U398" s="242"/>
      <c r="V398" s="242"/>
      <c r="W398" s="242"/>
      <c r="X398" s="242"/>
      <c r="Y398" s="148"/>
      <c r="Z398" s="148"/>
    </row>
    <row r="399">
      <c r="A399" s="520" t="s">
        <v>0</v>
      </c>
      <c r="B399" s="57"/>
      <c r="C399" s="57"/>
      <c r="D399" s="157"/>
      <c r="E399" s="57"/>
      <c r="F399" s="157"/>
      <c r="G399" s="57"/>
      <c r="H399" s="57"/>
      <c r="I399" s="57"/>
      <c r="J399" s="57"/>
      <c r="K399" s="57"/>
      <c r="L399" s="150"/>
      <c r="M399" s="57"/>
      <c r="N399" s="57"/>
      <c r="O399" s="57"/>
      <c r="P399" s="157"/>
      <c r="Q399" s="57"/>
      <c r="R399" s="57"/>
      <c r="S399" s="242"/>
      <c r="T399" s="242"/>
      <c r="U399" s="242"/>
      <c r="V399" s="242"/>
      <c r="W399" s="242"/>
      <c r="X399" s="242"/>
      <c r="Y399" s="148"/>
      <c r="Z399" s="148"/>
    </row>
    <row r="400">
      <c r="A400" s="378" t="s">
        <v>745</v>
      </c>
      <c r="B400" s="157">
        <f>SUM(B11)</f>
        <v>0</v>
      </c>
      <c r="C400" s="57"/>
      <c r="D400" s="157"/>
      <c r="E400" s="57"/>
      <c r="F400" s="157"/>
      <c r="G400" s="57"/>
      <c r="H400" s="57"/>
      <c r="I400" s="57"/>
      <c r="J400" s="57"/>
      <c r="K400" s="57"/>
      <c r="L400" s="150"/>
      <c r="M400" s="57"/>
      <c r="N400" s="57"/>
      <c r="O400" s="57"/>
      <c r="P400" s="157"/>
      <c r="Q400" s="57"/>
      <c r="R400" s="57"/>
      <c r="S400" s="242"/>
      <c r="T400" s="242"/>
      <c r="U400" s="242"/>
      <c r="V400" s="242"/>
      <c r="W400" s="242"/>
      <c r="X400" s="242"/>
      <c r="Y400" s="148"/>
      <c r="Z400" s="148"/>
    </row>
    <row r="401">
      <c r="A401" s="148"/>
      <c r="B401" s="148"/>
      <c r="C401" s="148"/>
      <c r="D401" s="245"/>
      <c r="E401" s="148"/>
      <c r="F401" s="277"/>
      <c r="G401" s="148"/>
      <c r="H401" s="148"/>
      <c r="I401" s="251"/>
      <c r="J401" s="251"/>
      <c r="K401" s="148"/>
      <c r="L401" s="277"/>
      <c r="M401" s="252"/>
      <c r="N401" s="250"/>
      <c r="O401" s="253"/>
      <c r="P401" s="240"/>
      <c r="Q401" s="148"/>
      <c r="R401" s="148"/>
      <c r="S401" s="242"/>
      <c r="T401" s="242"/>
      <c r="U401" s="242"/>
      <c r="V401" s="242"/>
      <c r="W401" s="242"/>
      <c r="X401" s="242"/>
      <c r="Y401" s="148"/>
      <c r="Z401" s="148"/>
    </row>
    <row r="402">
      <c r="A402" s="367" t="s">
        <v>341</v>
      </c>
      <c r="B402" s="242">
        <f>SUM(L5,L42,L79,L115,L151,L187,L223,L259,L295,L331,L366,L366,L365,L366)</f>
        <v>0</v>
      </c>
      <c r="C402" s="148"/>
      <c r="D402" s="245"/>
      <c r="E402" s="148"/>
      <c r="F402" s="277"/>
      <c r="G402" s="148"/>
      <c r="H402" s="148"/>
      <c r="I402" s="251"/>
      <c r="J402" s="251"/>
      <c r="K402" s="148"/>
      <c r="L402" s="277"/>
      <c r="M402" s="252"/>
      <c r="N402" s="250"/>
      <c r="O402" s="253"/>
      <c r="P402" s="240"/>
      <c r="Q402" s="148"/>
      <c r="R402" s="148"/>
      <c r="S402" s="242"/>
      <c r="T402" s="242"/>
      <c r="U402" s="242"/>
      <c r="V402" s="242"/>
      <c r="W402" s="242"/>
      <c r="X402" s="242"/>
      <c r="Y402" s="148"/>
      <c r="Z402" s="148"/>
    </row>
    <row r="403">
      <c r="A403" s="369" t="s">
        <v>345</v>
      </c>
      <c r="B403" s="242">
        <f>SUM(L368,L332,L296,L260,L224,L188,L152,L116,L80,L43,L6)</f>
        <v>116.82</v>
      </c>
      <c r="C403" s="148"/>
      <c r="D403" s="245"/>
      <c r="E403" s="148"/>
      <c r="F403" s="277"/>
      <c r="G403" s="148"/>
      <c r="H403" s="148"/>
      <c r="I403" s="251"/>
      <c r="J403" s="251"/>
      <c r="K403" s="148"/>
      <c r="L403" s="277"/>
      <c r="M403" s="252"/>
      <c r="N403" s="250"/>
      <c r="O403" s="253"/>
      <c r="P403" s="240"/>
      <c r="Q403" s="148"/>
      <c r="R403" s="148"/>
      <c r="S403" s="242"/>
      <c r="T403" s="242"/>
      <c r="U403" s="242"/>
      <c r="V403" s="242"/>
      <c r="W403" s="242"/>
      <c r="X403" s="242"/>
      <c r="Y403" s="148"/>
      <c r="Z403" s="148"/>
    </row>
    <row r="404">
      <c r="A404" s="370" t="s">
        <v>656</v>
      </c>
      <c r="B404" s="242">
        <f>SUM(L333,L369,L297,L261,L225,L189,L153,L117,L81,L44,L7)</f>
        <v>464</v>
      </c>
      <c r="C404" s="148"/>
      <c r="D404" s="245"/>
      <c r="E404" s="148"/>
      <c r="F404" s="277"/>
      <c r="G404" s="148"/>
      <c r="H404" s="148"/>
      <c r="I404" s="251"/>
      <c r="J404" s="251"/>
      <c r="K404" s="148"/>
      <c r="L404" s="277"/>
      <c r="M404" s="252"/>
      <c r="N404" s="250"/>
      <c r="O404" s="253"/>
      <c r="P404" s="240"/>
      <c r="Q404" s="148"/>
      <c r="R404" s="148"/>
      <c r="S404" s="242"/>
      <c r="T404" s="242"/>
      <c r="U404" s="242"/>
      <c r="V404" s="242"/>
      <c r="W404" s="242"/>
      <c r="X404" s="242"/>
      <c r="Y404" s="148"/>
      <c r="Z404" s="148"/>
    </row>
    <row r="405">
      <c r="A405" s="370" t="s">
        <v>658</v>
      </c>
      <c r="B405" s="242">
        <f t="shared" ref="B405:B406" si="1">SUM(L370,L334,L298,L262,L226,L190,L154,L118,L82,L45,L8)</f>
        <v>100</v>
      </c>
      <c r="C405" s="148"/>
      <c r="D405" s="245"/>
      <c r="E405" s="148"/>
      <c r="F405" s="277"/>
      <c r="G405" s="148"/>
      <c r="H405" s="148"/>
      <c r="I405" s="251"/>
      <c r="J405" s="251"/>
      <c r="K405" s="148"/>
      <c r="L405" s="277"/>
      <c r="M405" s="252"/>
      <c r="N405" s="250"/>
      <c r="O405" s="253"/>
      <c r="P405" s="240"/>
      <c r="Q405" s="148"/>
      <c r="R405" s="148"/>
      <c r="S405" s="242"/>
      <c r="T405" s="242"/>
      <c r="U405" s="242"/>
      <c r="V405" s="242"/>
      <c r="W405" s="242"/>
      <c r="X405" s="242"/>
      <c r="Y405" s="148"/>
      <c r="Z405" s="148"/>
    </row>
    <row r="406">
      <c r="A406" s="370" t="s">
        <v>660</v>
      </c>
      <c r="B406" s="242">
        <f t="shared" si="1"/>
        <v>700</v>
      </c>
      <c r="C406" s="148"/>
      <c r="D406" s="245"/>
      <c r="E406" s="148"/>
      <c r="F406" s="277"/>
      <c r="G406" s="148"/>
      <c r="H406" s="148"/>
      <c r="I406" s="251"/>
      <c r="J406" s="251"/>
      <c r="K406" s="148"/>
      <c r="L406" s="277"/>
      <c r="M406" s="252"/>
      <c r="N406" s="250"/>
      <c r="O406" s="253"/>
      <c r="P406" s="240"/>
      <c r="Q406" s="148"/>
      <c r="R406" s="148"/>
      <c r="S406" s="242"/>
      <c r="T406" s="242"/>
      <c r="U406" s="242"/>
      <c r="V406" s="242"/>
      <c r="W406" s="242"/>
      <c r="X406" s="242"/>
      <c r="Y406" s="148"/>
      <c r="Z406" s="148"/>
    </row>
    <row r="407">
      <c r="A407" s="370" t="s">
        <v>662</v>
      </c>
      <c r="B407" s="242">
        <f>SUM(L372,L336,L300,L264,L227,L192,L156,L120,L84,L47,L10)</f>
        <v>212</v>
      </c>
      <c r="C407" s="148"/>
      <c r="D407" s="245"/>
      <c r="E407" s="148"/>
      <c r="F407" s="277"/>
      <c r="G407" s="148"/>
      <c r="H407" s="148"/>
      <c r="I407" s="251"/>
      <c r="J407" s="251"/>
      <c r="K407" s="148"/>
      <c r="L407" s="277"/>
      <c r="M407" s="252"/>
      <c r="N407" s="250"/>
      <c r="O407" s="253"/>
      <c r="P407" s="240"/>
      <c r="Q407" s="148"/>
      <c r="R407" s="148"/>
      <c r="S407" s="242"/>
      <c r="T407" s="242"/>
      <c r="U407" s="242"/>
      <c r="V407" s="242"/>
      <c r="W407" s="242"/>
      <c r="X407" s="242"/>
      <c r="Y407" s="148"/>
      <c r="Z407" s="148"/>
    </row>
    <row r="408">
      <c r="A408" s="370" t="s">
        <v>666</v>
      </c>
      <c r="B408" s="242">
        <f t="shared" ref="B408:B411" si="2">SUM(L373,L337,L301,L265,L229,L193,L157,L121,L85,L48,L11)</f>
        <v>85</v>
      </c>
      <c r="C408" s="148"/>
      <c r="D408" s="245"/>
      <c r="E408" s="148"/>
      <c r="F408" s="277"/>
      <c r="G408" s="148"/>
      <c r="H408" s="148"/>
      <c r="I408" s="251"/>
      <c r="J408" s="251"/>
      <c r="K408" s="148"/>
      <c r="L408" s="277"/>
      <c r="M408" s="252"/>
      <c r="N408" s="250"/>
      <c r="O408" s="253"/>
      <c r="P408" s="240"/>
      <c r="Q408" s="148"/>
      <c r="R408" s="148"/>
      <c r="S408" s="242"/>
      <c r="T408" s="242"/>
      <c r="U408" s="242"/>
      <c r="V408" s="242"/>
      <c r="W408" s="242"/>
      <c r="X408" s="242"/>
      <c r="Y408" s="148"/>
      <c r="Z408" s="148"/>
    </row>
    <row r="409">
      <c r="A409" s="370" t="s">
        <v>668</v>
      </c>
      <c r="B409" s="242">
        <f t="shared" si="2"/>
        <v>0</v>
      </c>
      <c r="C409" s="148"/>
      <c r="D409" s="245"/>
      <c r="E409" s="148"/>
      <c r="F409" s="277"/>
      <c r="G409" s="148"/>
      <c r="H409" s="148"/>
      <c r="I409" s="251"/>
      <c r="J409" s="251"/>
      <c r="K409" s="148"/>
      <c r="L409" s="277"/>
      <c r="M409" s="252"/>
      <c r="N409" s="250"/>
      <c r="O409" s="253"/>
      <c r="P409" s="240"/>
      <c r="Q409" s="148"/>
      <c r="R409" s="148"/>
      <c r="S409" s="242"/>
      <c r="T409" s="242"/>
      <c r="U409" s="242"/>
      <c r="V409" s="242"/>
      <c r="W409" s="242"/>
      <c r="X409" s="242"/>
      <c r="Y409" s="148"/>
      <c r="Z409" s="148"/>
    </row>
    <row r="410">
      <c r="A410" s="370" t="s">
        <v>670</v>
      </c>
      <c r="B410" s="242">
        <f t="shared" si="2"/>
        <v>3750</v>
      </c>
      <c r="C410" s="148"/>
      <c r="D410" s="245"/>
      <c r="E410" s="148"/>
      <c r="F410" s="277"/>
      <c r="G410" s="148"/>
      <c r="H410" s="148"/>
      <c r="I410" s="251"/>
      <c r="J410" s="251"/>
      <c r="K410" s="148"/>
      <c r="L410" s="277"/>
      <c r="M410" s="252"/>
      <c r="N410" s="250"/>
      <c r="O410" s="253"/>
      <c r="P410" s="240"/>
      <c r="Q410" s="148"/>
      <c r="R410" s="148"/>
      <c r="S410" s="242"/>
      <c r="T410" s="242"/>
      <c r="U410" s="242"/>
      <c r="V410" s="242"/>
      <c r="W410" s="242"/>
      <c r="X410" s="242"/>
      <c r="Y410" s="148"/>
      <c r="Z410" s="148"/>
    </row>
    <row r="411">
      <c r="A411" s="370" t="s">
        <v>217</v>
      </c>
      <c r="B411" s="242">
        <f t="shared" si="2"/>
        <v>0</v>
      </c>
      <c r="C411" s="148"/>
      <c r="D411" s="245"/>
      <c r="E411" s="148"/>
      <c r="F411" s="277"/>
      <c r="G411" s="148"/>
      <c r="H411" s="148"/>
      <c r="I411" s="251"/>
      <c r="J411" s="251"/>
      <c r="K411" s="148"/>
      <c r="L411" s="277"/>
      <c r="M411" s="252"/>
      <c r="N411" s="250"/>
      <c r="O411" s="253"/>
      <c r="P411" s="240"/>
      <c r="Q411" s="148"/>
      <c r="R411" s="148"/>
      <c r="S411" s="242"/>
      <c r="T411" s="242"/>
      <c r="U411" s="242"/>
      <c r="V411" s="242"/>
      <c r="W411" s="242"/>
      <c r="X411" s="242"/>
      <c r="Y411" s="148"/>
      <c r="Z411" s="148"/>
    </row>
    <row r="412">
      <c r="A412" s="521"/>
      <c r="B412" s="148"/>
      <c r="C412" s="148"/>
      <c r="D412" s="245"/>
      <c r="E412" s="148"/>
      <c r="F412" s="277"/>
      <c r="G412" s="148"/>
      <c r="H412" s="148"/>
      <c r="I412" s="251"/>
      <c r="J412" s="251"/>
      <c r="K412" s="148"/>
      <c r="L412" s="277"/>
      <c r="M412" s="252"/>
      <c r="N412" s="250"/>
      <c r="O412" s="253"/>
      <c r="P412" s="240"/>
      <c r="Q412" s="148"/>
      <c r="R412" s="148"/>
      <c r="S412" s="242"/>
      <c r="T412" s="242"/>
      <c r="U412" s="242"/>
      <c r="V412" s="242"/>
      <c r="W412" s="242"/>
      <c r="X412" s="242"/>
      <c r="Y412" s="148"/>
      <c r="Z412" s="148"/>
    </row>
    <row r="413">
      <c r="A413" s="375" t="s">
        <v>672</v>
      </c>
      <c r="B413" s="242">
        <f>SUM(L16)</f>
        <v>87.02</v>
      </c>
      <c r="C413" s="148"/>
      <c r="D413" s="245"/>
      <c r="E413" s="148"/>
      <c r="F413" s="277"/>
      <c r="G413" s="148"/>
      <c r="H413" s="148"/>
      <c r="I413" s="251"/>
      <c r="J413" s="251"/>
      <c r="K413" s="148"/>
      <c r="L413" s="277"/>
      <c r="M413" s="252"/>
      <c r="N413" s="250"/>
      <c r="O413" s="253"/>
      <c r="P413" s="240"/>
      <c r="Q413" s="148"/>
      <c r="R413" s="148"/>
      <c r="S413" s="242"/>
      <c r="T413" s="242"/>
      <c r="U413" s="242"/>
      <c r="V413" s="242"/>
      <c r="W413" s="242"/>
      <c r="X413" s="242"/>
      <c r="Y413" s="148"/>
      <c r="Z413" s="148"/>
    </row>
    <row r="414">
      <c r="A414" s="375" t="s">
        <v>675</v>
      </c>
      <c r="B414" s="242">
        <f>SUM(L17,L54,L91,L127,L163,L199,L235,L271,L307,L343,L379)</f>
        <v>0</v>
      </c>
      <c r="C414" s="148"/>
      <c r="D414" s="245"/>
      <c r="E414" s="148"/>
      <c r="F414" s="277"/>
      <c r="G414" s="148"/>
      <c r="H414" s="148"/>
      <c r="I414" s="251"/>
      <c r="J414" s="251"/>
      <c r="K414" s="148"/>
      <c r="L414" s="277"/>
      <c r="M414" s="252"/>
      <c r="N414" s="250"/>
      <c r="O414" s="253"/>
      <c r="P414" s="240"/>
      <c r="Q414" s="148"/>
      <c r="R414" s="148"/>
      <c r="S414" s="242"/>
      <c r="T414" s="242"/>
      <c r="U414" s="242"/>
      <c r="V414" s="242"/>
      <c r="W414" s="242"/>
      <c r="X414" s="242"/>
      <c r="Y414" s="148"/>
      <c r="Z414" s="148"/>
    </row>
    <row r="415">
      <c r="A415" s="375" t="s">
        <v>6</v>
      </c>
      <c r="B415" s="242">
        <f t="shared" ref="B415:B418" si="3">SUM(L380,L344,L308,L272,L236,L200,L164,L128,L92,L55,L18)</f>
        <v>200</v>
      </c>
      <c r="C415" s="148"/>
      <c r="D415" s="245"/>
      <c r="E415" s="148"/>
      <c r="F415" s="277"/>
      <c r="G415" s="148"/>
      <c r="H415" s="148"/>
      <c r="I415" s="251"/>
      <c r="J415" s="251"/>
      <c r="K415" s="148"/>
      <c r="L415" s="277"/>
      <c r="M415" s="252"/>
      <c r="N415" s="250"/>
      <c r="O415" s="253"/>
      <c r="P415" s="240"/>
      <c r="Q415" s="148"/>
      <c r="R415" s="148"/>
      <c r="S415" s="242"/>
      <c r="T415" s="242"/>
      <c r="U415" s="242"/>
      <c r="V415" s="242"/>
      <c r="W415" s="242"/>
      <c r="X415" s="242"/>
      <c r="Y415" s="148"/>
      <c r="Z415" s="148"/>
    </row>
    <row r="416">
      <c r="A416" s="375" t="s">
        <v>677</v>
      </c>
      <c r="B416" s="242">
        <f t="shared" si="3"/>
        <v>102.5</v>
      </c>
      <c r="C416" s="148"/>
      <c r="D416" s="245"/>
      <c r="E416" s="148"/>
      <c r="F416" s="277"/>
      <c r="G416" s="148"/>
      <c r="H416" s="148"/>
      <c r="I416" s="251"/>
      <c r="J416" s="251"/>
      <c r="K416" s="148"/>
      <c r="L416" s="277"/>
      <c r="M416" s="252"/>
      <c r="N416" s="250"/>
      <c r="O416" s="253"/>
      <c r="P416" s="240"/>
      <c r="Q416" s="148"/>
      <c r="R416" s="148"/>
      <c r="S416" s="242"/>
      <c r="T416" s="242"/>
      <c r="U416" s="242"/>
      <c r="V416" s="242"/>
      <c r="W416" s="242"/>
      <c r="X416" s="242"/>
      <c r="Y416" s="148"/>
      <c r="Z416" s="148"/>
    </row>
    <row r="417">
      <c r="A417" s="375" t="s">
        <v>679</v>
      </c>
      <c r="B417" s="242">
        <f t="shared" si="3"/>
        <v>703.5</v>
      </c>
      <c r="C417" s="148"/>
      <c r="D417" s="245"/>
      <c r="E417" s="148"/>
      <c r="F417" s="277"/>
      <c r="G417" s="148"/>
      <c r="H417" s="148"/>
      <c r="I417" s="251"/>
      <c r="J417" s="251"/>
      <c r="K417" s="148"/>
      <c r="L417" s="277"/>
      <c r="M417" s="252"/>
      <c r="N417" s="250"/>
      <c r="O417" s="253"/>
      <c r="P417" s="240"/>
      <c r="Q417" s="148"/>
      <c r="R417" s="148"/>
      <c r="S417" s="242"/>
      <c r="T417" s="242"/>
      <c r="U417" s="242"/>
      <c r="V417" s="242"/>
      <c r="W417" s="242"/>
      <c r="X417" s="242"/>
      <c r="Y417" s="148"/>
      <c r="Z417" s="148"/>
    </row>
    <row r="418">
      <c r="A418" s="375" t="s">
        <v>680</v>
      </c>
      <c r="B418" s="242">
        <f t="shared" si="3"/>
        <v>267</v>
      </c>
      <c r="C418" s="148"/>
      <c r="D418" s="245"/>
      <c r="E418" s="148"/>
      <c r="F418" s="277"/>
      <c r="G418" s="148"/>
      <c r="H418" s="148"/>
      <c r="I418" s="251"/>
      <c r="J418" s="251"/>
      <c r="K418" s="148"/>
      <c r="L418" s="277"/>
      <c r="M418" s="252"/>
      <c r="N418" s="250"/>
      <c r="O418" s="253"/>
      <c r="P418" s="240"/>
      <c r="Q418" s="148"/>
      <c r="R418" s="148"/>
      <c r="S418" s="242"/>
      <c r="T418" s="242"/>
      <c r="U418" s="242"/>
      <c r="V418" s="242"/>
      <c r="W418" s="242"/>
      <c r="X418" s="242"/>
      <c r="Y418" s="148"/>
      <c r="Z418" s="148"/>
    </row>
    <row r="419">
      <c r="A419" s="377"/>
      <c r="B419" s="148"/>
      <c r="C419" s="148"/>
      <c r="D419" s="245"/>
      <c r="E419" s="148"/>
      <c r="F419" s="277"/>
      <c r="G419" s="148"/>
      <c r="H419" s="148"/>
      <c r="I419" s="251"/>
      <c r="J419" s="251"/>
      <c r="K419" s="148"/>
      <c r="L419" s="277"/>
      <c r="M419" s="252"/>
      <c r="N419" s="250"/>
      <c r="O419" s="253"/>
      <c r="P419" s="240"/>
      <c r="Q419" s="148"/>
      <c r="R419" s="148"/>
      <c r="S419" s="242"/>
      <c r="T419" s="242"/>
      <c r="U419" s="242"/>
      <c r="V419" s="242"/>
      <c r="W419" s="242"/>
      <c r="X419" s="242"/>
      <c r="Y419" s="148"/>
      <c r="Z419" s="148"/>
    </row>
    <row r="420">
      <c r="A420" s="378" t="s">
        <v>682</v>
      </c>
      <c r="B420" s="242">
        <f>SUM(L23,L60,L97,L133,L169,L205,L241,L277,L313,L349,L385)</f>
        <v>230</v>
      </c>
      <c r="C420" s="148"/>
      <c r="D420" s="245"/>
      <c r="E420" s="148"/>
      <c r="F420" s="277"/>
      <c r="G420" s="148"/>
      <c r="H420" s="148"/>
      <c r="I420" s="251"/>
      <c r="J420" s="251"/>
      <c r="K420" s="148"/>
      <c r="L420" s="277"/>
      <c r="M420" s="252"/>
      <c r="N420" s="250"/>
      <c r="O420" s="253"/>
      <c r="P420" s="240"/>
      <c r="Q420" s="148"/>
      <c r="R420" s="148"/>
      <c r="S420" s="242"/>
      <c r="T420" s="242"/>
      <c r="U420" s="242"/>
      <c r="V420" s="242"/>
      <c r="W420" s="242"/>
      <c r="X420" s="242"/>
      <c r="Y420" s="148"/>
      <c r="Z420" s="148"/>
    </row>
    <row r="421">
      <c r="A421" s="378" t="s">
        <v>684</v>
      </c>
      <c r="B421" s="242">
        <f>SUM(L386,L350,L314,L278,L242,L206,L170,L134,L98,L61,L24)</f>
        <v>246</v>
      </c>
      <c r="C421" s="148"/>
      <c r="D421" s="245"/>
      <c r="E421" s="148"/>
      <c r="F421" s="277"/>
      <c r="G421" s="148"/>
      <c r="H421" s="148"/>
      <c r="I421" s="251"/>
      <c r="J421" s="251"/>
      <c r="K421" s="148"/>
      <c r="L421" s="277"/>
      <c r="M421" s="252"/>
      <c r="N421" s="250"/>
      <c r="O421" s="253"/>
      <c r="P421" s="240"/>
      <c r="Q421" s="148"/>
      <c r="R421" s="148"/>
      <c r="S421" s="242"/>
      <c r="T421" s="242"/>
      <c r="U421" s="242"/>
      <c r="V421" s="242"/>
      <c r="W421" s="242"/>
      <c r="X421" s="242"/>
      <c r="Y421" s="148"/>
      <c r="Z421" s="148"/>
    </row>
    <row r="422">
      <c r="A422" s="378" t="s">
        <v>686</v>
      </c>
      <c r="B422" s="242">
        <f>SUM(L25,L62,L99,L135,L171,L207,L243,L279,L315,L351,L387)</f>
        <v>600</v>
      </c>
      <c r="C422" s="148"/>
      <c r="D422" s="245"/>
      <c r="E422" s="148"/>
      <c r="F422" s="277"/>
      <c r="G422" s="148"/>
      <c r="H422" s="148"/>
      <c r="I422" s="251"/>
      <c r="J422" s="251"/>
      <c r="K422" s="148"/>
      <c r="L422" s="277"/>
      <c r="M422" s="252"/>
      <c r="N422" s="250"/>
      <c r="O422" s="253"/>
      <c r="P422" s="240"/>
      <c r="Q422" s="148"/>
      <c r="R422" s="148"/>
      <c r="S422" s="242"/>
      <c r="T422" s="242"/>
      <c r="U422" s="242"/>
      <c r="V422" s="242"/>
      <c r="W422" s="242"/>
      <c r="X422" s="242"/>
      <c r="Y422" s="148"/>
      <c r="Z422" s="148"/>
    </row>
    <row r="423">
      <c r="A423" s="379" t="s">
        <v>202</v>
      </c>
      <c r="B423" s="242">
        <f>SUM(L388,L352,L316,L280,L244,L208,L172,L136,L100,L63,L26)</f>
        <v>274.37</v>
      </c>
      <c r="C423" s="148"/>
      <c r="D423" s="245"/>
      <c r="E423" s="148"/>
      <c r="F423" s="277"/>
      <c r="G423" s="148"/>
      <c r="H423" s="148"/>
      <c r="I423" s="251"/>
      <c r="J423" s="251"/>
      <c r="K423" s="148"/>
      <c r="L423" s="277"/>
      <c r="M423" s="252"/>
      <c r="N423" s="250"/>
      <c r="O423" s="253"/>
      <c r="P423" s="240"/>
      <c r="Q423" s="148"/>
      <c r="R423" s="148"/>
      <c r="S423" s="242"/>
      <c r="T423" s="242"/>
      <c r="U423" s="242"/>
      <c r="V423" s="242"/>
      <c r="W423" s="242"/>
      <c r="X423" s="242"/>
      <c r="Y423" s="148"/>
      <c r="Z423" s="148"/>
    </row>
    <row r="424">
      <c r="A424" s="379" t="s">
        <v>274</v>
      </c>
      <c r="B424" s="242">
        <f>SUM(L27,L64,L101,L137,L173,L209,L245,L281,L317,L353,L389)</f>
        <v>426</v>
      </c>
      <c r="C424" s="148"/>
      <c r="D424" s="245"/>
      <c r="E424" s="148"/>
      <c r="F424" s="277"/>
      <c r="G424" s="148"/>
      <c r="H424" s="148"/>
      <c r="I424" s="251"/>
      <c r="J424" s="251"/>
      <c r="K424" s="148"/>
      <c r="L424" s="277"/>
      <c r="M424" s="252"/>
      <c r="N424" s="250"/>
      <c r="O424" s="253"/>
      <c r="P424" s="240"/>
      <c r="Q424" s="148"/>
      <c r="R424" s="148"/>
      <c r="S424" s="242"/>
      <c r="T424" s="242"/>
      <c r="U424" s="242"/>
      <c r="V424" s="242"/>
      <c r="W424" s="242"/>
      <c r="X424" s="242"/>
      <c r="Y424" s="148"/>
      <c r="Z424" s="148"/>
    </row>
    <row r="425">
      <c r="A425" s="382"/>
      <c r="B425" s="148"/>
      <c r="C425" s="148"/>
      <c r="D425" s="245"/>
      <c r="E425" s="148"/>
      <c r="F425" s="277"/>
      <c r="G425" s="148"/>
      <c r="H425" s="148"/>
      <c r="I425" s="251"/>
      <c r="J425" s="251"/>
      <c r="K425" s="148"/>
      <c r="L425" s="277"/>
      <c r="M425" s="252"/>
      <c r="N425" s="250"/>
      <c r="O425" s="253"/>
      <c r="P425" s="240"/>
      <c r="Q425" s="148"/>
      <c r="R425" s="148"/>
      <c r="S425" s="242"/>
      <c r="T425" s="242"/>
      <c r="U425" s="242"/>
      <c r="V425" s="242"/>
      <c r="W425" s="242"/>
      <c r="X425" s="242"/>
      <c r="Y425" s="148"/>
      <c r="Z425" s="148"/>
    </row>
    <row r="426">
      <c r="A426" s="383" t="s">
        <v>381</v>
      </c>
      <c r="B426" s="242">
        <f t="shared" ref="B426:B427" si="4">SUM(L29,L66,L103,L139,L175,L211,L247,L283,L319,L355,L391)</f>
        <v>3045</v>
      </c>
      <c r="C426" s="148"/>
      <c r="D426" s="245"/>
      <c r="E426" s="148"/>
      <c r="F426" s="277"/>
      <c r="G426" s="148"/>
      <c r="H426" s="148"/>
      <c r="I426" s="251"/>
      <c r="J426" s="251"/>
      <c r="K426" s="148"/>
      <c r="L426" s="277"/>
      <c r="M426" s="252"/>
      <c r="N426" s="250"/>
      <c r="O426" s="253"/>
      <c r="P426" s="240"/>
      <c r="Q426" s="148"/>
      <c r="R426" s="148"/>
      <c r="S426" s="242"/>
      <c r="T426" s="242"/>
      <c r="U426" s="242"/>
      <c r="V426" s="242"/>
      <c r="W426" s="242"/>
      <c r="X426" s="242"/>
      <c r="Y426" s="148"/>
      <c r="Z426" s="148"/>
    </row>
    <row r="427">
      <c r="A427" s="383" t="s">
        <v>383</v>
      </c>
      <c r="B427" s="242">
        <f t="shared" si="4"/>
        <v>3175</v>
      </c>
      <c r="C427" s="148"/>
      <c r="D427" s="245"/>
      <c r="E427" s="148"/>
      <c r="F427" s="277"/>
      <c r="G427" s="148"/>
      <c r="H427" s="148"/>
      <c r="I427" s="251"/>
      <c r="J427" s="251"/>
      <c r="K427" s="148"/>
      <c r="L427" s="277"/>
      <c r="M427" s="252"/>
      <c r="N427" s="250"/>
      <c r="O427" s="253"/>
      <c r="P427" s="240"/>
      <c r="Q427" s="148"/>
      <c r="R427" s="148"/>
      <c r="S427" s="242"/>
      <c r="T427" s="242"/>
      <c r="U427" s="242"/>
      <c r="V427" s="242"/>
      <c r="W427" s="242"/>
      <c r="X427" s="242"/>
      <c r="Y427" s="148"/>
      <c r="Z427" s="148"/>
    </row>
    <row r="428">
      <c r="A428" s="382"/>
      <c r="B428" s="148"/>
      <c r="C428" s="148"/>
      <c r="D428" s="245"/>
      <c r="E428" s="148"/>
      <c r="F428" s="277"/>
      <c r="G428" s="148"/>
      <c r="H428" s="148"/>
      <c r="I428" s="251"/>
      <c r="J428" s="251"/>
      <c r="K428" s="148"/>
      <c r="L428" s="277"/>
      <c r="M428" s="252"/>
      <c r="N428" s="250"/>
      <c r="O428" s="253"/>
      <c r="P428" s="240"/>
      <c r="Q428" s="148"/>
      <c r="R428" s="148"/>
      <c r="S428" s="242"/>
      <c r="T428" s="242"/>
      <c r="U428" s="242"/>
      <c r="V428" s="242"/>
      <c r="W428" s="242"/>
      <c r="X428" s="242"/>
      <c r="Y428" s="148"/>
      <c r="Z428" s="148"/>
    </row>
    <row r="429">
      <c r="A429" s="384" t="s">
        <v>746</v>
      </c>
      <c r="B429" s="242">
        <f>SUM(B378,B342,B306,B270,B234,B198,B162,B126,B90,B53,B16)</f>
        <v>1530.38</v>
      </c>
      <c r="C429" s="148"/>
      <c r="D429" s="245"/>
      <c r="E429" s="148"/>
      <c r="F429" s="277"/>
      <c r="G429" s="148"/>
      <c r="H429" s="148"/>
      <c r="I429" s="251"/>
      <c r="J429" s="251"/>
      <c r="K429" s="148"/>
      <c r="L429" s="277"/>
      <c r="M429" s="252"/>
      <c r="N429" s="250"/>
      <c r="O429" s="253"/>
      <c r="P429" s="240"/>
      <c r="Q429" s="148"/>
      <c r="R429" s="148"/>
      <c r="S429" s="242"/>
      <c r="T429" s="242"/>
      <c r="U429" s="242"/>
      <c r="V429" s="242"/>
      <c r="W429" s="242"/>
      <c r="X429" s="242"/>
      <c r="Y429" s="148"/>
      <c r="Z429" s="148"/>
    </row>
    <row r="430">
      <c r="A430" s="382"/>
      <c r="B430" s="148"/>
      <c r="C430" s="148"/>
      <c r="D430" s="245"/>
      <c r="E430" s="148"/>
      <c r="F430" s="277"/>
      <c r="G430" s="148"/>
      <c r="H430" s="148"/>
      <c r="I430" s="251"/>
      <c r="J430" s="251"/>
      <c r="K430" s="148"/>
      <c r="L430" s="277"/>
      <c r="M430" s="252"/>
      <c r="N430" s="250"/>
      <c r="O430" s="253"/>
      <c r="P430" s="240"/>
      <c r="Q430" s="148"/>
      <c r="R430" s="148"/>
      <c r="S430" s="242"/>
      <c r="T430" s="242"/>
      <c r="U430" s="242"/>
      <c r="V430" s="242"/>
      <c r="W430" s="242"/>
      <c r="X430" s="242"/>
      <c r="Y430" s="148"/>
      <c r="Z430" s="148"/>
    </row>
    <row r="431">
      <c r="A431" s="384" t="s">
        <v>692</v>
      </c>
      <c r="B431" s="148"/>
      <c r="C431" s="148"/>
      <c r="D431" s="245"/>
      <c r="E431" s="148"/>
      <c r="F431" s="277"/>
      <c r="G431" s="148"/>
      <c r="H431" s="148"/>
      <c r="I431" s="251"/>
      <c r="J431" s="251"/>
      <c r="K431" s="148"/>
      <c r="L431" s="277"/>
      <c r="M431" s="252"/>
      <c r="N431" s="250"/>
      <c r="O431" s="253"/>
      <c r="P431" s="240"/>
      <c r="Q431" s="148"/>
      <c r="R431" s="148"/>
      <c r="S431" s="242"/>
      <c r="T431" s="242"/>
      <c r="U431" s="242"/>
      <c r="V431" s="242"/>
      <c r="W431" s="242"/>
      <c r="X431" s="242"/>
      <c r="Y431" s="148"/>
      <c r="Z431" s="148"/>
    </row>
    <row r="432">
      <c r="A432" s="382"/>
      <c r="B432" s="148"/>
      <c r="C432" s="148"/>
      <c r="D432" s="245"/>
      <c r="E432" s="148"/>
      <c r="F432" s="277"/>
      <c r="G432" s="148"/>
      <c r="H432" s="148"/>
      <c r="I432" s="251"/>
      <c r="J432" s="251"/>
      <c r="K432" s="148"/>
      <c r="L432" s="277"/>
      <c r="M432" s="252"/>
      <c r="N432" s="250"/>
      <c r="O432" s="253"/>
      <c r="P432" s="240"/>
      <c r="Q432" s="148"/>
      <c r="R432" s="148"/>
      <c r="S432" s="242"/>
      <c r="T432" s="242"/>
      <c r="U432" s="242"/>
      <c r="V432" s="242"/>
      <c r="W432" s="242"/>
      <c r="X432" s="242"/>
      <c r="Y432" s="148"/>
      <c r="Z432" s="148"/>
    </row>
    <row r="433">
      <c r="A433" s="522" t="s">
        <v>747</v>
      </c>
      <c r="B433" s="523">
        <f>SUM(B400:B431)</f>
        <v>16314.59</v>
      </c>
      <c r="C433" s="148"/>
      <c r="D433" s="245"/>
      <c r="E433" s="148"/>
      <c r="F433" s="277"/>
      <c r="G433" s="148"/>
      <c r="H433" s="148"/>
      <c r="I433" s="251"/>
      <c r="J433" s="251"/>
      <c r="K433" s="148"/>
      <c r="L433" s="277"/>
      <c r="M433" s="252"/>
      <c r="N433" s="250"/>
      <c r="O433" s="253"/>
      <c r="P433" s="240"/>
      <c r="Q433" s="148"/>
      <c r="R433" s="148"/>
      <c r="S433" s="242"/>
      <c r="T433" s="242"/>
      <c r="U433" s="242"/>
      <c r="V433" s="242"/>
      <c r="W433" s="242"/>
      <c r="X433" s="242"/>
      <c r="Y433" s="148"/>
      <c r="Z433" s="148"/>
    </row>
    <row r="434" ht="9.75" customHeight="1">
      <c r="A434" s="524"/>
      <c r="B434" s="525"/>
      <c r="C434" s="148"/>
      <c r="D434" s="245"/>
      <c r="E434" s="148"/>
      <c r="F434" s="277"/>
      <c r="G434" s="148"/>
      <c r="H434" s="148"/>
      <c r="I434" s="251"/>
      <c r="J434" s="251"/>
      <c r="K434" s="148"/>
      <c r="L434" s="277"/>
      <c r="M434" s="252"/>
      <c r="N434" s="250"/>
      <c r="O434" s="253"/>
      <c r="P434" s="240"/>
      <c r="Q434" s="148"/>
      <c r="R434" s="148"/>
      <c r="S434" s="242"/>
      <c r="T434" s="242"/>
      <c r="U434" s="242"/>
      <c r="V434" s="242"/>
      <c r="W434" s="242"/>
      <c r="X434" s="242"/>
      <c r="Y434" s="148"/>
      <c r="Z434" s="148"/>
    </row>
    <row r="435">
      <c r="A435" s="526" t="s">
        <v>748</v>
      </c>
      <c r="B435" s="527"/>
      <c r="C435" s="148"/>
      <c r="D435" s="245"/>
      <c r="E435" s="148"/>
      <c r="F435" s="277"/>
      <c r="G435" s="148"/>
      <c r="H435" s="148"/>
      <c r="I435" s="251"/>
      <c r="J435" s="251"/>
      <c r="K435" s="148"/>
      <c r="L435" s="277"/>
      <c r="M435" s="252"/>
      <c r="N435" s="250"/>
      <c r="O435" s="253"/>
      <c r="P435" s="240"/>
      <c r="Q435" s="148"/>
      <c r="R435" s="148"/>
      <c r="S435" s="242"/>
      <c r="T435" s="242"/>
      <c r="U435" s="242"/>
      <c r="V435" s="242"/>
      <c r="W435" s="242"/>
      <c r="X435" s="242"/>
      <c r="Y435" s="148"/>
      <c r="Z435" s="148"/>
    </row>
    <row r="436">
      <c r="A436" s="528" t="s">
        <v>695</v>
      </c>
      <c r="B436" s="529">
        <f>SUM(F360,F396,F324,F288,F252,F216,F180,F144,F108,F71,F34)</f>
        <v>2695</v>
      </c>
      <c r="C436" s="148"/>
      <c r="D436" s="245"/>
      <c r="E436" s="148"/>
      <c r="F436" s="277"/>
      <c r="G436" s="148"/>
      <c r="H436" s="148"/>
      <c r="I436" s="251"/>
      <c r="J436" s="251"/>
      <c r="K436" s="148"/>
      <c r="L436" s="277"/>
      <c r="M436" s="252"/>
      <c r="N436" s="250"/>
      <c r="O436" s="253"/>
      <c r="P436" s="240"/>
      <c r="Q436" s="148"/>
      <c r="R436" s="148"/>
      <c r="S436" s="242"/>
      <c r="T436" s="242"/>
      <c r="U436" s="242"/>
      <c r="V436" s="242"/>
      <c r="W436" s="242"/>
      <c r="X436" s="242"/>
      <c r="Y436" s="148"/>
      <c r="Z436" s="148"/>
    </row>
    <row r="437">
      <c r="A437" s="528" t="s">
        <v>749</v>
      </c>
      <c r="B437" s="530">
        <f>SUM(F4:F31,F41:F68,F69,F78:F105,F114:F141,F150:F177,F186:F213,F222:F249,F258:F285,F294:F321,F330:F357,F366:F393,B436)</f>
        <v>23920</v>
      </c>
      <c r="C437" s="333"/>
      <c r="D437" s="245"/>
      <c r="E437" s="333"/>
      <c r="F437" s="277"/>
      <c r="G437" s="148"/>
      <c r="H437" s="148"/>
      <c r="I437" s="251"/>
      <c r="J437" s="251"/>
      <c r="K437" s="148"/>
      <c r="L437" s="277"/>
      <c r="M437" s="252"/>
      <c r="N437" s="250"/>
      <c r="O437" s="253"/>
      <c r="P437" s="240"/>
      <c r="Q437" s="148"/>
      <c r="R437" s="148"/>
      <c r="S437" s="242"/>
      <c r="T437" s="242"/>
      <c r="U437" s="242"/>
      <c r="V437" s="242"/>
      <c r="W437" s="242"/>
      <c r="X437" s="242"/>
      <c r="Y437" s="148"/>
      <c r="Z437" s="148"/>
    </row>
    <row r="438">
      <c r="A438" s="528" t="s">
        <v>750</v>
      </c>
      <c r="B438" s="530">
        <f>SUM(F394,F358,F359,F322,F323,F286:F287,F250:F251,F214,F215,F178:F179,F142:F143,F106:F107,F69:F70,F32:F33)</f>
        <v>530</v>
      </c>
      <c r="C438" s="333"/>
      <c r="D438" s="245"/>
      <c r="E438" s="315"/>
      <c r="F438" s="277"/>
      <c r="G438" s="148"/>
      <c r="H438" s="148"/>
      <c r="I438" s="251"/>
      <c r="J438" s="251"/>
      <c r="K438" s="148"/>
      <c r="L438" s="277"/>
      <c r="M438" s="252"/>
      <c r="N438" s="250"/>
      <c r="O438" s="253"/>
      <c r="P438" s="240"/>
      <c r="Q438" s="148"/>
      <c r="R438" s="148"/>
      <c r="S438" s="242"/>
      <c r="T438" s="242"/>
      <c r="U438" s="242"/>
      <c r="V438" s="242"/>
      <c r="W438" s="242"/>
      <c r="X438" s="242"/>
      <c r="Y438" s="148"/>
      <c r="Z438" s="148"/>
    </row>
    <row r="439">
      <c r="A439" s="528" t="s">
        <v>751</v>
      </c>
      <c r="B439" s="531">
        <f>SUM(F393,F357,F321,F285,F249,F213,F177,F141,F105,F68,F31)</f>
        <v>0</v>
      </c>
      <c r="C439" s="333"/>
      <c r="D439" s="245"/>
      <c r="E439" s="315"/>
      <c r="F439" s="277"/>
      <c r="G439" s="148"/>
      <c r="H439" s="148"/>
      <c r="I439" s="251"/>
      <c r="J439" s="251"/>
      <c r="K439" s="148"/>
      <c r="L439" s="277"/>
      <c r="M439" s="252"/>
      <c r="N439" s="250"/>
      <c r="O439" s="253"/>
      <c r="P439" s="240"/>
      <c r="Q439" s="148"/>
      <c r="R439" s="148"/>
      <c r="S439" s="242"/>
      <c r="T439" s="242"/>
      <c r="U439" s="242"/>
      <c r="V439" s="242"/>
      <c r="W439" s="242"/>
      <c r="X439" s="242"/>
      <c r="Y439" s="148"/>
      <c r="Z439" s="148"/>
    </row>
    <row r="440">
      <c r="A440" s="342" t="s">
        <v>752</v>
      </c>
      <c r="B440" s="532">
        <f>SUM(B437,B439)</f>
        <v>23920</v>
      </c>
      <c r="C440" s="333"/>
      <c r="D440" s="245"/>
      <c r="E440" s="315"/>
      <c r="F440" s="277"/>
      <c r="G440" s="148"/>
      <c r="H440" s="148"/>
      <c r="I440" s="251"/>
      <c r="J440" s="251"/>
      <c r="K440" s="148"/>
      <c r="L440" s="277"/>
      <c r="M440" s="252"/>
      <c r="N440" s="250"/>
      <c r="O440" s="253"/>
      <c r="P440" s="240"/>
      <c r="Q440" s="148"/>
      <c r="R440" s="148"/>
      <c r="S440" s="242"/>
      <c r="T440" s="242"/>
      <c r="U440" s="242"/>
      <c r="V440" s="242"/>
      <c r="W440" s="242"/>
      <c r="X440" s="242"/>
      <c r="Y440" s="148"/>
      <c r="Z440" s="148"/>
    </row>
    <row r="441">
      <c r="A441" s="528" t="s">
        <v>753</v>
      </c>
      <c r="B441" s="530">
        <f>SUM(P5:P32,P33,P42:P70,P79:P107,P115:P143,P151:P179,P187:P215,P223:P251,P259:P287,P295:P322,P323,P331:P359,P367:P395)</f>
        <v>5364</v>
      </c>
      <c r="C441" s="148"/>
      <c r="D441" s="245"/>
      <c r="E441" s="315"/>
      <c r="F441" s="277"/>
      <c r="G441" s="148"/>
      <c r="H441" s="148"/>
      <c r="I441" s="251"/>
      <c r="J441" s="251"/>
      <c r="K441" s="148"/>
      <c r="L441" s="277"/>
      <c r="M441" s="252"/>
      <c r="N441" s="250"/>
      <c r="O441" s="253"/>
      <c r="P441" s="240"/>
      <c r="Q441" s="148"/>
      <c r="R441" s="148"/>
      <c r="S441" s="242"/>
      <c r="T441" s="242"/>
      <c r="U441" s="242"/>
      <c r="V441" s="242"/>
      <c r="W441" s="242"/>
      <c r="X441" s="242"/>
      <c r="Y441" s="148"/>
      <c r="Z441" s="148"/>
    </row>
    <row r="442">
      <c r="A442" s="528" t="s">
        <v>754</v>
      </c>
      <c r="B442" s="532">
        <f>SUM(C10,C47,C84,C120,C156,C192,C228,C264,C300,C336,C372)</f>
        <v>2146</v>
      </c>
      <c r="C442" s="148"/>
      <c r="D442" s="245"/>
      <c r="E442" s="315"/>
      <c r="F442" s="277"/>
      <c r="G442" s="148"/>
      <c r="H442" s="148"/>
      <c r="I442" s="251"/>
      <c r="J442" s="251"/>
      <c r="K442" s="148"/>
      <c r="L442" s="277"/>
      <c r="M442" s="252"/>
      <c r="N442" s="250"/>
      <c r="O442" s="253"/>
      <c r="P442" s="240"/>
      <c r="Q442" s="148"/>
      <c r="R442" s="148"/>
      <c r="S442" s="242"/>
      <c r="T442" s="242"/>
      <c r="U442" s="242"/>
      <c r="V442" s="242"/>
      <c r="W442" s="242"/>
      <c r="X442" s="242"/>
      <c r="Y442" s="148"/>
      <c r="Z442" s="148"/>
    </row>
    <row r="443">
      <c r="A443" s="528" t="s">
        <v>755</v>
      </c>
      <c r="B443" s="532">
        <f>SUM(L33,L70,L107,L143,L179,L215,L251,L287,L323,L359,L395)</f>
        <v>1911</v>
      </c>
      <c r="C443" s="148"/>
      <c r="D443" s="245"/>
      <c r="E443" s="315"/>
      <c r="F443" s="277"/>
      <c r="G443" s="148"/>
      <c r="H443" s="148"/>
      <c r="I443" s="251"/>
      <c r="J443" s="251"/>
      <c r="K443" s="148"/>
      <c r="L443" s="277"/>
      <c r="M443" s="252"/>
      <c r="N443" s="250"/>
      <c r="O443" s="253"/>
      <c r="P443" s="240"/>
      <c r="Q443" s="148"/>
      <c r="R443" s="148"/>
      <c r="S443" s="242"/>
      <c r="T443" s="242"/>
      <c r="U443" s="242"/>
      <c r="V443" s="242"/>
      <c r="W443" s="242"/>
      <c r="X443" s="242"/>
      <c r="Y443" s="148"/>
      <c r="Z443" s="148"/>
    </row>
    <row r="444" ht="9.75" customHeight="1">
      <c r="A444" s="533"/>
      <c r="B444" s="527"/>
      <c r="C444" s="148"/>
      <c r="D444" s="245"/>
      <c r="E444" s="148"/>
      <c r="F444" s="277"/>
      <c r="G444" s="148"/>
      <c r="H444" s="148"/>
      <c r="I444" s="251"/>
      <c r="J444" s="251"/>
      <c r="K444" s="148"/>
      <c r="L444" s="277"/>
      <c r="M444" s="252"/>
      <c r="N444" s="250"/>
      <c r="O444" s="253"/>
      <c r="P444" s="240"/>
      <c r="Q444" s="148"/>
      <c r="R444" s="148"/>
      <c r="S444" s="242"/>
      <c r="T444" s="242"/>
      <c r="U444" s="242"/>
      <c r="V444" s="242"/>
      <c r="W444" s="242"/>
      <c r="X444" s="242"/>
      <c r="Y444" s="148"/>
      <c r="Z444" s="148"/>
    </row>
    <row r="445" ht="17.25" customHeight="1">
      <c r="A445" s="534" t="s">
        <v>756</v>
      </c>
      <c r="B445" s="527"/>
      <c r="C445" s="148"/>
      <c r="D445" s="245"/>
      <c r="E445" s="148"/>
      <c r="F445" s="277"/>
      <c r="G445" s="148"/>
      <c r="H445" s="148"/>
      <c r="I445" s="251"/>
      <c r="J445" s="251"/>
      <c r="K445" s="148"/>
      <c r="L445" s="277"/>
      <c r="M445" s="252"/>
      <c r="N445" s="250"/>
      <c r="O445" s="253"/>
      <c r="P445" s="240"/>
      <c r="Q445" s="148"/>
      <c r="R445" s="148"/>
      <c r="S445" s="242"/>
      <c r="T445" s="242"/>
      <c r="U445" s="242"/>
      <c r="V445" s="242"/>
      <c r="W445" s="242"/>
      <c r="X445" s="242"/>
      <c r="Y445" s="148"/>
      <c r="Z445" s="148"/>
    </row>
    <row r="446">
      <c r="A446" s="535" t="s">
        <v>757</v>
      </c>
      <c r="B446" s="532">
        <f>SUM(B440-B433-B442)</f>
        <v>5459.41</v>
      </c>
      <c r="C446" s="148"/>
      <c r="D446" s="245"/>
      <c r="E446" s="148"/>
      <c r="F446" s="277"/>
      <c r="G446" s="148"/>
      <c r="H446" s="148"/>
      <c r="I446" s="251"/>
      <c r="J446" s="251"/>
      <c r="K446" s="148"/>
      <c r="L446" s="277"/>
      <c r="M446" s="252"/>
      <c r="N446" s="250"/>
      <c r="O446" s="253"/>
      <c r="P446" s="240"/>
      <c r="Q446" s="148"/>
      <c r="R446" s="148"/>
      <c r="S446" s="242"/>
      <c r="T446" s="242"/>
      <c r="U446" s="242"/>
      <c r="V446" s="242"/>
      <c r="W446" s="242"/>
      <c r="X446" s="242"/>
      <c r="Y446" s="148"/>
      <c r="Z446" s="148"/>
    </row>
    <row r="447" ht="7.5" customHeight="1">
      <c r="A447" s="342"/>
      <c r="B447" s="525"/>
      <c r="C447" s="148"/>
      <c r="D447" s="245"/>
      <c r="E447" s="148"/>
      <c r="F447" s="277"/>
      <c r="G447" s="148"/>
      <c r="H447" s="148"/>
      <c r="I447" s="251"/>
      <c r="J447" s="251"/>
      <c r="K447" s="148"/>
      <c r="L447" s="277"/>
      <c r="M447" s="252"/>
      <c r="N447" s="250"/>
      <c r="O447" s="253"/>
      <c r="P447" s="240"/>
      <c r="Q447" s="148"/>
      <c r="R447" s="148"/>
      <c r="S447" s="242"/>
      <c r="T447" s="242"/>
      <c r="U447" s="242"/>
      <c r="V447" s="242"/>
      <c r="W447" s="242"/>
      <c r="X447" s="242"/>
      <c r="Y447" s="148"/>
      <c r="Z447" s="148"/>
    </row>
    <row r="448">
      <c r="A448" s="536" t="s">
        <v>758</v>
      </c>
      <c r="B448" s="537">
        <f>SUM(B440-B433-B443)</f>
        <v>5694.41</v>
      </c>
      <c r="C448" s="148"/>
      <c r="D448" s="245"/>
      <c r="E448" s="148"/>
      <c r="F448" s="277"/>
      <c r="G448" s="148"/>
      <c r="H448" s="148"/>
      <c r="I448" s="251"/>
      <c r="J448" s="251"/>
      <c r="K448" s="148"/>
      <c r="L448" s="277"/>
      <c r="M448" s="252"/>
      <c r="N448" s="250"/>
      <c r="O448" s="253"/>
      <c r="P448" s="240"/>
      <c r="Q448" s="148"/>
      <c r="R448" s="148"/>
      <c r="S448" s="242"/>
      <c r="T448" s="242"/>
      <c r="U448" s="242"/>
      <c r="V448" s="242"/>
      <c r="W448" s="242"/>
      <c r="X448" s="242"/>
      <c r="Y448" s="148"/>
      <c r="Z448" s="148"/>
    </row>
    <row r="449">
      <c r="A449" s="538"/>
      <c r="B449" s="148"/>
      <c r="C449" s="148"/>
      <c r="D449" s="245"/>
      <c r="E449" s="148"/>
      <c r="F449" s="277"/>
      <c r="G449" s="148"/>
      <c r="H449" s="148"/>
      <c r="I449" s="251"/>
      <c r="J449" s="251"/>
      <c r="K449" s="148"/>
      <c r="L449" s="277"/>
      <c r="M449" s="252"/>
      <c r="N449" s="250"/>
      <c r="O449" s="253"/>
      <c r="P449" s="240"/>
      <c r="Q449" s="148"/>
      <c r="R449" s="148"/>
      <c r="S449" s="242"/>
      <c r="T449" s="242"/>
      <c r="U449" s="242"/>
      <c r="V449" s="242"/>
      <c r="W449" s="242"/>
      <c r="X449" s="242"/>
      <c r="Y449" s="148"/>
      <c r="Z449" s="148"/>
    </row>
    <row r="450">
      <c r="A450" s="538" t="s">
        <v>759</v>
      </c>
      <c r="B450" s="148"/>
      <c r="C450" s="148"/>
      <c r="D450" s="245"/>
      <c r="E450" s="148"/>
      <c r="F450" s="277"/>
      <c r="G450" s="148"/>
      <c r="H450" s="148"/>
      <c r="I450" s="251"/>
      <c r="J450" s="251"/>
      <c r="K450" s="148"/>
      <c r="L450" s="277"/>
      <c r="M450" s="252"/>
      <c r="N450" s="250"/>
      <c r="O450" s="253"/>
      <c r="P450" s="240"/>
      <c r="Q450" s="148"/>
      <c r="R450" s="148"/>
      <c r="S450" s="242"/>
      <c r="T450" s="242"/>
      <c r="U450" s="242"/>
      <c r="V450" s="242"/>
      <c r="W450" s="242"/>
      <c r="X450" s="242"/>
      <c r="Y450" s="148"/>
      <c r="Z450" s="148"/>
    </row>
    <row r="451">
      <c r="A451" s="538"/>
      <c r="B451" s="148"/>
      <c r="C451" s="148"/>
      <c r="D451" s="245"/>
      <c r="E451" s="148"/>
      <c r="F451" s="277"/>
      <c r="G451" s="148"/>
      <c r="H451" s="148"/>
      <c r="I451" s="251"/>
      <c r="J451" s="251"/>
      <c r="K451" s="148"/>
      <c r="L451" s="277"/>
      <c r="M451" s="252"/>
      <c r="N451" s="250"/>
      <c r="O451" s="253"/>
      <c r="P451" s="240"/>
      <c r="Q451" s="148"/>
      <c r="R451" s="148"/>
      <c r="S451" s="242"/>
      <c r="T451" s="242"/>
      <c r="U451" s="242"/>
      <c r="V451" s="242"/>
      <c r="W451" s="242"/>
      <c r="X451" s="242"/>
      <c r="Y451" s="148"/>
      <c r="Z451" s="148"/>
    </row>
    <row r="452">
      <c r="A452" s="400"/>
      <c r="B452" s="148"/>
      <c r="C452" s="148"/>
      <c r="D452" s="245"/>
      <c r="E452" s="148"/>
      <c r="F452" s="277"/>
      <c r="G452" s="148"/>
      <c r="H452" s="148"/>
      <c r="I452" s="251"/>
      <c r="J452" s="251"/>
      <c r="K452" s="148"/>
      <c r="L452" s="277"/>
      <c r="M452" s="252"/>
      <c r="N452" s="250"/>
      <c r="O452" s="253"/>
      <c r="P452" s="240"/>
      <c r="Q452" s="148"/>
      <c r="R452" s="148"/>
      <c r="S452" s="242"/>
      <c r="T452" s="242"/>
      <c r="U452" s="242"/>
      <c r="V452" s="242"/>
      <c r="W452" s="242"/>
      <c r="X452" s="242"/>
      <c r="Y452" s="148"/>
      <c r="Z452" s="148"/>
    </row>
    <row r="453">
      <c r="A453" s="400"/>
      <c r="B453" s="148"/>
      <c r="C453" s="148"/>
      <c r="D453" s="245"/>
      <c r="E453" s="148"/>
      <c r="F453" s="277"/>
      <c r="G453" s="148"/>
      <c r="H453" s="148"/>
      <c r="I453" s="251"/>
      <c r="J453" s="251"/>
      <c r="K453" s="148"/>
      <c r="L453" s="277"/>
      <c r="M453" s="252"/>
      <c r="N453" s="250"/>
      <c r="O453" s="253"/>
      <c r="P453" s="240"/>
      <c r="Q453" s="148"/>
      <c r="R453" s="148"/>
      <c r="S453" s="242"/>
      <c r="T453" s="242"/>
      <c r="U453" s="242"/>
      <c r="V453" s="242"/>
      <c r="W453" s="242"/>
      <c r="X453" s="242"/>
      <c r="Y453" s="148"/>
      <c r="Z453" s="148"/>
    </row>
    <row r="454">
      <c r="A454" s="400"/>
      <c r="B454" s="148"/>
      <c r="C454" s="148"/>
      <c r="D454" s="245"/>
      <c r="E454" s="148"/>
      <c r="F454" s="277"/>
      <c r="G454" s="148"/>
      <c r="H454" s="148"/>
      <c r="I454" s="251"/>
      <c r="J454" s="251"/>
      <c r="K454" s="148"/>
      <c r="L454" s="277"/>
      <c r="M454" s="252"/>
      <c r="N454" s="250"/>
      <c r="O454" s="253"/>
      <c r="P454" s="240"/>
      <c r="Q454" s="148"/>
      <c r="R454" s="148"/>
      <c r="S454" s="242"/>
      <c r="T454" s="242"/>
      <c r="U454" s="242"/>
      <c r="V454" s="242"/>
      <c r="W454" s="242"/>
      <c r="X454" s="242"/>
      <c r="Y454" s="148"/>
      <c r="Z454" s="148"/>
    </row>
    <row r="455">
      <c r="A455" s="400"/>
      <c r="B455" s="148"/>
      <c r="C455" s="148"/>
      <c r="D455" s="245"/>
      <c r="E455" s="148"/>
      <c r="F455" s="277"/>
      <c r="G455" s="148"/>
      <c r="H455" s="148"/>
      <c r="I455" s="251"/>
      <c r="J455" s="251"/>
      <c r="K455" s="148"/>
      <c r="L455" s="277"/>
      <c r="M455" s="252"/>
      <c r="N455" s="250"/>
      <c r="O455" s="253"/>
      <c r="P455" s="240"/>
      <c r="Q455" s="148"/>
      <c r="R455" s="148"/>
      <c r="S455" s="242"/>
      <c r="T455" s="242"/>
      <c r="U455" s="242"/>
      <c r="V455" s="242"/>
      <c r="W455" s="242"/>
      <c r="X455" s="242"/>
      <c r="Y455" s="148"/>
      <c r="Z455" s="148"/>
    </row>
    <row r="456">
      <c r="A456" s="400"/>
      <c r="B456" s="148"/>
      <c r="C456" s="148"/>
      <c r="D456" s="245"/>
      <c r="E456" s="148"/>
      <c r="F456" s="277"/>
      <c r="G456" s="148"/>
      <c r="H456" s="148"/>
      <c r="I456" s="251"/>
      <c r="J456" s="251"/>
      <c r="K456" s="148"/>
      <c r="L456" s="277"/>
      <c r="M456" s="252"/>
      <c r="N456" s="250"/>
      <c r="O456" s="253"/>
      <c r="P456" s="240"/>
      <c r="Q456" s="148"/>
      <c r="R456" s="148"/>
      <c r="S456" s="242"/>
      <c r="T456" s="242"/>
      <c r="U456" s="242"/>
      <c r="V456" s="242"/>
      <c r="W456" s="242"/>
      <c r="X456" s="242"/>
      <c r="Y456" s="148"/>
      <c r="Z456" s="148"/>
    </row>
    <row r="457">
      <c r="A457" s="400"/>
      <c r="B457" s="148"/>
      <c r="C457" s="148"/>
      <c r="D457" s="245"/>
      <c r="E457" s="148"/>
      <c r="F457" s="277"/>
      <c r="G457" s="148"/>
      <c r="H457" s="148"/>
      <c r="I457" s="251"/>
      <c r="J457" s="251"/>
      <c r="K457" s="148"/>
      <c r="L457" s="277"/>
      <c r="M457" s="252"/>
      <c r="N457" s="250"/>
      <c r="O457" s="253"/>
      <c r="P457" s="240"/>
      <c r="Q457" s="148"/>
      <c r="R457" s="148"/>
      <c r="S457" s="242"/>
      <c r="T457" s="242"/>
      <c r="U457" s="242"/>
      <c r="V457" s="242"/>
      <c r="W457" s="242"/>
      <c r="X457" s="242"/>
      <c r="Y457" s="148"/>
      <c r="Z457" s="148"/>
    </row>
    <row r="458">
      <c r="A458" s="400"/>
      <c r="B458" s="148"/>
      <c r="C458" s="148"/>
      <c r="D458" s="245"/>
      <c r="E458" s="148"/>
      <c r="F458" s="277"/>
      <c r="G458" s="148"/>
      <c r="H458" s="148"/>
      <c r="I458" s="251"/>
      <c r="J458" s="251"/>
      <c r="K458" s="148"/>
      <c r="L458" s="277"/>
      <c r="M458" s="252"/>
      <c r="N458" s="250"/>
      <c r="O458" s="253"/>
      <c r="P458" s="240"/>
      <c r="Q458" s="148"/>
      <c r="R458" s="148"/>
      <c r="S458" s="242"/>
      <c r="T458" s="242"/>
      <c r="U458" s="242"/>
      <c r="V458" s="242"/>
      <c r="W458" s="242"/>
      <c r="X458" s="242"/>
      <c r="Y458" s="148"/>
      <c r="Z458" s="148"/>
    </row>
    <row r="459">
      <c r="A459" s="400"/>
      <c r="B459" s="148"/>
      <c r="C459" s="148"/>
      <c r="D459" s="245"/>
      <c r="E459" s="148"/>
      <c r="F459" s="277"/>
      <c r="G459" s="148"/>
      <c r="H459" s="148"/>
      <c r="I459" s="251"/>
      <c r="J459" s="251"/>
      <c r="K459" s="148"/>
      <c r="L459" s="277"/>
      <c r="M459" s="252"/>
      <c r="N459" s="250"/>
      <c r="O459" s="253"/>
      <c r="P459" s="240"/>
      <c r="Q459" s="148"/>
      <c r="R459" s="148"/>
      <c r="S459" s="242"/>
      <c r="T459" s="242"/>
      <c r="U459" s="242"/>
      <c r="V459" s="242"/>
      <c r="W459" s="242"/>
      <c r="X459" s="242"/>
      <c r="Y459" s="148"/>
      <c r="Z459" s="148"/>
    </row>
    <row r="460">
      <c r="A460" s="400"/>
      <c r="B460" s="148"/>
      <c r="C460" s="148"/>
      <c r="D460" s="245"/>
      <c r="E460" s="148"/>
      <c r="F460" s="277"/>
      <c r="G460" s="148"/>
      <c r="H460" s="148"/>
      <c r="I460" s="251"/>
      <c r="J460" s="251"/>
      <c r="K460" s="148"/>
      <c r="L460" s="277"/>
      <c r="M460" s="252"/>
      <c r="N460" s="250"/>
      <c r="O460" s="253"/>
      <c r="P460" s="240"/>
      <c r="Q460" s="148"/>
      <c r="R460" s="148"/>
      <c r="S460" s="242"/>
      <c r="T460" s="242"/>
      <c r="U460" s="242"/>
      <c r="V460" s="242"/>
      <c r="W460" s="242"/>
      <c r="X460" s="242"/>
      <c r="Y460" s="148"/>
      <c r="Z460" s="148"/>
    </row>
    <row r="461">
      <c r="A461" s="400"/>
      <c r="B461" s="148"/>
      <c r="C461" s="148"/>
      <c r="D461" s="245"/>
      <c r="E461" s="148"/>
      <c r="F461" s="277"/>
      <c r="G461" s="148"/>
      <c r="H461" s="148"/>
      <c r="I461" s="251"/>
      <c r="J461" s="251"/>
      <c r="K461" s="148"/>
      <c r="L461" s="277"/>
      <c r="M461" s="252"/>
      <c r="N461" s="250"/>
      <c r="O461" s="253"/>
      <c r="P461" s="240"/>
      <c r="Q461" s="148"/>
      <c r="R461" s="148"/>
      <c r="S461" s="242"/>
      <c r="T461" s="242"/>
      <c r="U461" s="242"/>
      <c r="V461" s="242"/>
      <c r="W461" s="242"/>
      <c r="X461" s="242"/>
      <c r="Y461" s="148"/>
      <c r="Z461" s="148"/>
    </row>
    <row r="462">
      <c r="A462" s="400"/>
      <c r="B462" s="148"/>
      <c r="C462" s="148"/>
      <c r="D462" s="245"/>
      <c r="E462" s="148"/>
      <c r="F462" s="277"/>
      <c r="G462" s="148"/>
      <c r="H462" s="148"/>
      <c r="I462" s="251"/>
      <c r="J462" s="251"/>
      <c r="K462" s="148"/>
      <c r="L462" s="277"/>
      <c r="M462" s="252"/>
      <c r="N462" s="250"/>
      <c r="O462" s="253"/>
      <c r="P462" s="240"/>
      <c r="Q462" s="148"/>
      <c r="R462" s="148"/>
      <c r="S462" s="242"/>
      <c r="T462" s="242"/>
      <c r="U462" s="242"/>
      <c r="V462" s="242"/>
      <c r="W462" s="242"/>
      <c r="X462" s="242"/>
      <c r="Y462" s="148"/>
      <c r="Z462" s="148"/>
    </row>
    <row r="463">
      <c r="A463" s="400"/>
      <c r="B463" s="148"/>
      <c r="C463" s="148"/>
      <c r="D463" s="245"/>
      <c r="E463" s="148"/>
      <c r="F463" s="277"/>
      <c r="G463" s="148"/>
      <c r="H463" s="148"/>
      <c r="I463" s="251"/>
      <c r="J463" s="251"/>
      <c r="K463" s="148"/>
      <c r="L463" s="277"/>
      <c r="M463" s="252"/>
      <c r="N463" s="250"/>
      <c r="O463" s="253"/>
      <c r="P463" s="240"/>
      <c r="Q463" s="148"/>
      <c r="R463" s="148"/>
      <c r="S463" s="242"/>
      <c r="T463" s="242"/>
      <c r="U463" s="242"/>
      <c r="V463" s="242"/>
      <c r="W463" s="242"/>
      <c r="X463" s="242"/>
      <c r="Y463" s="148"/>
      <c r="Z463" s="148"/>
    </row>
    <row r="464">
      <c r="A464" s="400"/>
      <c r="B464" s="148"/>
      <c r="C464" s="148"/>
      <c r="D464" s="245"/>
      <c r="E464" s="148"/>
      <c r="F464" s="277"/>
      <c r="G464" s="148"/>
      <c r="H464" s="148"/>
      <c r="I464" s="251"/>
      <c r="J464" s="251"/>
      <c r="K464" s="148"/>
      <c r="L464" s="277"/>
      <c r="M464" s="252"/>
      <c r="N464" s="250"/>
      <c r="O464" s="253"/>
      <c r="P464" s="240"/>
      <c r="Q464" s="148"/>
      <c r="R464" s="148"/>
      <c r="S464" s="242"/>
      <c r="T464" s="242"/>
      <c r="U464" s="242"/>
      <c r="V464" s="242"/>
      <c r="W464" s="242"/>
      <c r="X464" s="242"/>
      <c r="Y464" s="148"/>
      <c r="Z464" s="148"/>
    </row>
    <row r="465">
      <c r="A465" s="400"/>
      <c r="B465" s="148"/>
      <c r="C465" s="148"/>
      <c r="D465" s="245"/>
      <c r="E465" s="148"/>
      <c r="F465" s="277"/>
      <c r="G465" s="148"/>
      <c r="H465" s="148"/>
      <c r="I465" s="251"/>
      <c r="J465" s="251"/>
      <c r="K465" s="148"/>
      <c r="L465" s="277"/>
      <c r="M465" s="252"/>
      <c r="N465" s="250"/>
      <c r="O465" s="253"/>
      <c r="P465" s="240"/>
      <c r="Q465" s="148"/>
      <c r="R465" s="148"/>
      <c r="S465" s="242"/>
      <c r="T465" s="242"/>
      <c r="U465" s="242"/>
      <c r="V465" s="242"/>
      <c r="W465" s="242"/>
      <c r="X465" s="242"/>
      <c r="Y465" s="148"/>
      <c r="Z465" s="148"/>
    </row>
    <row r="466">
      <c r="A466" s="400"/>
      <c r="B466" s="148"/>
      <c r="C466" s="148"/>
      <c r="D466" s="245"/>
      <c r="E466" s="148"/>
      <c r="F466" s="277"/>
      <c r="G466" s="148"/>
      <c r="H466" s="148"/>
      <c r="I466" s="251"/>
      <c r="J466" s="251"/>
      <c r="K466" s="148"/>
      <c r="L466" s="277"/>
      <c r="M466" s="252"/>
      <c r="N466" s="250"/>
      <c r="O466" s="253"/>
      <c r="P466" s="240"/>
      <c r="Q466" s="148"/>
      <c r="R466" s="148"/>
      <c r="S466" s="242"/>
      <c r="T466" s="242"/>
      <c r="U466" s="242"/>
      <c r="V466" s="242"/>
      <c r="W466" s="242"/>
      <c r="X466" s="242"/>
      <c r="Y466" s="148"/>
      <c r="Z466" s="148"/>
    </row>
    <row r="467">
      <c r="A467" s="400"/>
      <c r="B467" s="148"/>
      <c r="C467" s="148"/>
      <c r="D467" s="245"/>
      <c r="E467" s="148"/>
      <c r="F467" s="277"/>
      <c r="G467" s="148"/>
      <c r="H467" s="148"/>
      <c r="I467" s="251"/>
      <c r="J467" s="251"/>
      <c r="K467" s="148"/>
      <c r="L467" s="277"/>
      <c r="M467" s="252"/>
      <c r="N467" s="250"/>
      <c r="O467" s="253"/>
      <c r="P467" s="240"/>
      <c r="Q467" s="148"/>
      <c r="R467" s="148"/>
      <c r="S467" s="242"/>
      <c r="T467" s="242"/>
      <c r="U467" s="242"/>
      <c r="V467" s="242"/>
      <c r="W467" s="242"/>
      <c r="X467" s="242"/>
      <c r="Y467" s="148"/>
      <c r="Z467" s="148"/>
    </row>
    <row r="468">
      <c r="A468" s="400"/>
      <c r="B468" s="148"/>
      <c r="C468" s="148"/>
      <c r="D468" s="245"/>
      <c r="E468" s="148"/>
      <c r="F468" s="277"/>
      <c r="G468" s="148"/>
      <c r="H468" s="148"/>
      <c r="I468" s="251"/>
      <c r="J468" s="251"/>
      <c r="K468" s="148"/>
      <c r="L468" s="277"/>
      <c r="M468" s="252"/>
      <c r="N468" s="250"/>
      <c r="O468" s="253"/>
      <c r="P468" s="240"/>
      <c r="Q468" s="148"/>
      <c r="R468" s="148"/>
      <c r="S468" s="242"/>
      <c r="T468" s="242"/>
      <c r="U468" s="242"/>
      <c r="V468" s="242"/>
      <c r="W468" s="242"/>
      <c r="X468" s="242"/>
      <c r="Y468" s="148"/>
      <c r="Z468" s="148"/>
    </row>
    <row r="469">
      <c r="A469" s="400"/>
      <c r="B469" s="148"/>
      <c r="C469" s="148"/>
      <c r="D469" s="245"/>
      <c r="E469" s="148"/>
      <c r="F469" s="277"/>
      <c r="G469" s="148"/>
      <c r="H469" s="148"/>
      <c r="I469" s="251"/>
      <c r="J469" s="251"/>
      <c r="K469" s="148"/>
      <c r="L469" s="277"/>
      <c r="M469" s="252"/>
      <c r="N469" s="250"/>
      <c r="O469" s="253"/>
      <c r="P469" s="240"/>
      <c r="Q469" s="148"/>
      <c r="R469" s="148"/>
      <c r="S469" s="242"/>
      <c r="T469" s="242"/>
      <c r="U469" s="242"/>
      <c r="V469" s="242"/>
      <c r="W469" s="242"/>
      <c r="X469" s="242"/>
      <c r="Y469" s="148"/>
      <c r="Z469" s="148"/>
    </row>
    <row r="470">
      <c r="A470" s="400"/>
      <c r="B470" s="148"/>
      <c r="C470" s="148"/>
      <c r="D470" s="245"/>
      <c r="E470" s="148"/>
      <c r="F470" s="277"/>
      <c r="G470" s="148"/>
      <c r="H470" s="148"/>
      <c r="I470" s="251"/>
      <c r="J470" s="251"/>
      <c r="K470" s="148"/>
      <c r="L470" s="277"/>
      <c r="M470" s="252"/>
      <c r="N470" s="250"/>
      <c r="O470" s="253"/>
      <c r="P470" s="240"/>
      <c r="Q470" s="148"/>
      <c r="R470" s="148"/>
      <c r="S470" s="242"/>
      <c r="T470" s="242"/>
      <c r="U470" s="242"/>
      <c r="V470" s="242"/>
      <c r="W470" s="242"/>
      <c r="X470" s="242"/>
      <c r="Y470" s="148"/>
      <c r="Z470" s="148"/>
    </row>
    <row r="471">
      <c r="A471" s="400"/>
      <c r="B471" s="148"/>
      <c r="C471" s="148"/>
      <c r="D471" s="245"/>
      <c r="E471" s="148"/>
      <c r="F471" s="277"/>
      <c r="G471" s="148"/>
      <c r="H471" s="148"/>
      <c r="I471" s="251"/>
      <c r="J471" s="251"/>
      <c r="K471" s="148"/>
      <c r="L471" s="277"/>
      <c r="M471" s="252"/>
      <c r="N471" s="250"/>
      <c r="O471" s="253"/>
      <c r="P471" s="240"/>
      <c r="Q471" s="148"/>
      <c r="R471" s="148"/>
      <c r="S471" s="242"/>
      <c r="T471" s="242"/>
      <c r="U471" s="242"/>
      <c r="V471" s="242"/>
      <c r="W471" s="242"/>
      <c r="X471" s="242"/>
      <c r="Y471" s="148"/>
      <c r="Z471" s="148"/>
    </row>
    <row r="472">
      <c r="A472" s="400"/>
      <c r="B472" s="148"/>
      <c r="C472" s="148"/>
      <c r="D472" s="245"/>
      <c r="E472" s="148"/>
      <c r="F472" s="277"/>
      <c r="G472" s="148"/>
      <c r="H472" s="148"/>
      <c r="I472" s="251"/>
      <c r="J472" s="251"/>
      <c r="K472" s="148"/>
      <c r="L472" s="277"/>
      <c r="M472" s="252"/>
      <c r="N472" s="250"/>
      <c r="O472" s="253"/>
      <c r="P472" s="240"/>
      <c r="Q472" s="148"/>
      <c r="R472" s="148"/>
      <c r="S472" s="242"/>
      <c r="T472" s="242"/>
      <c r="U472" s="242"/>
      <c r="V472" s="242"/>
      <c r="W472" s="242"/>
      <c r="X472" s="242"/>
      <c r="Y472" s="148"/>
      <c r="Z472" s="148"/>
    </row>
    <row r="473">
      <c r="A473" s="400"/>
      <c r="B473" s="148"/>
      <c r="C473" s="148"/>
      <c r="D473" s="245"/>
      <c r="E473" s="148"/>
      <c r="F473" s="277"/>
      <c r="G473" s="148"/>
      <c r="H473" s="148"/>
      <c r="I473" s="251"/>
      <c r="J473" s="251"/>
      <c r="K473" s="148"/>
      <c r="L473" s="277"/>
      <c r="M473" s="252"/>
      <c r="N473" s="250"/>
      <c r="O473" s="253"/>
      <c r="P473" s="240"/>
      <c r="Q473" s="148"/>
      <c r="R473" s="148"/>
      <c r="S473" s="242"/>
      <c r="T473" s="242"/>
      <c r="U473" s="242"/>
      <c r="V473" s="242"/>
      <c r="W473" s="242"/>
      <c r="X473" s="242"/>
      <c r="Y473" s="148"/>
      <c r="Z473" s="148"/>
    </row>
    <row r="474">
      <c r="A474" s="400"/>
      <c r="B474" s="148"/>
      <c r="C474" s="148"/>
      <c r="D474" s="245"/>
      <c r="E474" s="148"/>
      <c r="F474" s="277"/>
      <c r="G474" s="148"/>
      <c r="H474" s="148"/>
      <c r="I474" s="251"/>
      <c r="J474" s="251"/>
      <c r="K474" s="148"/>
      <c r="L474" s="277"/>
      <c r="M474" s="252"/>
      <c r="N474" s="250"/>
      <c r="O474" s="253"/>
      <c r="P474" s="240"/>
      <c r="Q474" s="148"/>
      <c r="R474" s="148"/>
      <c r="S474" s="242"/>
      <c r="T474" s="242"/>
      <c r="U474" s="242"/>
      <c r="V474" s="242"/>
      <c r="W474" s="242"/>
      <c r="X474" s="242"/>
      <c r="Y474" s="148"/>
      <c r="Z474" s="148"/>
    </row>
    <row r="475">
      <c r="A475" s="400"/>
      <c r="B475" s="148"/>
      <c r="C475" s="148"/>
      <c r="D475" s="245"/>
      <c r="E475" s="148"/>
      <c r="F475" s="277"/>
      <c r="G475" s="148"/>
      <c r="H475" s="148"/>
      <c r="I475" s="251"/>
      <c r="J475" s="251"/>
      <c r="K475" s="148"/>
      <c r="L475" s="277"/>
      <c r="M475" s="252"/>
      <c r="N475" s="250"/>
      <c r="O475" s="253"/>
      <c r="P475" s="240"/>
      <c r="Q475" s="148"/>
      <c r="R475" s="148"/>
      <c r="S475" s="242"/>
      <c r="T475" s="242"/>
      <c r="U475" s="242"/>
      <c r="V475" s="242"/>
      <c r="W475" s="242"/>
      <c r="X475" s="242"/>
      <c r="Y475" s="148"/>
      <c r="Z475" s="148"/>
    </row>
    <row r="476">
      <c r="A476" s="400"/>
      <c r="B476" s="148"/>
      <c r="C476" s="148"/>
      <c r="D476" s="245"/>
      <c r="E476" s="148"/>
      <c r="F476" s="277"/>
      <c r="G476" s="148"/>
      <c r="H476" s="148"/>
      <c r="I476" s="251"/>
      <c r="J476" s="251"/>
      <c r="K476" s="148"/>
      <c r="L476" s="277"/>
      <c r="M476" s="252"/>
      <c r="N476" s="250"/>
      <c r="O476" s="253"/>
      <c r="P476" s="240"/>
      <c r="Q476" s="148"/>
      <c r="R476" s="148"/>
      <c r="S476" s="242"/>
      <c r="T476" s="242"/>
      <c r="U476" s="242"/>
      <c r="V476" s="242"/>
      <c r="W476" s="242"/>
      <c r="X476" s="242"/>
      <c r="Y476" s="148"/>
      <c r="Z476" s="148"/>
    </row>
    <row r="477">
      <c r="A477" s="400"/>
      <c r="B477" s="148"/>
      <c r="C477" s="148"/>
      <c r="D477" s="245"/>
      <c r="E477" s="148"/>
      <c r="F477" s="277"/>
      <c r="G477" s="148"/>
      <c r="H477" s="148"/>
      <c r="I477" s="251"/>
      <c r="J477" s="251"/>
      <c r="K477" s="148"/>
      <c r="L477" s="277"/>
      <c r="M477" s="252"/>
      <c r="N477" s="250"/>
      <c r="O477" s="253"/>
      <c r="P477" s="240"/>
      <c r="Q477" s="148"/>
      <c r="R477" s="148"/>
      <c r="S477" s="242"/>
      <c r="T477" s="242"/>
      <c r="U477" s="242"/>
      <c r="V477" s="242"/>
      <c r="W477" s="242"/>
      <c r="X477" s="242"/>
      <c r="Y477" s="148"/>
      <c r="Z477" s="148"/>
    </row>
    <row r="478">
      <c r="A478" s="400"/>
      <c r="B478" s="148"/>
      <c r="C478" s="148"/>
      <c r="D478" s="245"/>
      <c r="E478" s="148"/>
      <c r="F478" s="277"/>
      <c r="G478" s="148"/>
      <c r="H478" s="148"/>
      <c r="I478" s="251"/>
      <c r="J478" s="251"/>
      <c r="K478" s="148"/>
      <c r="L478" s="277"/>
      <c r="M478" s="252"/>
      <c r="N478" s="250"/>
      <c r="O478" s="253"/>
      <c r="P478" s="240"/>
      <c r="Q478" s="148"/>
      <c r="R478" s="148"/>
      <c r="S478" s="242"/>
      <c r="T478" s="242"/>
      <c r="U478" s="242"/>
      <c r="V478" s="242"/>
      <c r="W478" s="242"/>
      <c r="X478" s="242"/>
      <c r="Y478" s="148"/>
      <c r="Z478" s="148"/>
    </row>
    <row r="479">
      <c r="A479" s="400"/>
      <c r="B479" s="148"/>
      <c r="C479" s="148"/>
      <c r="D479" s="245"/>
      <c r="E479" s="148"/>
      <c r="F479" s="277"/>
      <c r="G479" s="148"/>
      <c r="H479" s="148"/>
      <c r="I479" s="251"/>
      <c r="J479" s="251"/>
      <c r="K479" s="148"/>
      <c r="L479" s="277"/>
      <c r="M479" s="252"/>
      <c r="N479" s="250"/>
      <c r="O479" s="253"/>
      <c r="P479" s="240"/>
      <c r="Q479" s="148"/>
      <c r="R479" s="148"/>
      <c r="S479" s="242"/>
      <c r="T479" s="242"/>
      <c r="U479" s="242"/>
      <c r="V479" s="242"/>
      <c r="W479" s="242"/>
      <c r="X479" s="242"/>
      <c r="Y479" s="148"/>
      <c r="Z479" s="148"/>
    </row>
    <row r="480">
      <c r="A480" s="400"/>
      <c r="B480" s="148"/>
      <c r="C480" s="148"/>
      <c r="D480" s="245"/>
      <c r="E480" s="148"/>
      <c r="F480" s="277"/>
      <c r="G480" s="148"/>
      <c r="H480" s="148"/>
      <c r="I480" s="251"/>
      <c r="J480" s="251"/>
      <c r="K480" s="148"/>
      <c r="L480" s="277"/>
      <c r="M480" s="252"/>
      <c r="N480" s="250"/>
      <c r="O480" s="253"/>
      <c r="P480" s="240"/>
      <c r="Q480" s="148"/>
      <c r="R480" s="148"/>
      <c r="S480" s="242"/>
      <c r="T480" s="242"/>
      <c r="U480" s="242"/>
      <c r="V480" s="242"/>
      <c r="W480" s="242"/>
      <c r="X480" s="242"/>
      <c r="Y480" s="148"/>
      <c r="Z480" s="148"/>
    </row>
    <row r="481">
      <c r="A481" s="400"/>
      <c r="B481" s="148"/>
      <c r="C481" s="148"/>
      <c r="D481" s="245"/>
      <c r="E481" s="148"/>
      <c r="F481" s="277"/>
      <c r="G481" s="148"/>
      <c r="H481" s="148"/>
      <c r="I481" s="251"/>
      <c r="J481" s="251"/>
      <c r="K481" s="148"/>
      <c r="L481" s="277"/>
      <c r="M481" s="252"/>
      <c r="N481" s="250"/>
      <c r="O481" s="253"/>
      <c r="P481" s="240"/>
      <c r="Q481" s="148"/>
      <c r="R481" s="148"/>
      <c r="S481" s="242"/>
      <c r="T481" s="242"/>
      <c r="U481" s="242"/>
      <c r="V481" s="242"/>
      <c r="W481" s="242"/>
      <c r="X481" s="242"/>
      <c r="Y481" s="148"/>
      <c r="Z481" s="148"/>
    </row>
    <row r="482">
      <c r="A482" s="400"/>
      <c r="B482" s="148"/>
      <c r="C482" s="148"/>
      <c r="D482" s="245"/>
      <c r="E482" s="148"/>
      <c r="F482" s="277"/>
      <c r="G482" s="148"/>
      <c r="H482" s="148"/>
      <c r="I482" s="251"/>
      <c r="J482" s="251"/>
      <c r="K482" s="148"/>
      <c r="L482" s="277"/>
      <c r="M482" s="252"/>
      <c r="N482" s="250"/>
      <c r="O482" s="253"/>
      <c r="P482" s="240"/>
      <c r="Q482" s="148"/>
      <c r="R482" s="148"/>
      <c r="S482" s="242"/>
      <c r="T482" s="242"/>
      <c r="U482" s="242"/>
      <c r="V482" s="242"/>
      <c r="W482" s="242"/>
      <c r="X482" s="242"/>
      <c r="Y482" s="148"/>
      <c r="Z482" s="148"/>
    </row>
    <row r="483">
      <c r="A483" s="400"/>
      <c r="B483" s="148"/>
      <c r="C483" s="148"/>
      <c r="D483" s="245"/>
      <c r="E483" s="148"/>
      <c r="F483" s="277"/>
      <c r="G483" s="148"/>
      <c r="H483" s="148"/>
      <c r="I483" s="251"/>
      <c r="J483" s="251"/>
      <c r="K483" s="148"/>
      <c r="L483" s="277"/>
      <c r="M483" s="252"/>
      <c r="N483" s="250"/>
      <c r="O483" s="253"/>
      <c r="P483" s="240"/>
      <c r="Q483" s="148"/>
      <c r="R483" s="148"/>
      <c r="S483" s="242"/>
      <c r="T483" s="242"/>
      <c r="U483" s="242"/>
      <c r="V483" s="242"/>
      <c r="W483" s="242"/>
      <c r="X483" s="242"/>
      <c r="Y483" s="148"/>
      <c r="Z483" s="148"/>
    </row>
    <row r="484">
      <c r="A484" s="400"/>
      <c r="B484" s="148"/>
      <c r="C484" s="148"/>
      <c r="D484" s="245"/>
      <c r="E484" s="148"/>
      <c r="F484" s="277"/>
      <c r="G484" s="148"/>
      <c r="H484" s="148"/>
      <c r="I484" s="251"/>
      <c r="J484" s="251"/>
      <c r="K484" s="148"/>
      <c r="L484" s="277"/>
      <c r="M484" s="252"/>
      <c r="N484" s="250"/>
      <c r="O484" s="253"/>
      <c r="P484" s="240"/>
      <c r="Q484" s="148"/>
      <c r="R484" s="148"/>
      <c r="S484" s="242"/>
      <c r="T484" s="242"/>
      <c r="U484" s="242"/>
      <c r="V484" s="242"/>
      <c r="W484" s="242"/>
      <c r="X484" s="242"/>
      <c r="Y484" s="148"/>
      <c r="Z484" s="148"/>
    </row>
    <row r="485">
      <c r="A485" s="400"/>
      <c r="B485" s="148"/>
      <c r="C485" s="148"/>
      <c r="D485" s="245"/>
      <c r="E485" s="148"/>
      <c r="F485" s="277"/>
      <c r="G485" s="148"/>
      <c r="H485" s="148"/>
      <c r="I485" s="251"/>
      <c r="J485" s="251"/>
      <c r="K485" s="148"/>
      <c r="L485" s="277"/>
      <c r="M485" s="252"/>
      <c r="N485" s="250"/>
      <c r="O485" s="253"/>
      <c r="P485" s="240"/>
      <c r="Q485" s="148"/>
      <c r="R485" s="148"/>
      <c r="S485" s="242"/>
      <c r="T485" s="242"/>
      <c r="U485" s="242"/>
      <c r="V485" s="242"/>
      <c r="W485" s="242"/>
      <c r="X485" s="242"/>
      <c r="Y485" s="148"/>
      <c r="Z485" s="148"/>
    </row>
    <row r="486">
      <c r="A486" s="400"/>
      <c r="B486" s="148"/>
      <c r="C486" s="148"/>
      <c r="D486" s="245"/>
      <c r="E486" s="148"/>
      <c r="F486" s="277"/>
      <c r="G486" s="148"/>
      <c r="H486" s="148"/>
      <c r="I486" s="251"/>
      <c r="J486" s="251"/>
      <c r="K486" s="148"/>
      <c r="L486" s="277"/>
      <c r="M486" s="252"/>
      <c r="N486" s="250"/>
      <c r="O486" s="253"/>
      <c r="P486" s="240"/>
      <c r="Q486" s="148"/>
      <c r="R486" s="148"/>
      <c r="S486" s="242"/>
      <c r="T486" s="242"/>
      <c r="U486" s="242"/>
      <c r="V486" s="242"/>
      <c r="W486" s="242"/>
      <c r="X486" s="242"/>
      <c r="Y486" s="148"/>
      <c r="Z486" s="148"/>
    </row>
    <row r="487">
      <c r="A487" s="400"/>
      <c r="B487" s="148"/>
      <c r="C487" s="148"/>
      <c r="D487" s="245"/>
      <c r="E487" s="148"/>
      <c r="F487" s="277"/>
      <c r="G487" s="148"/>
      <c r="H487" s="148"/>
      <c r="I487" s="251"/>
      <c r="J487" s="251"/>
      <c r="K487" s="148"/>
      <c r="L487" s="277"/>
      <c r="M487" s="252"/>
      <c r="N487" s="250"/>
      <c r="O487" s="253"/>
      <c r="P487" s="240"/>
      <c r="Q487" s="148"/>
      <c r="R487" s="148"/>
      <c r="S487" s="242"/>
      <c r="T487" s="242"/>
      <c r="U487" s="242"/>
      <c r="V487" s="242"/>
      <c r="W487" s="242"/>
      <c r="X487" s="242"/>
      <c r="Y487" s="148"/>
      <c r="Z487" s="148"/>
    </row>
    <row r="488">
      <c r="A488" s="400"/>
      <c r="B488" s="148"/>
      <c r="C488" s="148"/>
      <c r="D488" s="245"/>
      <c r="E488" s="148"/>
      <c r="F488" s="277"/>
      <c r="G488" s="148"/>
      <c r="H488" s="148"/>
      <c r="I488" s="251"/>
      <c r="J488" s="251"/>
      <c r="K488" s="148"/>
      <c r="L488" s="277"/>
      <c r="M488" s="252"/>
      <c r="N488" s="250"/>
      <c r="O488" s="253"/>
      <c r="P488" s="240"/>
      <c r="Q488" s="148"/>
      <c r="R488" s="148"/>
      <c r="S488" s="242"/>
      <c r="T488" s="242"/>
      <c r="U488" s="242"/>
      <c r="V488" s="242"/>
      <c r="W488" s="242"/>
      <c r="X488" s="242"/>
      <c r="Y488" s="148"/>
      <c r="Z488" s="148"/>
    </row>
    <row r="489">
      <c r="A489" s="400"/>
      <c r="B489" s="148"/>
      <c r="C489" s="148"/>
      <c r="D489" s="245"/>
      <c r="E489" s="148"/>
      <c r="F489" s="277"/>
      <c r="G489" s="148"/>
      <c r="H489" s="148"/>
      <c r="I489" s="251"/>
      <c r="J489" s="251"/>
      <c r="K489" s="148"/>
      <c r="L489" s="277"/>
      <c r="M489" s="252"/>
      <c r="N489" s="250"/>
      <c r="O489" s="253"/>
      <c r="P489" s="240"/>
      <c r="Q489" s="148"/>
      <c r="R489" s="148"/>
      <c r="S489" s="242"/>
      <c r="T489" s="242"/>
      <c r="U489" s="242"/>
      <c r="V489" s="242"/>
      <c r="W489" s="242"/>
      <c r="X489" s="242"/>
      <c r="Y489" s="148"/>
      <c r="Z489" s="148"/>
    </row>
    <row r="490">
      <c r="A490" s="400"/>
      <c r="B490" s="148"/>
      <c r="C490" s="148"/>
      <c r="D490" s="245"/>
      <c r="E490" s="148"/>
      <c r="F490" s="277"/>
      <c r="G490" s="148"/>
      <c r="H490" s="148"/>
      <c r="I490" s="251"/>
      <c r="J490" s="251"/>
      <c r="K490" s="148"/>
      <c r="L490" s="277"/>
      <c r="M490" s="252"/>
      <c r="N490" s="250"/>
      <c r="O490" s="253"/>
      <c r="P490" s="240"/>
      <c r="Q490" s="148"/>
      <c r="R490" s="148"/>
      <c r="S490" s="242"/>
      <c r="T490" s="242"/>
      <c r="U490" s="242"/>
      <c r="V490" s="242"/>
      <c r="W490" s="242"/>
      <c r="X490" s="242"/>
      <c r="Y490" s="148"/>
      <c r="Z490" s="148"/>
    </row>
    <row r="491">
      <c r="A491" s="400"/>
      <c r="B491" s="148"/>
      <c r="C491" s="148"/>
      <c r="D491" s="245"/>
      <c r="E491" s="148"/>
      <c r="F491" s="277"/>
      <c r="G491" s="148"/>
      <c r="H491" s="148"/>
      <c r="I491" s="251"/>
      <c r="J491" s="251"/>
      <c r="K491" s="148"/>
      <c r="L491" s="277"/>
      <c r="M491" s="252"/>
      <c r="N491" s="250"/>
      <c r="O491" s="253"/>
      <c r="P491" s="240"/>
      <c r="Q491" s="148"/>
      <c r="R491" s="148"/>
      <c r="S491" s="242"/>
      <c r="T491" s="242"/>
      <c r="U491" s="242"/>
      <c r="V491" s="242"/>
      <c r="W491" s="242"/>
      <c r="X491" s="242"/>
      <c r="Y491" s="148"/>
      <c r="Z491" s="148"/>
    </row>
    <row r="492">
      <c r="A492" s="400"/>
      <c r="B492" s="148"/>
      <c r="C492" s="148"/>
      <c r="D492" s="245"/>
      <c r="E492" s="148"/>
      <c r="F492" s="277"/>
      <c r="G492" s="148"/>
      <c r="H492" s="148"/>
      <c r="I492" s="251"/>
      <c r="J492" s="251"/>
      <c r="K492" s="148"/>
      <c r="L492" s="277"/>
      <c r="M492" s="252"/>
      <c r="N492" s="250"/>
      <c r="O492" s="253"/>
      <c r="P492" s="240"/>
      <c r="Q492" s="148"/>
      <c r="R492" s="148"/>
      <c r="S492" s="242"/>
      <c r="T492" s="242"/>
      <c r="U492" s="242"/>
      <c r="V492" s="242"/>
      <c r="W492" s="242"/>
      <c r="X492" s="242"/>
      <c r="Y492" s="148"/>
      <c r="Z492" s="148"/>
    </row>
    <row r="493">
      <c r="A493" s="400"/>
      <c r="B493" s="148"/>
      <c r="C493" s="148"/>
      <c r="D493" s="245"/>
      <c r="E493" s="148"/>
      <c r="F493" s="277"/>
      <c r="G493" s="148"/>
      <c r="H493" s="148"/>
      <c r="I493" s="251"/>
      <c r="J493" s="251"/>
      <c r="K493" s="148"/>
      <c r="L493" s="277"/>
      <c r="M493" s="252"/>
      <c r="N493" s="250"/>
      <c r="O493" s="253"/>
      <c r="P493" s="240"/>
      <c r="Q493" s="148"/>
      <c r="R493" s="148"/>
      <c r="S493" s="242"/>
      <c r="T493" s="242"/>
      <c r="U493" s="242"/>
      <c r="V493" s="242"/>
      <c r="W493" s="242"/>
      <c r="X493" s="242"/>
      <c r="Y493" s="148"/>
      <c r="Z493" s="148"/>
    </row>
    <row r="494">
      <c r="A494" s="400"/>
      <c r="B494" s="148"/>
      <c r="C494" s="148"/>
      <c r="D494" s="245"/>
      <c r="E494" s="148"/>
      <c r="F494" s="277"/>
      <c r="G494" s="148"/>
      <c r="H494" s="148"/>
      <c r="I494" s="251"/>
      <c r="J494" s="251"/>
      <c r="K494" s="148"/>
      <c r="L494" s="277"/>
      <c r="M494" s="252"/>
      <c r="N494" s="250"/>
      <c r="O494" s="253"/>
      <c r="P494" s="240"/>
      <c r="Q494" s="148"/>
      <c r="R494" s="148"/>
      <c r="S494" s="242"/>
      <c r="T494" s="242"/>
      <c r="U494" s="242"/>
      <c r="V494" s="242"/>
      <c r="W494" s="242"/>
      <c r="X494" s="242"/>
      <c r="Y494" s="148"/>
      <c r="Z494" s="148"/>
    </row>
    <row r="495">
      <c r="A495" s="400"/>
      <c r="B495" s="148"/>
      <c r="C495" s="148"/>
      <c r="D495" s="245"/>
      <c r="E495" s="148"/>
      <c r="F495" s="277"/>
      <c r="G495" s="148"/>
      <c r="H495" s="148"/>
      <c r="I495" s="251"/>
      <c r="J495" s="251"/>
      <c r="K495" s="148"/>
      <c r="L495" s="277"/>
      <c r="M495" s="252"/>
      <c r="N495" s="250"/>
      <c r="O495" s="253"/>
      <c r="P495" s="240"/>
      <c r="Q495" s="148"/>
      <c r="R495" s="148"/>
      <c r="S495" s="242"/>
      <c r="T495" s="242"/>
      <c r="U495" s="242"/>
      <c r="V495" s="242"/>
      <c r="W495" s="242"/>
      <c r="X495" s="242"/>
      <c r="Y495" s="148"/>
      <c r="Z495" s="148"/>
    </row>
    <row r="496">
      <c r="A496" s="400"/>
      <c r="B496" s="148"/>
      <c r="C496" s="148"/>
      <c r="D496" s="245"/>
      <c r="E496" s="148"/>
      <c r="F496" s="277"/>
      <c r="G496" s="148"/>
      <c r="H496" s="148"/>
      <c r="I496" s="251"/>
      <c r="J496" s="251"/>
      <c r="K496" s="148"/>
      <c r="L496" s="277"/>
      <c r="M496" s="252"/>
      <c r="N496" s="250"/>
      <c r="O496" s="253"/>
      <c r="P496" s="240"/>
      <c r="Q496" s="148"/>
      <c r="R496" s="148"/>
      <c r="S496" s="242"/>
      <c r="T496" s="242"/>
      <c r="U496" s="242"/>
      <c r="V496" s="242"/>
      <c r="W496" s="242"/>
      <c r="X496" s="242"/>
      <c r="Y496" s="148"/>
      <c r="Z496" s="148"/>
    </row>
    <row r="497">
      <c r="A497" s="400"/>
      <c r="B497" s="148"/>
      <c r="C497" s="148"/>
      <c r="D497" s="245"/>
      <c r="E497" s="148"/>
      <c r="F497" s="277"/>
      <c r="G497" s="148"/>
      <c r="H497" s="148"/>
      <c r="I497" s="251"/>
      <c r="J497" s="251"/>
      <c r="K497" s="148"/>
      <c r="L497" s="277"/>
      <c r="M497" s="252"/>
      <c r="N497" s="250"/>
      <c r="O497" s="253"/>
      <c r="P497" s="240"/>
      <c r="Q497" s="148"/>
      <c r="R497" s="148"/>
      <c r="S497" s="242"/>
      <c r="T497" s="242"/>
      <c r="U497" s="242"/>
      <c r="V497" s="242"/>
      <c r="W497" s="242"/>
      <c r="X497" s="242"/>
      <c r="Y497" s="148"/>
      <c r="Z497" s="148"/>
    </row>
    <row r="498">
      <c r="A498" s="400"/>
      <c r="B498" s="148"/>
      <c r="C498" s="148"/>
      <c r="D498" s="245"/>
      <c r="E498" s="148"/>
      <c r="F498" s="277"/>
      <c r="G498" s="148"/>
      <c r="H498" s="148"/>
      <c r="I498" s="251"/>
      <c r="J498" s="251"/>
      <c r="K498" s="148"/>
      <c r="L498" s="277"/>
      <c r="M498" s="252"/>
      <c r="N498" s="250"/>
      <c r="O498" s="253"/>
      <c r="P498" s="240"/>
      <c r="Q498" s="148"/>
      <c r="R498" s="148"/>
      <c r="S498" s="242"/>
      <c r="T498" s="242"/>
      <c r="U498" s="242"/>
      <c r="V498" s="242"/>
      <c r="W498" s="242"/>
      <c r="X498" s="242"/>
      <c r="Y498" s="148"/>
      <c r="Z498" s="148"/>
    </row>
    <row r="499">
      <c r="A499" s="400"/>
      <c r="B499" s="148"/>
      <c r="C499" s="148"/>
      <c r="D499" s="245"/>
      <c r="E499" s="148"/>
      <c r="F499" s="277"/>
      <c r="G499" s="148"/>
      <c r="H499" s="148"/>
      <c r="I499" s="251"/>
      <c r="J499" s="251"/>
      <c r="K499" s="148"/>
      <c r="L499" s="277"/>
      <c r="M499" s="252"/>
      <c r="N499" s="250"/>
      <c r="O499" s="253"/>
      <c r="P499" s="240"/>
      <c r="Q499" s="148"/>
      <c r="R499" s="148"/>
      <c r="S499" s="242"/>
      <c r="T499" s="242"/>
      <c r="U499" s="242"/>
      <c r="V499" s="242"/>
      <c r="W499" s="242"/>
      <c r="X499" s="242"/>
      <c r="Y499" s="148"/>
      <c r="Z499" s="148"/>
    </row>
    <row r="500">
      <c r="A500" s="400"/>
      <c r="B500" s="148"/>
      <c r="C500" s="148"/>
      <c r="D500" s="245"/>
      <c r="E500" s="148"/>
      <c r="F500" s="277"/>
      <c r="G500" s="148"/>
      <c r="H500" s="148"/>
      <c r="I500" s="251"/>
      <c r="J500" s="251"/>
      <c r="K500" s="148"/>
      <c r="L500" s="277"/>
      <c r="M500" s="252"/>
      <c r="N500" s="250"/>
      <c r="O500" s="253"/>
      <c r="P500" s="240"/>
      <c r="Q500" s="148"/>
      <c r="R500" s="148"/>
      <c r="S500" s="242"/>
      <c r="T500" s="242"/>
      <c r="U500" s="242"/>
      <c r="V500" s="242"/>
      <c r="W500" s="242"/>
      <c r="X500" s="242"/>
      <c r="Y500" s="148"/>
      <c r="Z500" s="148"/>
    </row>
    <row r="501">
      <c r="A501" s="400"/>
      <c r="B501" s="148"/>
      <c r="C501" s="148"/>
      <c r="D501" s="245"/>
      <c r="E501" s="148"/>
      <c r="F501" s="277"/>
      <c r="G501" s="148"/>
      <c r="H501" s="148"/>
      <c r="I501" s="251"/>
      <c r="J501" s="251"/>
      <c r="K501" s="148"/>
      <c r="L501" s="277"/>
      <c r="M501" s="252"/>
      <c r="N501" s="250"/>
      <c r="O501" s="253"/>
      <c r="P501" s="240"/>
      <c r="Q501" s="148"/>
      <c r="R501" s="148"/>
      <c r="S501" s="242"/>
      <c r="T501" s="242"/>
      <c r="U501" s="242"/>
      <c r="V501" s="242"/>
      <c r="W501" s="242"/>
      <c r="X501" s="242"/>
      <c r="Y501" s="148"/>
      <c r="Z501" s="148"/>
    </row>
    <row r="502">
      <c r="A502" s="148"/>
      <c r="B502" s="148"/>
      <c r="C502" s="148"/>
      <c r="D502" s="245"/>
      <c r="E502" s="148"/>
      <c r="F502" s="277"/>
      <c r="G502" s="148"/>
      <c r="H502" s="148"/>
      <c r="I502" s="251"/>
      <c r="J502" s="251"/>
      <c r="K502" s="148"/>
      <c r="L502" s="277"/>
      <c r="M502" s="252"/>
      <c r="N502" s="250"/>
      <c r="O502" s="253"/>
      <c r="P502" s="240"/>
      <c r="Q502" s="148"/>
      <c r="R502" s="148"/>
      <c r="S502" s="242"/>
      <c r="T502" s="242"/>
      <c r="U502" s="242"/>
      <c r="V502" s="242"/>
      <c r="W502" s="242"/>
      <c r="X502" s="242"/>
      <c r="Y502" s="148"/>
      <c r="Z502" s="148"/>
    </row>
    <row r="503">
      <c r="A503" s="148"/>
      <c r="B503" s="148"/>
      <c r="C503" s="148"/>
      <c r="D503" s="245"/>
      <c r="E503" s="148"/>
      <c r="F503" s="277"/>
      <c r="G503" s="148"/>
      <c r="H503" s="148"/>
      <c r="I503" s="251"/>
      <c r="J503" s="251"/>
      <c r="K503" s="148"/>
      <c r="L503" s="277"/>
      <c r="M503" s="252"/>
      <c r="N503" s="250"/>
      <c r="O503" s="253"/>
      <c r="P503" s="240"/>
      <c r="Q503" s="148"/>
      <c r="R503" s="148"/>
      <c r="S503" s="242"/>
      <c r="T503" s="242"/>
      <c r="U503" s="242"/>
      <c r="V503" s="242"/>
      <c r="W503" s="242"/>
      <c r="X503" s="242"/>
      <c r="Y503" s="148"/>
      <c r="Z503" s="148"/>
    </row>
    <row r="504">
      <c r="A504" s="148"/>
      <c r="B504" s="148"/>
      <c r="C504" s="148"/>
      <c r="D504" s="245"/>
      <c r="E504" s="148"/>
      <c r="F504" s="277"/>
      <c r="G504" s="148"/>
      <c r="H504" s="148"/>
      <c r="I504" s="251"/>
      <c r="J504" s="251"/>
      <c r="K504" s="148"/>
      <c r="L504" s="277"/>
      <c r="M504" s="252"/>
      <c r="N504" s="250"/>
      <c r="O504" s="253"/>
      <c r="P504" s="240"/>
      <c r="Q504" s="148"/>
      <c r="R504" s="148"/>
      <c r="S504" s="242"/>
      <c r="T504" s="242"/>
      <c r="U504" s="242"/>
      <c r="V504" s="242"/>
      <c r="W504" s="242"/>
      <c r="X504" s="242"/>
      <c r="Y504" s="148"/>
      <c r="Z504" s="148"/>
    </row>
    <row r="505">
      <c r="A505" s="148"/>
      <c r="B505" s="148"/>
      <c r="C505" s="148"/>
      <c r="D505" s="245"/>
      <c r="E505" s="148"/>
      <c r="F505" s="277"/>
      <c r="G505" s="148"/>
      <c r="H505" s="148"/>
      <c r="I505" s="251"/>
      <c r="J505" s="251"/>
      <c r="K505" s="148"/>
      <c r="L505" s="277"/>
      <c r="M505" s="252"/>
      <c r="N505" s="250"/>
      <c r="O505" s="253"/>
      <c r="P505" s="240"/>
      <c r="Q505" s="148"/>
      <c r="R505" s="148"/>
      <c r="S505" s="242"/>
      <c r="T505" s="242"/>
      <c r="U505" s="242"/>
      <c r="V505" s="242"/>
      <c r="W505" s="242"/>
      <c r="X505" s="242"/>
      <c r="Y505" s="148"/>
      <c r="Z505" s="148"/>
    </row>
    <row r="506">
      <c r="A506" s="148"/>
      <c r="B506" s="148"/>
      <c r="C506" s="148"/>
      <c r="D506" s="245"/>
      <c r="E506" s="148"/>
      <c r="F506" s="277"/>
      <c r="G506" s="148"/>
      <c r="H506" s="148"/>
      <c r="I506" s="251"/>
      <c r="J506" s="251"/>
      <c r="K506" s="148"/>
      <c r="L506" s="277"/>
      <c r="M506" s="252"/>
      <c r="N506" s="250"/>
      <c r="O506" s="253"/>
      <c r="P506" s="240"/>
      <c r="Q506" s="148"/>
      <c r="R506" s="148"/>
      <c r="S506" s="242"/>
      <c r="T506" s="242"/>
      <c r="U506" s="242"/>
      <c r="V506" s="242"/>
      <c r="W506" s="242"/>
      <c r="X506" s="242"/>
      <c r="Y506" s="148"/>
      <c r="Z506" s="148"/>
    </row>
    <row r="507">
      <c r="A507" s="148"/>
      <c r="B507" s="148"/>
      <c r="C507" s="148"/>
      <c r="D507" s="245"/>
      <c r="E507" s="148"/>
      <c r="F507" s="277"/>
      <c r="G507" s="148"/>
      <c r="H507" s="148"/>
      <c r="I507" s="251"/>
      <c r="J507" s="251"/>
      <c r="K507" s="148"/>
      <c r="L507" s="277"/>
      <c r="M507" s="252"/>
      <c r="N507" s="250"/>
      <c r="O507" s="253"/>
      <c r="P507" s="240"/>
      <c r="Q507" s="148"/>
      <c r="R507" s="148"/>
      <c r="S507" s="242"/>
      <c r="T507" s="242"/>
      <c r="U507" s="242"/>
      <c r="V507" s="242"/>
      <c r="W507" s="242"/>
      <c r="X507" s="242"/>
      <c r="Y507" s="148"/>
      <c r="Z507" s="148"/>
    </row>
    <row r="508">
      <c r="A508" s="148"/>
      <c r="B508" s="148"/>
      <c r="C508" s="148"/>
      <c r="D508" s="245"/>
      <c r="E508" s="148"/>
      <c r="F508" s="277"/>
      <c r="G508" s="148"/>
      <c r="H508" s="148"/>
      <c r="I508" s="251"/>
      <c r="J508" s="251"/>
      <c r="K508" s="148"/>
      <c r="L508" s="277"/>
      <c r="M508" s="252"/>
      <c r="N508" s="250"/>
      <c r="O508" s="253"/>
      <c r="P508" s="240"/>
      <c r="Q508" s="148"/>
      <c r="R508" s="148"/>
      <c r="S508" s="242"/>
      <c r="T508" s="242"/>
      <c r="U508" s="242"/>
      <c r="V508" s="242"/>
      <c r="W508" s="242"/>
      <c r="X508" s="242"/>
      <c r="Y508" s="148"/>
      <c r="Z508" s="148"/>
    </row>
    <row r="509">
      <c r="A509" s="148"/>
      <c r="B509" s="148"/>
      <c r="C509" s="148"/>
      <c r="D509" s="245"/>
      <c r="E509" s="148"/>
      <c r="F509" s="277"/>
      <c r="G509" s="148"/>
      <c r="H509" s="148"/>
      <c r="I509" s="251"/>
      <c r="J509" s="251"/>
      <c r="K509" s="148"/>
      <c r="L509" s="277"/>
      <c r="M509" s="252"/>
      <c r="N509" s="250"/>
      <c r="O509" s="253"/>
      <c r="P509" s="240"/>
      <c r="Q509" s="148"/>
      <c r="R509" s="148"/>
      <c r="S509" s="242"/>
      <c r="T509" s="242"/>
      <c r="U509" s="242"/>
      <c r="V509" s="242"/>
      <c r="W509" s="242"/>
      <c r="X509" s="242"/>
      <c r="Y509" s="148"/>
      <c r="Z509" s="148"/>
    </row>
    <row r="510">
      <c r="A510" s="148"/>
      <c r="B510" s="148"/>
      <c r="C510" s="148"/>
      <c r="D510" s="245"/>
      <c r="E510" s="148"/>
      <c r="F510" s="277"/>
      <c r="G510" s="148"/>
      <c r="H510" s="148"/>
      <c r="I510" s="251"/>
      <c r="J510" s="251"/>
      <c r="K510" s="148"/>
      <c r="L510" s="277"/>
      <c r="M510" s="252"/>
      <c r="N510" s="250"/>
      <c r="O510" s="253"/>
      <c r="P510" s="240"/>
      <c r="Q510" s="148"/>
      <c r="R510" s="148"/>
      <c r="S510" s="242"/>
      <c r="T510" s="242"/>
      <c r="U510" s="242"/>
      <c r="V510" s="242"/>
      <c r="W510" s="242"/>
      <c r="X510" s="242"/>
      <c r="Y510" s="148"/>
      <c r="Z510" s="148"/>
    </row>
    <row r="511">
      <c r="A511" s="148"/>
      <c r="B511" s="148"/>
      <c r="C511" s="148"/>
      <c r="D511" s="245"/>
      <c r="E511" s="148"/>
      <c r="F511" s="277"/>
      <c r="G511" s="148"/>
      <c r="H511" s="148"/>
      <c r="I511" s="251"/>
      <c r="J511" s="251"/>
      <c r="K511" s="148"/>
      <c r="L511" s="277"/>
      <c r="M511" s="252"/>
      <c r="N511" s="250"/>
      <c r="O511" s="253"/>
      <c r="P511" s="240"/>
      <c r="Q511" s="148"/>
      <c r="R511" s="148"/>
      <c r="S511" s="242"/>
      <c r="T511" s="242"/>
      <c r="U511" s="242"/>
      <c r="V511" s="242"/>
      <c r="W511" s="242"/>
      <c r="X511" s="242"/>
      <c r="Y511" s="148"/>
      <c r="Z511" s="148"/>
    </row>
    <row r="512">
      <c r="A512" s="148"/>
      <c r="B512" s="148"/>
      <c r="C512" s="148"/>
      <c r="D512" s="245"/>
      <c r="E512" s="148"/>
      <c r="F512" s="277"/>
      <c r="G512" s="148"/>
      <c r="H512" s="148"/>
      <c r="I512" s="251"/>
      <c r="J512" s="251"/>
      <c r="K512" s="148"/>
      <c r="L512" s="277"/>
      <c r="M512" s="252"/>
      <c r="N512" s="250"/>
      <c r="O512" s="253"/>
      <c r="P512" s="240"/>
      <c r="Q512" s="148"/>
      <c r="R512" s="148"/>
      <c r="S512" s="242"/>
      <c r="T512" s="242"/>
      <c r="U512" s="242"/>
      <c r="V512" s="242"/>
      <c r="W512" s="242"/>
      <c r="X512" s="242"/>
      <c r="Y512" s="148"/>
      <c r="Z512" s="148"/>
    </row>
    <row r="513">
      <c r="A513" s="148"/>
      <c r="B513" s="148"/>
      <c r="C513" s="148"/>
      <c r="D513" s="245"/>
      <c r="E513" s="148"/>
      <c r="F513" s="277"/>
      <c r="G513" s="148"/>
      <c r="H513" s="148"/>
      <c r="I513" s="251"/>
      <c r="J513" s="251"/>
      <c r="K513" s="148"/>
      <c r="L513" s="277"/>
      <c r="M513" s="252"/>
      <c r="N513" s="250"/>
      <c r="O513" s="253"/>
      <c r="P513" s="240"/>
      <c r="Q513" s="148"/>
      <c r="R513" s="148"/>
      <c r="S513" s="242"/>
      <c r="T513" s="242"/>
      <c r="U513" s="242"/>
      <c r="V513" s="242"/>
      <c r="W513" s="242"/>
      <c r="X513" s="242"/>
      <c r="Y513" s="148"/>
      <c r="Z513" s="148"/>
    </row>
    <row r="514">
      <c r="A514" s="148"/>
      <c r="B514" s="148"/>
      <c r="C514" s="148"/>
      <c r="D514" s="245"/>
      <c r="E514" s="148"/>
      <c r="F514" s="277"/>
      <c r="G514" s="148"/>
      <c r="H514" s="148"/>
      <c r="I514" s="251"/>
      <c r="J514" s="251"/>
      <c r="K514" s="148"/>
      <c r="L514" s="277"/>
      <c r="M514" s="252"/>
      <c r="N514" s="250"/>
      <c r="O514" s="253"/>
      <c r="P514" s="240"/>
      <c r="Q514" s="148"/>
      <c r="R514" s="148"/>
      <c r="S514" s="242"/>
      <c r="T514" s="242"/>
      <c r="U514" s="242"/>
      <c r="V514" s="242"/>
      <c r="W514" s="242"/>
      <c r="X514" s="242"/>
      <c r="Y514" s="148"/>
      <c r="Z514" s="148"/>
    </row>
    <row r="515">
      <c r="A515" s="148"/>
      <c r="B515" s="148"/>
      <c r="C515" s="148"/>
      <c r="D515" s="245"/>
      <c r="E515" s="148"/>
      <c r="F515" s="277"/>
      <c r="G515" s="148"/>
      <c r="H515" s="148"/>
      <c r="I515" s="251"/>
      <c r="J515" s="251"/>
      <c r="K515" s="148"/>
      <c r="L515" s="277"/>
      <c r="M515" s="252"/>
      <c r="N515" s="250"/>
      <c r="O515" s="253"/>
      <c r="P515" s="240"/>
      <c r="Q515" s="148"/>
      <c r="R515" s="148"/>
      <c r="S515" s="242"/>
      <c r="T515" s="242"/>
      <c r="U515" s="242"/>
      <c r="V515" s="242"/>
      <c r="W515" s="242"/>
      <c r="X515" s="242"/>
      <c r="Y515" s="148"/>
      <c r="Z515" s="148"/>
    </row>
    <row r="516">
      <c r="A516" s="148"/>
      <c r="B516" s="148"/>
      <c r="C516" s="148"/>
      <c r="D516" s="245"/>
      <c r="E516" s="148"/>
      <c r="F516" s="277"/>
      <c r="G516" s="148"/>
      <c r="H516" s="148"/>
      <c r="I516" s="251"/>
      <c r="J516" s="251"/>
      <c r="K516" s="148"/>
      <c r="L516" s="277"/>
      <c r="M516" s="252"/>
      <c r="N516" s="250"/>
      <c r="O516" s="253"/>
      <c r="P516" s="240"/>
      <c r="Q516" s="148"/>
      <c r="R516" s="148"/>
      <c r="S516" s="242"/>
      <c r="T516" s="242"/>
      <c r="U516" s="242"/>
      <c r="V516" s="242"/>
      <c r="W516" s="242"/>
      <c r="X516" s="242"/>
      <c r="Y516" s="148"/>
      <c r="Z516" s="148"/>
    </row>
    <row r="517">
      <c r="A517" s="148"/>
      <c r="B517" s="148"/>
      <c r="C517" s="148"/>
      <c r="D517" s="245"/>
      <c r="E517" s="148"/>
      <c r="F517" s="277"/>
      <c r="G517" s="148"/>
      <c r="H517" s="148"/>
      <c r="I517" s="251"/>
      <c r="J517" s="251"/>
      <c r="K517" s="148"/>
      <c r="L517" s="277"/>
      <c r="M517" s="252"/>
      <c r="N517" s="250"/>
      <c r="O517" s="253"/>
      <c r="P517" s="240"/>
      <c r="Q517" s="148"/>
      <c r="R517" s="148"/>
      <c r="S517" s="242"/>
      <c r="T517" s="242"/>
      <c r="U517" s="242"/>
      <c r="V517" s="242"/>
      <c r="W517" s="242"/>
      <c r="X517" s="242"/>
      <c r="Y517" s="148"/>
      <c r="Z517" s="148"/>
    </row>
    <row r="518">
      <c r="A518" s="148"/>
      <c r="B518" s="148"/>
      <c r="C518" s="148"/>
      <c r="D518" s="245"/>
      <c r="E518" s="148"/>
      <c r="F518" s="277"/>
      <c r="G518" s="148"/>
      <c r="H518" s="148"/>
      <c r="I518" s="251"/>
      <c r="J518" s="251"/>
      <c r="K518" s="148"/>
      <c r="L518" s="277"/>
      <c r="M518" s="252"/>
      <c r="N518" s="250"/>
      <c r="O518" s="253"/>
      <c r="P518" s="240"/>
      <c r="Q518" s="148"/>
      <c r="R518" s="148"/>
      <c r="S518" s="242"/>
      <c r="T518" s="242"/>
      <c r="U518" s="242"/>
      <c r="V518" s="242"/>
      <c r="W518" s="242"/>
      <c r="X518" s="242"/>
      <c r="Y518" s="148"/>
      <c r="Z518" s="148"/>
    </row>
    <row r="519">
      <c r="A519" s="148"/>
      <c r="B519" s="148"/>
      <c r="C519" s="148"/>
      <c r="D519" s="245"/>
      <c r="E519" s="148"/>
      <c r="F519" s="277"/>
      <c r="G519" s="148"/>
      <c r="H519" s="148"/>
      <c r="I519" s="251"/>
      <c r="J519" s="251"/>
      <c r="K519" s="148"/>
      <c r="L519" s="277"/>
      <c r="M519" s="252"/>
      <c r="N519" s="250"/>
      <c r="O519" s="253"/>
      <c r="P519" s="240"/>
      <c r="Q519" s="148"/>
      <c r="R519" s="148"/>
      <c r="S519" s="242"/>
      <c r="T519" s="242"/>
      <c r="U519" s="242"/>
      <c r="V519" s="242"/>
      <c r="W519" s="242"/>
      <c r="X519" s="242"/>
      <c r="Y519" s="148"/>
      <c r="Z519" s="148"/>
    </row>
    <row r="520">
      <c r="A520" s="148"/>
      <c r="B520" s="148"/>
      <c r="C520" s="148"/>
      <c r="D520" s="245"/>
      <c r="E520" s="148"/>
      <c r="F520" s="277"/>
      <c r="G520" s="148"/>
      <c r="H520" s="148"/>
      <c r="I520" s="251"/>
      <c r="J520" s="251"/>
      <c r="K520" s="148"/>
      <c r="L520" s="277"/>
      <c r="M520" s="252"/>
      <c r="N520" s="250"/>
      <c r="O520" s="253"/>
      <c r="P520" s="240"/>
      <c r="Q520" s="148"/>
      <c r="R520" s="148"/>
      <c r="S520" s="242"/>
      <c r="T520" s="242"/>
      <c r="U520" s="242"/>
      <c r="V520" s="242"/>
      <c r="W520" s="242"/>
      <c r="X520" s="242"/>
      <c r="Y520" s="148"/>
      <c r="Z520" s="148"/>
    </row>
    <row r="521">
      <c r="A521" s="148"/>
      <c r="B521" s="148"/>
      <c r="C521" s="148"/>
      <c r="D521" s="245"/>
      <c r="E521" s="148"/>
      <c r="F521" s="277"/>
      <c r="G521" s="148"/>
      <c r="H521" s="148"/>
      <c r="I521" s="251"/>
      <c r="J521" s="251"/>
      <c r="K521" s="148"/>
      <c r="L521" s="277"/>
      <c r="M521" s="252"/>
      <c r="N521" s="250"/>
      <c r="O521" s="253"/>
      <c r="P521" s="240"/>
      <c r="Q521" s="148"/>
      <c r="R521" s="148"/>
      <c r="S521" s="242"/>
      <c r="T521" s="242"/>
      <c r="U521" s="242"/>
      <c r="V521" s="242"/>
      <c r="W521" s="242"/>
      <c r="X521" s="242"/>
      <c r="Y521" s="148"/>
      <c r="Z521" s="148"/>
    </row>
    <row r="522">
      <c r="A522" s="148"/>
      <c r="B522" s="148"/>
      <c r="C522" s="148"/>
      <c r="D522" s="245"/>
      <c r="E522" s="148"/>
      <c r="F522" s="277"/>
      <c r="G522" s="148"/>
      <c r="H522" s="148"/>
      <c r="I522" s="251"/>
      <c r="J522" s="251"/>
      <c r="K522" s="148"/>
      <c r="L522" s="277"/>
      <c r="M522" s="252"/>
      <c r="N522" s="250"/>
      <c r="O522" s="253"/>
      <c r="P522" s="240"/>
      <c r="Q522" s="148"/>
      <c r="R522" s="148"/>
      <c r="S522" s="242"/>
      <c r="T522" s="242"/>
      <c r="U522" s="242"/>
      <c r="V522" s="242"/>
      <c r="W522" s="242"/>
      <c r="X522" s="242"/>
      <c r="Y522" s="148"/>
      <c r="Z522" s="148"/>
    </row>
    <row r="523">
      <c r="A523" s="148"/>
      <c r="B523" s="148"/>
      <c r="C523" s="148"/>
      <c r="D523" s="245"/>
      <c r="E523" s="148"/>
      <c r="F523" s="277"/>
      <c r="G523" s="148"/>
      <c r="H523" s="148"/>
      <c r="I523" s="251"/>
      <c r="J523" s="251"/>
      <c r="K523" s="148"/>
      <c r="L523" s="277"/>
      <c r="M523" s="252"/>
      <c r="N523" s="250"/>
      <c r="O523" s="253"/>
      <c r="P523" s="240"/>
      <c r="Q523" s="148"/>
      <c r="R523" s="148"/>
      <c r="S523" s="242"/>
      <c r="T523" s="242"/>
      <c r="U523" s="242"/>
      <c r="V523" s="242"/>
      <c r="W523" s="242"/>
      <c r="X523" s="242"/>
      <c r="Y523" s="148"/>
      <c r="Z523" s="148"/>
    </row>
    <row r="524">
      <c r="A524" s="148"/>
      <c r="B524" s="148"/>
      <c r="C524" s="148"/>
      <c r="D524" s="245"/>
      <c r="E524" s="148"/>
      <c r="F524" s="277"/>
      <c r="G524" s="148"/>
      <c r="H524" s="148"/>
      <c r="I524" s="251"/>
      <c r="J524" s="251"/>
      <c r="K524" s="148"/>
      <c r="L524" s="277"/>
      <c r="M524" s="252"/>
      <c r="N524" s="250"/>
      <c r="O524" s="253"/>
      <c r="P524" s="240"/>
      <c r="Q524" s="148"/>
      <c r="R524" s="148"/>
      <c r="S524" s="242"/>
      <c r="T524" s="242"/>
      <c r="U524" s="242"/>
      <c r="V524" s="242"/>
      <c r="W524" s="242"/>
      <c r="X524" s="242"/>
      <c r="Y524" s="148"/>
      <c r="Z524" s="148"/>
    </row>
    <row r="525">
      <c r="A525" s="148"/>
      <c r="B525" s="148"/>
      <c r="C525" s="148"/>
      <c r="D525" s="245"/>
      <c r="E525" s="148"/>
      <c r="F525" s="277"/>
      <c r="G525" s="148"/>
      <c r="H525" s="148"/>
      <c r="I525" s="251"/>
      <c r="J525" s="251"/>
      <c r="K525" s="148"/>
      <c r="L525" s="277"/>
      <c r="M525" s="252"/>
      <c r="N525" s="250"/>
      <c r="O525" s="253"/>
      <c r="P525" s="240"/>
      <c r="Q525" s="148"/>
      <c r="R525" s="148"/>
      <c r="S525" s="242"/>
      <c r="T525" s="242"/>
      <c r="U525" s="242"/>
      <c r="V525" s="242"/>
      <c r="W525" s="242"/>
      <c r="X525" s="242"/>
      <c r="Y525" s="148"/>
      <c r="Z525" s="148"/>
    </row>
    <row r="526">
      <c r="A526" s="148"/>
      <c r="B526" s="148"/>
      <c r="C526" s="148"/>
      <c r="D526" s="245"/>
      <c r="E526" s="148"/>
      <c r="F526" s="277"/>
      <c r="G526" s="148"/>
      <c r="H526" s="148"/>
      <c r="I526" s="251"/>
      <c r="J526" s="251"/>
      <c r="K526" s="148"/>
      <c r="L526" s="277"/>
      <c r="M526" s="252"/>
      <c r="N526" s="250"/>
      <c r="O526" s="253"/>
      <c r="P526" s="240"/>
      <c r="Q526" s="148"/>
      <c r="R526" s="148"/>
      <c r="S526" s="242"/>
      <c r="T526" s="242"/>
      <c r="U526" s="242"/>
      <c r="V526" s="242"/>
      <c r="W526" s="242"/>
      <c r="X526" s="242"/>
      <c r="Y526" s="148"/>
      <c r="Z526" s="148"/>
    </row>
    <row r="527">
      <c r="A527" s="148"/>
      <c r="B527" s="148"/>
      <c r="C527" s="148"/>
      <c r="D527" s="245"/>
      <c r="E527" s="148"/>
      <c r="F527" s="277"/>
      <c r="G527" s="148"/>
      <c r="H527" s="148"/>
      <c r="I527" s="251"/>
      <c r="J527" s="251"/>
      <c r="K527" s="148"/>
      <c r="L527" s="277"/>
      <c r="M527" s="252"/>
      <c r="N527" s="250"/>
      <c r="O527" s="253"/>
      <c r="P527" s="240"/>
      <c r="Q527" s="148"/>
      <c r="R527" s="148"/>
      <c r="S527" s="242"/>
      <c r="T527" s="242"/>
      <c r="U527" s="242"/>
      <c r="V527" s="242"/>
      <c r="W527" s="242"/>
      <c r="X527" s="242"/>
      <c r="Y527" s="148"/>
      <c r="Z527" s="148"/>
    </row>
    <row r="528">
      <c r="A528" s="148"/>
      <c r="B528" s="148"/>
      <c r="C528" s="148"/>
      <c r="D528" s="245"/>
      <c r="E528" s="148"/>
      <c r="F528" s="277"/>
      <c r="G528" s="148"/>
      <c r="H528" s="148"/>
      <c r="I528" s="251"/>
      <c r="J528" s="251"/>
      <c r="K528" s="148"/>
      <c r="L528" s="277"/>
      <c r="M528" s="252"/>
      <c r="N528" s="250"/>
      <c r="O528" s="253"/>
      <c r="P528" s="240"/>
      <c r="Q528" s="148"/>
      <c r="R528" s="148"/>
      <c r="S528" s="242"/>
      <c r="T528" s="242"/>
      <c r="U528" s="242"/>
      <c r="V528" s="242"/>
      <c r="W528" s="242"/>
      <c r="X528" s="242"/>
      <c r="Y528" s="148"/>
      <c r="Z528" s="148"/>
    </row>
    <row r="529">
      <c r="A529" s="148"/>
      <c r="B529" s="148"/>
      <c r="C529" s="148"/>
      <c r="D529" s="245"/>
      <c r="E529" s="148"/>
      <c r="F529" s="277"/>
      <c r="G529" s="148"/>
      <c r="H529" s="148"/>
      <c r="I529" s="251"/>
      <c r="J529" s="251"/>
      <c r="K529" s="148"/>
      <c r="L529" s="277"/>
      <c r="M529" s="252"/>
      <c r="N529" s="250"/>
      <c r="O529" s="253"/>
      <c r="P529" s="240"/>
      <c r="Q529" s="148"/>
      <c r="R529" s="148"/>
      <c r="S529" s="242"/>
      <c r="T529" s="242"/>
      <c r="U529" s="242"/>
      <c r="V529" s="242"/>
      <c r="W529" s="242"/>
      <c r="X529" s="242"/>
      <c r="Y529" s="148"/>
      <c r="Z529" s="148"/>
    </row>
    <row r="530">
      <c r="A530" s="148"/>
      <c r="B530" s="148"/>
      <c r="C530" s="148"/>
      <c r="D530" s="245"/>
      <c r="E530" s="148"/>
      <c r="F530" s="277"/>
      <c r="G530" s="148"/>
      <c r="H530" s="148"/>
      <c r="I530" s="251"/>
      <c r="J530" s="251"/>
      <c r="K530" s="148"/>
      <c r="L530" s="277"/>
      <c r="M530" s="252"/>
      <c r="N530" s="250"/>
      <c r="O530" s="253"/>
      <c r="P530" s="240"/>
      <c r="Q530" s="148"/>
      <c r="R530" s="148"/>
      <c r="S530" s="242"/>
      <c r="T530" s="242"/>
      <c r="U530" s="242"/>
      <c r="V530" s="242"/>
      <c r="W530" s="242"/>
      <c r="X530" s="242"/>
      <c r="Y530" s="148"/>
      <c r="Z530" s="148"/>
    </row>
    <row r="531">
      <c r="A531" s="148"/>
      <c r="B531" s="148"/>
      <c r="C531" s="148"/>
      <c r="D531" s="245"/>
      <c r="E531" s="148"/>
      <c r="F531" s="277"/>
      <c r="G531" s="148"/>
      <c r="H531" s="148"/>
      <c r="I531" s="251"/>
      <c r="J531" s="251"/>
      <c r="K531" s="148"/>
      <c r="L531" s="277"/>
      <c r="M531" s="252"/>
      <c r="N531" s="250"/>
      <c r="O531" s="253"/>
      <c r="P531" s="240"/>
      <c r="Q531" s="148"/>
      <c r="R531" s="148"/>
      <c r="S531" s="242"/>
      <c r="T531" s="242"/>
      <c r="U531" s="242"/>
      <c r="V531" s="242"/>
      <c r="W531" s="242"/>
      <c r="X531" s="242"/>
      <c r="Y531" s="148"/>
      <c r="Z531" s="148"/>
    </row>
    <row r="532">
      <c r="A532" s="148"/>
      <c r="B532" s="148"/>
      <c r="C532" s="148"/>
      <c r="D532" s="245"/>
      <c r="E532" s="148"/>
      <c r="F532" s="277"/>
      <c r="G532" s="148"/>
      <c r="H532" s="148"/>
      <c r="I532" s="251"/>
      <c r="J532" s="251"/>
      <c r="K532" s="148"/>
      <c r="L532" s="277"/>
      <c r="M532" s="252"/>
      <c r="N532" s="250"/>
      <c r="O532" s="253"/>
      <c r="P532" s="240"/>
      <c r="Q532" s="148"/>
      <c r="R532" s="148"/>
      <c r="S532" s="242"/>
      <c r="T532" s="242"/>
      <c r="U532" s="242"/>
      <c r="V532" s="242"/>
      <c r="W532" s="242"/>
      <c r="X532" s="242"/>
      <c r="Y532" s="148"/>
      <c r="Z532" s="148"/>
    </row>
    <row r="533">
      <c r="A533" s="148"/>
      <c r="B533" s="148"/>
      <c r="C533" s="148"/>
      <c r="D533" s="245"/>
      <c r="E533" s="148"/>
      <c r="F533" s="277"/>
      <c r="G533" s="148"/>
      <c r="H533" s="148"/>
      <c r="I533" s="251"/>
      <c r="J533" s="251"/>
      <c r="K533" s="148"/>
      <c r="L533" s="277"/>
      <c r="M533" s="252"/>
      <c r="N533" s="250"/>
      <c r="O533" s="253"/>
      <c r="P533" s="240"/>
      <c r="Q533" s="148"/>
      <c r="R533" s="148"/>
      <c r="S533" s="242"/>
      <c r="T533" s="242"/>
      <c r="U533" s="242"/>
      <c r="V533" s="242"/>
      <c r="W533" s="242"/>
      <c r="X533" s="242"/>
      <c r="Y533" s="148"/>
      <c r="Z533" s="148"/>
    </row>
    <row r="534">
      <c r="A534" s="148"/>
      <c r="B534" s="148"/>
      <c r="C534" s="148"/>
      <c r="D534" s="245"/>
      <c r="E534" s="148"/>
      <c r="F534" s="277"/>
      <c r="G534" s="148"/>
      <c r="H534" s="148"/>
      <c r="I534" s="251"/>
      <c r="J534" s="251"/>
      <c r="K534" s="148"/>
      <c r="L534" s="277"/>
      <c r="M534" s="252"/>
      <c r="N534" s="250"/>
      <c r="O534" s="253"/>
      <c r="P534" s="240"/>
      <c r="Q534" s="148"/>
      <c r="R534" s="148"/>
      <c r="S534" s="242"/>
      <c r="T534" s="242"/>
      <c r="U534" s="242"/>
      <c r="V534" s="242"/>
      <c r="W534" s="242"/>
      <c r="X534" s="242"/>
      <c r="Y534" s="148"/>
      <c r="Z534" s="148"/>
    </row>
    <row r="535">
      <c r="A535" s="148"/>
      <c r="B535" s="148"/>
      <c r="C535" s="148"/>
      <c r="D535" s="245"/>
      <c r="E535" s="148"/>
      <c r="F535" s="277"/>
      <c r="G535" s="148"/>
      <c r="H535" s="148"/>
      <c r="I535" s="251"/>
      <c r="J535" s="251"/>
      <c r="K535" s="148"/>
      <c r="L535" s="277"/>
      <c r="M535" s="252"/>
      <c r="N535" s="250"/>
      <c r="O535" s="253"/>
      <c r="P535" s="240"/>
      <c r="Q535" s="148"/>
      <c r="R535" s="148"/>
      <c r="S535" s="242"/>
      <c r="T535" s="242"/>
      <c r="U535" s="242"/>
      <c r="V535" s="242"/>
      <c r="W535" s="242"/>
      <c r="X535" s="242"/>
      <c r="Y535" s="148"/>
      <c r="Z535" s="148"/>
    </row>
    <row r="536">
      <c r="A536" s="148"/>
      <c r="B536" s="148"/>
      <c r="C536" s="148"/>
      <c r="D536" s="245"/>
      <c r="E536" s="148"/>
      <c r="F536" s="277"/>
      <c r="G536" s="148"/>
      <c r="H536" s="148"/>
      <c r="I536" s="251"/>
      <c r="J536" s="251"/>
      <c r="K536" s="148"/>
      <c r="L536" s="277"/>
      <c r="M536" s="252"/>
      <c r="N536" s="250"/>
      <c r="O536" s="253"/>
      <c r="P536" s="240"/>
      <c r="Q536" s="148"/>
      <c r="R536" s="148"/>
      <c r="S536" s="242"/>
      <c r="T536" s="242"/>
      <c r="U536" s="242"/>
      <c r="V536" s="242"/>
      <c r="W536" s="242"/>
      <c r="X536" s="242"/>
      <c r="Y536" s="148"/>
      <c r="Z536" s="148"/>
    </row>
    <row r="537">
      <c r="A537" s="148"/>
      <c r="B537" s="148"/>
      <c r="C537" s="148"/>
      <c r="D537" s="245"/>
      <c r="E537" s="148"/>
      <c r="F537" s="277"/>
      <c r="G537" s="148"/>
      <c r="H537" s="148"/>
      <c r="I537" s="251"/>
      <c r="J537" s="251"/>
      <c r="K537" s="148"/>
      <c r="L537" s="277"/>
      <c r="M537" s="252"/>
      <c r="N537" s="250"/>
      <c r="O537" s="253"/>
      <c r="P537" s="240"/>
      <c r="Q537" s="148"/>
      <c r="R537" s="148"/>
      <c r="S537" s="242"/>
      <c r="T537" s="242"/>
      <c r="U537" s="242"/>
      <c r="V537" s="242"/>
      <c r="W537" s="242"/>
      <c r="X537" s="242"/>
      <c r="Y537" s="148"/>
      <c r="Z537" s="148"/>
    </row>
    <row r="538">
      <c r="A538" s="148"/>
      <c r="B538" s="148"/>
      <c r="C538" s="148"/>
      <c r="D538" s="245"/>
      <c r="E538" s="148"/>
      <c r="F538" s="277"/>
      <c r="G538" s="148"/>
      <c r="H538" s="148"/>
      <c r="I538" s="251"/>
      <c r="J538" s="251"/>
      <c r="K538" s="148"/>
      <c r="L538" s="277"/>
      <c r="M538" s="252"/>
      <c r="N538" s="250"/>
      <c r="O538" s="253"/>
      <c r="P538" s="240"/>
      <c r="Q538" s="148"/>
      <c r="R538" s="148"/>
      <c r="S538" s="242"/>
      <c r="T538" s="242"/>
      <c r="U538" s="242"/>
      <c r="V538" s="242"/>
      <c r="W538" s="242"/>
      <c r="X538" s="242"/>
      <c r="Y538" s="148"/>
      <c r="Z538" s="148"/>
    </row>
    <row r="539">
      <c r="A539" s="148"/>
      <c r="B539" s="148"/>
      <c r="C539" s="148"/>
      <c r="D539" s="245"/>
      <c r="E539" s="148"/>
      <c r="F539" s="277"/>
      <c r="G539" s="148"/>
      <c r="H539" s="148"/>
      <c r="I539" s="251"/>
      <c r="J539" s="251"/>
      <c r="K539" s="148"/>
      <c r="L539" s="277"/>
      <c r="M539" s="252"/>
      <c r="N539" s="250"/>
      <c r="O539" s="253"/>
      <c r="P539" s="240"/>
      <c r="Q539" s="148"/>
      <c r="R539" s="148"/>
      <c r="S539" s="242"/>
      <c r="T539" s="242"/>
      <c r="U539" s="242"/>
      <c r="V539" s="242"/>
      <c r="W539" s="242"/>
      <c r="X539" s="242"/>
      <c r="Y539" s="148"/>
      <c r="Z539" s="148"/>
    </row>
    <row r="540">
      <c r="A540" s="148"/>
      <c r="B540" s="148"/>
      <c r="C540" s="148"/>
      <c r="D540" s="245"/>
      <c r="E540" s="148"/>
      <c r="F540" s="277"/>
      <c r="G540" s="148"/>
      <c r="H540" s="148"/>
      <c r="I540" s="251"/>
      <c r="J540" s="251"/>
      <c r="K540" s="148"/>
      <c r="L540" s="277"/>
      <c r="M540" s="252"/>
      <c r="N540" s="250"/>
      <c r="O540" s="253"/>
      <c r="P540" s="240"/>
      <c r="Q540" s="148"/>
      <c r="R540" s="148"/>
      <c r="S540" s="242"/>
      <c r="T540" s="242"/>
      <c r="U540" s="242"/>
      <c r="V540" s="242"/>
      <c r="W540" s="242"/>
      <c r="X540" s="242"/>
      <c r="Y540" s="148"/>
      <c r="Z540" s="148"/>
    </row>
    <row r="541">
      <c r="A541" s="148"/>
      <c r="B541" s="148"/>
      <c r="C541" s="148"/>
      <c r="D541" s="245"/>
      <c r="E541" s="148"/>
      <c r="F541" s="277"/>
      <c r="G541" s="148"/>
      <c r="H541" s="148"/>
      <c r="I541" s="251"/>
      <c r="J541" s="251"/>
      <c r="K541" s="148"/>
      <c r="L541" s="277"/>
      <c r="M541" s="252"/>
      <c r="N541" s="250"/>
      <c r="O541" s="253"/>
      <c r="P541" s="240"/>
      <c r="Q541" s="148"/>
      <c r="R541" s="148"/>
      <c r="S541" s="242"/>
      <c r="T541" s="242"/>
      <c r="U541" s="242"/>
      <c r="V541" s="242"/>
      <c r="W541" s="242"/>
      <c r="X541" s="242"/>
      <c r="Y541" s="148"/>
      <c r="Z541" s="148"/>
    </row>
    <row r="542">
      <c r="A542" s="148"/>
      <c r="B542" s="148"/>
      <c r="C542" s="148"/>
      <c r="D542" s="245"/>
      <c r="E542" s="148"/>
      <c r="F542" s="277"/>
      <c r="G542" s="148"/>
      <c r="H542" s="148"/>
      <c r="I542" s="251"/>
      <c r="J542" s="251"/>
      <c r="K542" s="148"/>
      <c r="L542" s="277"/>
      <c r="M542" s="252"/>
      <c r="N542" s="250"/>
      <c r="O542" s="253"/>
      <c r="P542" s="240"/>
      <c r="Q542" s="148"/>
      <c r="R542" s="148"/>
      <c r="S542" s="242"/>
      <c r="T542" s="242"/>
      <c r="U542" s="242"/>
      <c r="V542" s="242"/>
      <c r="W542" s="242"/>
      <c r="X542" s="242"/>
      <c r="Y542" s="148"/>
      <c r="Z542" s="148"/>
    </row>
    <row r="543">
      <c r="A543" s="148"/>
      <c r="B543" s="148"/>
      <c r="C543" s="148"/>
      <c r="D543" s="245"/>
      <c r="E543" s="148"/>
      <c r="F543" s="277"/>
      <c r="G543" s="148"/>
      <c r="H543" s="148"/>
      <c r="I543" s="251"/>
      <c r="J543" s="251"/>
      <c r="K543" s="148"/>
      <c r="L543" s="277"/>
      <c r="M543" s="252"/>
      <c r="N543" s="250"/>
      <c r="O543" s="253"/>
      <c r="P543" s="240"/>
      <c r="Q543" s="148"/>
      <c r="R543" s="148"/>
      <c r="S543" s="242"/>
      <c r="T543" s="242"/>
      <c r="U543" s="242"/>
      <c r="V543" s="242"/>
      <c r="W543" s="242"/>
      <c r="X543" s="242"/>
      <c r="Y543" s="148"/>
      <c r="Z543" s="148"/>
    </row>
    <row r="544">
      <c r="A544" s="148"/>
      <c r="B544" s="148"/>
      <c r="C544" s="148"/>
      <c r="D544" s="245"/>
      <c r="E544" s="148"/>
      <c r="F544" s="277"/>
      <c r="G544" s="148"/>
      <c r="H544" s="148"/>
      <c r="I544" s="251"/>
      <c r="J544" s="251"/>
      <c r="K544" s="148"/>
      <c r="L544" s="277"/>
      <c r="M544" s="252"/>
      <c r="N544" s="250"/>
      <c r="O544" s="253"/>
      <c r="P544" s="240"/>
      <c r="Q544" s="148"/>
      <c r="R544" s="148"/>
      <c r="S544" s="242"/>
      <c r="T544" s="242"/>
      <c r="U544" s="242"/>
      <c r="V544" s="242"/>
      <c r="W544" s="242"/>
      <c r="X544" s="242"/>
      <c r="Y544" s="148"/>
      <c r="Z544" s="148"/>
    </row>
    <row r="545">
      <c r="A545" s="148"/>
      <c r="B545" s="148"/>
      <c r="C545" s="148"/>
      <c r="D545" s="245"/>
      <c r="E545" s="148"/>
      <c r="F545" s="277"/>
      <c r="G545" s="148"/>
      <c r="H545" s="148"/>
      <c r="I545" s="251"/>
      <c r="J545" s="251"/>
      <c r="K545" s="148"/>
      <c r="L545" s="277"/>
      <c r="M545" s="252"/>
      <c r="N545" s="250"/>
      <c r="O545" s="253"/>
      <c r="P545" s="240"/>
      <c r="Q545" s="148"/>
      <c r="R545" s="148"/>
      <c r="S545" s="242"/>
      <c r="T545" s="242"/>
      <c r="U545" s="242"/>
      <c r="V545" s="242"/>
      <c r="W545" s="242"/>
      <c r="X545" s="242"/>
      <c r="Y545" s="148"/>
      <c r="Z545" s="148"/>
    </row>
    <row r="546">
      <c r="A546" s="148"/>
      <c r="B546" s="148"/>
      <c r="C546" s="148"/>
      <c r="D546" s="245"/>
      <c r="E546" s="148"/>
      <c r="F546" s="277"/>
      <c r="G546" s="148"/>
      <c r="H546" s="148"/>
      <c r="I546" s="251"/>
      <c r="J546" s="251"/>
      <c r="K546" s="148"/>
      <c r="L546" s="277"/>
      <c r="M546" s="252"/>
      <c r="N546" s="250"/>
      <c r="O546" s="253"/>
      <c r="P546" s="240"/>
      <c r="Q546" s="148"/>
      <c r="R546" s="148"/>
      <c r="S546" s="242"/>
      <c r="T546" s="242"/>
      <c r="U546" s="242"/>
      <c r="V546" s="242"/>
      <c r="W546" s="242"/>
      <c r="X546" s="242"/>
      <c r="Y546" s="148"/>
      <c r="Z546" s="148"/>
    </row>
    <row r="547">
      <c r="A547" s="148"/>
      <c r="B547" s="148"/>
      <c r="C547" s="148"/>
      <c r="D547" s="245"/>
      <c r="E547" s="148"/>
      <c r="F547" s="277"/>
      <c r="G547" s="148"/>
      <c r="H547" s="148"/>
      <c r="I547" s="251"/>
      <c r="J547" s="251"/>
      <c r="K547" s="148"/>
      <c r="L547" s="277"/>
      <c r="M547" s="252"/>
      <c r="N547" s="250"/>
      <c r="O547" s="253"/>
      <c r="P547" s="240"/>
      <c r="Q547" s="148"/>
      <c r="R547" s="148"/>
      <c r="S547" s="242"/>
      <c r="T547" s="242"/>
      <c r="U547" s="242"/>
      <c r="V547" s="242"/>
      <c r="W547" s="242"/>
      <c r="X547" s="242"/>
      <c r="Y547" s="148"/>
      <c r="Z547" s="148"/>
    </row>
    <row r="548">
      <c r="A548" s="148"/>
      <c r="B548" s="148"/>
      <c r="C548" s="148"/>
      <c r="D548" s="245"/>
      <c r="E548" s="148"/>
      <c r="F548" s="277"/>
      <c r="G548" s="148"/>
      <c r="H548" s="148"/>
      <c r="I548" s="251"/>
      <c r="J548" s="251"/>
      <c r="K548" s="148"/>
      <c r="L548" s="277"/>
      <c r="M548" s="252"/>
      <c r="N548" s="250"/>
      <c r="O548" s="253"/>
      <c r="P548" s="240"/>
      <c r="Q548" s="148"/>
      <c r="R548" s="148"/>
      <c r="S548" s="242"/>
      <c r="T548" s="242"/>
      <c r="U548" s="242"/>
      <c r="V548" s="242"/>
      <c r="W548" s="242"/>
      <c r="X548" s="242"/>
      <c r="Y548" s="148"/>
      <c r="Z548" s="148"/>
    </row>
    <row r="549">
      <c r="A549" s="148"/>
      <c r="B549" s="148"/>
      <c r="C549" s="148"/>
      <c r="D549" s="245"/>
      <c r="E549" s="148"/>
      <c r="F549" s="277"/>
      <c r="G549" s="148"/>
      <c r="H549" s="148"/>
      <c r="I549" s="251"/>
      <c r="J549" s="251"/>
      <c r="K549" s="148"/>
      <c r="L549" s="277"/>
      <c r="M549" s="252"/>
      <c r="N549" s="250"/>
      <c r="O549" s="253"/>
      <c r="P549" s="240"/>
      <c r="Q549" s="148"/>
      <c r="R549" s="148"/>
      <c r="S549" s="242"/>
      <c r="T549" s="242"/>
      <c r="U549" s="242"/>
      <c r="V549" s="242"/>
      <c r="W549" s="242"/>
      <c r="X549" s="242"/>
      <c r="Y549" s="148"/>
      <c r="Z549" s="148"/>
    </row>
    <row r="550">
      <c r="A550" s="148"/>
      <c r="B550" s="148"/>
      <c r="C550" s="148"/>
      <c r="D550" s="245"/>
      <c r="E550" s="148"/>
      <c r="F550" s="277"/>
      <c r="G550" s="148"/>
      <c r="H550" s="148"/>
      <c r="I550" s="251"/>
      <c r="J550" s="251"/>
      <c r="K550" s="148"/>
      <c r="L550" s="277"/>
      <c r="M550" s="252"/>
      <c r="N550" s="250"/>
      <c r="O550" s="253"/>
      <c r="P550" s="240"/>
      <c r="Q550" s="148"/>
      <c r="R550" s="148"/>
      <c r="S550" s="242"/>
      <c r="T550" s="242"/>
      <c r="U550" s="242"/>
      <c r="V550" s="242"/>
      <c r="W550" s="242"/>
      <c r="X550" s="242"/>
      <c r="Y550" s="148"/>
      <c r="Z550" s="148"/>
    </row>
    <row r="551">
      <c r="A551" s="148"/>
      <c r="B551" s="148"/>
      <c r="C551" s="148"/>
      <c r="D551" s="245"/>
      <c r="E551" s="148"/>
      <c r="F551" s="277"/>
      <c r="G551" s="148"/>
      <c r="H551" s="148"/>
      <c r="I551" s="251"/>
      <c r="J551" s="251"/>
      <c r="K551" s="148"/>
      <c r="L551" s="277"/>
      <c r="M551" s="252"/>
      <c r="N551" s="250"/>
      <c r="O551" s="253"/>
      <c r="P551" s="240"/>
      <c r="Q551" s="148"/>
      <c r="R551" s="148"/>
      <c r="S551" s="242"/>
      <c r="T551" s="242"/>
      <c r="U551" s="242"/>
      <c r="V551" s="242"/>
      <c r="W551" s="242"/>
      <c r="X551" s="242"/>
      <c r="Y551" s="148"/>
      <c r="Z551" s="148"/>
    </row>
    <row r="552">
      <c r="A552" s="148"/>
      <c r="B552" s="148"/>
      <c r="C552" s="148"/>
      <c r="D552" s="245"/>
      <c r="E552" s="148"/>
      <c r="F552" s="277"/>
      <c r="G552" s="148"/>
      <c r="H552" s="148"/>
      <c r="I552" s="251"/>
      <c r="J552" s="251"/>
      <c r="K552" s="148"/>
      <c r="L552" s="277"/>
      <c r="M552" s="252"/>
      <c r="N552" s="250"/>
      <c r="O552" s="253"/>
      <c r="P552" s="240"/>
      <c r="Q552" s="148"/>
      <c r="R552" s="148"/>
      <c r="S552" s="242"/>
      <c r="T552" s="242"/>
      <c r="U552" s="242"/>
      <c r="V552" s="242"/>
      <c r="W552" s="242"/>
      <c r="X552" s="242"/>
      <c r="Y552" s="148"/>
      <c r="Z552" s="148"/>
    </row>
    <row r="553">
      <c r="A553" s="148"/>
      <c r="B553" s="148"/>
      <c r="C553" s="148"/>
      <c r="D553" s="245"/>
      <c r="E553" s="148"/>
      <c r="F553" s="277"/>
      <c r="G553" s="148"/>
      <c r="H553" s="148"/>
      <c r="I553" s="251"/>
      <c r="J553" s="251"/>
      <c r="K553" s="148"/>
      <c r="L553" s="277"/>
      <c r="M553" s="252"/>
      <c r="N553" s="250"/>
      <c r="O553" s="253"/>
      <c r="P553" s="240"/>
      <c r="Q553" s="148"/>
      <c r="R553" s="148"/>
      <c r="S553" s="242"/>
      <c r="T553" s="242"/>
      <c r="U553" s="242"/>
      <c r="V553" s="242"/>
      <c r="W553" s="242"/>
      <c r="X553" s="242"/>
      <c r="Y553" s="148"/>
      <c r="Z553" s="148"/>
    </row>
    <row r="554">
      <c r="A554" s="148"/>
      <c r="B554" s="148"/>
      <c r="C554" s="148"/>
      <c r="D554" s="245"/>
      <c r="E554" s="148"/>
      <c r="F554" s="277"/>
      <c r="G554" s="148"/>
      <c r="H554" s="148"/>
      <c r="I554" s="251"/>
      <c r="J554" s="251"/>
      <c r="K554" s="148"/>
      <c r="L554" s="277"/>
      <c r="M554" s="252"/>
      <c r="N554" s="250"/>
      <c r="O554" s="253"/>
      <c r="P554" s="240"/>
      <c r="Q554" s="148"/>
      <c r="R554" s="148"/>
      <c r="S554" s="242"/>
      <c r="T554" s="242"/>
      <c r="U554" s="242"/>
      <c r="V554" s="242"/>
      <c r="W554" s="242"/>
      <c r="X554" s="242"/>
      <c r="Y554" s="148"/>
      <c r="Z554" s="148"/>
    </row>
    <row r="555">
      <c r="A555" s="148"/>
      <c r="B555" s="148"/>
      <c r="C555" s="148"/>
      <c r="D555" s="245"/>
      <c r="E555" s="148"/>
      <c r="F555" s="277"/>
      <c r="G555" s="148"/>
      <c r="H555" s="148"/>
      <c r="I555" s="251"/>
      <c r="J555" s="251"/>
      <c r="K555" s="148"/>
      <c r="L555" s="277"/>
      <c r="M555" s="252"/>
      <c r="N555" s="250"/>
      <c r="O555" s="253"/>
      <c r="P555" s="240"/>
      <c r="Q555" s="148"/>
      <c r="R555" s="148"/>
      <c r="S555" s="242"/>
      <c r="T555" s="242"/>
      <c r="U555" s="242"/>
      <c r="V555" s="242"/>
      <c r="W555" s="242"/>
      <c r="X555" s="242"/>
      <c r="Y555" s="148"/>
      <c r="Z555" s="148"/>
    </row>
    <row r="556">
      <c r="A556" s="148"/>
      <c r="B556" s="148"/>
      <c r="C556" s="148"/>
      <c r="D556" s="245"/>
      <c r="E556" s="148"/>
      <c r="F556" s="277"/>
      <c r="G556" s="148"/>
      <c r="H556" s="148"/>
      <c r="I556" s="251"/>
      <c r="J556" s="251"/>
      <c r="K556" s="148"/>
      <c r="L556" s="277"/>
      <c r="M556" s="252"/>
      <c r="N556" s="250"/>
      <c r="O556" s="253"/>
      <c r="P556" s="240"/>
      <c r="Q556" s="148"/>
      <c r="R556" s="148"/>
      <c r="S556" s="242"/>
      <c r="T556" s="242"/>
      <c r="U556" s="242"/>
      <c r="V556" s="242"/>
      <c r="W556" s="242"/>
      <c r="X556" s="242"/>
      <c r="Y556" s="148"/>
      <c r="Z556" s="148"/>
    </row>
    <row r="557">
      <c r="A557" s="148"/>
      <c r="B557" s="148"/>
      <c r="C557" s="148"/>
      <c r="D557" s="245"/>
      <c r="E557" s="148"/>
      <c r="F557" s="277"/>
      <c r="G557" s="148"/>
      <c r="H557" s="148"/>
      <c r="I557" s="251"/>
      <c r="J557" s="251"/>
      <c r="K557" s="148"/>
      <c r="L557" s="277"/>
      <c r="M557" s="252"/>
      <c r="N557" s="250"/>
      <c r="O557" s="253"/>
      <c r="P557" s="240"/>
      <c r="Q557" s="148"/>
      <c r="R557" s="148"/>
      <c r="S557" s="242"/>
      <c r="T557" s="242"/>
      <c r="U557" s="242"/>
      <c r="V557" s="242"/>
      <c r="W557" s="242"/>
      <c r="X557" s="242"/>
      <c r="Y557" s="148"/>
      <c r="Z557" s="148"/>
    </row>
    <row r="558">
      <c r="A558" s="148"/>
      <c r="B558" s="148"/>
      <c r="C558" s="148"/>
      <c r="D558" s="245"/>
      <c r="E558" s="148"/>
      <c r="F558" s="277"/>
      <c r="G558" s="148"/>
      <c r="H558" s="148"/>
      <c r="I558" s="251"/>
      <c r="J558" s="251"/>
      <c r="K558" s="148"/>
      <c r="L558" s="277"/>
      <c r="M558" s="252"/>
      <c r="N558" s="250"/>
      <c r="O558" s="253"/>
      <c r="P558" s="240"/>
      <c r="Q558" s="148"/>
      <c r="R558" s="148"/>
      <c r="S558" s="242"/>
      <c r="T558" s="242"/>
      <c r="U558" s="242"/>
      <c r="V558" s="242"/>
      <c r="W558" s="242"/>
      <c r="X558" s="242"/>
      <c r="Y558" s="148"/>
      <c r="Z558" s="148"/>
    </row>
    <row r="559">
      <c r="A559" s="148"/>
      <c r="B559" s="148"/>
      <c r="C559" s="148"/>
      <c r="D559" s="245"/>
      <c r="E559" s="148"/>
      <c r="F559" s="277"/>
      <c r="G559" s="148"/>
      <c r="H559" s="148"/>
      <c r="I559" s="251"/>
      <c r="J559" s="251"/>
      <c r="K559" s="148"/>
      <c r="L559" s="277"/>
      <c r="M559" s="252"/>
      <c r="N559" s="250"/>
      <c r="O559" s="253"/>
      <c r="P559" s="240"/>
      <c r="Q559" s="148"/>
      <c r="R559" s="148"/>
      <c r="S559" s="242"/>
      <c r="T559" s="242"/>
      <c r="U559" s="242"/>
      <c r="V559" s="242"/>
      <c r="W559" s="242"/>
      <c r="X559" s="242"/>
      <c r="Y559" s="148"/>
      <c r="Z559" s="148"/>
    </row>
    <row r="560">
      <c r="A560" s="148"/>
      <c r="B560" s="148"/>
      <c r="C560" s="148"/>
      <c r="D560" s="245"/>
      <c r="E560" s="148"/>
      <c r="F560" s="277"/>
      <c r="G560" s="148"/>
      <c r="H560" s="148"/>
      <c r="I560" s="251"/>
      <c r="J560" s="251"/>
      <c r="K560" s="148"/>
      <c r="L560" s="277"/>
      <c r="M560" s="252"/>
      <c r="N560" s="250"/>
      <c r="O560" s="253"/>
      <c r="P560" s="240"/>
      <c r="Q560" s="148"/>
      <c r="R560" s="148"/>
      <c r="S560" s="242"/>
      <c r="T560" s="242"/>
      <c r="U560" s="242"/>
      <c r="V560" s="242"/>
      <c r="W560" s="242"/>
      <c r="X560" s="242"/>
      <c r="Y560" s="148"/>
      <c r="Z560" s="148"/>
    </row>
    <row r="561">
      <c r="A561" s="148"/>
      <c r="B561" s="148"/>
      <c r="C561" s="148"/>
      <c r="D561" s="245"/>
      <c r="E561" s="148"/>
      <c r="F561" s="277"/>
      <c r="G561" s="148"/>
      <c r="H561" s="148"/>
      <c r="I561" s="251"/>
      <c r="J561" s="251"/>
      <c r="K561" s="148"/>
      <c r="L561" s="277"/>
      <c r="M561" s="252"/>
      <c r="N561" s="250"/>
      <c r="O561" s="253"/>
      <c r="P561" s="240"/>
      <c r="Q561" s="148"/>
      <c r="R561" s="148"/>
      <c r="S561" s="242"/>
      <c r="T561" s="242"/>
      <c r="U561" s="242"/>
      <c r="V561" s="242"/>
      <c r="W561" s="242"/>
      <c r="X561" s="242"/>
      <c r="Y561" s="148"/>
      <c r="Z561" s="148"/>
    </row>
    <row r="562">
      <c r="A562" s="148"/>
      <c r="B562" s="148"/>
      <c r="C562" s="148"/>
      <c r="D562" s="245"/>
      <c r="E562" s="148"/>
      <c r="F562" s="277"/>
      <c r="G562" s="148"/>
      <c r="H562" s="148"/>
      <c r="I562" s="251"/>
      <c r="J562" s="251"/>
      <c r="K562" s="148"/>
      <c r="L562" s="277"/>
      <c r="M562" s="252"/>
      <c r="N562" s="250"/>
      <c r="O562" s="253"/>
      <c r="P562" s="240"/>
      <c r="Q562" s="148"/>
      <c r="R562" s="148"/>
      <c r="S562" s="242"/>
      <c r="T562" s="242"/>
      <c r="U562" s="242"/>
      <c r="V562" s="242"/>
      <c r="W562" s="242"/>
      <c r="X562" s="242"/>
      <c r="Y562" s="148"/>
      <c r="Z562" s="148"/>
    </row>
    <row r="563">
      <c r="A563" s="148"/>
      <c r="B563" s="148"/>
      <c r="C563" s="148"/>
      <c r="D563" s="245"/>
      <c r="E563" s="148"/>
      <c r="F563" s="277"/>
      <c r="G563" s="148"/>
      <c r="H563" s="148"/>
      <c r="I563" s="251"/>
      <c r="J563" s="251"/>
      <c r="K563" s="148"/>
      <c r="L563" s="277"/>
      <c r="M563" s="252"/>
      <c r="N563" s="250"/>
      <c r="O563" s="253"/>
      <c r="P563" s="240"/>
      <c r="Q563" s="148"/>
      <c r="R563" s="148"/>
      <c r="S563" s="242"/>
      <c r="T563" s="242"/>
      <c r="U563" s="242"/>
      <c r="V563" s="242"/>
      <c r="W563" s="242"/>
      <c r="X563" s="242"/>
      <c r="Y563" s="148"/>
      <c r="Z563" s="148"/>
    </row>
    <row r="564">
      <c r="A564" s="148"/>
      <c r="B564" s="148"/>
      <c r="C564" s="148"/>
      <c r="D564" s="245"/>
      <c r="E564" s="148"/>
      <c r="F564" s="277"/>
      <c r="G564" s="148"/>
      <c r="H564" s="148"/>
      <c r="I564" s="251"/>
      <c r="J564" s="251"/>
      <c r="K564" s="148"/>
      <c r="L564" s="277"/>
      <c r="M564" s="252"/>
      <c r="N564" s="250"/>
      <c r="O564" s="253"/>
      <c r="P564" s="240"/>
      <c r="Q564" s="148"/>
      <c r="R564" s="148"/>
      <c r="S564" s="242"/>
      <c r="T564" s="242"/>
      <c r="U564" s="242"/>
      <c r="V564" s="242"/>
      <c r="W564" s="242"/>
      <c r="X564" s="242"/>
      <c r="Y564" s="148"/>
      <c r="Z564" s="148"/>
    </row>
    <row r="565">
      <c r="A565" s="148"/>
      <c r="B565" s="148"/>
      <c r="C565" s="148"/>
      <c r="D565" s="245"/>
      <c r="E565" s="148"/>
      <c r="F565" s="277"/>
      <c r="G565" s="148"/>
      <c r="H565" s="148"/>
      <c r="I565" s="251"/>
      <c r="J565" s="251"/>
      <c r="K565" s="148"/>
      <c r="L565" s="277"/>
      <c r="M565" s="252"/>
      <c r="N565" s="250"/>
      <c r="O565" s="253"/>
      <c r="P565" s="240"/>
      <c r="Q565" s="148"/>
      <c r="R565" s="148"/>
      <c r="S565" s="242"/>
      <c r="T565" s="242"/>
      <c r="U565" s="242"/>
      <c r="V565" s="242"/>
      <c r="W565" s="242"/>
      <c r="X565" s="242"/>
      <c r="Y565" s="148"/>
      <c r="Z565" s="148"/>
    </row>
    <row r="566">
      <c r="A566" s="148"/>
      <c r="B566" s="148"/>
      <c r="C566" s="148"/>
      <c r="D566" s="245"/>
      <c r="E566" s="148"/>
      <c r="F566" s="277"/>
      <c r="G566" s="148"/>
      <c r="H566" s="148"/>
      <c r="I566" s="251"/>
      <c r="J566" s="251"/>
      <c r="K566" s="148"/>
      <c r="L566" s="277"/>
      <c r="M566" s="252"/>
      <c r="N566" s="250"/>
      <c r="O566" s="253"/>
      <c r="P566" s="240"/>
      <c r="Q566" s="148"/>
      <c r="R566" s="148"/>
      <c r="S566" s="242"/>
      <c r="T566" s="242"/>
      <c r="U566" s="242"/>
      <c r="V566" s="242"/>
      <c r="W566" s="242"/>
      <c r="X566" s="242"/>
      <c r="Y566" s="148"/>
      <c r="Z566" s="148"/>
    </row>
    <row r="567">
      <c r="A567" s="148"/>
      <c r="B567" s="148"/>
      <c r="C567" s="148"/>
      <c r="D567" s="245"/>
      <c r="E567" s="148"/>
      <c r="F567" s="277"/>
      <c r="G567" s="148"/>
      <c r="H567" s="148"/>
      <c r="I567" s="251"/>
      <c r="J567" s="251"/>
      <c r="K567" s="148"/>
      <c r="L567" s="277"/>
      <c r="M567" s="252"/>
      <c r="N567" s="250"/>
      <c r="O567" s="253"/>
      <c r="P567" s="240"/>
      <c r="Q567" s="148"/>
      <c r="R567" s="148"/>
      <c r="S567" s="242"/>
      <c r="T567" s="242"/>
      <c r="U567" s="242"/>
      <c r="V567" s="242"/>
      <c r="W567" s="242"/>
      <c r="X567" s="242"/>
      <c r="Y567" s="148"/>
      <c r="Z567" s="148"/>
    </row>
    <row r="568">
      <c r="A568" s="148"/>
      <c r="B568" s="148"/>
      <c r="C568" s="148"/>
      <c r="D568" s="245"/>
      <c r="E568" s="148"/>
      <c r="F568" s="277"/>
      <c r="G568" s="148"/>
      <c r="H568" s="148"/>
      <c r="I568" s="251"/>
      <c r="J568" s="251"/>
      <c r="K568" s="148"/>
      <c r="L568" s="277"/>
      <c r="M568" s="252"/>
      <c r="N568" s="250"/>
      <c r="O568" s="253"/>
      <c r="P568" s="240"/>
      <c r="Q568" s="148"/>
      <c r="R568" s="148"/>
      <c r="S568" s="242"/>
      <c r="T568" s="242"/>
      <c r="U568" s="242"/>
      <c r="V568" s="242"/>
      <c r="W568" s="242"/>
      <c r="X568" s="242"/>
      <c r="Y568" s="148"/>
      <c r="Z568" s="148"/>
    </row>
    <row r="569">
      <c r="A569" s="148"/>
      <c r="B569" s="148"/>
      <c r="C569" s="148"/>
      <c r="D569" s="245"/>
      <c r="E569" s="148"/>
      <c r="F569" s="277"/>
      <c r="G569" s="148"/>
      <c r="H569" s="148"/>
      <c r="I569" s="251"/>
      <c r="J569" s="251"/>
      <c r="K569" s="148"/>
      <c r="L569" s="277"/>
      <c r="M569" s="252"/>
      <c r="N569" s="250"/>
      <c r="O569" s="253"/>
      <c r="P569" s="240"/>
      <c r="Q569" s="148"/>
      <c r="R569" s="148"/>
      <c r="S569" s="242"/>
      <c r="T569" s="242"/>
      <c r="U569" s="242"/>
      <c r="V569" s="242"/>
      <c r="W569" s="242"/>
      <c r="X569" s="242"/>
      <c r="Y569" s="148"/>
      <c r="Z569" s="148"/>
    </row>
    <row r="570">
      <c r="A570" s="148"/>
      <c r="B570" s="148"/>
      <c r="C570" s="148"/>
      <c r="D570" s="245"/>
      <c r="E570" s="148"/>
      <c r="F570" s="277"/>
      <c r="G570" s="148"/>
      <c r="H570" s="148"/>
      <c r="I570" s="251"/>
      <c r="J570" s="251"/>
      <c r="K570" s="148"/>
      <c r="L570" s="277"/>
      <c r="M570" s="252"/>
      <c r="N570" s="250"/>
      <c r="O570" s="253"/>
      <c r="P570" s="240"/>
      <c r="Q570" s="148"/>
      <c r="R570" s="148"/>
      <c r="S570" s="242"/>
      <c r="T570" s="242"/>
      <c r="U570" s="242"/>
      <c r="V570" s="242"/>
      <c r="W570" s="242"/>
      <c r="X570" s="242"/>
      <c r="Y570" s="148"/>
      <c r="Z570" s="148"/>
    </row>
    <row r="571">
      <c r="A571" s="148"/>
      <c r="B571" s="148"/>
      <c r="C571" s="148"/>
      <c r="D571" s="245"/>
      <c r="E571" s="148"/>
      <c r="F571" s="277"/>
      <c r="G571" s="148"/>
      <c r="H571" s="148"/>
      <c r="I571" s="251"/>
      <c r="J571" s="251"/>
      <c r="K571" s="148"/>
      <c r="L571" s="277"/>
      <c r="M571" s="252"/>
      <c r="N571" s="250"/>
      <c r="O571" s="253"/>
      <c r="P571" s="240"/>
      <c r="Q571" s="148"/>
      <c r="R571" s="148"/>
      <c r="S571" s="242"/>
      <c r="T571" s="242"/>
      <c r="U571" s="242"/>
      <c r="V571" s="242"/>
      <c r="W571" s="242"/>
      <c r="X571" s="242"/>
      <c r="Y571" s="148"/>
      <c r="Z571" s="148"/>
    </row>
    <row r="572">
      <c r="A572" s="148"/>
      <c r="B572" s="148"/>
      <c r="C572" s="148"/>
      <c r="D572" s="245"/>
      <c r="E572" s="148"/>
      <c r="F572" s="277"/>
      <c r="G572" s="148"/>
      <c r="H572" s="148"/>
      <c r="I572" s="251"/>
      <c r="J572" s="251"/>
      <c r="K572" s="148"/>
      <c r="L572" s="277"/>
      <c r="M572" s="252"/>
      <c r="N572" s="250"/>
      <c r="O572" s="253"/>
      <c r="P572" s="240"/>
      <c r="Q572" s="148"/>
      <c r="R572" s="148"/>
      <c r="S572" s="242"/>
      <c r="T572" s="242"/>
      <c r="U572" s="242"/>
      <c r="V572" s="242"/>
      <c r="W572" s="242"/>
      <c r="X572" s="242"/>
      <c r="Y572" s="148"/>
      <c r="Z572" s="148"/>
    </row>
    <row r="573">
      <c r="A573" s="148"/>
      <c r="B573" s="148"/>
      <c r="C573" s="148"/>
      <c r="D573" s="245"/>
      <c r="E573" s="148"/>
      <c r="F573" s="277"/>
      <c r="G573" s="148"/>
      <c r="H573" s="148"/>
      <c r="I573" s="251"/>
      <c r="J573" s="251"/>
      <c r="K573" s="148"/>
      <c r="L573" s="277"/>
      <c r="M573" s="252"/>
      <c r="N573" s="250"/>
      <c r="O573" s="253"/>
      <c r="P573" s="240"/>
      <c r="Q573" s="148"/>
      <c r="R573" s="148"/>
      <c r="S573" s="242"/>
      <c r="T573" s="242"/>
      <c r="U573" s="242"/>
      <c r="V573" s="242"/>
      <c r="W573" s="242"/>
      <c r="X573" s="242"/>
      <c r="Y573" s="148"/>
      <c r="Z573" s="148"/>
    </row>
    <row r="574">
      <c r="A574" s="148"/>
      <c r="B574" s="148"/>
      <c r="C574" s="148"/>
      <c r="D574" s="245"/>
      <c r="E574" s="148"/>
      <c r="F574" s="277"/>
      <c r="G574" s="148"/>
      <c r="H574" s="148"/>
      <c r="I574" s="251"/>
      <c r="J574" s="251"/>
      <c r="K574" s="148"/>
      <c r="L574" s="277"/>
      <c r="M574" s="252"/>
      <c r="N574" s="250"/>
      <c r="O574" s="253"/>
      <c r="P574" s="240"/>
      <c r="Q574" s="148"/>
      <c r="R574" s="148"/>
      <c r="S574" s="242"/>
      <c r="T574" s="242"/>
      <c r="U574" s="242"/>
      <c r="V574" s="242"/>
      <c r="W574" s="242"/>
      <c r="X574" s="242"/>
      <c r="Y574" s="148"/>
      <c r="Z574" s="148"/>
    </row>
    <row r="575">
      <c r="A575" s="148"/>
      <c r="B575" s="148"/>
      <c r="C575" s="148"/>
      <c r="D575" s="245"/>
      <c r="E575" s="148"/>
      <c r="F575" s="277"/>
      <c r="G575" s="148"/>
      <c r="H575" s="148"/>
      <c r="I575" s="251"/>
      <c r="J575" s="251"/>
      <c r="K575" s="148"/>
      <c r="L575" s="277"/>
      <c r="M575" s="252"/>
      <c r="N575" s="250"/>
      <c r="O575" s="253"/>
      <c r="P575" s="240"/>
      <c r="Q575" s="148"/>
      <c r="R575" s="148"/>
      <c r="S575" s="242"/>
      <c r="T575" s="242"/>
      <c r="U575" s="242"/>
      <c r="V575" s="242"/>
      <c r="W575" s="242"/>
      <c r="X575" s="242"/>
      <c r="Y575" s="148"/>
      <c r="Z575" s="148"/>
    </row>
    <row r="576">
      <c r="A576" s="148"/>
      <c r="B576" s="148"/>
      <c r="C576" s="148"/>
      <c r="D576" s="245"/>
      <c r="E576" s="148"/>
      <c r="F576" s="277"/>
      <c r="G576" s="148"/>
      <c r="H576" s="148"/>
      <c r="I576" s="251"/>
      <c r="J576" s="251"/>
      <c r="K576" s="148"/>
      <c r="L576" s="277"/>
      <c r="M576" s="252"/>
      <c r="N576" s="250"/>
      <c r="O576" s="253"/>
      <c r="P576" s="240"/>
      <c r="Q576" s="148"/>
      <c r="R576" s="148"/>
      <c r="S576" s="242"/>
      <c r="T576" s="242"/>
      <c r="U576" s="242"/>
      <c r="V576" s="242"/>
      <c r="W576" s="242"/>
      <c r="X576" s="242"/>
      <c r="Y576" s="148"/>
      <c r="Z576" s="148"/>
    </row>
    <row r="577">
      <c r="A577" s="148"/>
      <c r="B577" s="148"/>
      <c r="C577" s="148"/>
      <c r="D577" s="245"/>
      <c r="E577" s="148"/>
      <c r="F577" s="277"/>
      <c r="G577" s="148"/>
      <c r="H577" s="148"/>
      <c r="I577" s="251"/>
      <c r="J577" s="251"/>
      <c r="K577" s="148"/>
      <c r="L577" s="277"/>
      <c r="M577" s="252"/>
      <c r="N577" s="250"/>
      <c r="O577" s="253"/>
      <c r="P577" s="240"/>
      <c r="Q577" s="148"/>
      <c r="R577" s="148"/>
      <c r="S577" s="242"/>
      <c r="T577" s="242"/>
      <c r="U577" s="242"/>
      <c r="V577" s="242"/>
      <c r="W577" s="242"/>
      <c r="X577" s="242"/>
      <c r="Y577" s="148"/>
      <c r="Z577" s="148"/>
    </row>
    <row r="578">
      <c r="A578" s="148"/>
      <c r="B578" s="148"/>
      <c r="C578" s="148"/>
      <c r="D578" s="245"/>
      <c r="E578" s="148"/>
      <c r="F578" s="277"/>
      <c r="G578" s="148"/>
      <c r="H578" s="148"/>
      <c r="I578" s="251"/>
      <c r="J578" s="251"/>
      <c r="K578" s="148"/>
      <c r="L578" s="277"/>
      <c r="M578" s="252"/>
      <c r="N578" s="250"/>
      <c r="O578" s="253"/>
      <c r="P578" s="240"/>
      <c r="Q578" s="148"/>
      <c r="R578" s="148"/>
      <c r="S578" s="242"/>
      <c r="T578" s="242"/>
      <c r="U578" s="242"/>
      <c r="V578" s="242"/>
      <c r="W578" s="242"/>
      <c r="X578" s="242"/>
      <c r="Y578" s="148"/>
      <c r="Z578" s="148"/>
    </row>
    <row r="579">
      <c r="A579" s="148"/>
      <c r="B579" s="148"/>
      <c r="C579" s="148"/>
      <c r="D579" s="245"/>
      <c r="E579" s="148"/>
      <c r="F579" s="277"/>
      <c r="G579" s="148"/>
      <c r="H579" s="148"/>
      <c r="I579" s="251"/>
      <c r="J579" s="251"/>
      <c r="K579" s="148"/>
      <c r="L579" s="277"/>
      <c r="M579" s="252"/>
      <c r="N579" s="250"/>
      <c r="O579" s="253"/>
      <c r="P579" s="240"/>
      <c r="Q579" s="148"/>
      <c r="R579" s="148"/>
      <c r="S579" s="242"/>
      <c r="T579" s="242"/>
      <c r="U579" s="242"/>
      <c r="V579" s="242"/>
      <c r="W579" s="242"/>
      <c r="X579" s="242"/>
      <c r="Y579" s="148"/>
      <c r="Z579" s="148"/>
    </row>
    <row r="580">
      <c r="A580" s="148"/>
      <c r="B580" s="148"/>
      <c r="C580" s="148"/>
      <c r="D580" s="245"/>
      <c r="E580" s="148"/>
      <c r="F580" s="277"/>
      <c r="G580" s="148"/>
      <c r="H580" s="148"/>
      <c r="I580" s="251"/>
      <c r="J580" s="251"/>
      <c r="K580" s="148"/>
      <c r="L580" s="277"/>
      <c r="M580" s="252"/>
      <c r="N580" s="250"/>
      <c r="O580" s="253"/>
      <c r="P580" s="240"/>
      <c r="Q580" s="148"/>
      <c r="R580" s="148"/>
      <c r="S580" s="242"/>
      <c r="T580" s="242"/>
      <c r="U580" s="242"/>
      <c r="V580" s="242"/>
      <c r="W580" s="242"/>
      <c r="X580" s="242"/>
      <c r="Y580" s="148"/>
      <c r="Z580" s="148"/>
    </row>
    <row r="581">
      <c r="A581" s="148"/>
      <c r="B581" s="148"/>
      <c r="C581" s="148"/>
      <c r="D581" s="245"/>
      <c r="E581" s="148"/>
      <c r="F581" s="277"/>
      <c r="G581" s="148"/>
      <c r="H581" s="148"/>
      <c r="I581" s="251"/>
      <c r="J581" s="251"/>
      <c r="K581" s="148"/>
      <c r="L581" s="277"/>
      <c r="M581" s="252"/>
      <c r="N581" s="250"/>
      <c r="O581" s="253"/>
      <c r="P581" s="240"/>
      <c r="Q581" s="148"/>
      <c r="R581" s="148"/>
      <c r="S581" s="242"/>
      <c r="T581" s="242"/>
      <c r="U581" s="242"/>
      <c r="V581" s="242"/>
      <c r="W581" s="242"/>
      <c r="X581" s="242"/>
      <c r="Y581" s="148"/>
      <c r="Z581" s="148"/>
    </row>
    <row r="582">
      <c r="A582" s="148"/>
      <c r="B582" s="148"/>
      <c r="C582" s="148"/>
      <c r="D582" s="245"/>
      <c r="E582" s="148"/>
      <c r="F582" s="277"/>
      <c r="G582" s="148"/>
      <c r="H582" s="148"/>
      <c r="I582" s="251"/>
      <c r="J582" s="251"/>
      <c r="K582" s="148"/>
      <c r="L582" s="277"/>
      <c r="M582" s="252"/>
      <c r="N582" s="250"/>
      <c r="O582" s="253"/>
      <c r="P582" s="240"/>
      <c r="Q582" s="148"/>
      <c r="R582" s="148"/>
      <c r="S582" s="242"/>
      <c r="T582" s="242"/>
      <c r="U582" s="242"/>
      <c r="V582" s="242"/>
      <c r="W582" s="242"/>
      <c r="X582" s="242"/>
      <c r="Y582" s="148"/>
      <c r="Z582" s="148"/>
    </row>
    <row r="583">
      <c r="A583" s="148"/>
      <c r="B583" s="148"/>
      <c r="C583" s="148"/>
      <c r="D583" s="245"/>
      <c r="E583" s="148"/>
      <c r="F583" s="277"/>
      <c r="G583" s="148"/>
      <c r="H583" s="148"/>
      <c r="I583" s="251"/>
      <c r="J583" s="251"/>
      <c r="K583" s="148"/>
      <c r="L583" s="277"/>
      <c r="M583" s="252"/>
      <c r="N583" s="250"/>
      <c r="O583" s="253"/>
      <c r="P583" s="240"/>
      <c r="Q583" s="148"/>
      <c r="R583" s="148"/>
      <c r="S583" s="242"/>
      <c r="T583" s="242"/>
      <c r="U583" s="242"/>
      <c r="V583" s="242"/>
      <c r="W583" s="242"/>
      <c r="X583" s="242"/>
      <c r="Y583" s="148"/>
      <c r="Z583" s="148"/>
    </row>
    <row r="584">
      <c r="A584" s="148"/>
      <c r="B584" s="148"/>
      <c r="C584" s="148"/>
      <c r="D584" s="245"/>
      <c r="E584" s="148"/>
      <c r="F584" s="277"/>
      <c r="G584" s="148"/>
      <c r="H584" s="148"/>
      <c r="I584" s="251"/>
      <c r="J584" s="251"/>
      <c r="K584" s="148"/>
      <c r="L584" s="277"/>
      <c r="M584" s="252"/>
      <c r="N584" s="250"/>
      <c r="O584" s="253"/>
      <c r="P584" s="240"/>
      <c r="Q584" s="148"/>
      <c r="R584" s="148"/>
      <c r="S584" s="242"/>
      <c r="T584" s="242"/>
      <c r="U584" s="242"/>
      <c r="V584" s="242"/>
      <c r="W584" s="242"/>
      <c r="X584" s="242"/>
      <c r="Y584" s="148"/>
      <c r="Z584" s="148"/>
    </row>
    <row r="585">
      <c r="A585" s="148"/>
      <c r="B585" s="148"/>
      <c r="C585" s="148"/>
      <c r="D585" s="245"/>
      <c r="E585" s="148"/>
      <c r="F585" s="277"/>
      <c r="G585" s="148"/>
      <c r="H585" s="148"/>
      <c r="I585" s="251"/>
      <c r="J585" s="251"/>
      <c r="K585" s="148"/>
      <c r="L585" s="277"/>
      <c r="M585" s="252"/>
      <c r="N585" s="250"/>
      <c r="O585" s="253"/>
      <c r="P585" s="240"/>
      <c r="Q585" s="148"/>
      <c r="R585" s="148"/>
      <c r="S585" s="242"/>
      <c r="T585" s="242"/>
      <c r="U585" s="242"/>
      <c r="V585" s="242"/>
      <c r="W585" s="242"/>
      <c r="X585" s="242"/>
      <c r="Y585" s="148"/>
      <c r="Z585" s="148"/>
    </row>
    <row r="586">
      <c r="A586" s="148"/>
      <c r="B586" s="148"/>
      <c r="C586" s="148"/>
      <c r="D586" s="245"/>
      <c r="E586" s="148"/>
      <c r="F586" s="277"/>
      <c r="G586" s="148"/>
      <c r="H586" s="148"/>
      <c r="I586" s="251"/>
      <c r="J586" s="251"/>
      <c r="K586" s="148"/>
      <c r="L586" s="277"/>
      <c r="M586" s="252"/>
      <c r="N586" s="250"/>
      <c r="O586" s="253"/>
      <c r="P586" s="240"/>
      <c r="Q586" s="148"/>
      <c r="R586" s="148"/>
      <c r="S586" s="242"/>
      <c r="T586" s="242"/>
      <c r="U586" s="242"/>
      <c r="V586" s="242"/>
      <c r="W586" s="242"/>
      <c r="X586" s="242"/>
      <c r="Y586" s="148"/>
      <c r="Z586" s="148"/>
    </row>
    <row r="587">
      <c r="A587" s="148"/>
      <c r="B587" s="148"/>
      <c r="C587" s="148"/>
      <c r="D587" s="245"/>
      <c r="E587" s="148"/>
      <c r="F587" s="277"/>
      <c r="G587" s="148"/>
      <c r="H587" s="148"/>
      <c r="I587" s="251"/>
      <c r="J587" s="251"/>
      <c r="K587" s="148"/>
      <c r="L587" s="277"/>
      <c r="M587" s="252"/>
      <c r="N587" s="250"/>
      <c r="O587" s="253"/>
      <c r="P587" s="240"/>
      <c r="Q587" s="148"/>
      <c r="R587" s="148"/>
      <c r="S587" s="242"/>
      <c r="T587" s="242"/>
      <c r="U587" s="242"/>
      <c r="V587" s="242"/>
      <c r="W587" s="242"/>
      <c r="X587" s="242"/>
      <c r="Y587" s="148"/>
      <c r="Z587" s="148"/>
    </row>
    <row r="588">
      <c r="A588" s="148"/>
      <c r="B588" s="148"/>
      <c r="C588" s="148"/>
      <c r="D588" s="245"/>
      <c r="E588" s="148"/>
      <c r="F588" s="277"/>
      <c r="G588" s="148"/>
      <c r="H588" s="148"/>
      <c r="I588" s="251"/>
      <c r="J588" s="251"/>
      <c r="K588" s="148"/>
      <c r="L588" s="277"/>
      <c r="M588" s="252"/>
      <c r="N588" s="250"/>
      <c r="O588" s="253"/>
      <c r="P588" s="240"/>
      <c r="Q588" s="148"/>
      <c r="R588" s="148"/>
      <c r="S588" s="242"/>
      <c r="T588" s="242"/>
      <c r="U588" s="242"/>
      <c r="V588" s="242"/>
      <c r="W588" s="242"/>
      <c r="X588" s="242"/>
      <c r="Y588" s="148"/>
      <c r="Z588" s="148"/>
    </row>
    <row r="589">
      <c r="A589" s="148"/>
      <c r="B589" s="148"/>
      <c r="C589" s="148"/>
      <c r="D589" s="245"/>
      <c r="E589" s="148"/>
      <c r="F589" s="277"/>
      <c r="G589" s="148"/>
      <c r="H589" s="148"/>
      <c r="I589" s="251"/>
      <c r="J589" s="251"/>
      <c r="K589" s="148"/>
      <c r="L589" s="277"/>
      <c r="M589" s="252"/>
      <c r="N589" s="250"/>
      <c r="O589" s="253"/>
      <c r="P589" s="240"/>
      <c r="Q589" s="148"/>
      <c r="R589" s="148"/>
      <c r="S589" s="242"/>
      <c r="T589" s="242"/>
      <c r="U589" s="242"/>
      <c r="V589" s="242"/>
      <c r="W589" s="242"/>
      <c r="X589" s="242"/>
      <c r="Y589" s="148"/>
      <c r="Z589" s="148"/>
    </row>
    <row r="590">
      <c r="A590" s="148"/>
      <c r="B590" s="148"/>
      <c r="C590" s="148"/>
      <c r="D590" s="245"/>
      <c r="E590" s="148"/>
      <c r="F590" s="277"/>
      <c r="G590" s="148"/>
      <c r="H590" s="148"/>
      <c r="I590" s="251"/>
      <c r="J590" s="251"/>
      <c r="K590" s="148"/>
      <c r="L590" s="277"/>
      <c r="M590" s="252"/>
      <c r="N590" s="250"/>
      <c r="O590" s="253"/>
      <c r="P590" s="240"/>
      <c r="Q590" s="148"/>
      <c r="R590" s="148"/>
      <c r="S590" s="242"/>
      <c r="T590" s="242"/>
      <c r="U590" s="242"/>
      <c r="V590" s="242"/>
      <c r="W590" s="242"/>
      <c r="X590" s="242"/>
      <c r="Y590" s="148"/>
      <c r="Z590" s="148"/>
    </row>
    <row r="591">
      <c r="A591" s="148"/>
      <c r="B591" s="148"/>
      <c r="C591" s="148"/>
      <c r="D591" s="245"/>
      <c r="E591" s="148"/>
      <c r="F591" s="277"/>
      <c r="G591" s="148"/>
      <c r="H591" s="148"/>
      <c r="I591" s="251"/>
      <c r="J591" s="251"/>
      <c r="K591" s="148"/>
      <c r="L591" s="277"/>
      <c r="M591" s="252"/>
      <c r="N591" s="250"/>
      <c r="O591" s="253"/>
      <c r="P591" s="240"/>
      <c r="Q591" s="148"/>
      <c r="R591" s="148"/>
      <c r="S591" s="242"/>
      <c r="T591" s="242"/>
      <c r="U591" s="242"/>
      <c r="V591" s="242"/>
      <c r="W591" s="242"/>
      <c r="X591" s="242"/>
      <c r="Y591" s="148"/>
      <c r="Z591" s="148"/>
    </row>
    <row r="592">
      <c r="A592" s="148"/>
      <c r="B592" s="148"/>
      <c r="C592" s="148"/>
      <c r="D592" s="245"/>
      <c r="E592" s="148"/>
      <c r="F592" s="277"/>
      <c r="G592" s="148"/>
      <c r="H592" s="148"/>
      <c r="I592" s="251"/>
      <c r="J592" s="251"/>
      <c r="K592" s="148"/>
      <c r="L592" s="277"/>
      <c r="M592" s="252"/>
      <c r="N592" s="250"/>
      <c r="O592" s="253"/>
      <c r="P592" s="240"/>
      <c r="Q592" s="148"/>
      <c r="R592" s="148"/>
      <c r="S592" s="242"/>
      <c r="T592" s="242"/>
      <c r="U592" s="242"/>
      <c r="V592" s="242"/>
      <c r="W592" s="242"/>
      <c r="X592" s="242"/>
      <c r="Y592" s="148"/>
      <c r="Z592" s="148"/>
    </row>
    <row r="593">
      <c r="A593" s="148"/>
      <c r="B593" s="148"/>
      <c r="C593" s="148"/>
      <c r="D593" s="245"/>
      <c r="E593" s="148"/>
      <c r="F593" s="277"/>
      <c r="G593" s="148"/>
      <c r="H593" s="148"/>
      <c r="I593" s="251"/>
      <c r="J593" s="251"/>
      <c r="K593" s="148"/>
      <c r="L593" s="277"/>
      <c r="M593" s="252"/>
      <c r="N593" s="250"/>
      <c r="O593" s="253"/>
      <c r="P593" s="240"/>
      <c r="Q593" s="148"/>
      <c r="R593" s="148"/>
      <c r="S593" s="242"/>
      <c r="T593" s="242"/>
      <c r="U593" s="242"/>
      <c r="V593" s="242"/>
      <c r="W593" s="242"/>
      <c r="X593" s="242"/>
      <c r="Y593" s="148"/>
      <c r="Z593" s="148"/>
    </row>
    <row r="594">
      <c r="A594" s="148"/>
      <c r="B594" s="148"/>
      <c r="C594" s="148"/>
      <c r="D594" s="245"/>
      <c r="E594" s="148"/>
      <c r="F594" s="277"/>
      <c r="G594" s="148"/>
      <c r="H594" s="148"/>
      <c r="I594" s="251"/>
      <c r="J594" s="251"/>
      <c r="K594" s="148"/>
      <c r="L594" s="277"/>
      <c r="M594" s="252"/>
      <c r="N594" s="250"/>
      <c r="O594" s="253"/>
      <c r="P594" s="240"/>
      <c r="Q594" s="148"/>
      <c r="R594" s="148"/>
      <c r="S594" s="242"/>
      <c r="T594" s="242"/>
      <c r="U594" s="242"/>
      <c r="V594" s="242"/>
      <c r="W594" s="242"/>
      <c r="X594" s="242"/>
      <c r="Y594" s="148"/>
      <c r="Z594" s="148"/>
    </row>
    <row r="595">
      <c r="A595" s="148"/>
      <c r="B595" s="148"/>
      <c r="C595" s="148"/>
      <c r="D595" s="245"/>
      <c r="E595" s="148"/>
      <c r="F595" s="277"/>
      <c r="G595" s="148"/>
      <c r="H595" s="148"/>
      <c r="I595" s="251"/>
      <c r="J595" s="251"/>
      <c r="K595" s="148"/>
      <c r="L595" s="277"/>
      <c r="M595" s="252"/>
      <c r="N595" s="250"/>
      <c r="O595" s="253"/>
      <c r="P595" s="240"/>
      <c r="Q595" s="148"/>
      <c r="R595" s="148"/>
      <c r="S595" s="242"/>
      <c r="T595" s="242"/>
      <c r="U595" s="242"/>
      <c r="V595" s="242"/>
      <c r="W595" s="242"/>
      <c r="X595" s="242"/>
      <c r="Y595" s="148"/>
      <c r="Z595" s="148"/>
    </row>
    <row r="596">
      <c r="A596" s="148"/>
      <c r="B596" s="148"/>
      <c r="C596" s="148"/>
      <c r="D596" s="245"/>
      <c r="E596" s="148"/>
      <c r="F596" s="277"/>
      <c r="G596" s="148"/>
      <c r="H596" s="148"/>
      <c r="I596" s="251"/>
      <c r="J596" s="251"/>
      <c r="K596" s="148"/>
      <c r="L596" s="277"/>
      <c r="M596" s="252"/>
      <c r="N596" s="250"/>
      <c r="O596" s="253"/>
      <c r="P596" s="240"/>
      <c r="Q596" s="148"/>
      <c r="R596" s="148"/>
      <c r="S596" s="242"/>
      <c r="T596" s="242"/>
      <c r="U596" s="242"/>
      <c r="V596" s="242"/>
      <c r="W596" s="242"/>
      <c r="X596" s="242"/>
      <c r="Y596" s="148"/>
      <c r="Z596" s="148"/>
    </row>
    <row r="597">
      <c r="A597" s="148"/>
      <c r="B597" s="148"/>
      <c r="C597" s="148"/>
      <c r="D597" s="245"/>
      <c r="E597" s="148"/>
      <c r="F597" s="277"/>
      <c r="G597" s="148"/>
      <c r="H597" s="148"/>
      <c r="I597" s="251"/>
      <c r="J597" s="251"/>
      <c r="K597" s="148"/>
      <c r="L597" s="277"/>
      <c r="M597" s="252"/>
      <c r="N597" s="250"/>
      <c r="O597" s="253"/>
      <c r="P597" s="240"/>
      <c r="Q597" s="148"/>
      <c r="R597" s="148"/>
      <c r="S597" s="242"/>
      <c r="T597" s="242"/>
      <c r="U597" s="242"/>
      <c r="V597" s="242"/>
      <c r="W597" s="242"/>
      <c r="X597" s="242"/>
      <c r="Y597" s="148"/>
      <c r="Z597" s="148"/>
    </row>
    <row r="598">
      <c r="A598" s="148"/>
      <c r="B598" s="148"/>
      <c r="C598" s="148"/>
      <c r="D598" s="245"/>
      <c r="E598" s="148"/>
      <c r="F598" s="277"/>
      <c r="G598" s="148"/>
      <c r="H598" s="148"/>
      <c r="I598" s="251"/>
      <c r="J598" s="251"/>
      <c r="K598" s="148"/>
      <c r="L598" s="277"/>
      <c r="M598" s="252"/>
      <c r="N598" s="250"/>
      <c r="O598" s="253"/>
      <c r="P598" s="240"/>
      <c r="Q598" s="148"/>
      <c r="R598" s="148"/>
      <c r="S598" s="242"/>
      <c r="T598" s="242"/>
      <c r="U598" s="242"/>
      <c r="V598" s="242"/>
      <c r="W598" s="242"/>
      <c r="X598" s="242"/>
      <c r="Y598" s="148"/>
      <c r="Z598" s="148"/>
    </row>
    <row r="599">
      <c r="A599" s="148"/>
      <c r="B599" s="148"/>
      <c r="C599" s="148"/>
      <c r="D599" s="245"/>
      <c r="E599" s="148"/>
      <c r="F599" s="277"/>
      <c r="G599" s="148"/>
      <c r="H599" s="148"/>
      <c r="I599" s="251"/>
      <c r="J599" s="251"/>
      <c r="K599" s="148"/>
      <c r="L599" s="277"/>
      <c r="M599" s="252"/>
      <c r="N599" s="250"/>
      <c r="O599" s="253"/>
      <c r="P599" s="240"/>
      <c r="Q599" s="148"/>
      <c r="R599" s="148"/>
      <c r="S599" s="242"/>
      <c r="T599" s="242"/>
      <c r="U599" s="242"/>
      <c r="V599" s="242"/>
      <c r="W599" s="242"/>
      <c r="X599" s="242"/>
      <c r="Y599" s="148"/>
      <c r="Z599" s="148"/>
    </row>
    <row r="600">
      <c r="A600" s="148"/>
      <c r="B600" s="148"/>
      <c r="C600" s="148"/>
      <c r="D600" s="245"/>
      <c r="E600" s="148"/>
      <c r="F600" s="277"/>
      <c r="G600" s="148"/>
      <c r="H600" s="148"/>
      <c r="I600" s="251"/>
      <c r="J600" s="251"/>
      <c r="K600" s="148"/>
      <c r="L600" s="277"/>
      <c r="M600" s="252"/>
      <c r="N600" s="250"/>
      <c r="O600" s="253"/>
      <c r="P600" s="240"/>
      <c r="Q600" s="148"/>
      <c r="R600" s="148"/>
      <c r="S600" s="242"/>
      <c r="T600" s="242"/>
      <c r="U600" s="242"/>
      <c r="V600" s="242"/>
      <c r="W600" s="242"/>
      <c r="X600" s="242"/>
      <c r="Y600" s="148"/>
      <c r="Z600" s="148"/>
    </row>
    <row r="601">
      <c r="A601" s="148"/>
      <c r="B601" s="148"/>
      <c r="C601" s="148"/>
      <c r="D601" s="245"/>
      <c r="E601" s="148"/>
      <c r="F601" s="277"/>
      <c r="G601" s="148"/>
      <c r="H601" s="148"/>
      <c r="I601" s="251"/>
      <c r="J601" s="251"/>
      <c r="K601" s="148"/>
      <c r="L601" s="277"/>
      <c r="M601" s="252"/>
      <c r="N601" s="250"/>
      <c r="O601" s="253"/>
      <c r="P601" s="240"/>
      <c r="Q601" s="148"/>
      <c r="R601" s="148"/>
      <c r="S601" s="242"/>
      <c r="T601" s="242"/>
      <c r="U601" s="242"/>
      <c r="V601" s="242"/>
      <c r="W601" s="242"/>
      <c r="X601" s="242"/>
      <c r="Y601" s="148"/>
      <c r="Z601" s="148"/>
    </row>
    <row r="602">
      <c r="A602" s="148"/>
      <c r="B602" s="148"/>
      <c r="C602" s="148"/>
      <c r="D602" s="245"/>
      <c r="E602" s="148"/>
      <c r="F602" s="277"/>
      <c r="G602" s="148"/>
      <c r="H602" s="148"/>
      <c r="I602" s="251"/>
      <c r="J602" s="251"/>
      <c r="K602" s="148"/>
      <c r="L602" s="277"/>
      <c r="M602" s="252"/>
      <c r="N602" s="250"/>
      <c r="O602" s="253"/>
      <c r="P602" s="240"/>
      <c r="Q602" s="148"/>
      <c r="R602" s="148"/>
      <c r="S602" s="242"/>
      <c r="T602" s="242"/>
      <c r="U602" s="242"/>
      <c r="V602" s="242"/>
      <c r="W602" s="242"/>
      <c r="X602" s="242"/>
      <c r="Y602" s="148"/>
      <c r="Z602" s="148"/>
    </row>
    <row r="603">
      <c r="A603" s="148"/>
      <c r="B603" s="148"/>
      <c r="C603" s="148"/>
      <c r="D603" s="245"/>
      <c r="E603" s="148"/>
      <c r="F603" s="277"/>
      <c r="G603" s="148"/>
      <c r="H603" s="148"/>
      <c r="I603" s="251"/>
      <c r="J603" s="251"/>
      <c r="K603" s="148"/>
      <c r="L603" s="277"/>
      <c r="M603" s="252"/>
      <c r="N603" s="250"/>
      <c r="O603" s="253"/>
      <c r="P603" s="240"/>
      <c r="Q603" s="148"/>
      <c r="R603" s="148"/>
      <c r="S603" s="242"/>
      <c r="T603" s="242"/>
      <c r="U603" s="242"/>
      <c r="V603" s="242"/>
      <c r="W603" s="242"/>
      <c r="X603" s="242"/>
      <c r="Y603" s="148"/>
      <c r="Z603" s="148"/>
    </row>
    <row r="604">
      <c r="A604" s="148"/>
      <c r="B604" s="148"/>
      <c r="C604" s="148"/>
      <c r="D604" s="245"/>
      <c r="E604" s="148"/>
      <c r="F604" s="277"/>
      <c r="G604" s="148"/>
      <c r="H604" s="148"/>
      <c r="I604" s="251"/>
      <c r="J604" s="251"/>
      <c r="K604" s="148"/>
      <c r="L604" s="277"/>
      <c r="M604" s="252"/>
      <c r="N604" s="250"/>
      <c r="O604" s="253"/>
      <c r="P604" s="240"/>
      <c r="Q604" s="148"/>
      <c r="R604" s="148"/>
      <c r="S604" s="242"/>
      <c r="T604" s="242"/>
      <c r="U604" s="242"/>
      <c r="V604" s="242"/>
      <c r="W604" s="242"/>
      <c r="X604" s="242"/>
      <c r="Y604" s="148"/>
      <c r="Z604" s="148"/>
    </row>
    <row r="605">
      <c r="A605" s="148"/>
      <c r="B605" s="148"/>
      <c r="C605" s="148"/>
      <c r="D605" s="245"/>
      <c r="E605" s="148"/>
      <c r="F605" s="277"/>
      <c r="G605" s="148"/>
      <c r="H605" s="148"/>
      <c r="I605" s="251"/>
      <c r="J605" s="251"/>
      <c r="K605" s="148"/>
      <c r="L605" s="277"/>
      <c r="M605" s="252"/>
      <c r="N605" s="250"/>
      <c r="O605" s="253"/>
      <c r="P605" s="240"/>
      <c r="Q605" s="148"/>
      <c r="R605" s="148"/>
      <c r="S605" s="242"/>
      <c r="T605" s="242"/>
      <c r="U605" s="242"/>
      <c r="V605" s="242"/>
      <c r="W605" s="242"/>
      <c r="X605" s="242"/>
      <c r="Y605" s="148"/>
      <c r="Z605" s="148"/>
    </row>
    <row r="606">
      <c r="A606" s="148"/>
      <c r="B606" s="148"/>
      <c r="C606" s="148"/>
      <c r="D606" s="245"/>
      <c r="E606" s="148"/>
      <c r="F606" s="277"/>
      <c r="G606" s="148"/>
      <c r="H606" s="148"/>
      <c r="I606" s="251"/>
      <c r="J606" s="251"/>
      <c r="K606" s="148"/>
      <c r="L606" s="277"/>
      <c r="M606" s="252"/>
      <c r="N606" s="250"/>
      <c r="O606" s="253"/>
      <c r="P606" s="240"/>
      <c r="Q606" s="148"/>
      <c r="R606" s="148"/>
      <c r="S606" s="242"/>
      <c r="T606" s="242"/>
      <c r="U606" s="242"/>
      <c r="V606" s="242"/>
      <c r="W606" s="242"/>
      <c r="X606" s="242"/>
      <c r="Y606" s="148"/>
      <c r="Z606" s="148"/>
    </row>
    <row r="607">
      <c r="A607" s="148"/>
      <c r="B607" s="148"/>
      <c r="C607" s="148"/>
      <c r="D607" s="245"/>
      <c r="E607" s="148"/>
      <c r="F607" s="277"/>
      <c r="G607" s="148"/>
      <c r="H607" s="148"/>
      <c r="I607" s="251"/>
      <c r="J607" s="251"/>
      <c r="K607" s="148"/>
      <c r="L607" s="277"/>
      <c r="M607" s="252"/>
      <c r="N607" s="250"/>
      <c r="O607" s="253"/>
      <c r="P607" s="240"/>
      <c r="Q607" s="148"/>
      <c r="R607" s="148"/>
      <c r="S607" s="242"/>
      <c r="T607" s="242"/>
      <c r="U607" s="242"/>
      <c r="V607" s="242"/>
      <c r="W607" s="242"/>
      <c r="X607" s="242"/>
      <c r="Y607" s="148"/>
      <c r="Z607" s="148"/>
    </row>
    <row r="608">
      <c r="A608" s="148"/>
      <c r="B608" s="148"/>
      <c r="C608" s="148"/>
      <c r="D608" s="245"/>
      <c r="E608" s="148"/>
      <c r="F608" s="277"/>
      <c r="G608" s="148"/>
      <c r="H608" s="148"/>
      <c r="I608" s="251"/>
      <c r="J608" s="251"/>
      <c r="K608" s="148"/>
      <c r="L608" s="277"/>
      <c r="M608" s="252"/>
      <c r="N608" s="250"/>
      <c r="O608" s="253"/>
      <c r="P608" s="240"/>
      <c r="Q608" s="148"/>
      <c r="R608" s="148"/>
      <c r="S608" s="242"/>
      <c r="T608" s="242"/>
      <c r="U608" s="242"/>
      <c r="V608" s="242"/>
      <c r="W608" s="242"/>
      <c r="X608" s="242"/>
      <c r="Y608" s="148"/>
      <c r="Z608" s="148"/>
    </row>
    <row r="609">
      <c r="A609" s="148"/>
      <c r="B609" s="148"/>
      <c r="C609" s="148"/>
      <c r="D609" s="245"/>
      <c r="E609" s="148"/>
      <c r="F609" s="277"/>
      <c r="G609" s="148"/>
      <c r="H609" s="148"/>
      <c r="I609" s="251"/>
      <c r="J609" s="251"/>
      <c r="K609" s="148"/>
      <c r="L609" s="277"/>
      <c r="M609" s="252"/>
      <c r="N609" s="250"/>
      <c r="O609" s="253"/>
      <c r="P609" s="240"/>
      <c r="Q609" s="148"/>
      <c r="R609" s="148"/>
      <c r="S609" s="242"/>
      <c r="T609" s="242"/>
      <c r="U609" s="242"/>
      <c r="V609" s="242"/>
      <c r="W609" s="242"/>
      <c r="X609" s="242"/>
      <c r="Y609" s="148"/>
      <c r="Z609" s="148"/>
    </row>
    <row r="610">
      <c r="A610" s="148"/>
      <c r="B610" s="148"/>
      <c r="C610" s="148"/>
      <c r="D610" s="245"/>
      <c r="E610" s="148"/>
      <c r="F610" s="277"/>
      <c r="G610" s="148"/>
      <c r="H610" s="148"/>
      <c r="I610" s="251"/>
      <c r="J610" s="251"/>
      <c r="K610" s="148"/>
      <c r="L610" s="277"/>
      <c r="M610" s="252"/>
      <c r="N610" s="250"/>
      <c r="O610" s="253"/>
      <c r="P610" s="240"/>
      <c r="Q610" s="148"/>
      <c r="R610" s="148"/>
      <c r="S610" s="242"/>
      <c r="T610" s="242"/>
      <c r="U610" s="242"/>
      <c r="V610" s="242"/>
      <c r="W610" s="242"/>
      <c r="X610" s="242"/>
      <c r="Y610" s="148"/>
      <c r="Z610" s="148"/>
    </row>
    <row r="611">
      <c r="A611" s="148"/>
      <c r="B611" s="148"/>
      <c r="C611" s="148"/>
      <c r="D611" s="245"/>
      <c r="E611" s="148"/>
      <c r="F611" s="277"/>
      <c r="G611" s="148"/>
      <c r="H611" s="148"/>
      <c r="I611" s="251"/>
      <c r="J611" s="251"/>
      <c r="K611" s="148"/>
      <c r="L611" s="277"/>
      <c r="M611" s="252"/>
      <c r="N611" s="250"/>
      <c r="O611" s="253"/>
      <c r="P611" s="240"/>
      <c r="Q611" s="148"/>
      <c r="R611" s="148"/>
      <c r="S611" s="242"/>
      <c r="T611" s="242"/>
      <c r="U611" s="242"/>
      <c r="V611" s="242"/>
      <c r="W611" s="242"/>
      <c r="X611" s="242"/>
      <c r="Y611" s="148"/>
      <c r="Z611" s="148"/>
    </row>
    <row r="612">
      <c r="A612" s="148"/>
      <c r="B612" s="148"/>
      <c r="C612" s="148"/>
      <c r="D612" s="245"/>
      <c r="E612" s="148"/>
      <c r="F612" s="277"/>
      <c r="G612" s="148"/>
      <c r="H612" s="148"/>
      <c r="I612" s="251"/>
      <c r="J612" s="251"/>
      <c r="K612" s="148"/>
      <c r="L612" s="277"/>
      <c r="M612" s="252"/>
      <c r="N612" s="250"/>
      <c r="O612" s="253"/>
      <c r="P612" s="240"/>
      <c r="Q612" s="148"/>
      <c r="R612" s="148"/>
      <c r="S612" s="242"/>
      <c r="T612" s="242"/>
      <c r="U612" s="242"/>
      <c r="V612" s="242"/>
      <c r="W612" s="242"/>
      <c r="X612" s="242"/>
      <c r="Y612" s="148"/>
      <c r="Z612" s="148"/>
    </row>
    <row r="613">
      <c r="A613" s="148"/>
      <c r="B613" s="148"/>
      <c r="C613" s="148"/>
      <c r="D613" s="245"/>
      <c r="E613" s="148"/>
      <c r="F613" s="277"/>
      <c r="G613" s="148"/>
      <c r="H613" s="148"/>
      <c r="I613" s="251"/>
      <c r="J613" s="251"/>
      <c r="K613" s="148"/>
      <c r="L613" s="277"/>
      <c r="M613" s="252"/>
      <c r="N613" s="250"/>
      <c r="O613" s="253"/>
      <c r="P613" s="240"/>
      <c r="Q613" s="148"/>
      <c r="R613" s="148"/>
      <c r="S613" s="242"/>
      <c r="T613" s="242"/>
      <c r="U613" s="242"/>
      <c r="V613" s="242"/>
      <c r="W613" s="242"/>
      <c r="X613" s="242"/>
      <c r="Y613" s="148"/>
      <c r="Z613" s="148"/>
    </row>
    <row r="614">
      <c r="A614" s="148"/>
      <c r="B614" s="148"/>
      <c r="C614" s="148"/>
      <c r="D614" s="245"/>
      <c r="E614" s="148"/>
      <c r="F614" s="277"/>
      <c r="G614" s="148"/>
      <c r="H614" s="148"/>
      <c r="I614" s="251"/>
      <c r="J614" s="251"/>
      <c r="K614" s="148"/>
      <c r="L614" s="277"/>
      <c r="M614" s="252"/>
      <c r="N614" s="250"/>
      <c r="O614" s="253"/>
      <c r="P614" s="240"/>
      <c r="Q614" s="148"/>
      <c r="R614" s="148"/>
      <c r="S614" s="242"/>
      <c r="T614" s="242"/>
      <c r="U614" s="242"/>
      <c r="V614" s="242"/>
      <c r="W614" s="242"/>
      <c r="X614" s="242"/>
      <c r="Y614" s="148"/>
      <c r="Z614" s="148"/>
    </row>
    <row r="615">
      <c r="A615" s="148"/>
      <c r="B615" s="148"/>
      <c r="C615" s="148"/>
      <c r="D615" s="245"/>
      <c r="E615" s="148"/>
      <c r="F615" s="277"/>
      <c r="G615" s="148"/>
      <c r="H615" s="148"/>
      <c r="I615" s="251"/>
      <c r="J615" s="251"/>
      <c r="K615" s="148"/>
      <c r="L615" s="277"/>
      <c r="M615" s="252"/>
      <c r="N615" s="250"/>
      <c r="O615" s="253"/>
      <c r="P615" s="240"/>
      <c r="Q615" s="148"/>
      <c r="R615" s="148"/>
      <c r="S615" s="242"/>
      <c r="T615" s="242"/>
      <c r="U615" s="242"/>
      <c r="V615" s="242"/>
      <c r="W615" s="242"/>
      <c r="X615" s="242"/>
      <c r="Y615" s="148"/>
      <c r="Z615" s="148"/>
    </row>
    <row r="616">
      <c r="A616" s="148"/>
      <c r="B616" s="148"/>
      <c r="C616" s="148"/>
      <c r="D616" s="245"/>
      <c r="E616" s="148"/>
      <c r="F616" s="277"/>
      <c r="G616" s="148"/>
      <c r="H616" s="148"/>
      <c r="I616" s="251"/>
      <c r="J616" s="251"/>
      <c r="K616" s="148"/>
      <c r="L616" s="277"/>
      <c r="M616" s="252"/>
      <c r="N616" s="250"/>
      <c r="O616" s="253"/>
      <c r="P616" s="240"/>
      <c r="Q616" s="148"/>
      <c r="R616" s="148"/>
      <c r="S616" s="242"/>
      <c r="T616" s="242"/>
      <c r="U616" s="242"/>
      <c r="V616" s="242"/>
      <c r="W616" s="242"/>
      <c r="X616" s="242"/>
      <c r="Y616" s="148"/>
      <c r="Z616" s="148"/>
    </row>
    <row r="617">
      <c r="A617" s="148"/>
      <c r="B617" s="148"/>
      <c r="C617" s="148"/>
      <c r="D617" s="245"/>
      <c r="E617" s="148"/>
      <c r="F617" s="277"/>
      <c r="G617" s="148"/>
      <c r="H617" s="148"/>
      <c r="I617" s="251"/>
      <c r="J617" s="251"/>
      <c r="K617" s="148"/>
      <c r="L617" s="277"/>
      <c r="M617" s="252"/>
      <c r="N617" s="250"/>
      <c r="O617" s="253"/>
      <c r="P617" s="240"/>
      <c r="Q617" s="148"/>
      <c r="R617" s="148"/>
      <c r="S617" s="242"/>
      <c r="T617" s="242"/>
      <c r="U617" s="242"/>
      <c r="V617" s="242"/>
      <c r="W617" s="242"/>
      <c r="X617" s="242"/>
      <c r="Y617" s="148"/>
      <c r="Z617" s="148"/>
    </row>
    <row r="618">
      <c r="A618" s="148"/>
      <c r="B618" s="148"/>
      <c r="C618" s="148"/>
      <c r="D618" s="245"/>
      <c r="E618" s="148"/>
      <c r="F618" s="277"/>
      <c r="G618" s="148"/>
      <c r="H618" s="148"/>
      <c r="I618" s="251"/>
      <c r="J618" s="251"/>
      <c r="K618" s="148"/>
      <c r="L618" s="277"/>
      <c r="M618" s="252"/>
      <c r="N618" s="250"/>
      <c r="O618" s="253"/>
      <c r="P618" s="240"/>
      <c r="Q618" s="148"/>
      <c r="R618" s="148"/>
      <c r="S618" s="242"/>
      <c r="T618" s="242"/>
      <c r="U618" s="242"/>
      <c r="V618" s="242"/>
      <c r="W618" s="242"/>
      <c r="X618" s="242"/>
      <c r="Y618" s="148"/>
      <c r="Z618" s="148"/>
    </row>
    <row r="619">
      <c r="A619" s="148"/>
      <c r="B619" s="148"/>
      <c r="C619" s="148"/>
      <c r="D619" s="245"/>
      <c r="E619" s="148"/>
      <c r="F619" s="277"/>
      <c r="G619" s="148"/>
      <c r="H619" s="148"/>
      <c r="I619" s="251"/>
      <c r="J619" s="251"/>
      <c r="K619" s="148"/>
      <c r="L619" s="277"/>
      <c r="M619" s="252"/>
      <c r="N619" s="250"/>
      <c r="O619" s="253"/>
      <c r="P619" s="240"/>
      <c r="Q619" s="148"/>
      <c r="R619" s="148"/>
      <c r="S619" s="242"/>
      <c r="T619" s="242"/>
      <c r="U619" s="242"/>
      <c r="V619" s="242"/>
      <c r="W619" s="242"/>
      <c r="X619" s="242"/>
      <c r="Y619" s="148"/>
      <c r="Z619" s="148"/>
    </row>
    <row r="620">
      <c r="A620" s="148"/>
      <c r="B620" s="148"/>
      <c r="C620" s="148"/>
      <c r="D620" s="245"/>
      <c r="E620" s="148"/>
      <c r="F620" s="277"/>
      <c r="G620" s="148"/>
      <c r="H620" s="148"/>
      <c r="I620" s="251"/>
      <c r="J620" s="251"/>
      <c r="K620" s="148"/>
      <c r="L620" s="277"/>
      <c r="M620" s="252"/>
      <c r="N620" s="250"/>
      <c r="O620" s="253"/>
      <c r="P620" s="240"/>
      <c r="Q620" s="148"/>
      <c r="R620" s="148"/>
      <c r="S620" s="242"/>
      <c r="T620" s="242"/>
      <c r="U620" s="242"/>
      <c r="V620" s="242"/>
      <c r="W620" s="242"/>
      <c r="X620" s="242"/>
      <c r="Y620" s="148"/>
      <c r="Z620" s="148"/>
    </row>
    <row r="621">
      <c r="A621" s="148"/>
      <c r="B621" s="148"/>
      <c r="C621" s="148"/>
      <c r="D621" s="245"/>
      <c r="E621" s="148"/>
      <c r="F621" s="277"/>
      <c r="G621" s="148"/>
      <c r="H621" s="148"/>
      <c r="I621" s="251"/>
      <c r="J621" s="251"/>
      <c r="K621" s="148"/>
      <c r="L621" s="277"/>
      <c r="M621" s="252"/>
      <c r="N621" s="250"/>
      <c r="O621" s="253"/>
      <c r="P621" s="240"/>
      <c r="Q621" s="148"/>
      <c r="R621" s="148"/>
      <c r="S621" s="242"/>
      <c r="T621" s="242"/>
      <c r="U621" s="242"/>
      <c r="V621" s="242"/>
      <c r="W621" s="242"/>
      <c r="X621" s="242"/>
      <c r="Y621" s="148"/>
      <c r="Z621" s="148"/>
    </row>
    <row r="622">
      <c r="A622" s="148"/>
      <c r="B622" s="148"/>
      <c r="C622" s="148"/>
      <c r="D622" s="245"/>
      <c r="E622" s="148"/>
      <c r="F622" s="277"/>
      <c r="G622" s="148"/>
      <c r="H622" s="148"/>
      <c r="I622" s="251"/>
      <c r="J622" s="251"/>
      <c r="K622" s="148"/>
      <c r="L622" s="277"/>
      <c r="M622" s="252"/>
      <c r="N622" s="250"/>
      <c r="O622" s="253"/>
      <c r="P622" s="240"/>
      <c r="Q622" s="148"/>
      <c r="R622" s="148"/>
      <c r="S622" s="242"/>
      <c r="T622" s="242"/>
      <c r="U622" s="242"/>
      <c r="V622" s="242"/>
      <c r="W622" s="242"/>
      <c r="X622" s="242"/>
      <c r="Y622" s="148"/>
      <c r="Z622" s="148"/>
    </row>
    <row r="623">
      <c r="A623" s="148"/>
      <c r="B623" s="148"/>
      <c r="C623" s="148"/>
      <c r="D623" s="245"/>
      <c r="E623" s="148"/>
      <c r="F623" s="277"/>
      <c r="G623" s="148"/>
      <c r="H623" s="148"/>
      <c r="I623" s="251"/>
      <c r="J623" s="251"/>
      <c r="K623" s="148"/>
      <c r="L623" s="277"/>
      <c r="M623" s="252"/>
      <c r="N623" s="250"/>
      <c r="O623" s="253"/>
      <c r="P623" s="240"/>
      <c r="Q623" s="148"/>
      <c r="R623" s="148"/>
      <c r="S623" s="242"/>
      <c r="T623" s="242"/>
      <c r="U623" s="242"/>
      <c r="V623" s="242"/>
      <c r="W623" s="242"/>
      <c r="X623" s="242"/>
      <c r="Y623" s="148"/>
      <c r="Z623" s="148"/>
    </row>
    <row r="624">
      <c r="A624" s="148"/>
      <c r="B624" s="148"/>
      <c r="C624" s="148"/>
      <c r="D624" s="245"/>
      <c r="E624" s="148"/>
      <c r="F624" s="277"/>
      <c r="G624" s="148"/>
      <c r="H624" s="148"/>
      <c r="I624" s="251"/>
      <c r="J624" s="251"/>
      <c r="K624" s="148"/>
      <c r="L624" s="277"/>
      <c r="M624" s="252"/>
      <c r="N624" s="250"/>
      <c r="O624" s="253"/>
      <c r="P624" s="240"/>
      <c r="Q624" s="148"/>
      <c r="R624" s="148"/>
      <c r="S624" s="242"/>
      <c r="T624" s="242"/>
      <c r="U624" s="242"/>
      <c r="V624" s="242"/>
      <c r="W624" s="242"/>
      <c r="X624" s="242"/>
      <c r="Y624" s="148"/>
      <c r="Z624" s="148"/>
    </row>
    <row r="625">
      <c r="A625" s="148"/>
      <c r="B625" s="148"/>
      <c r="C625" s="148"/>
      <c r="D625" s="245"/>
      <c r="E625" s="148"/>
      <c r="F625" s="277"/>
      <c r="G625" s="148"/>
      <c r="H625" s="148"/>
      <c r="I625" s="251"/>
      <c r="J625" s="251"/>
      <c r="K625" s="148"/>
      <c r="L625" s="277"/>
      <c r="M625" s="252"/>
      <c r="N625" s="250"/>
      <c r="O625" s="253"/>
      <c r="P625" s="240"/>
      <c r="Q625" s="148"/>
      <c r="R625" s="148"/>
      <c r="S625" s="242"/>
      <c r="T625" s="242"/>
      <c r="U625" s="242"/>
      <c r="V625" s="242"/>
      <c r="W625" s="242"/>
      <c r="X625" s="242"/>
      <c r="Y625" s="148"/>
      <c r="Z625" s="148"/>
    </row>
    <row r="626">
      <c r="A626" s="148"/>
      <c r="B626" s="148"/>
      <c r="C626" s="148"/>
      <c r="D626" s="245"/>
      <c r="E626" s="148"/>
      <c r="F626" s="277"/>
      <c r="G626" s="148"/>
      <c r="H626" s="148"/>
      <c r="I626" s="251"/>
      <c r="J626" s="251"/>
      <c r="K626" s="148"/>
      <c r="L626" s="277"/>
      <c r="M626" s="252"/>
      <c r="N626" s="250"/>
      <c r="O626" s="253"/>
      <c r="P626" s="240"/>
      <c r="Q626" s="148"/>
      <c r="R626" s="148"/>
      <c r="S626" s="242"/>
      <c r="T626" s="242"/>
      <c r="U626" s="242"/>
      <c r="V626" s="242"/>
      <c r="W626" s="242"/>
      <c r="X626" s="242"/>
      <c r="Y626" s="148"/>
      <c r="Z626" s="148"/>
    </row>
    <row r="627">
      <c r="A627" s="148"/>
      <c r="B627" s="148"/>
      <c r="C627" s="148"/>
      <c r="D627" s="245"/>
      <c r="E627" s="148"/>
      <c r="F627" s="277"/>
      <c r="G627" s="148"/>
      <c r="H627" s="148"/>
      <c r="I627" s="251"/>
      <c r="J627" s="251"/>
      <c r="K627" s="148"/>
      <c r="L627" s="277"/>
      <c r="M627" s="252"/>
      <c r="N627" s="250"/>
      <c r="O627" s="253"/>
      <c r="P627" s="240"/>
      <c r="Q627" s="148"/>
      <c r="R627" s="148"/>
      <c r="S627" s="242"/>
      <c r="T627" s="242"/>
      <c r="U627" s="242"/>
      <c r="V627" s="242"/>
      <c r="W627" s="242"/>
      <c r="X627" s="242"/>
      <c r="Y627" s="148"/>
      <c r="Z627" s="148"/>
    </row>
    <row r="628">
      <c r="A628" s="148"/>
      <c r="B628" s="148"/>
      <c r="C628" s="148"/>
      <c r="D628" s="245"/>
      <c r="E628" s="148"/>
      <c r="F628" s="277"/>
      <c r="G628" s="148"/>
      <c r="H628" s="148"/>
      <c r="I628" s="251"/>
      <c r="J628" s="251"/>
      <c r="K628" s="148"/>
      <c r="L628" s="277"/>
      <c r="M628" s="252"/>
      <c r="N628" s="250"/>
      <c r="O628" s="253"/>
      <c r="P628" s="240"/>
      <c r="Q628" s="148"/>
      <c r="R628" s="148"/>
      <c r="S628" s="242"/>
      <c r="T628" s="242"/>
      <c r="U628" s="242"/>
      <c r="V628" s="242"/>
      <c r="W628" s="242"/>
      <c r="X628" s="242"/>
      <c r="Y628" s="148"/>
      <c r="Z628" s="148"/>
    </row>
    <row r="629">
      <c r="A629" s="148"/>
      <c r="B629" s="148"/>
      <c r="C629" s="148"/>
      <c r="D629" s="245"/>
      <c r="E629" s="148"/>
      <c r="F629" s="277"/>
      <c r="G629" s="148"/>
      <c r="H629" s="148"/>
      <c r="I629" s="251"/>
      <c r="J629" s="251"/>
      <c r="K629" s="148"/>
      <c r="L629" s="277"/>
      <c r="M629" s="252"/>
      <c r="N629" s="250"/>
      <c r="O629" s="253"/>
      <c r="P629" s="240"/>
      <c r="Q629" s="148"/>
      <c r="R629" s="148"/>
      <c r="S629" s="242"/>
      <c r="T629" s="242"/>
      <c r="U629" s="242"/>
      <c r="V629" s="242"/>
      <c r="W629" s="242"/>
      <c r="X629" s="242"/>
      <c r="Y629" s="148"/>
      <c r="Z629" s="148"/>
    </row>
    <row r="630">
      <c r="A630" s="148"/>
      <c r="B630" s="148"/>
      <c r="C630" s="148"/>
      <c r="D630" s="245"/>
      <c r="E630" s="148"/>
      <c r="F630" s="277"/>
      <c r="G630" s="148"/>
      <c r="H630" s="148"/>
      <c r="I630" s="251"/>
      <c r="J630" s="251"/>
      <c r="K630" s="148"/>
      <c r="L630" s="277"/>
      <c r="M630" s="252"/>
      <c r="N630" s="250"/>
      <c r="O630" s="253"/>
      <c r="P630" s="240"/>
      <c r="Q630" s="148"/>
      <c r="R630" s="148"/>
      <c r="S630" s="242"/>
      <c r="T630" s="242"/>
      <c r="U630" s="242"/>
      <c r="V630" s="242"/>
      <c r="W630" s="242"/>
      <c r="X630" s="242"/>
      <c r="Y630" s="148"/>
      <c r="Z630" s="148"/>
    </row>
    <row r="631">
      <c r="A631" s="148"/>
      <c r="B631" s="148"/>
      <c r="C631" s="148"/>
      <c r="D631" s="245"/>
      <c r="E631" s="148"/>
      <c r="F631" s="277"/>
      <c r="G631" s="148"/>
      <c r="H631" s="148"/>
      <c r="I631" s="251"/>
      <c r="J631" s="251"/>
      <c r="K631" s="148"/>
      <c r="L631" s="277"/>
      <c r="M631" s="252"/>
      <c r="N631" s="250"/>
      <c r="O631" s="253"/>
      <c r="P631" s="240"/>
      <c r="Q631" s="148"/>
      <c r="R631" s="148"/>
      <c r="S631" s="242"/>
      <c r="T631" s="242"/>
      <c r="U631" s="242"/>
      <c r="V631" s="242"/>
      <c r="W631" s="242"/>
      <c r="X631" s="242"/>
      <c r="Y631" s="148"/>
      <c r="Z631" s="148"/>
    </row>
    <row r="632">
      <c r="A632" s="148"/>
      <c r="B632" s="148"/>
      <c r="C632" s="148"/>
      <c r="D632" s="245"/>
      <c r="E632" s="148"/>
      <c r="F632" s="277"/>
      <c r="G632" s="148"/>
      <c r="H632" s="148"/>
      <c r="I632" s="251"/>
      <c r="J632" s="251"/>
      <c r="K632" s="148"/>
      <c r="L632" s="277"/>
      <c r="M632" s="252"/>
      <c r="N632" s="250"/>
      <c r="O632" s="253"/>
      <c r="P632" s="240"/>
      <c r="Q632" s="148"/>
      <c r="R632" s="148"/>
      <c r="S632" s="242"/>
      <c r="T632" s="242"/>
      <c r="U632" s="242"/>
      <c r="V632" s="242"/>
      <c r="W632" s="242"/>
      <c r="X632" s="242"/>
      <c r="Y632" s="148"/>
      <c r="Z632" s="148"/>
    </row>
    <row r="633">
      <c r="A633" s="148"/>
      <c r="B633" s="148"/>
      <c r="C633" s="148"/>
      <c r="D633" s="245"/>
      <c r="E633" s="148"/>
      <c r="F633" s="277"/>
      <c r="G633" s="148"/>
      <c r="H633" s="148"/>
      <c r="I633" s="251"/>
      <c r="J633" s="251"/>
      <c r="K633" s="148"/>
      <c r="L633" s="277"/>
      <c r="M633" s="252"/>
      <c r="N633" s="250"/>
      <c r="O633" s="253"/>
      <c r="P633" s="240"/>
      <c r="Q633" s="148"/>
      <c r="R633" s="148"/>
      <c r="S633" s="242"/>
      <c r="T633" s="242"/>
      <c r="U633" s="242"/>
      <c r="V633" s="242"/>
      <c r="W633" s="242"/>
      <c r="X633" s="242"/>
      <c r="Y633" s="148"/>
      <c r="Z633" s="148"/>
    </row>
    <row r="634">
      <c r="A634" s="148"/>
      <c r="B634" s="148"/>
      <c r="C634" s="148"/>
      <c r="D634" s="245"/>
      <c r="E634" s="148"/>
      <c r="F634" s="277"/>
      <c r="G634" s="148"/>
      <c r="H634" s="148"/>
      <c r="I634" s="251"/>
      <c r="J634" s="251"/>
      <c r="K634" s="148"/>
      <c r="L634" s="277"/>
      <c r="M634" s="252"/>
      <c r="N634" s="250"/>
      <c r="O634" s="253"/>
      <c r="P634" s="240"/>
      <c r="Q634" s="148"/>
      <c r="R634" s="148"/>
      <c r="S634" s="242"/>
      <c r="T634" s="242"/>
      <c r="U634" s="242"/>
      <c r="V634" s="242"/>
      <c r="W634" s="242"/>
      <c r="X634" s="242"/>
      <c r="Y634" s="148"/>
      <c r="Z634" s="148"/>
    </row>
    <row r="635">
      <c r="A635" s="148"/>
      <c r="B635" s="148"/>
      <c r="C635" s="148"/>
      <c r="D635" s="245"/>
      <c r="E635" s="148"/>
      <c r="F635" s="277"/>
      <c r="G635" s="148"/>
      <c r="H635" s="148"/>
      <c r="I635" s="251"/>
      <c r="J635" s="251"/>
      <c r="K635" s="148"/>
      <c r="L635" s="277"/>
      <c r="M635" s="252"/>
      <c r="N635" s="250"/>
      <c r="O635" s="253"/>
      <c r="P635" s="240"/>
      <c r="Q635" s="148"/>
      <c r="R635" s="148"/>
      <c r="S635" s="242"/>
      <c r="T635" s="242"/>
      <c r="U635" s="242"/>
      <c r="V635" s="242"/>
      <c r="W635" s="242"/>
      <c r="X635" s="242"/>
      <c r="Y635" s="148"/>
      <c r="Z635" s="148"/>
    </row>
    <row r="636">
      <c r="A636" s="148"/>
      <c r="B636" s="148"/>
      <c r="C636" s="148"/>
      <c r="D636" s="245"/>
      <c r="E636" s="148"/>
      <c r="F636" s="277"/>
      <c r="G636" s="148"/>
      <c r="H636" s="148"/>
      <c r="I636" s="251"/>
      <c r="J636" s="251"/>
      <c r="K636" s="148"/>
      <c r="L636" s="277"/>
      <c r="M636" s="252"/>
      <c r="N636" s="250"/>
      <c r="O636" s="253"/>
      <c r="P636" s="240"/>
      <c r="Q636" s="148"/>
      <c r="R636" s="148"/>
      <c r="S636" s="242"/>
      <c r="T636" s="242"/>
      <c r="U636" s="242"/>
      <c r="V636" s="242"/>
      <c r="W636" s="242"/>
      <c r="X636" s="242"/>
      <c r="Y636" s="148"/>
      <c r="Z636" s="148"/>
    </row>
    <row r="637">
      <c r="A637" s="148"/>
      <c r="B637" s="148"/>
      <c r="C637" s="148"/>
      <c r="D637" s="245"/>
      <c r="E637" s="148"/>
      <c r="F637" s="277"/>
      <c r="G637" s="148"/>
      <c r="H637" s="148"/>
      <c r="I637" s="251"/>
      <c r="J637" s="251"/>
      <c r="K637" s="148"/>
      <c r="L637" s="277"/>
      <c r="M637" s="252"/>
      <c r="N637" s="250"/>
      <c r="O637" s="253"/>
      <c r="P637" s="240"/>
      <c r="Q637" s="148"/>
      <c r="R637" s="148"/>
      <c r="S637" s="242"/>
      <c r="T637" s="242"/>
      <c r="U637" s="242"/>
      <c r="V637" s="242"/>
      <c r="W637" s="242"/>
      <c r="X637" s="242"/>
      <c r="Y637" s="148"/>
      <c r="Z637" s="148"/>
    </row>
    <row r="638">
      <c r="A638" s="148"/>
      <c r="B638" s="148"/>
      <c r="C638" s="148"/>
      <c r="D638" s="245"/>
      <c r="E638" s="148"/>
      <c r="F638" s="277"/>
      <c r="G638" s="148"/>
      <c r="H638" s="148"/>
      <c r="I638" s="251"/>
      <c r="J638" s="251"/>
      <c r="K638" s="148"/>
      <c r="L638" s="277"/>
      <c r="M638" s="252"/>
      <c r="N638" s="250"/>
      <c r="O638" s="253"/>
      <c r="P638" s="240"/>
      <c r="Q638" s="148"/>
      <c r="R638" s="148"/>
      <c r="S638" s="242"/>
      <c r="T638" s="242"/>
      <c r="U638" s="242"/>
      <c r="V638" s="242"/>
      <c r="W638" s="242"/>
      <c r="X638" s="242"/>
      <c r="Y638" s="148"/>
      <c r="Z638" s="148"/>
    </row>
    <row r="639">
      <c r="A639" s="148"/>
      <c r="B639" s="148"/>
      <c r="C639" s="148"/>
      <c r="D639" s="245"/>
      <c r="E639" s="148"/>
      <c r="F639" s="277"/>
      <c r="G639" s="148"/>
      <c r="H639" s="148"/>
      <c r="I639" s="251"/>
      <c r="J639" s="251"/>
      <c r="K639" s="148"/>
      <c r="L639" s="277"/>
      <c r="M639" s="252"/>
      <c r="N639" s="250"/>
      <c r="O639" s="253"/>
      <c r="P639" s="240"/>
      <c r="Q639" s="148"/>
      <c r="R639" s="148"/>
      <c r="S639" s="242"/>
      <c r="T639" s="242"/>
      <c r="U639" s="242"/>
      <c r="V639" s="242"/>
      <c r="W639" s="242"/>
      <c r="X639" s="242"/>
      <c r="Y639" s="148"/>
      <c r="Z639" s="148"/>
    </row>
    <row r="640">
      <c r="A640" s="148"/>
      <c r="B640" s="148"/>
      <c r="C640" s="148"/>
      <c r="D640" s="245"/>
      <c r="E640" s="148"/>
      <c r="F640" s="277"/>
      <c r="G640" s="148"/>
      <c r="H640" s="148"/>
      <c r="I640" s="251"/>
      <c r="J640" s="251"/>
      <c r="K640" s="148"/>
      <c r="L640" s="277"/>
      <c r="M640" s="252"/>
      <c r="N640" s="250"/>
      <c r="O640" s="253"/>
      <c r="P640" s="240"/>
      <c r="Q640" s="148"/>
      <c r="R640" s="148"/>
      <c r="S640" s="242"/>
      <c r="T640" s="242"/>
      <c r="U640" s="242"/>
      <c r="V640" s="242"/>
      <c r="W640" s="242"/>
      <c r="X640" s="242"/>
      <c r="Y640" s="148"/>
      <c r="Z640" s="148"/>
    </row>
    <row r="641">
      <c r="A641" s="148"/>
      <c r="B641" s="148"/>
      <c r="C641" s="148"/>
      <c r="D641" s="245"/>
      <c r="E641" s="148"/>
      <c r="F641" s="277"/>
      <c r="G641" s="148"/>
      <c r="H641" s="148"/>
      <c r="I641" s="251"/>
      <c r="J641" s="251"/>
      <c r="K641" s="148"/>
      <c r="L641" s="277"/>
      <c r="M641" s="252"/>
      <c r="N641" s="250"/>
      <c r="O641" s="253"/>
      <c r="P641" s="240"/>
      <c r="Q641" s="148"/>
      <c r="R641" s="148"/>
      <c r="S641" s="242"/>
      <c r="T641" s="242"/>
      <c r="U641" s="242"/>
      <c r="V641" s="242"/>
      <c r="W641" s="242"/>
      <c r="X641" s="242"/>
      <c r="Y641" s="148"/>
      <c r="Z641" s="148"/>
    </row>
    <row r="642">
      <c r="A642" s="148"/>
      <c r="B642" s="148"/>
      <c r="C642" s="148"/>
      <c r="D642" s="245"/>
      <c r="E642" s="148"/>
      <c r="F642" s="277"/>
      <c r="G642" s="148"/>
      <c r="H642" s="148"/>
      <c r="I642" s="251"/>
      <c r="J642" s="251"/>
      <c r="K642" s="148"/>
      <c r="L642" s="277"/>
      <c r="M642" s="252"/>
      <c r="N642" s="250"/>
      <c r="O642" s="253"/>
      <c r="P642" s="240"/>
      <c r="Q642" s="148"/>
      <c r="R642" s="148"/>
      <c r="S642" s="242"/>
      <c r="T642" s="242"/>
      <c r="U642" s="242"/>
      <c r="V642" s="242"/>
      <c r="W642" s="242"/>
      <c r="X642" s="242"/>
      <c r="Y642" s="148"/>
      <c r="Z642" s="148"/>
    </row>
    <row r="643">
      <c r="A643" s="148"/>
      <c r="B643" s="148"/>
      <c r="C643" s="148"/>
      <c r="D643" s="245"/>
      <c r="E643" s="148"/>
      <c r="F643" s="277"/>
      <c r="G643" s="148"/>
      <c r="H643" s="148"/>
      <c r="I643" s="251"/>
      <c r="J643" s="251"/>
      <c r="K643" s="148"/>
      <c r="L643" s="277"/>
      <c r="M643" s="252"/>
      <c r="N643" s="250"/>
      <c r="O643" s="253"/>
      <c r="P643" s="240"/>
      <c r="Q643" s="148"/>
      <c r="R643" s="148"/>
      <c r="S643" s="242"/>
      <c r="T643" s="242"/>
      <c r="U643" s="242"/>
      <c r="V643" s="242"/>
      <c r="W643" s="242"/>
      <c r="X643" s="242"/>
      <c r="Y643" s="148"/>
      <c r="Z643" s="148"/>
    </row>
    <row r="644">
      <c r="A644" s="148"/>
      <c r="B644" s="148"/>
      <c r="C644" s="148"/>
      <c r="D644" s="245"/>
      <c r="E644" s="148"/>
      <c r="F644" s="277"/>
      <c r="G644" s="148"/>
      <c r="H644" s="148"/>
      <c r="I644" s="251"/>
      <c r="J644" s="251"/>
      <c r="K644" s="148"/>
      <c r="L644" s="277"/>
      <c r="M644" s="252"/>
      <c r="N644" s="250"/>
      <c r="O644" s="253"/>
      <c r="P644" s="240"/>
      <c r="Q644" s="148"/>
      <c r="R644" s="148"/>
      <c r="S644" s="242"/>
      <c r="T644" s="242"/>
      <c r="U644" s="242"/>
      <c r="V644" s="242"/>
      <c r="W644" s="242"/>
      <c r="X644" s="242"/>
      <c r="Y644" s="148"/>
      <c r="Z644" s="148"/>
    </row>
    <row r="645">
      <c r="A645" s="148"/>
      <c r="B645" s="148"/>
      <c r="C645" s="148"/>
      <c r="D645" s="245"/>
      <c r="E645" s="148"/>
      <c r="F645" s="277"/>
      <c r="G645" s="148"/>
      <c r="H645" s="148"/>
      <c r="I645" s="251"/>
      <c r="J645" s="251"/>
      <c r="K645" s="148"/>
      <c r="L645" s="277"/>
      <c r="M645" s="252"/>
      <c r="N645" s="250"/>
      <c r="O645" s="253"/>
      <c r="P645" s="240"/>
      <c r="Q645" s="148"/>
      <c r="R645" s="148"/>
      <c r="S645" s="242"/>
      <c r="T645" s="242"/>
      <c r="U645" s="242"/>
      <c r="V645" s="242"/>
      <c r="W645" s="242"/>
      <c r="X645" s="242"/>
      <c r="Y645" s="148"/>
      <c r="Z645" s="148"/>
    </row>
    <row r="646">
      <c r="A646" s="148"/>
      <c r="B646" s="148"/>
      <c r="C646" s="148"/>
      <c r="D646" s="245"/>
      <c r="E646" s="148"/>
      <c r="F646" s="277"/>
      <c r="G646" s="148"/>
      <c r="H646" s="148"/>
      <c r="I646" s="251"/>
      <c r="J646" s="251"/>
      <c r="K646" s="148"/>
      <c r="L646" s="277"/>
      <c r="M646" s="252"/>
      <c r="N646" s="250"/>
      <c r="O646" s="253"/>
      <c r="P646" s="240"/>
      <c r="Q646" s="148"/>
      <c r="R646" s="148"/>
      <c r="S646" s="242"/>
      <c r="T646" s="242"/>
      <c r="U646" s="242"/>
      <c r="V646" s="242"/>
      <c r="W646" s="242"/>
      <c r="X646" s="242"/>
      <c r="Y646" s="148"/>
      <c r="Z646" s="148"/>
    </row>
    <row r="647">
      <c r="A647" s="148"/>
      <c r="B647" s="148"/>
      <c r="C647" s="148"/>
      <c r="D647" s="245"/>
      <c r="E647" s="148"/>
      <c r="F647" s="277"/>
      <c r="G647" s="148"/>
      <c r="H647" s="148"/>
      <c r="I647" s="251"/>
      <c r="J647" s="251"/>
      <c r="K647" s="148"/>
      <c r="L647" s="277"/>
      <c r="M647" s="252"/>
      <c r="N647" s="250"/>
      <c r="O647" s="253"/>
      <c r="P647" s="240"/>
      <c r="Q647" s="148"/>
      <c r="R647" s="148"/>
      <c r="S647" s="242"/>
      <c r="T647" s="242"/>
      <c r="U647" s="242"/>
      <c r="V647" s="242"/>
      <c r="W647" s="242"/>
      <c r="X647" s="242"/>
      <c r="Y647" s="148"/>
      <c r="Z647" s="148"/>
    </row>
    <row r="648">
      <c r="A648" s="148"/>
      <c r="B648" s="148"/>
      <c r="C648" s="148"/>
      <c r="D648" s="245"/>
      <c r="E648" s="148"/>
      <c r="F648" s="277"/>
      <c r="G648" s="148"/>
      <c r="H648" s="148"/>
      <c r="I648" s="251"/>
      <c r="J648" s="251"/>
      <c r="K648" s="148"/>
      <c r="L648" s="277"/>
      <c r="M648" s="252"/>
      <c r="N648" s="250"/>
      <c r="O648" s="253"/>
      <c r="P648" s="240"/>
      <c r="Q648" s="148"/>
      <c r="R648" s="148"/>
      <c r="S648" s="242"/>
      <c r="T648" s="242"/>
      <c r="U648" s="242"/>
      <c r="V648" s="242"/>
      <c r="W648" s="242"/>
      <c r="X648" s="242"/>
      <c r="Y648" s="148"/>
      <c r="Z648" s="148"/>
    </row>
    <row r="649">
      <c r="A649" s="148"/>
      <c r="B649" s="148"/>
      <c r="C649" s="148"/>
      <c r="D649" s="245"/>
      <c r="E649" s="148"/>
      <c r="F649" s="277"/>
      <c r="G649" s="148"/>
      <c r="H649" s="148"/>
      <c r="I649" s="251"/>
      <c r="J649" s="251"/>
      <c r="K649" s="148"/>
      <c r="L649" s="277"/>
      <c r="M649" s="252"/>
      <c r="N649" s="250"/>
      <c r="O649" s="253"/>
      <c r="P649" s="240"/>
      <c r="Q649" s="148"/>
      <c r="R649" s="148"/>
      <c r="S649" s="242"/>
      <c r="T649" s="242"/>
      <c r="U649" s="242"/>
      <c r="V649" s="242"/>
      <c r="W649" s="242"/>
      <c r="X649" s="242"/>
      <c r="Y649" s="148"/>
      <c r="Z649" s="148"/>
    </row>
    <row r="650">
      <c r="A650" s="148"/>
      <c r="B650" s="148"/>
      <c r="C650" s="148"/>
      <c r="D650" s="245"/>
      <c r="E650" s="148"/>
      <c r="F650" s="277"/>
      <c r="G650" s="148"/>
      <c r="H650" s="148"/>
      <c r="I650" s="251"/>
      <c r="J650" s="251"/>
      <c r="K650" s="148"/>
      <c r="L650" s="277"/>
      <c r="M650" s="252"/>
      <c r="N650" s="250"/>
      <c r="O650" s="253"/>
      <c r="P650" s="240"/>
      <c r="Q650" s="148"/>
      <c r="R650" s="148"/>
      <c r="S650" s="242"/>
      <c r="T650" s="242"/>
      <c r="U650" s="242"/>
      <c r="V650" s="242"/>
      <c r="W650" s="242"/>
      <c r="X650" s="242"/>
      <c r="Y650" s="148"/>
      <c r="Z650" s="148"/>
    </row>
    <row r="651">
      <c r="A651" s="148"/>
      <c r="B651" s="148"/>
      <c r="C651" s="148"/>
      <c r="D651" s="245"/>
      <c r="E651" s="148"/>
      <c r="F651" s="277"/>
      <c r="G651" s="148"/>
      <c r="H651" s="148"/>
      <c r="I651" s="251"/>
      <c r="J651" s="251"/>
      <c r="K651" s="148"/>
      <c r="L651" s="277"/>
      <c r="M651" s="252"/>
      <c r="N651" s="250"/>
      <c r="O651" s="253"/>
      <c r="P651" s="240"/>
      <c r="Q651" s="148"/>
      <c r="R651" s="148"/>
      <c r="S651" s="242"/>
      <c r="T651" s="242"/>
      <c r="U651" s="242"/>
      <c r="V651" s="242"/>
      <c r="W651" s="242"/>
      <c r="X651" s="242"/>
      <c r="Y651" s="148"/>
      <c r="Z651" s="148"/>
    </row>
    <row r="652">
      <c r="A652" s="148"/>
      <c r="B652" s="148"/>
      <c r="C652" s="148"/>
      <c r="D652" s="245"/>
      <c r="E652" s="148"/>
      <c r="F652" s="277"/>
      <c r="G652" s="148"/>
      <c r="H652" s="148"/>
      <c r="I652" s="251"/>
      <c r="J652" s="251"/>
      <c r="K652" s="148"/>
      <c r="L652" s="277"/>
      <c r="M652" s="252"/>
      <c r="N652" s="250"/>
      <c r="O652" s="253"/>
      <c r="P652" s="240"/>
      <c r="Q652" s="148"/>
      <c r="R652" s="148"/>
      <c r="S652" s="242"/>
      <c r="T652" s="242"/>
      <c r="U652" s="242"/>
      <c r="V652" s="242"/>
      <c r="W652" s="242"/>
      <c r="X652" s="242"/>
      <c r="Y652" s="148"/>
      <c r="Z652" s="148"/>
    </row>
    <row r="653">
      <c r="A653" s="148"/>
      <c r="B653" s="148"/>
      <c r="C653" s="148"/>
      <c r="D653" s="245"/>
      <c r="E653" s="148"/>
      <c r="F653" s="277"/>
      <c r="G653" s="148"/>
      <c r="H653" s="148"/>
      <c r="I653" s="251"/>
      <c r="J653" s="251"/>
      <c r="K653" s="148"/>
      <c r="L653" s="277"/>
      <c r="M653" s="252"/>
      <c r="N653" s="250"/>
      <c r="O653" s="253"/>
      <c r="P653" s="240"/>
      <c r="Q653" s="148"/>
      <c r="R653" s="148"/>
      <c r="S653" s="242"/>
      <c r="T653" s="242"/>
      <c r="U653" s="242"/>
      <c r="V653" s="242"/>
      <c r="W653" s="242"/>
      <c r="X653" s="242"/>
      <c r="Y653" s="148"/>
      <c r="Z653" s="148"/>
    </row>
    <row r="654">
      <c r="A654" s="148"/>
      <c r="B654" s="148"/>
      <c r="C654" s="148"/>
      <c r="D654" s="245"/>
      <c r="E654" s="148"/>
      <c r="F654" s="277"/>
      <c r="G654" s="148"/>
      <c r="H654" s="148"/>
      <c r="I654" s="251"/>
      <c r="J654" s="251"/>
      <c r="K654" s="148"/>
      <c r="L654" s="277"/>
      <c r="M654" s="252"/>
      <c r="N654" s="250"/>
      <c r="O654" s="253"/>
      <c r="P654" s="240"/>
      <c r="Q654" s="148"/>
      <c r="R654" s="148"/>
      <c r="S654" s="242"/>
      <c r="T654" s="242"/>
      <c r="U654" s="242"/>
      <c r="V654" s="242"/>
      <c r="W654" s="242"/>
      <c r="X654" s="242"/>
      <c r="Y654" s="148"/>
      <c r="Z654" s="148"/>
    </row>
    <row r="655">
      <c r="A655" s="148"/>
      <c r="B655" s="148"/>
      <c r="C655" s="148"/>
      <c r="D655" s="245"/>
      <c r="E655" s="148"/>
      <c r="F655" s="277"/>
      <c r="G655" s="148"/>
      <c r="H655" s="148"/>
      <c r="I655" s="251"/>
      <c r="J655" s="251"/>
      <c r="K655" s="148"/>
      <c r="L655" s="277"/>
      <c r="M655" s="252"/>
      <c r="N655" s="250"/>
      <c r="O655" s="253"/>
      <c r="P655" s="240"/>
      <c r="Q655" s="148"/>
      <c r="R655" s="148"/>
      <c r="S655" s="242"/>
      <c r="T655" s="242"/>
      <c r="U655" s="242"/>
      <c r="V655" s="242"/>
      <c r="W655" s="242"/>
      <c r="X655" s="242"/>
      <c r="Y655" s="148"/>
      <c r="Z655" s="148"/>
    </row>
    <row r="656">
      <c r="A656" s="148"/>
      <c r="B656" s="148"/>
      <c r="C656" s="148"/>
      <c r="D656" s="245"/>
      <c r="E656" s="148"/>
      <c r="F656" s="277"/>
      <c r="G656" s="148"/>
      <c r="H656" s="148"/>
      <c r="I656" s="251"/>
      <c r="J656" s="251"/>
      <c r="K656" s="148"/>
      <c r="L656" s="277"/>
      <c r="M656" s="252"/>
      <c r="N656" s="250"/>
      <c r="O656" s="253"/>
      <c r="P656" s="240"/>
      <c r="Q656" s="148"/>
      <c r="R656" s="148"/>
      <c r="S656" s="242"/>
      <c r="T656" s="242"/>
      <c r="U656" s="242"/>
      <c r="V656" s="242"/>
      <c r="W656" s="242"/>
      <c r="X656" s="242"/>
      <c r="Y656" s="148"/>
      <c r="Z656" s="148"/>
    </row>
    <row r="657">
      <c r="A657" s="148"/>
      <c r="B657" s="148"/>
      <c r="C657" s="148"/>
      <c r="D657" s="245"/>
      <c r="E657" s="148"/>
      <c r="F657" s="277"/>
      <c r="G657" s="148"/>
      <c r="H657" s="148"/>
      <c r="I657" s="251"/>
      <c r="J657" s="251"/>
      <c r="K657" s="148"/>
      <c r="L657" s="277"/>
      <c r="M657" s="252"/>
      <c r="N657" s="250"/>
      <c r="O657" s="253"/>
      <c r="P657" s="240"/>
      <c r="Q657" s="148"/>
      <c r="R657" s="148"/>
      <c r="S657" s="242"/>
      <c r="T657" s="242"/>
      <c r="U657" s="242"/>
      <c r="V657" s="242"/>
      <c r="W657" s="242"/>
      <c r="X657" s="242"/>
      <c r="Y657" s="148"/>
      <c r="Z657" s="148"/>
    </row>
    <row r="658">
      <c r="A658" s="148"/>
      <c r="B658" s="148"/>
      <c r="C658" s="148"/>
      <c r="D658" s="245"/>
      <c r="E658" s="148"/>
      <c r="F658" s="277"/>
      <c r="G658" s="148"/>
      <c r="H658" s="148"/>
      <c r="I658" s="251"/>
      <c r="J658" s="251"/>
      <c r="K658" s="148"/>
      <c r="L658" s="277"/>
      <c r="M658" s="252"/>
      <c r="N658" s="250"/>
      <c r="O658" s="253"/>
      <c r="P658" s="240"/>
      <c r="Q658" s="148"/>
      <c r="R658" s="148"/>
      <c r="S658" s="242"/>
      <c r="T658" s="242"/>
      <c r="U658" s="242"/>
      <c r="V658" s="242"/>
      <c r="W658" s="242"/>
      <c r="X658" s="242"/>
      <c r="Y658" s="148"/>
      <c r="Z658" s="148"/>
    </row>
    <row r="659">
      <c r="A659" s="148"/>
      <c r="B659" s="148"/>
      <c r="C659" s="148"/>
      <c r="D659" s="245"/>
      <c r="E659" s="148"/>
      <c r="F659" s="277"/>
      <c r="G659" s="148"/>
      <c r="H659" s="148"/>
      <c r="I659" s="251"/>
      <c r="J659" s="251"/>
      <c r="K659" s="148"/>
      <c r="L659" s="277"/>
      <c r="M659" s="252"/>
      <c r="N659" s="250"/>
      <c r="O659" s="253"/>
      <c r="P659" s="240"/>
      <c r="Q659" s="148"/>
      <c r="R659" s="148"/>
      <c r="S659" s="242"/>
      <c r="T659" s="242"/>
      <c r="U659" s="242"/>
      <c r="V659" s="242"/>
      <c r="W659" s="242"/>
      <c r="X659" s="242"/>
      <c r="Y659" s="148"/>
      <c r="Z659" s="148"/>
    </row>
    <row r="660">
      <c r="A660" s="148"/>
      <c r="B660" s="148"/>
      <c r="C660" s="148"/>
      <c r="D660" s="245"/>
      <c r="E660" s="148"/>
      <c r="F660" s="277"/>
      <c r="G660" s="148"/>
      <c r="H660" s="148"/>
      <c r="I660" s="251"/>
      <c r="J660" s="251"/>
      <c r="K660" s="148"/>
      <c r="L660" s="277"/>
      <c r="M660" s="252"/>
      <c r="N660" s="250"/>
      <c r="O660" s="253"/>
      <c r="P660" s="240"/>
      <c r="Q660" s="148"/>
      <c r="R660" s="148"/>
      <c r="S660" s="242"/>
      <c r="T660" s="242"/>
      <c r="U660" s="242"/>
      <c r="V660" s="242"/>
      <c r="W660" s="242"/>
      <c r="X660" s="242"/>
      <c r="Y660" s="148"/>
      <c r="Z660" s="148"/>
    </row>
    <row r="661">
      <c r="A661" s="148"/>
      <c r="B661" s="148"/>
      <c r="C661" s="148"/>
      <c r="D661" s="245"/>
      <c r="E661" s="148"/>
      <c r="F661" s="277"/>
      <c r="G661" s="148"/>
      <c r="H661" s="148"/>
      <c r="I661" s="251"/>
      <c r="J661" s="251"/>
      <c r="K661" s="148"/>
      <c r="L661" s="277"/>
      <c r="M661" s="252"/>
      <c r="N661" s="250"/>
      <c r="O661" s="253"/>
      <c r="P661" s="240"/>
      <c r="Q661" s="148"/>
      <c r="R661" s="148"/>
      <c r="S661" s="242"/>
      <c r="T661" s="242"/>
      <c r="U661" s="242"/>
      <c r="V661" s="242"/>
      <c r="W661" s="242"/>
      <c r="X661" s="242"/>
      <c r="Y661" s="148"/>
      <c r="Z661" s="148"/>
    </row>
    <row r="662">
      <c r="A662" s="148"/>
      <c r="B662" s="148"/>
      <c r="C662" s="148"/>
      <c r="D662" s="245"/>
      <c r="E662" s="148"/>
      <c r="F662" s="277"/>
      <c r="G662" s="148"/>
      <c r="H662" s="148"/>
      <c r="I662" s="251"/>
      <c r="J662" s="251"/>
      <c r="K662" s="148"/>
      <c r="L662" s="277"/>
      <c r="M662" s="252"/>
      <c r="N662" s="250"/>
      <c r="O662" s="253"/>
      <c r="P662" s="240"/>
      <c r="Q662" s="148"/>
      <c r="R662" s="148"/>
      <c r="S662" s="242"/>
      <c r="T662" s="242"/>
      <c r="U662" s="242"/>
      <c r="V662" s="242"/>
      <c r="W662" s="242"/>
      <c r="X662" s="242"/>
      <c r="Y662" s="148"/>
      <c r="Z662" s="148"/>
    </row>
    <row r="663">
      <c r="A663" s="148"/>
      <c r="B663" s="148"/>
      <c r="C663" s="148"/>
      <c r="D663" s="245"/>
      <c r="E663" s="148"/>
      <c r="F663" s="277"/>
      <c r="G663" s="148"/>
      <c r="H663" s="148"/>
      <c r="I663" s="251"/>
      <c r="J663" s="251"/>
      <c r="K663" s="148"/>
      <c r="L663" s="277"/>
      <c r="M663" s="252"/>
      <c r="N663" s="250"/>
      <c r="O663" s="253"/>
      <c r="P663" s="240"/>
      <c r="Q663" s="148"/>
      <c r="R663" s="148"/>
      <c r="S663" s="242"/>
      <c r="T663" s="242"/>
      <c r="U663" s="242"/>
      <c r="V663" s="242"/>
      <c r="W663" s="242"/>
      <c r="X663" s="242"/>
      <c r="Y663" s="148"/>
      <c r="Z663" s="148"/>
    </row>
    <row r="664">
      <c r="A664" s="148"/>
      <c r="B664" s="148"/>
      <c r="C664" s="148"/>
      <c r="D664" s="245"/>
      <c r="E664" s="148"/>
      <c r="F664" s="277"/>
      <c r="G664" s="148"/>
      <c r="H664" s="148"/>
      <c r="I664" s="251"/>
      <c r="J664" s="251"/>
      <c r="K664" s="148"/>
      <c r="L664" s="277"/>
      <c r="M664" s="252"/>
      <c r="N664" s="250"/>
      <c r="O664" s="253"/>
      <c r="P664" s="240"/>
      <c r="Q664" s="148"/>
      <c r="R664" s="148"/>
      <c r="S664" s="242"/>
      <c r="T664" s="242"/>
      <c r="U664" s="242"/>
      <c r="V664" s="242"/>
      <c r="W664" s="242"/>
      <c r="X664" s="242"/>
      <c r="Y664" s="148"/>
      <c r="Z664" s="148"/>
    </row>
    <row r="665">
      <c r="A665" s="148"/>
      <c r="B665" s="148"/>
      <c r="C665" s="148"/>
      <c r="D665" s="245"/>
      <c r="E665" s="148"/>
      <c r="F665" s="277"/>
      <c r="G665" s="148"/>
      <c r="H665" s="148"/>
      <c r="I665" s="251"/>
      <c r="J665" s="251"/>
      <c r="K665" s="148"/>
      <c r="L665" s="277"/>
      <c r="M665" s="252"/>
      <c r="N665" s="250"/>
      <c r="O665" s="253"/>
      <c r="P665" s="240"/>
      <c r="Q665" s="148"/>
      <c r="R665" s="148"/>
      <c r="S665" s="242"/>
      <c r="T665" s="242"/>
      <c r="U665" s="242"/>
      <c r="V665" s="242"/>
      <c r="W665" s="242"/>
      <c r="X665" s="242"/>
      <c r="Y665" s="148"/>
      <c r="Z665" s="148"/>
    </row>
    <row r="666">
      <c r="A666" s="148"/>
      <c r="B666" s="148"/>
      <c r="C666" s="148"/>
      <c r="D666" s="245"/>
      <c r="E666" s="148"/>
      <c r="F666" s="277"/>
      <c r="G666" s="148"/>
      <c r="H666" s="148"/>
      <c r="I666" s="251"/>
      <c r="J666" s="251"/>
      <c r="K666" s="148"/>
      <c r="L666" s="277"/>
      <c r="M666" s="252"/>
      <c r="N666" s="250"/>
      <c r="O666" s="253"/>
      <c r="P666" s="240"/>
      <c r="Q666" s="148"/>
      <c r="R666" s="148"/>
      <c r="S666" s="242"/>
      <c r="T666" s="242"/>
      <c r="U666" s="242"/>
      <c r="V666" s="242"/>
      <c r="W666" s="242"/>
      <c r="X666" s="242"/>
      <c r="Y666" s="148"/>
      <c r="Z666" s="148"/>
    </row>
    <row r="667">
      <c r="A667" s="148"/>
      <c r="B667" s="148"/>
      <c r="C667" s="148"/>
      <c r="D667" s="245"/>
      <c r="E667" s="148"/>
      <c r="F667" s="277"/>
      <c r="G667" s="148"/>
      <c r="H667" s="148"/>
      <c r="I667" s="251"/>
      <c r="J667" s="251"/>
      <c r="K667" s="148"/>
      <c r="L667" s="277"/>
      <c r="M667" s="252"/>
      <c r="N667" s="250"/>
      <c r="O667" s="253"/>
      <c r="P667" s="240"/>
      <c r="Q667" s="148"/>
      <c r="R667" s="148"/>
      <c r="S667" s="242"/>
      <c r="T667" s="242"/>
      <c r="U667" s="242"/>
      <c r="V667" s="242"/>
      <c r="W667" s="242"/>
      <c r="X667" s="242"/>
      <c r="Y667" s="148"/>
      <c r="Z667" s="148"/>
    </row>
    <row r="668">
      <c r="A668" s="148"/>
      <c r="B668" s="148"/>
      <c r="C668" s="148"/>
      <c r="D668" s="245"/>
      <c r="E668" s="148"/>
      <c r="F668" s="277"/>
      <c r="G668" s="148"/>
      <c r="H668" s="148"/>
      <c r="I668" s="251"/>
      <c r="J668" s="251"/>
      <c r="K668" s="148"/>
      <c r="L668" s="277"/>
      <c r="M668" s="252"/>
      <c r="N668" s="250"/>
      <c r="O668" s="253"/>
      <c r="P668" s="240"/>
      <c r="Q668" s="148"/>
      <c r="R668" s="148"/>
      <c r="S668" s="242"/>
      <c r="T668" s="242"/>
      <c r="U668" s="242"/>
      <c r="V668" s="242"/>
      <c r="W668" s="242"/>
      <c r="X668" s="242"/>
      <c r="Y668" s="148"/>
      <c r="Z668" s="148"/>
    </row>
    <row r="669">
      <c r="A669" s="148"/>
      <c r="B669" s="148"/>
      <c r="C669" s="148"/>
      <c r="D669" s="245"/>
      <c r="E669" s="148"/>
      <c r="F669" s="277"/>
      <c r="G669" s="148"/>
      <c r="H669" s="148"/>
      <c r="I669" s="251"/>
      <c r="J669" s="251"/>
      <c r="K669" s="148"/>
      <c r="L669" s="277"/>
      <c r="M669" s="252"/>
      <c r="N669" s="250"/>
      <c r="O669" s="253"/>
      <c r="P669" s="240"/>
      <c r="Q669" s="148"/>
      <c r="R669" s="148"/>
      <c r="S669" s="242"/>
      <c r="T669" s="242"/>
      <c r="U669" s="242"/>
      <c r="V669" s="242"/>
      <c r="W669" s="242"/>
      <c r="X669" s="242"/>
      <c r="Y669" s="148"/>
      <c r="Z669" s="148"/>
    </row>
    <row r="670">
      <c r="A670" s="148"/>
      <c r="B670" s="148"/>
      <c r="C670" s="148"/>
      <c r="D670" s="245"/>
      <c r="E670" s="148"/>
      <c r="F670" s="277"/>
      <c r="G670" s="148"/>
      <c r="H670" s="148"/>
      <c r="I670" s="251"/>
      <c r="J670" s="251"/>
      <c r="K670" s="148"/>
      <c r="L670" s="277"/>
      <c r="M670" s="252"/>
      <c r="N670" s="250"/>
      <c r="O670" s="253"/>
      <c r="P670" s="240"/>
      <c r="Q670" s="148"/>
      <c r="R670" s="148"/>
      <c r="S670" s="242"/>
      <c r="T670" s="242"/>
      <c r="U670" s="242"/>
      <c r="V670" s="242"/>
      <c r="W670" s="242"/>
      <c r="X670" s="242"/>
      <c r="Y670" s="148"/>
      <c r="Z670" s="148"/>
    </row>
    <row r="671">
      <c r="A671" s="148"/>
      <c r="B671" s="148"/>
      <c r="C671" s="148"/>
      <c r="D671" s="245"/>
      <c r="E671" s="148"/>
      <c r="F671" s="277"/>
      <c r="G671" s="148"/>
      <c r="H671" s="148"/>
      <c r="I671" s="251"/>
      <c r="J671" s="251"/>
      <c r="K671" s="148"/>
      <c r="L671" s="277"/>
      <c r="M671" s="252"/>
      <c r="N671" s="250"/>
      <c r="O671" s="253"/>
      <c r="P671" s="240"/>
      <c r="Q671" s="148"/>
      <c r="R671" s="148"/>
      <c r="S671" s="242"/>
      <c r="T671" s="242"/>
      <c r="U671" s="242"/>
      <c r="V671" s="242"/>
      <c r="W671" s="242"/>
      <c r="X671" s="242"/>
      <c r="Y671" s="148"/>
      <c r="Z671" s="148"/>
    </row>
    <row r="672">
      <c r="A672" s="148"/>
      <c r="B672" s="148"/>
      <c r="C672" s="148"/>
      <c r="D672" s="245"/>
      <c r="E672" s="148"/>
      <c r="F672" s="277"/>
      <c r="G672" s="148"/>
      <c r="H672" s="148"/>
      <c r="I672" s="251"/>
      <c r="J672" s="251"/>
      <c r="K672" s="148"/>
      <c r="L672" s="277"/>
      <c r="M672" s="252"/>
      <c r="N672" s="250"/>
      <c r="O672" s="253"/>
      <c r="P672" s="240"/>
      <c r="Q672" s="148"/>
      <c r="R672" s="148"/>
      <c r="S672" s="242"/>
      <c r="T672" s="242"/>
      <c r="U672" s="242"/>
      <c r="V672" s="242"/>
      <c r="W672" s="242"/>
      <c r="X672" s="242"/>
      <c r="Y672" s="148"/>
      <c r="Z672" s="148"/>
    </row>
    <row r="673">
      <c r="A673" s="148"/>
      <c r="B673" s="148"/>
      <c r="C673" s="148"/>
      <c r="D673" s="245"/>
      <c r="E673" s="148"/>
      <c r="F673" s="277"/>
      <c r="G673" s="148"/>
      <c r="H673" s="148"/>
      <c r="I673" s="251"/>
      <c r="J673" s="251"/>
      <c r="K673" s="148"/>
      <c r="L673" s="277"/>
      <c r="M673" s="252"/>
      <c r="N673" s="250"/>
      <c r="O673" s="253"/>
      <c r="P673" s="240"/>
      <c r="Q673" s="148"/>
      <c r="R673" s="148"/>
      <c r="S673" s="242"/>
      <c r="T673" s="242"/>
      <c r="U673" s="242"/>
      <c r="V673" s="242"/>
      <c r="W673" s="242"/>
      <c r="X673" s="242"/>
      <c r="Y673" s="148"/>
      <c r="Z673" s="148"/>
    </row>
    <row r="674">
      <c r="A674" s="148"/>
      <c r="B674" s="148"/>
      <c r="C674" s="148"/>
      <c r="D674" s="245"/>
      <c r="E674" s="148"/>
      <c r="F674" s="277"/>
      <c r="G674" s="148"/>
      <c r="H674" s="148"/>
      <c r="I674" s="251"/>
      <c r="J674" s="251"/>
      <c r="K674" s="148"/>
      <c r="L674" s="277"/>
      <c r="M674" s="252"/>
      <c r="N674" s="250"/>
      <c r="O674" s="253"/>
      <c r="P674" s="240"/>
      <c r="Q674" s="148"/>
      <c r="R674" s="148"/>
      <c r="S674" s="242"/>
      <c r="T674" s="242"/>
      <c r="U674" s="242"/>
      <c r="V674" s="242"/>
      <c r="W674" s="242"/>
      <c r="X674" s="242"/>
      <c r="Y674" s="148"/>
      <c r="Z674" s="148"/>
    </row>
    <row r="675">
      <c r="A675" s="148"/>
      <c r="B675" s="148"/>
      <c r="C675" s="148"/>
      <c r="D675" s="245"/>
      <c r="E675" s="148"/>
      <c r="F675" s="277"/>
      <c r="G675" s="148"/>
      <c r="H675" s="148"/>
      <c r="I675" s="251"/>
      <c r="J675" s="251"/>
      <c r="K675" s="148"/>
      <c r="L675" s="277"/>
      <c r="M675" s="252"/>
      <c r="N675" s="250"/>
      <c r="O675" s="253"/>
      <c r="P675" s="240"/>
      <c r="Q675" s="148"/>
      <c r="R675" s="148"/>
      <c r="S675" s="242"/>
      <c r="T675" s="242"/>
      <c r="U675" s="242"/>
      <c r="V675" s="242"/>
      <c r="W675" s="242"/>
      <c r="X675" s="242"/>
      <c r="Y675" s="148"/>
      <c r="Z675" s="148"/>
    </row>
    <row r="676">
      <c r="A676" s="148"/>
      <c r="B676" s="148"/>
      <c r="C676" s="148"/>
      <c r="D676" s="245"/>
      <c r="E676" s="148"/>
      <c r="F676" s="277"/>
      <c r="G676" s="148"/>
      <c r="H676" s="148"/>
      <c r="I676" s="251"/>
      <c r="J676" s="251"/>
      <c r="K676" s="148"/>
      <c r="L676" s="277"/>
      <c r="M676" s="252"/>
      <c r="N676" s="250"/>
      <c r="O676" s="253"/>
      <c r="P676" s="240"/>
      <c r="Q676" s="148"/>
      <c r="R676" s="148"/>
      <c r="S676" s="242"/>
      <c r="T676" s="242"/>
      <c r="U676" s="242"/>
      <c r="V676" s="242"/>
      <c r="W676" s="242"/>
      <c r="X676" s="242"/>
      <c r="Y676" s="148"/>
      <c r="Z676" s="148"/>
    </row>
    <row r="677">
      <c r="A677" s="148"/>
      <c r="B677" s="148"/>
      <c r="C677" s="148"/>
      <c r="D677" s="245"/>
      <c r="E677" s="148"/>
      <c r="F677" s="277"/>
      <c r="G677" s="148"/>
      <c r="H677" s="148"/>
      <c r="I677" s="251"/>
      <c r="J677" s="251"/>
      <c r="K677" s="148"/>
      <c r="L677" s="277"/>
      <c r="M677" s="252"/>
      <c r="N677" s="250"/>
      <c r="O677" s="253"/>
      <c r="P677" s="240"/>
      <c r="Q677" s="148"/>
      <c r="R677" s="148"/>
      <c r="S677" s="242"/>
      <c r="T677" s="242"/>
      <c r="U677" s="242"/>
      <c r="V677" s="242"/>
      <c r="W677" s="242"/>
      <c r="X677" s="242"/>
      <c r="Y677" s="148"/>
      <c r="Z677" s="148"/>
    </row>
    <row r="678">
      <c r="A678" s="148"/>
      <c r="B678" s="148"/>
      <c r="C678" s="148"/>
      <c r="D678" s="245"/>
      <c r="E678" s="148"/>
      <c r="F678" s="277"/>
      <c r="G678" s="148"/>
      <c r="H678" s="148"/>
      <c r="I678" s="251"/>
      <c r="J678" s="251"/>
      <c r="K678" s="148"/>
      <c r="L678" s="277"/>
      <c r="M678" s="252"/>
      <c r="N678" s="250"/>
      <c r="O678" s="253"/>
      <c r="P678" s="240"/>
      <c r="Q678" s="148"/>
      <c r="R678" s="148"/>
      <c r="S678" s="242"/>
      <c r="T678" s="242"/>
      <c r="U678" s="242"/>
      <c r="V678" s="242"/>
      <c r="W678" s="242"/>
      <c r="X678" s="242"/>
      <c r="Y678" s="148"/>
      <c r="Z678" s="148"/>
    </row>
    <row r="679">
      <c r="A679" s="148"/>
      <c r="B679" s="148"/>
      <c r="C679" s="148"/>
      <c r="D679" s="245"/>
      <c r="E679" s="148"/>
      <c r="F679" s="277"/>
      <c r="G679" s="148"/>
      <c r="H679" s="148"/>
      <c r="I679" s="251"/>
      <c r="J679" s="251"/>
      <c r="K679" s="148"/>
      <c r="L679" s="277"/>
      <c r="M679" s="252"/>
      <c r="N679" s="250"/>
      <c r="O679" s="253"/>
      <c r="P679" s="240"/>
      <c r="Q679" s="148"/>
      <c r="R679" s="148"/>
      <c r="S679" s="242"/>
      <c r="T679" s="242"/>
      <c r="U679" s="242"/>
      <c r="V679" s="242"/>
      <c r="W679" s="242"/>
      <c r="X679" s="242"/>
      <c r="Y679" s="148"/>
      <c r="Z679" s="148"/>
    </row>
    <row r="680">
      <c r="A680" s="148"/>
      <c r="B680" s="148"/>
      <c r="C680" s="148"/>
      <c r="D680" s="245"/>
      <c r="E680" s="148"/>
      <c r="F680" s="277"/>
      <c r="G680" s="148"/>
      <c r="H680" s="148"/>
      <c r="I680" s="251"/>
      <c r="J680" s="251"/>
      <c r="K680" s="148"/>
      <c r="L680" s="277"/>
      <c r="M680" s="252"/>
      <c r="N680" s="250"/>
      <c r="O680" s="253"/>
      <c r="P680" s="240"/>
      <c r="Q680" s="148"/>
      <c r="R680" s="148"/>
      <c r="S680" s="242"/>
      <c r="T680" s="242"/>
      <c r="U680" s="242"/>
      <c r="V680" s="242"/>
      <c r="W680" s="242"/>
      <c r="X680" s="242"/>
      <c r="Y680" s="148"/>
      <c r="Z680" s="148"/>
    </row>
    <row r="681">
      <c r="A681" s="148"/>
      <c r="B681" s="148"/>
      <c r="C681" s="148"/>
      <c r="D681" s="245"/>
      <c r="E681" s="148"/>
      <c r="F681" s="277"/>
      <c r="G681" s="148"/>
      <c r="H681" s="148"/>
      <c r="I681" s="251"/>
      <c r="J681" s="251"/>
      <c r="K681" s="148"/>
      <c r="L681" s="277"/>
      <c r="M681" s="252"/>
      <c r="N681" s="250"/>
      <c r="O681" s="253"/>
      <c r="P681" s="240"/>
      <c r="Q681" s="148"/>
      <c r="R681" s="148"/>
      <c r="S681" s="242"/>
      <c r="T681" s="242"/>
      <c r="U681" s="242"/>
      <c r="V681" s="242"/>
      <c r="W681" s="242"/>
      <c r="X681" s="242"/>
      <c r="Y681" s="148"/>
      <c r="Z681" s="148"/>
    </row>
    <row r="682">
      <c r="A682" s="148"/>
      <c r="B682" s="148"/>
      <c r="C682" s="148"/>
      <c r="D682" s="245"/>
      <c r="E682" s="148"/>
      <c r="F682" s="277"/>
      <c r="G682" s="148"/>
      <c r="H682" s="148"/>
      <c r="I682" s="251"/>
      <c r="J682" s="251"/>
      <c r="K682" s="148"/>
      <c r="L682" s="277"/>
      <c r="M682" s="252"/>
      <c r="N682" s="250"/>
      <c r="O682" s="253"/>
      <c r="P682" s="240"/>
      <c r="Q682" s="148"/>
      <c r="R682" s="148"/>
      <c r="S682" s="242"/>
      <c r="T682" s="242"/>
      <c r="U682" s="242"/>
      <c r="V682" s="242"/>
      <c r="W682" s="242"/>
      <c r="X682" s="242"/>
      <c r="Y682" s="148"/>
      <c r="Z682" s="148"/>
    </row>
    <row r="683">
      <c r="A683" s="148"/>
      <c r="B683" s="148"/>
      <c r="C683" s="148"/>
      <c r="D683" s="245"/>
      <c r="E683" s="148"/>
      <c r="F683" s="277"/>
      <c r="G683" s="148"/>
      <c r="H683" s="148"/>
      <c r="I683" s="251"/>
      <c r="J683" s="251"/>
      <c r="K683" s="148"/>
      <c r="L683" s="277"/>
      <c r="M683" s="252"/>
      <c r="N683" s="250"/>
      <c r="O683" s="253"/>
      <c r="P683" s="240"/>
      <c r="Q683" s="148"/>
      <c r="R683" s="148"/>
      <c r="S683" s="242"/>
      <c r="T683" s="242"/>
      <c r="U683" s="242"/>
      <c r="V683" s="242"/>
      <c r="W683" s="242"/>
      <c r="X683" s="242"/>
      <c r="Y683" s="148"/>
      <c r="Z683" s="148"/>
    </row>
    <row r="684">
      <c r="A684" s="148"/>
      <c r="B684" s="148"/>
      <c r="C684" s="148"/>
      <c r="D684" s="245"/>
      <c r="E684" s="148"/>
      <c r="F684" s="277"/>
      <c r="G684" s="148"/>
      <c r="H684" s="148"/>
      <c r="I684" s="251"/>
      <c r="J684" s="251"/>
      <c r="K684" s="148"/>
      <c r="L684" s="277"/>
      <c r="M684" s="252"/>
      <c r="N684" s="250"/>
      <c r="O684" s="253"/>
      <c r="P684" s="240"/>
      <c r="Q684" s="148"/>
      <c r="R684" s="148"/>
      <c r="S684" s="242"/>
      <c r="T684" s="242"/>
      <c r="U684" s="242"/>
      <c r="V684" s="242"/>
      <c r="W684" s="242"/>
      <c r="X684" s="242"/>
      <c r="Y684" s="148"/>
      <c r="Z684" s="148"/>
    </row>
    <row r="685">
      <c r="A685" s="148"/>
      <c r="B685" s="148"/>
      <c r="C685" s="148"/>
      <c r="D685" s="245"/>
      <c r="E685" s="148"/>
      <c r="F685" s="277"/>
      <c r="G685" s="148"/>
      <c r="H685" s="148"/>
      <c r="I685" s="251"/>
      <c r="J685" s="251"/>
      <c r="K685" s="148"/>
      <c r="L685" s="277"/>
      <c r="M685" s="252"/>
      <c r="N685" s="250"/>
      <c r="O685" s="253"/>
      <c r="P685" s="240"/>
      <c r="Q685" s="148"/>
      <c r="R685" s="148"/>
      <c r="S685" s="242"/>
      <c r="T685" s="242"/>
      <c r="U685" s="242"/>
      <c r="V685" s="242"/>
      <c r="W685" s="242"/>
      <c r="X685" s="242"/>
      <c r="Y685" s="148"/>
      <c r="Z685" s="148"/>
    </row>
    <row r="686">
      <c r="A686" s="148"/>
      <c r="B686" s="148"/>
      <c r="C686" s="148"/>
      <c r="D686" s="245"/>
      <c r="E686" s="148"/>
      <c r="F686" s="277"/>
      <c r="G686" s="148"/>
      <c r="H686" s="148"/>
      <c r="I686" s="251"/>
      <c r="J686" s="251"/>
      <c r="K686" s="148"/>
      <c r="L686" s="277"/>
      <c r="M686" s="252"/>
      <c r="N686" s="250"/>
      <c r="O686" s="253"/>
      <c r="P686" s="240"/>
      <c r="Q686" s="148"/>
      <c r="R686" s="148"/>
      <c r="S686" s="242"/>
      <c r="T686" s="242"/>
      <c r="U686" s="242"/>
      <c r="V686" s="242"/>
      <c r="W686" s="242"/>
      <c r="X686" s="242"/>
      <c r="Y686" s="148"/>
      <c r="Z686" s="148"/>
    </row>
    <row r="687">
      <c r="A687" s="148"/>
      <c r="B687" s="148"/>
      <c r="C687" s="148"/>
      <c r="D687" s="245"/>
      <c r="E687" s="148"/>
      <c r="F687" s="277"/>
      <c r="G687" s="148"/>
      <c r="H687" s="148"/>
      <c r="I687" s="251"/>
      <c r="J687" s="251"/>
      <c r="K687" s="148"/>
      <c r="L687" s="277"/>
      <c r="M687" s="252"/>
      <c r="N687" s="250"/>
      <c r="O687" s="253"/>
      <c r="P687" s="240"/>
      <c r="Q687" s="148"/>
      <c r="R687" s="148"/>
      <c r="S687" s="242"/>
      <c r="T687" s="242"/>
      <c r="U687" s="242"/>
      <c r="V687" s="242"/>
      <c r="W687" s="242"/>
      <c r="X687" s="242"/>
      <c r="Y687" s="148"/>
      <c r="Z687" s="148"/>
    </row>
    <row r="688">
      <c r="A688" s="148"/>
      <c r="B688" s="148"/>
      <c r="C688" s="148"/>
      <c r="D688" s="245"/>
      <c r="E688" s="148"/>
      <c r="F688" s="277"/>
      <c r="G688" s="148"/>
      <c r="H688" s="148"/>
      <c r="I688" s="251"/>
      <c r="J688" s="251"/>
      <c r="K688" s="148"/>
      <c r="L688" s="277"/>
      <c r="M688" s="252"/>
      <c r="N688" s="250"/>
      <c r="O688" s="253"/>
      <c r="P688" s="240"/>
      <c r="Q688" s="148"/>
      <c r="R688" s="148"/>
      <c r="S688" s="242"/>
      <c r="T688" s="242"/>
      <c r="U688" s="242"/>
      <c r="V688" s="242"/>
      <c r="W688" s="242"/>
      <c r="X688" s="242"/>
      <c r="Y688" s="148"/>
      <c r="Z688" s="148"/>
    </row>
    <row r="689">
      <c r="A689" s="148"/>
      <c r="B689" s="148"/>
      <c r="C689" s="148"/>
      <c r="D689" s="245"/>
      <c r="E689" s="148"/>
      <c r="F689" s="277"/>
      <c r="G689" s="148"/>
      <c r="H689" s="148"/>
      <c r="I689" s="251"/>
      <c r="J689" s="251"/>
      <c r="K689" s="148"/>
      <c r="L689" s="277"/>
      <c r="M689" s="252"/>
      <c r="N689" s="250"/>
      <c r="O689" s="253"/>
      <c r="P689" s="240"/>
      <c r="Q689" s="148"/>
      <c r="R689" s="148"/>
      <c r="S689" s="242"/>
      <c r="T689" s="242"/>
      <c r="U689" s="242"/>
      <c r="V689" s="242"/>
      <c r="W689" s="242"/>
      <c r="X689" s="242"/>
      <c r="Y689" s="148"/>
      <c r="Z689" s="148"/>
    </row>
    <row r="690">
      <c r="A690" s="148"/>
      <c r="B690" s="148"/>
      <c r="C690" s="148"/>
      <c r="D690" s="245"/>
      <c r="E690" s="148"/>
      <c r="F690" s="277"/>
      <c r="G690" s="148"/>
      <c r="H690" s="148"/>
      <c r="I690" s="251"/>
      <c r="J690" s="251"/>
      <c r="K690" s="148"/>
      <c r="L690" s="277"/>
      <c r="M690" s="252"/>
      <c r="N690" s="250"/>
      <c r="O690" s="253"/>
      <c r="P690" s="240"/>
      <c r="Q690" s="148"/>
      <c r="R690" s="148"/>
      <c r="S690" s="242"/>
      <c r="T690" s="242"/>
      <c r="U690" s="242"/>
      <c r="V690" s="242"/>
      <c r="W690" s="242"/>
      <c r="X690" s="242"/>
      <c r="Y690" s="148"/>
      <c r="Z690" s="148"/>
    </row>
    <row r="691">
      <c r="A691" s="148"/>
      <c r="B691" s="148"/>
      <c r="C691" s="148"/>
      <c r="D691" s="245"/>
      <c r="E691" s="148"/>
      <c r="F691" s="277"/>
      <c r="G691" s="148"/>
      <c r="H691" s="148"/>
      <c r="I691" s="251"/>
      <c r="J691" s="251"/>
      <c r="K691" s="148"/>
      <c r="L691" s="277"/>
      <c r="M691" s="252"/>
      <c r="N691" s="250"/>
      <c r="O691" s="253"/>
      <c r="P691" s="240"/>
      <c r="Q691" s="148"/>
      <c r="R691" s="148"/>
      <c r="S691" s="242"/>
      <c r="T691" s="242"/>
      <c r="U691" s="242"/>
      <c r="V691" s="242"/>
      <c r="W691" s="242"/>
      <c r="X691" s="242"/>
      <c r="Y691" s="148"/>
      <c r="Z691" s="148"/>
    </row>
    <row r="692">
      <c r="A692" s="148"/>
      <c r="B692" s="148"/>
      <c r="C692" s="148"/>
      <c r="D692" s="245"/>
      <c r="E692" s="148"/>
      <c r="F692" s="277"/>
      <c r="G692" s="148"/>
      <c r="H692" s="148"/>
      <c r="I692" s="251"/>
      <c r="J692" s="251"/>
      <c r="K692" s="148"/>
      <c r="L692" s="277"/>
      <c r="M692" s="252"/>
      <c r="N692" s="250"/>
      <c r="O692" s="253"/>
      <c r="P692" s="240"/>
      <c r="Q692" s="148"/>
      <c r="R692" s="148"/>
      <c r="S692" s="242"/>
      <c r="T692" s="242"/>
      <c r="U692" s="242"/>
      <c r="V692" s="242"/>
      <c r="W692" s="242"/>
      <c r="X692" s="242"/>
      <c r="Y692" s="148"/>
      <c r="Z692" s="148"/>
    </row>
    <row r="693">
      <c r="A693" s="148"/>
      <c r="B693" s="148"/>
      <c r="C693" s="148"/>
      <c r="D693" s="245"/>
      <c r="E693" s="148"/>
      <c r="F693" s="277"/>
      <c r="G693" s="148"/>
      <c r="H693" s="148"/>
      <c r="I693" s="251"/>
      <c r="J693" s="251"/>
      <c r="K693" s="148"/>
      <c r="L693" s="277"/>
      <c r="M693" s="252"/>
      <c r="N693" s="250"/>
      <c r="O693" s="253"/>
      <c r="P693" s="240"/>
      <c r="Q693" s="148"/>
      <c r="R693" s="148"/>
      <c r="S693" s="242"/>
      <c r="T693" s="242"/>
      <c r="U693" s="242"/>
      <c r="V693" s="242"/>
      <c r="W693" s="242"/>
      <c r="X693" s="242"/>
      <c r="Y693" s="148"/>
      <c r="Z693" s="148"/>
    </row>
    <row r="694">
      <c r="A694" s="148"/>
      <c r="B694" s="148"/>
      <c r="C694" s="148"/>
      <c r="D694" s="245"/>
      <c r="E694" s="148"/>
      <c r="F694" s="277"/>
      <c r="G694" s="148"/>
      <c r="H694" s="148"/>
      <c r="I694" s="251"/>
      <c r="J694" s="251"/>
      <c r="K694" s="148"/>
      <c r="L694" s="277"/>
      <c r="M694" s="252"/>
      <c r="N694" s="250"/>
      <c r="O694" s="253"/>
      <c r="P694" s="240"/>
      <c r="Q694" s="148"/>
      <c r="R694" s="148"/>
      <c r="S694" s="242"/>
      <c r="T694" s="242"/>
      <c r="U694" s="242"/>
      <c r="V694" s="242"/>
      <c r="W694" s="242"/>
      <c r="X694" s="242"/>
      <c r="Y694" s="148"/>
      <c r="Z694" s="148"/>
    </row>
    <row r="695">
      <c r="A695" s="148"/>
      <c r="B695" s="148"/>
      <c r="C695" s="148"/>
      <c r="D695" s="245"/>
      <c r="E695" s="148"/>
      <c r="F695" s="277"/>
      <c r="G695" s="148"/>
      <c r="H695" s="148"/>
      <c r="I695" s="251"/>
      <c r="J695" s="251"/>
      <c r="K695" s="148"/>
      <c r="L695" s="277"/>
      <c r="M695" s="252"/>
      <c r="N695" s="250"/>
      <c r="O695" s="253"/>
      <c r="P695" s="240"/>
      <c r="Q695" s="148"/>
      <c r="R695" s="148"/>
      <c r="S695" s="242"/>
      <c r="T695" s="242"/>
      <c r="U695" s="242"/>
      <c r="V695" s="242"/>
      <c r="W695" s="242"/>
      <c r="X695" s="242"/>
      <c r="Y695" s="148"/>
      <c r="Z695" s="148"/>
    </row>
    <row r="696">
      <c r="A696" s="148"/>
      <c r="B696" s="148"/>
      <c r="C696" s="148"/>
      <c r="D696" s="245"/>
      <c r="E696" s="148"/>
      <c r="F696" s="277"/>
      <c r="G696" s="148"/>
      <c r="H696" s="148"/>
      <c r="I696" s="251"/>
      <c r="J696" s="251"/>
      <c r="K696" s="148"/>
      <c r="L696" s="277"/>
      <c r="M696" s="252"/>
      <c r="N696" s="250"/>
      <c r="O696" s="253"/>
      <c r="P696" s="240"/>
      <c r="Q696" s="148"/>
      <c r="R696" s="148"/>
      <c r="S696" s="242"/>
      <c r="T696" s="242"/>
      <c r="U696" s="242"/>
      <c r="V696" s="242"/>
      <c r="W696" s="242"/>
      <c r="X696" s="242"/>
      <c r="Y696" s="148"/>
      <c r="Z696" s="148"/>
    </row>
    <row r="697">
      <c r="A697" s="148"/>
      <c r="B697" s="148"/>
      <c r="C697" s="148"/>
      <c r="D697" s="245"/>
      <c r="E697" s="148"/>
      <c r="F697" s="277"/>
      <c r="G697" s="148"/>
      <c r="H697" s="148"/>
      <c r="I697" s="251"/>
      <c r="J697" s="251"/>
      <c r="K697" s="148"/>
      <c r="L697" s="277"/>
      <c r="M697" s="252"/>
      <c r="N697" s="250"/>
      <c r="O697" s="253"/>
      <c r="P697" s="240"/>
      <c r="Q697" s="148"/>
      <c r="R697" s="148"/>
      <c r="S697" s="242"/>
      <c r="T697" s="242"/>
      <c r="U697" s="242"/>
      <c r="V697" s="242"/>
      <c r="W697" s="242"/>
      <c r="X697" s="242"/>
      <c r="Y697" s="148"/>
      <c r="Z697" s="148"/>
    </row>
    <row r="698">
      <c r="A698" s="148"/>
      <c r="B698" s="148"/>
      <c r="C698" s="148"/>
      <c r="D698" s="245"/>
      <c r="E698" s="148"/>
      <c r="F698" s="277"/>
      <c r="G698" s="148"/>
      <c r="H698" s="148"/>
      <c r="I698" s="251"/>
      <c r="J698" s="251"/>
      <c r="K698" s="148"/>
      <c r="L698" s="277"/>
      <c r="M698" s="252"/>
      <c r="N698" s="250"/>
      <c r="O698" s="253"/>
      <c r="P698" s="240"/>
      <c r="Q698" s="148"/>
      <c r="R698" s="148"/>
      <c r="S698" s="242"/>
      <c r="T698" s="242"/>
      <c r="U698" s="242"/>
      <c r="V698" s="242"/>
      <c r="W698" s="242"/>
      <c r="X698" s="242"/>
      <c r="Y698" s="148"/>
      <c r="Z698" s="148"/>
    </row>
    <row r="699">
      <c r="A699" s="148"/>
      <c r="B699" s="148"/>
      <c r="C699" s="148"/>
      <c r="D699" s="245"/>
      <c r="E699" s="148"/>
      <c r="F699" s="277"/>
      <c r="G699" s="148"/>
      <c r="H699" s="148"/>
      <c r="I699" s="251"/>
      <c r="J699" s="251"/>
      <c r="K699" s="148"/>
      <c r="L699" s="277"/>
      <c r="M699" s="252"/>
      <c r="N699" s="250"/>
      <c r="O699" s="253"/>
      <c r="P699" s="240"/>
      <c r="Q699" s="148"/>
      <c r="R699" s="148"/>
      <c r="S699" s="242"/>
      <c r="T699" s="242"/>
      <c r="U699" s="242"/>
      <c r="V699" s="242"/>
      <c r="W699" s="242"/>
      <c r="X699" s="242"/>
      <c r="Y699" s="148"/>
      <c r="Z699" s="148"/>
    </row>
    <row r="700">
      <c r="A700" s="148"/>
      <c r="B700" s="148"/>
      <c r="C700" s="148"/>
      <c r="D700" s="245"/>
      <c r="E700" s="148"/>
      <c r="F700" s="277"/>
      <c r="G700" s="148"/>
      <c r="H700" s="148"/>
      <c r="I700" s="251"/>
      <c r="J700" s="251"/>
      <c r="K700" s="148"/>
      <c r="L700" s="277"/>
      <c r="M700" s="252"/>
      <c r="N700" s="250"/>
      <c r="O700" s="253"/>
      <c r="P700" s="240"/>
      <c r="Q700" s="148"/>
      <c r="R700" s="148"/>
      <c r="S700" s="242"/>
      <c r="T700" s="242"/>
      <c r="U700" s="242"/>
      <c r="V700" s="242"/>
      <c r="W700" s="242"/>
      <c r="X700" s="242"/>
      <c r="Y700" s="148"/>
      <c r="Z700" s="148"/>
    </row>
    <row r="701">
      <c r="A701" s="148"/>
      <c r="B701" s="148"/>
      <c r="C701" s="148"/>
      <c r="D701" s="245"/>
      <c r="E701" s="148"/>
      <c r="F701" s="277"/>
      <c r="G701" s="148"/>
      <c r="H701" s="148"/>
      <c r="I701" s="251"/>
      <c r="J701" s="251"/>
      <c r="K701" s="148"/>
      <c r="L701" s="277"/>
      <c r="M701" s="252"/>
      <c r="N701" s="250"/>
      <c r="O701" s="253"/>
      <c r="P701" s="240"/>
      <c r="Q701" s="148"/>
      <c r="R701" s="148"/>
      <c r="S701" s="242"/>
      <c r="T701" s="242"/>
      <c r="U701" s="242"/>
      <c r="V701" s="242"/>
      <c r="W701" s="242"/>
      <c r="X701" s="242"/>
      <c r="Y701" s="148"/>
      <c r="Z701" s="148"/>
    </row>
    <row r="702">
      <c r="A702" s="148"/>
      <c r="B702" s="148"/>
      <c r="C702" s="148"/>
      <c r="D702" s="245"/>
      <c r="E702" s="148"/>
      <c r="F702" s="277"/>
      <c r="G702" s="148"/>
      <c r="H702" s="148"/>
      <c r="I702" s="251"/>
      <c r="J702" s="251"/>
      <c r="K702" s="148"/>
      <c r="L702" s="277"/>
      <c r="M702" s="252"/>
      <c r="N702" s="250"/>
      <c r="O702" s="253"/>
      <c r="P702" s="240"/>
      <c r="Q702" s="148"/>
      <c r="R702" s="148"/>
      <c r="S702" s="242"/>
      <c r="T702" s="242"/>
      <c r="U702" s="242"/>
      <c r="V702" s="242"/>
      <c r="W702" s="242"/>
      <c r="X702" s="242"/>
      <c r="Y702" s="148"/>
      <c r="Z702" s="148"/>
    </row>
    <row r="703">
      <c r="A703" s="148"/>
      <c r="B703" s="148"/>
      <c r="C703" s="148"/>
      <c r="D703" s="245"/>
      <c r="E703" s="148"/>
      <c r="F703" s="277"/>
      <c r="G703" s="148"/>
      <c r="H703" s="148"/>
      <c r="I703" s="251"/>
      <c r="J703" s="251"/>
      <c r="K703" s="148"/>
      <c r="L703" s="277"/>
      <c r="M703" s="252"/>
      <c r="N703" s="250"/>
      <c r="O703" s="253"/>
      <c r="P703" s="240"/>
      <c r="Q703" s="148"/>
      <c r="R703" s="148"/>
      <c r="S703" s="242"/>
      <c r="T703" s="242"/>
      <c r="U703" s="242"/>
      <c r="V703" s="242"/>
      <c r="W703" s="242"/>
      <c r="X703" s="242"/>
      <c r="Y703" s="148"/>
      <c r="Z703" s="148"/>
    </row>
    <row r="704">
      <c r="A704" s="148"/>
      <c r="B704" s="148"/>
      <c r="C704" s="148"/>
      <c r="D704" s="245"/>
      <c r="E704" s="148"/>
      <c r="F704" s="277"/>
      <c r="G704" s="148"/>
      <c r="H704" s="148"/>
      <c r="I704" s="251"/>
      <c r="J704" s="251"/>
      <c r="K704" s="148"/>
      <c r="L704" s="277"/>
      <c r="M704" s="252"/>
      <c r="N704" s="250"/>
      <c r="O704" s="253"/>
      <c r="P704" s="240"/>
      <c r="Q704" s="148"/>
      <c r="R704" s="148"/>
      <c r="S704" s="242"/>
      <c r="T704" s="242"/>
      <c r="U704" s="242"/>
      <c r="V704" s="242"/>
      <c r="W704" s="242"/>
      <c r="X704" s="242"/>
      <c r="Y704" s="148"/>
      <c r="Z704" s="148"/>
    </row>
    <row r="705">
      <c r="A705" s="148"/>
      <c r="B705" s="148"/>
      <c r="C705" s="148"/>
      <c r="D705" s="245"/>
      <c r="E705" s="148"/>
      <c r="F705" s="277"/>
      <c r="G705" s="148"/>
      <c r="H705" s="148"/>
      <c r="I705" s="251"/>
      <c r="J705" s="251"/>
      <c r="K705" s="148"/>
      <c r="L705" s="277"/>
      <c r="M705" s="252"/>
      <c r="N705" s="250"/>
      <c r="O705" s="253"/>
      <c r="P705" s="240"/>
      <c r="Q705" s="148"/>
      <c r="R705" s="148"/>
      <c r="S705" s="242"/>
      <c r="T705" s="242"/>
      <c r="U705" s="242"/>
      <c r="V705" s="242"/>
      <c r="W705" s="242"/>
      <c r="X705" s="242"/>
      <c r="Y705" s="148"/>
      <c r="Z705" s="148"/>
    </row>
    <row r="706">
      <c r="A706" s="148"/>
      <c r="B706" s="148"/>
      <c r="C706" s="148"/>
      <c r="D706" s="245"/>
      <c r="E706" s="148"/>
      <c r="F706" s="277"/>
      <c r="G706" s="148"/>
      <c r="H706" s="148"/>
      <c r="I706" s="251"/>
      <c r="J706" s="251"/>
      <c r="K706" s="148"/>
      <c r="L706" s="277"/>
      <c r="M706" s="252"/>
      <c r="N706" s="250"/>
      <c r="O706" s="253"/>
      <c r="P706" s="240"/>
      <c r="Q706" s="148"/>
      <c r="R706" s="148"/>
      <c r="S706" s="242"/>
      <c r="T706" s="242"/>
      <c r="U706" s="242"/>
      <c r="V706" s="242"/>
      <c r="W706" s="242"/>
      <c r="X706" s="242"/>
      <c r="Y706" s="148"/>
      <c r="Z706" s="148"/>
    </row>
    <row r="707">
      <c r="A707" s="148"/>
      <c r="B707" s="148"/>
      <c r="C707" s="148"/>
      <c r="D707" s="245"/>
      <c r="E707" s="148"/>
      <c r="F707" s="277"/>
      <c r="G707" s="148"/>
      <c r="H707" s="148"/>
      <c r="I707" s="251"/>
      <c r="J707" s="251"/>
      <c r="K707" s="148"/>
      <c r="L707" s="277"/>
      <c r="M707" s="252"/>
      <c r="N707" s="250"/>
      <c r="O707" s="253"/>
      <c r="P707" s="240"/>
      <c r="Q707" s="148"/>
      <c r="R707" s="148"/>
      <c r="S707" s="242"/>
      <c r="T707" s="242"/>
      <c r="U707" s="242"/>
      <c r="V707" s="242"/>
      <c r="W707" s="242"/>
      <c r="X707" s="242"/>
      <c r="Y707" s="148"/>
      <c r="Z707" s="148"/>
    </row>
    <row r="708">
      <c r="A708" s="148"/>
      <c r="B708" s="148"/>
      <c r="C708" s="148"/>
      <c r="D708" s="245"/>
      <c r="E708" s="148"/>
      <c r="F708" s="277"/>
      <c r="G708" s="148"/>
      <c r="H708" s="148"/>
      <c r="I708" s="251"/>
      <c r="J708" s="251"/>
      <c r="K708" s="148"/>
      <c r="L708" s="277"/>
      <c r="M708" s="252"/>
      <c r="N708" s="250"/>
      <c r="O708" s="253"/>
      <c r="P708" s="240"/>
      <c r="Q708" s="148"/>
      <c r="R708" s="148"/>
      <c r="S708" s="242"/>
      <c r="T708" s="242"/>
      <c r="U708" s="242"/>
      <c r="V708" s="242"/>
      <c r="W708" s="242"/>
      <c r="X708" s="242"/>
      <c r="Y708" s="148"/>
      <c r="Z708" s="148"/>
    </row>
    <row r="709">
      <c r="A709" s="148"/>
      <c r="B709" s="148"/>
      <c r="C709" s="148"/>
      <c r="D709" s="245"/>
      <c r="E709" s="148"/>
      <c r="F709" s="277"/>
      <c r="G709" s="148"/>
      <c r="H709" s="148"/>
      <c r="I709" s="251"/>
      <c r="J709" s="251"/>
      <c r="K709" s="148"/>
      <c r="L709" s="277"/>
      <c r="M709" s="252"/>
      <c r="N709" s="250"/>
      <c r="O709" s="253"/>
      <c r="P709" s="240"/>
      <c r="Q709" s="148"/>
      <c r="R709" s="148"/>
      <c r="S709" s="242"/>
      <c r="T709" s="242"/>
      <c r="U709" s="242"/>
      <c r="V709" s="242"/>
      <c r="W709" s="242"/>
      <c r="X709" s="242"/>
      <c r="Y709" s="148"/>
      <c r="Z709" s="148"/>
    </row>
    <row r="710">
      <c r="A710" s="148"/>
      <c r="B710" s="148"/>
      <c r="C710" s="148"/>
      <c r="D710" s="245"/>
      <c r="E710" s="148"/>
      <c r="F710" s="277"/>
      <c r="G710" s="148"/>
      <c r="H710" s="148"/>
      <c r="I710" s="251"/>
      <c r="J710" s="251"/>
      <c r="K710" s="148"/>
      <c r="L710" s="277"/>
      <c r="M710" s="252"/>
      <c r="N710" s="250"/>
      <c r="O710" s="253"/>
      <c r="P710" s="240"/>
      <c r="Q710" s="148"/>
      <c r="R710" s="148"/>
      <c r="S710" s="242"/>
      <c r="T710" s="242"/>
      <c r="U710" s="242"/>
      <c r="V710" s="242"/>
      <c r="W710" s="242"/>
      <c r="X710" s="242"/>
      <c r="Y710" s="148"/>
      <c r="Z710" s="148"/>
    </row>
    <row r="711">
      <c r="A711" s="148"/>
      <c r="B711" s="148"/>
      <c r="C711" s="148"/>
      <c r="D711" s="245"/>
      <c r="E711" s="148"/>
      <c r="F711" s="277"/>
      <c r="G711" s="148"/>
      <c r="H711" s="148"/>
      <c r="I711" s="251"/>
      <c r="J711" s="251"/>
      <c r="K711" s="148"/>
      <c r="L711" s="277"/>
      <c r="M711" s="252"/>
      <c r="N711" s="250"/>
      <c r="O711" s="253"/>
      <c r="P711" s="240"/>
      <c r="Q711" s="148"/>
      <c r="R711" s="148"/>
      <c r="S711" s="242"/>
      <c r="T711" s="242"/>
      <c r="U711" s="242"/>
      <c r="V711" s="242"/>
      <c r="W711" s="242"/>
      <c r="X711" s="242"/>
      <c r="Y711" s="148"/>
      <c r="Z711" s="148"/>
    </row>
    <row r="712">
      <c r="A712" s="148"/>
      <c r="B712" s="148"/>
      <c r="C712" s="148"/>
      <c r="D712" s="245"/>
      <c r="E712" s="148"/>
      <c r="F712" s="277"/>
      <c r="G712" s="148"/>
      <c r="H712" s="148"/>
      <c r="I712" s="251"/>
      <c r="J712" s="251"/>
      <c r="K712" s="148"/>
      <c r="L712" s="277"/>
      <c r="M712" s="252"/>
      <c r="N712" s="250"/>
      <c r="O712" s="253"/>
      <c r="P712" s="240"/>
      <c r="Q712" s="148"/>
      <c r="R712" s="148"/>
      <c r="S712" s="242"/>
      <c r="T712" s="242"/>
      <c r="U712" s="242"/>
      <c r="V712" s="242"/>
      <c r="W712" s="242"/>
      <c r="X712" s="242"/>
      <c r="Y712" s="148"/>
      <c r="Z712" s="148"/>
    </row>
    <row r="713">
      <c r="A713" s="148"/>
      <c r="B713" s="148"/>
      <c r="C713" s="148"/>
      <c r="D713" s="245"/>
      <c r="E713" s="148"/>
      <c r="F713" s="277"/>
      <c r="G713" s="148"/>
      <c r="H713" s="148"/>
      <c r="I713" s="251"/>
      <c r="J713" s="251"/>
      <c r="K713" s="148"/>
      <c r="L713" s="277"/>
      <c r="M713" s="252"/>
      <c r="N713" s="250"/>
      <c r="O713" s="253"/>
      <c r="P713" s="240"/>
      <c r="Q713" s="148"/>
      <c r="R713" s="148"/>
      <c r="S713" s="242"/>
      <c r="T713" s="242"/>
      <c r="U713" s="242"/>
      <c r="V713" s="242"/>
      <c r="W713" s="242"/>
      <c r="X713" s="242"/>
      <c r="Y713" s="148"/>
      <c r="Z713" s="148"/>
    </row>
    <row r="714">
      <c r="A714" s="148"/>
      <c r="B714" s="148"/>
      <c r="C714" s="148"/>
      <c r="D714" s="245"/>
      <c r="E714" s="148"/>
      <c r="F714" s="277"/>
      <c r="G714" s="148"/>
      <c r="H714" s="148"/>
      <c r="I714" s="251"/>
      <c r="J714" s="251"/>
      <c r="K714" s="148"/>
      <c r="L714" s="277"/>
      <c r="M714" s="252"/>
      <c r="N714" s="250"/>
      <c r="O714" s="253"/>
      <c r="P714" s="240"/>
      <c r="Q714" s="148"/>
      <c r="R714" s="148"/>
      <c r="S714" s="242"/>
      <c r="T714" s="242"/>
      <c r="U714" s="242"/>
      <c r="V714" s="242"/>
      <c r="W714" s="242"/>
      <c r="X714" s="242"/>
      <c r="Y714" s="148"/>
      <c r="Z714" s="148"/>
    </row>
    <row r="715">
      <c r="A715" s="148"/>
      <c r="B715" s="148"/>
      <c r="C715" s="148"/>
      <c r="D715" s="245"/>
      <c r="E715" s="148"/>
      <c r="F715" s="277"/>
      <c r="G715" s="148"/>
      <c r="H715" s="148"/>
      <c r="I715" s="251"/>
      <c r="J715" s="251"/>
      <c r="K715" s="148"/>
      <c r="L715" s="277"/>
      <c r="M715" s="252"/>
      <c r="N715" s="250"/>
      <c r="O715" s="253"/>
      <c r="P715" s="240"/>
      <c r="Q715" s="148"/>
      <c r="R715" s="148"/>
      <c r="S715" s="242"/>
      <c r="T715" s="242"/>
      <c r="U715" s="242"/>
      <c r="V715" s="242"/>
      <c r="W715" s="242"/>
      <c r="X715" s="242"/>
      <c r="Y715" s="148"/>
      <c r="Z715" s="148"/>
    </row>
    <row r="716">
      <c r="A716" s="148"/>
      <c r="B716" s="148"/>
      <c r="C716" s="148"/>
      <c r="D716" s="245"/>
      <c r="E716" s="148"/>
      <c r="F716" s="277"/>
      <c r="G716" s="148"/>
      <c r="H716" s="148"/>
      <c r="I716" s="251"/>
      <c r="J716" s="251"/>
      <c r="K716" s="148"/>
      <c r="L716" s="277"/>
      <c r="M716" s="252"/>
      <c r="N716" s="250"/>
      <c r="O716" s="253"/>
      <c r="P716" s="240"/>
      <c r="Q716" s="148"/>
      <c r="R716" s="148"/>
      <c r="S716" s="242"/>
      <c r="T716" s="242"/>
      <c r="U716" s="242"/>
      <c r="V716" s="242"/>
      <c r="W716" s="242"/>
      <c r="X716" s="242"/>
      <c r="Y716" s="148"/>
      <c r="Z716" s="148"/>
    </row>
    <row r="717">
      <c r="A717" s="148"/>
      <c r="B717" s="148"/>
      <c r="C717" s="148"/>
      <c r="D717" s="245"/>
      <c r="E717" s="148"/>
      <c r="F717" s="277"/>
      <c r="G717" s="148"/>
      <c r="H717" s="148"/>
      <c r="I717" s="251"/>
      <c r="J717" s="251"/>
      <c r="K717" s="148"/>
      <c r="L717" s="277"/>
      <c r="M717" s="252"/>
      <c r="N717" s="250"/>
      <c r="O717" s="253"/>
      <c r="P717" s="240"/>
      <c r="Q717" s="148"/>
      <c r="R717" s="148"/>
      <c r="S717" s="242"/>
      <c r="T717" s="242"/>
      <c r="U717" s="242"/>
      <c r="V717" s="242"/>
      <c r="W717" s="242"/>
      <c r="X717" s="242"/>
      <c r="Y717" s="148"/>
      <c r="Z717" s="148"/>
    </row>
    <row r="718">
      <c r="A718" s="148"/>
      <c r="B718" s="148"/>
      <c r="C718" s="148"/>
      <c r="D718" s="245"/>
      <c r="E718" s="148"/>
      <c r="F718" s="277"/>
      <c r="G718" s="148"/>
      <c r="H718" s="148"/>
      <c r="I718" s="251"/>
      <c r="J718" s="251"/>
      <c r="K718" s="148"/>
      <c r="L718" s="277"/>
      <c r="M718" s="252"/>
      <c r="N718" s="250"/>
      <c r="O718" s="253"/>
      <c r="P718" s="240"/>
      <c r="Q718" s="148"/>
      <c r="R718" s="148"/>
      <c r="S718" s="242"/>
      <c r="T718" s="242"/>
      <c r="U718" s="242"/>
      <c r="V718" s="242"/>
      <c r="W718" s="242"/>
      <c r="X718" s="242"/>
      <c r="Y718" s="148"/>
      <c r="Z718" s="148"/>
    </row>
    <row r="719">
      <c r="A719" s="148"/>
      <c r="B719" s="148"/>
      <c r="C719" s="148"/>
      <c r="D719" s="245"/>
      <c r="E719" s="148"/>
      <c r="F719" s="277"/>
      <c r="G719" s="148"/>
      <c r="H719" s="148"/>
      <c r="I719" s="251"/>
      <c r="J719" s="251"/>
      <c r="K719" s="148"/>
      <c r="L719" s="277"/>
      <c r="M719" s="252"/>
      <c r="N719" s="250"/>
      <c r="O719" s="253"/>
      <c r="P719" s="240"/>
      <c r="Q719" s="148"/>
      <c r="R719" s="148"/>
      <c r="S719" s="242"/>
      <c r="T719" s="242"/>
      <c r="U719" s="242"/>
      <c r="V719" s="242"/>
      <c r="W719" s="242"/>
      <c r="X719" s="242"/>
      <c r="Y719" s="148"/>
      <c r="Z719" s="148"/>
    </row>
    <row r="720">
      <c r="A720" s="148"/>
      <c r="B720" s="148"/>
      <c r="C720" s="148"/>
      <c r="D720" s="245"/>
      <c r="E720" s="148"/>
      <c r="F720" s="277"/>
      <c r="G720" s="148"/>
      <c r="H720" s="148"/>
      <c r="I720" s="251"/>
      <c r="J720" s="251"/>
      <c r="K720" s="148"/>
      <c r="L720" s="277"/>
      <c r="M720" s="252"/>
      <c r="N720" s="250"/>
      <c r="O720" s="253"/>
      <c r="P720" s="240"/>
      <c r="Q720" s="148"/>
      <c r="R720" s="148"/>
      <c r="S720" s="242"/>
      <c r="T720" s="242"/>
      <c r="U720" s="242"/>
      <c r="V720" s="242"/>
      <c r="W720" s="242"/>
      <c r="X720" s="242"/>
      <c r="Y720" s="148"/>
      <c r="Z720" s="148"/>
    </row>
    <row r="721">
      <c r="A721" s="148"/>
      <c r="B721" s="148"/>
      <c r="C721" s="148"/>
      <c r="D721" s="245"/>
      <c r="E721" s="148"/>
      <c r="F721" s="277"/>
      <c r="G721" s="148"/>
      <c r="H721" s="148"/>
      <c r="I721" s="251"/>
      <c r="J721" s="251"/>
      <c r="K721" s="148"/>
      <c r="L721" s="277"/>
      <c r="M721" s="252"/>
      <c r="N721" s="250"/>
      <c r="O721" s="253"/>
      <c r="P721" s="240"/>
      <c r="Q721" s="148"/>
      <c r="R721" s="148"/>
      <c r="S721" s="242"/>
      <c r="T721" s="242"/>
      <c r="U721" s="242"/>
      <c r="V721" s="242"/>
      <c r="W721" s="242"/>
      <c r="X721" s="242"/>
      <c r="Y721" s="148"/>
      <c r="Z721" s="148"/>
    </row>
    <row r="722">
      <c r="A722" s="148"/>
      <c r="B722" s="148"/>
      <c r="C722" s="148"/>
      <c r="D722" s="245"/>
      <c r="E722" s="148"/>
      <c r="F722" s="277"/>
      <c r="G722" s="148"/>
      <c r="H722" s="148"/>
      <c r="I722" s="251"/>
      <c r="J722" s="251"/>
      <c r="K722" s="148"/>
      <c r="L722" s="277"/>
      <c r="M722" s="252"/>
      <c r="N722" s="250"/>
      <c r="O722" s="253"/>
      <c r="P722" s="240"/>
      <c r="Q722" s="148"/>
      <c r="R722" s="148"/>
      <c r="S722" s="242"/>
      <c r="T722" s="242"/>
      <c r="U722" s="242"/>
      <c r="V722" s="242"/>
      <c r="W722" s="242"/>
      <c r="X722" s="242"/>
      <c r="Y722" s="148"/>
      <c r="Z722" s="148"/>
    </row>
    <row r="723">
      <c r="A723" s="148"/>
      <c r="B723" s="148"/>
      <c r="C723" s="148"/>
      <c r="D723" s="245"/>
      <c r="E723" s="148"/>
      <c r="F723" s="277"/>
      <c r="G723" s="148"/>
      <c r="H723" s="148"/>
      <c r="I723" s="251"/>
      <c r="J723" s="251"/>
      <c r="K723" s="148"/>
      <c r="L723" s="277"/>
      <c r="M723" s="252"/>
      <c r="N723" s="250"/>
      <c r="O723" s="253"/>
      <c r="P723" s="240"/>
      <c r="Q723" s="148"/>
      <c r="R723" s="148"/>
      <c r="S723" s="242"/>
      <c r="T723" s="242"/>
      <c r="U723" s="242"/>
      <c r="V723" s="242"/>
      <c r="W723" s="242"/>
      <c r="X723" s="242"/>
      <c r="Y723" s="148"/>
      <c r="Z723" s="148"/>
    </row>
    <row r="724">
      <c r="A724" s="148"/>
      <c r="B724" s="148"/>
      <c r="C724" s="148"/>
      <c r="D724" s="245"/>
      <c r="E724" s="148"/>
      <c r="F724" s="277"/>
      <c r="G724" s="148"/>
      <c r="H724" s="148"/>
      <c r="I724" s="251"/>
      <c r="J724" s="251"/>
      <c r="K724" s="148"/>
      <c r="L724" s="277"/>
      <c r="M724" s="252"/>
      <c r="N724" s="250"/>
      <c r="O724" s="253"/>
      <c r="P724" s="240"/>
      <c r="Q724" s="148"/>
      <c r="R724" s="148"/>
      <c r="S724" s="242"/>
      <c r="T724" s="242"/>
      <c r="U724" s="242"/>
      <c r="V724" s="242"/>
      <c r="W724" s="242"/>
      <c r="X724" s="242"/>
      <c r="Y724" s="148"/>
      <c r="Z724" s="148"/>
    </row>
    <row r="725">
      <c r="A725" s="148"/>
      <c r="B725" s="148"/>
      <c r="C725" s="148"/>
      <c r="D725" s="245"/>
      <c r="E725" s="148"/>
      <c r="F725" s="277"/>
      <c r="G725" s="148"/>
      <c r="H725" s="148"/>
      <c r="I725" s="251"/>
      <c r="J725" s="251"/>
      <c r="K725" s="148"/>
      <c r="L725" s="277"/>
      <c r="M725" s="252"/>
      <c r="N725" s="250"/>
      <c r="O725" s="253"/>
      <c r="P725" s="240"/>
      <c r="Q725" s="148"/>
      <c r="R725" s="148"/>
      <c r="S725" s="242"/>
      <c r="T725" s="242"/>
      <c r="U725" s="242"/>
      <c r="V725" s="242"/>
      <c r="W725" s="242"/>
      <c r="X725" s="242"/>
      <c r="Y725" s="148"/>
      <c r="Z725" s="148"/>
    </row>
    <row r="726">
      <c r="A726" s="148"/>
      <c r="B726" s="148"/>
      <c r="C726" s="148"/>
      <c r="D726" s="245"/>
      <c r="E726" s="148"/>
      <c r="F726" s="277"/>
      <c r="G726" s="148"/>
      <c r="H726" s="148"/>
      <c r="I726" s="251"/>
      <c r="J726" s="251"/>
      <c r="K726" s="148"/>
      <c r="L726" s="277"/>
      <c r="M726" s="252"/>
      <c r="N726" s="250"/>
      <c r="O726" s="253"/>
      <c r="P726" s="240"/>
      <c r="Q726" s="148"/>
      <c r="R726" s="148"/>
      <c r="S726" s="242"/>
      <c r="T726" s="242"/>
      <c r="U726" s="242"/>
      <c r="V726" s="242"/>
      <c r="W726" s="242"/>
      <c r="X726" s="242"/>
      <c r="Y726" s="148"/>
      <c r="Z726" s="148"/>
    </row>
    <row r="727">
      <c r="A727" s="148"/>
      <c r="B727" s="148"/>
      <c r="C727" s="148"/>
      <c r="D727" s="245"/>
      <c r="E727" s="148"/>
      <c r="F727" s="277"/>
      <c r="G727" s="148"/>
      <c r="H727" s="148"/>
      <c r="I727" s="251"/>
      <c r="J727" s="251"/>
      <c r="K727" s="148"/>
      <c r="L727" s="277"/>
      <c r="M727" s="252"/>
      <c r="N727" s="250"/>
      <c r="O727" s="253"/>
      <c r="P727" s="240"/>
      <c r="Q727" s="148"/>
      <c r="R727" s="148"/>
      <c r="S727" s="242"/>
      <c r="T727" s="242"/>
      <c r="U727" s="242"/>
      <c r="V727" s="242"/>
      <c r="W727" s="242"/>
      <c r="X727" s="242"/>
      <c r="Y727" s="148"/>
      <c r="Z727" s="148"/>
    </row>
    <row r="728">
      <c r="A728" s="148"/>
      <c r="B728" s="148"/>
      <c r="C728" s="148"/>
      <c r="D728" s="245"/>
      <c r="E728" s="148"/>
      <c r="F728" s="277"/>
      <c r="G728" s="148"/>
      <c r="H728" s="148"/>
      <c r="I728" s="251"/>
      <c r="J728" s="251"/>
      <c r="K728" s="148"/>
      <c r="L728" s="277"/>
      <c r="M728" s="252"/>
      <c r="N728" s="250"/>
      <c r="O728" s="253"/>
      <c r="P728" s="240"/>
      <c r="Q728" s="148"/>
      <c r="R728" s="148"/>
      <c r="S728" s="242"/>
      <c r="T728" s="242"/>
      <c r="U728" s="242"/>
      <c r="V728" s="242"/>
      <c r="W728" s="242"/>
      <c r="X728" s="242"/>
      <c r="Y728" s="148"/>
      <c r="Z728" s="148"/>
    </row>
    <row r="729">
      <c r="A729" s="148"/>
      <c r="B729" s="148"/>
      <c r="C729" s="148"/>
      <c r="D729" s="245"/>
      <c r="E729" s="148"/>
      <c r="F729" s="277"/>
      <c r="G729" s="148"/>
      <c r="H729" s="148"/>
      <c r="I729" s="251"/>
      <c r="J729" s="251"/>
      <c r="K729" s="148"/>
      <c r="L729" s="277"/>
      <c r="M729" s="252"/>
      <c r="N729" s="250"/>
      <c r="O729" s="253"/>
      <c r="P729" s="240"/>
      <c r="Q729" s="148"/>
      <c r="R729" s="148"/>
      <c r="S729" s="242"/>
      <c r="T729" s="242"/>
      <c r="U729" s="242"/>
      <c r="V729" s="242"/>
      <c r="W729" s="242"/>
      <c r="X729" s="242"/>
      <c r="Y729" s="148"/>
      <c r="Z729" s="148"/>
    </row>
    <row r="730">
      <c r="A730" s="148"/>
      <c r="B730" s="148"/>
      <c r="C730" s="148"/>
      <c r="D730" s="245"/>
      <c r="E730" s="148"/>
      <c r="F730" s="277"/>
      <c r="G730" s="148"/>
      <c r="H730" s="148"/>
      <c r="I730" s="251"/>
      <c r="J730" s="251"/>
      <c r="K730" s="148"/>
      <c r="L730" s="277"/>
      <c r="M730" s="252"/>
      <c r="N730" s="250"/>
      <c r="O730" s="253"/>
      <c r="P730" s="240"/>
      <c r="Q730" s="148"/>
      <c r="R730" s="148"/>
      <c r="S730" s="242"/>
      <c r="T730" s="242"/>
      <c r="U730" s="242"/>
      <c r="V730" s="242"/>
      <c r="W730" s="242"/>
      <c r="X730" s="242"/>
      <c r="Y730" s="148"/>
      <c r="Z730" s="148"/>
    </row>
    <row r="731">
      <c r="A731" s="148"/>
      <c r="B731" s="148"/>
      <c r="C731" s="148"/>
      <c r="D731" s="245"/>
      <c r="E731" s="148"/>
      <c r="F731" s="277"/>
      <c r="G731" s="148"/>
      <c r="H731" s="148"/>
      <c r="I731" s="251"/>
      <c r="J731" s="251"/>
      <c r="K731" s="148"/>
      <c r="L731" s="277"/>
      <c r="M731" s="252"/>
      <c r="N731" s="250"/>
      <c r="O731" s="253"/>
      <c r="P731" s="240"/>
      <c r="Q731" s="148"/>
      <c r="R731" s="148"/>
      <c r="S731" s="242"/>
      <c r="T731" s="242"/>
      <c r="U731" s="242"/>
      <c r="V731" s="242"/>
      <c r="W731" s="242"/>
      <c r="X731" s="242"/>
      <c r="Y731" s="148"/>
      <c r="Z731" s="148"/>
    </row>
    <row r="732">
      <c r="A732" s="148"/>
      <c r="B732" s="148"/>
      <c r="C732" s="148"/>
      <c r="D732" s="245"/>
      <c r="E732" s="148"/>
      <c r="F732" s="277"/>
      <c r="G732" s="148"/>
      <c r="H732" s="148"/>
      <c r="I732" s="251"/>
      <c r="J732" s="251"/>
      <c r="K732" s="148"/>
      <c r="L732" s="277"/>
      <c r="M732" s="252"/>
      <c r="N732" s="250"/>
      <c r="O732" s="253"/>
      <c r="P732" s="240"/>
      <c r="Q732" s="148"/>
      <c r="R732" s="148"/>
      <c r="S732" s="242"/>
      <c r="T732" s="242"/>
      <c r="U732" s="242"/>
      <c r="V732" s="242"/>
      <c r="W732" s="242"/>
      <c r="X732" s="242"/>
      <c r="Y732" s="148"/>
      <c r="Z732" s="148"/>
    </row>
    <row r="733">
      <c r="A733" s="148"/>
      <c r="B733" s="148"/>
      <c r="C733" s="148"/>
      <c r="D733" s="245"/>
      <c r="E733" s="148"/>
      <c r="F733" s="277"/>
      <c r="G733" s="148"/>
      <c r="H733" s="148"/>
      <c r="I733" s="251"/>
      <c r="J733" s="251"/>
      <c r="K733" s="148"/>
      <c r="L733" s="277"/>
      <c r="M733" s="252"/>
      <c r="N733" s="250"/>
      <c r="O733" s="253"/>
      <c r="P733" s="240"/>
      <c r="Q733" s="148"/>
      <c r="R733" s="148"/>
      <c r="S733" s="242"/>
      <c r="T733" s="242"/>
      <c r="U733" s="242"/>
      <c r="V733" s="242"/>
      <c r="W733" s="242"/>
      <c r="X733" s="242"/>
      <c r="Y733" s="148"/>
      <c r="Z733" s="148"/>
    </row>
    <row r="734">
      <c r="A734" s="148"/>
      <c r="B734" s="148"/>
      <c r="C734" s="148"/>
      <c r="D734" s="245"/>
      <c r="E734" s="148"/>
      <c r="F734" s="277"/>
      <c r="G734" s="148"/>
      <c r="H734" s="148"/>
      <c r="I734" s="251"/>
      <c r="J734" s="251"/>
      <c r="K734" s="148"/>
      <c r="L734" s="277"/>
      <c r="M734" s="252"/>
      <c r="N734" s="250"/>
      <c r="O734" s="253"/>
      <c r="P734" s="240"/>
      <c r="Q734" s="148"/>
      <c r="R734" s="148"/>
      <c r="S734" s="242"/>
      <c r="T734" s="242"/>
      <c r="U734" s="242"/>
      <c r="V734" s="242"/>
      <c r="W734" s="242"/>
      <c r="X734" s="242"/>
      <c r="Y734" s="148"/>
      <c r="Z734" s="148"/>
    </row>
    <row r="735">
      <c r="A735" s="148"/>
      <c r="B735" s="148"/>
      <c r="C735" s="148"/>
      <c r="D735" s="245"/>
      <c r="E735" s="148"/>
      <c r="F735" s="277"/>
      <c r="G735" s="148"/>
      <c r="H735" s="148"/>
      <c r="I735" s="251"/>
      <c r="J735" s="251"/>
      <c r="K735" s="148"/>
      <c r="L735" s="277"/>
      <c r="M735" s="252"/>
      <c r="N735" s="250"/>
      <c r="O735" s="253"/>
      <c r="P735" s="240"/>
      <c r="Q735" s="148"/>
      <c r="R735" s="148"/>
      <c r="S735" s="242"/>
      <c r="T735" s="242"/>
      <c r="U735" s="242"/>
      <c r="V735" s="242"/>
      <c r="W735" s="242"/>
      <c r="X735" s="242"/>
      <c r="Y735" s="148"/>
      <c r="Z735" s="148"/>
    </row>
    <row r="736">
      <c r="A736" s="148"/>
      <c r="B736" s="148"/>
      <c r="C736" s="148"/>
      <c r="D736" s="245"/>
      <c r="E736" s="148"/>
      <c r="F736" s="277"/>
      <c r="G736" s="148"/>
      <c r="H736" s="148"/>
      <c r="I736" s="251"/>
      <c r="J736" s="251"/>
      <c r="K736" s="148"/>
      <c r="L736" s="277"/>
      <c r="M736" s="252"/>
      <c r="N736" s="250"/>
      <c r="O736" s="253"/>
      <c r="P736" s="240"/>
      <c r="Q736" s="148"/>
      <c r="R736" s="148"/>
      <c r="S736" s="242"/>
      <c r="T736" s="242"/>
      <c r="U736" s="242"/>
      <c r="V736" s="242"/>
      <c r="W736" s="242"/>
      <c r="X736" s="242"/>
      <c r="Y736" s="148"/>
      <c r="Z736" s="148"/>
    </row>
    <row r="737">
      <c r="A737" s="148"/>
      <c r="B737" s="148"/>
      <c r="C737" s="148"/>
      <c r="D737" s="245"/>
      <c r="E737" s="148"/>
      <c r="F737" s="277"/>
      <c r="G737" s="148"/>
      <c r="H737" s="148"/>
      <c r="I737" s="251"/>
      <c r="J737" s="251"/>
      <c r="K737" s="148"/>
      <c r="L737" s="277"/>
      <c r="M737" s="252"/>
      <c r="N737" s="250"/>
      <c r="O737" s="253"/>
      <c r="P737" s="240"/>
      <c r="Q737" s="148"/>
      <c r="R737" s="148"/>
      <c r="S737" s="242"/>
      <c r="T737" s="242"/>
      <c r="U737" s="242"/>
      <c r="V737" s="242"/>
      <c r="W737" s="242"/>
      <c r="X737" s="242"/>
      <c r="Y737" s="148"/>
      <c r="Z737" s="148"/>
    </row>
    <row r="738">
      <c r="A738" s="148"/>
      <c r="B738" s="148"/>
      <c r="C738" s="148"/>
      <c r="D738" s="245"/>
      <c r="E738" s="148"/>
      <c r="F738" s="277"/>
      <c r="G738" s="148"/>
      <c r="H738" s="148"/>
      <c r="I738" s="251"/>
      <c r="J738" s="251"/>
      <c r="K738" s="148"/>
      <c r="L738" s="277"/>
      <c r="M738" s="252"/>
      <c r="N738" s="250"/>
      <c r="O738" s="253"/>
      <c r="P738" s="240"/>
      <c r="Q738" s="148"/>
      <c r="R738" s="148"/>
      <c r="S738" s="242"/>
      <c r="T738" s="242"/>
      <c r="U738" s="242"/>
      <c r="V738" s="242"/>
      <c r="W738" s="242"/>
      <c r="X738" s="242"/>
      <c r="Y738" s="148"/>
      <c r="Z738" s="148"/>
    </row>
    <row r="739">
      <c r="A739" s="148"/>
      <c r="B739" s="148"/>
      <c r="C739" s="148"/>
      <c r="D739" s="245"/>
      <c r="E739" s="148"/>
      <c r="F739" s="277"/>
      <c r="G739" s="148"/>
      <c r="H739" s="148"/>
      <c r="I739" s="251"/>
      <c r="J739" s="251"/>
      <c r="K739" s="148"/>
      <c r="L739" s="277"/>
      <c r="M739" s="252"/>
      <c r="N739" s="250"/>
      <c r="O739" s="253"/>
      <c r="P739" s="240"/>
      <c r="Q739" s="148"/>
      <c r="R739" s="148"/>
      <c r="S739" s="242"/>
      <c r="T739" s="242"/>
      <c r="U739" s="242"/>
      <c r="V739" s="242"/>
      <c r="W739" s="242"/>
      <c r="X739" s="242"/>
      <c r="Y739" s="148"/>
      <c r="Z739" s="148"/>
    </row>
    <row r="740">
      <c r="A740" s="148"/>
      <c r="B740" s="148"/>
      <c r="C740" s="148"/>
      <c r="D740" s="245"/>
      <c r="E740" s="148"/>
      <c r="F740" s="277"/>
      <c r="G740" s="148"/>
      <c r="H740" s="148"/>
      <c r="I740" s="251"/>
      <c r="J740" s="251"/>
      <c r="K740" s="148"/>
      <c r="L740" s="277"/>
      <c r="M740" s="252"/>
      <c r="N740" s="250"/>
      <c r="O740" s="253"/>
      <c r="P740" s="240"/>
      <c r="Q740" s="148"/>
      <c r="R740" s="148"/>
      <c r="S740" s="242"/>
      <c r="T740" s="242"/>
      <c r="U740" s="242"/>
      <c r="V740" s="242"/>
      <c r="W740" s="242"/>
      <c r="X740" s="242"/>
      <c r="Y740" s="148"/>
      <c r="Z740" s="148"/>
    </row>
    <row r="741">
      <c r="A741" s="148"/>
      <c r="B741" s="148"/>
      <c r="C741" s="148"/>
      <c r="D741" s="245"/>
      <c r="E741" s="148"/>
      <c r="F741" s="277"/>
      <c r="G741" s="148"/>
      <c r="H741" s="148"/>
      <c r="I741" s="251"/>
      <c r="J741" s="251"/>
      <c r="K741" s="148"/>
      <c r="L741" s="277"/>
      <c r="M741" s="252"/>
      <c r="N741" s="250"/>
      <c r="O741" s="253"/>
      <c r="P741" s="240"/>
      <c r="Q741" s="148"/>
      <c r="R741" s="148"/>
      <c r="S741" s="242"/>
      <c r="T741" s="242"/>
      <c r="U741" s="242"/>
      <c r="V741" s="242"/>
      <c r="W741" s="242"/>
      <c r="X741" s="242"/>
      <c r="Y741" s="148"/>
      <c r="Z741" s="148"/>
    </row>
    <row r="742">
      <c r="A742" s="148"/>
      <c r="B742" s="148"/>
      <c r="C742" s="148"/>
      <c r="D742" s="245"/>
      <c r="E742" s="148"/>
      <c r="F742" s="277"/>
      <c r="G742" s="148"/>
      <c r="H742" s="148"/>
      <c r="I742" s="251"/>
      <c r="J742" s="251"/>
      <c r="K742" s="148"/>
      <c r="L742" s="277"/>
      <c r="M742" s="252"/>
      <c r="N742" s="250"/>
      <c r="O742" s="253"/>
      <c r="P742" s="240"/>
      <c r="Q742" s="148"/>
      <c r="R742" s="148"/>
      <c r="S742" s="242"/>
      <c r="T742" s="242"/>
      <c r="U742" s="242"/>
      <c r="V742" s="242"/>
      <c r="W742" s="242"/>
      <c r="X742" s="242"/>
      <c r="Y742" s="148"/>
      <c r="Z742" s="148"/>
    </row>
    <row r="743">
      <c r="A743" s="148"/>
      <c r="B743" s="148"/>
      <c r="C743" s="148"/>
      <c r="D743" s="245"/>
      <c r="E743" s="148"/>
      <c r="F743" s="277"/>
      <c r="G743" s="148"/>
      <c r="H743" s="148"/>
      <c r="I743" s="251"/>
      <c r="J743" s="251"/>
      <c r="K743" s="148"/>
      <c r="L743" s="277"/>
      <c r="M743" s="252"/>
      <c r="N743" s="250"/>
      <c r="O743" s="253"/>
      <c r="P743" s="240"/>
      <c r="Q743" s="148"/>
      <c r="R743" s="148"/>
      <c r="S743" s="242"/>
      <c r="T743" s="242"/>
      <c r="U743" s="242"/>
      <c r="V743" s="242"/>
      <c r="W743" s="242"/>
      <c r="X743" s="242"/>
      <c r="Y743" s="148"/>
      <c r="Z743" s="148"/>
    </row>
    <row r="744">
      <c r="A744" s="148"/>
      <c r="B744" s="148"/>
      <c r="C744" s="148"/>
      <c r="D744" s="245"/>
      <c r="E744" s="148"/>
      <c r="F744" s="277"/>
      <c r="G744" s="148"/>
      <c r="H744" s="148"/>
      <c r="I744" s="251"/>
      <c r="J744" s="251"/>
      <c r="K744" s="148"/>
      <c r="L744" s="277"/>
      <c r="M744" s="252"/>
      <c r="N744" s="250"/>
      <c r="O744" s="253"/>
      <c r="P744" s="240"/>
      <c r="Q744" s="148"/>
      <c r="R744" s="148"/>
      <c r="S744" s="242"/>
      <c r="T744" s="242"/>
      <c r="U744" s="242"/>
      <c r="V744" s="242"/>
      <c r="W744" s="242"/>
      <c r="X744" s="242"/>
      <c r="Y744" s="148"/>
      <c r="Z744" s="148"/>
    </row>
    <row r="745">
      <c r="A745" s="148"/>
      <c r="B745" s="148"/>
      <c r="C745" s="148"/>
      <c r="D745" s="245"/>
      <c r="E745" s="148"/>
      <c r="F745" s="277"/>
      <c r="G745" s="148"/>
      <c r="H745" s="148"/>
      <c r="I745" s="251"/>
      <c r="J745" s="251"/>
      <c r="K745" s="148"/>
      <c r="L745" s="277"/>
      <c r="M745" s="252"/>
      <c r="N745" s="250"/>
      <c r="O745" s="253"/>
      <c r="P745" s="240"/>
      <c r="Q745" s="148"/>
      <c r="R745" s="148"/>
      <c r="S745" s="242"/>
      <c r="T745" s="242"/>
      <c r="U745" s="242"/>
      <c r="V745" s="242"/>
      <c r="W745" s="242"/>
      <c r="X745" s="242"/>
      <c r="Y745" s="148"/>
      <c r="Z745" s="148"/>
    </row>
    <row r="746">
      <c r="A746" s="148"/>
      <c r="B746" s="148"/>
      <c r="C746" s="148"/>
      <c r="D746" s="245"/>
      <c r="E746" s="148"/>
      <c r="F746" s="277"/>
      <c r="G746" s="148"/>
      <c r="H746" s="148"/>
      <c r="I746" s="251"/>
      <c r="J746" s="251"/>
      <c r="K746" s="148"/>
      <c r="L746" s="277"/>
      <c r="M746" s="252"/>
      <c r="N746" s="250"/>
      <c r="O746" s="253"/>
      <c r="P746" s="240"/>
      <c r="Q746" s="148"/>
      <c r="R746" s="148"/>
      <c r="S746" s="242"/>
      <c r="T746" s="242"/>
      <c r="U746" s="242"/>
      <c r="V746" s="242"/>
      <c r="W746" s="242"/>
      <c r="X746" s="242"/>
      <c r="Y746" s="148"/>
      <c r="Z746" s="148"/>
    </row>
    <row r="747">
      <c r="A747" s="148"/>
      <c r="B747" s="148"/>
      <c r="C747" s="148"/>
      <c r="D747" s="245"/>
      <c r="E747" s="148"/>
      <c r="F747" s="277"/>
      <c r="G747" s="148"/>
      <c r="H747" s="148"/>
      <c r="I747" s="251"/>
      <c r="J747" s="251"/>
      <c r="K747" s="148"/>
      <c r="L747" s="277"/>
      <c r="M747" s="252"/>
      <c r="N747" s="250"/>
      <c r="O747" s="253"/>
      <c r="P747" s="240"/>
      <c r="Q747" s="148"/>
      <c r="R747" s="148"/>
      <c r="S747" s="242"/>
      <c r="T747" s="242"/>
      <c r="U747" s="242"/>
      <c r="V747" s="242"/>
      <c r="W747" s="242"/>
      <c r="X747" s="242"/>
      <c r="Y747" s="148"/>
      <c r="Z747" s="148"/>
    </row>
    <row r="748">
      <c r="A748" s="148"/>
      <c r="B748" s="148"/>
      <c r="C748" s="148"/>
      <c r="D748" s="245"/>
      <c r="E748" s="148"/>
      <c r="F748" s="277"/>
      <c r="G748" s="148"/>
      <c r="H748" s="148"/>
      <c r="I748" s="251"/>
      <c r="J748" s="251"/>
      <c r="K748" s="148"/>
      <c r="L748" s="277"/>
      <c r="M748" s="252"/>
      <c r="N748" s="250"/>
      <c r="O748" s="253"/>
      <c r="P748" s="240"/>
      <c r="Q748" s="148"/>
      <c r="R748" s="148"/>
      <c r="S748" s="242"/>
      <c r="T748" s="242"/>
      <c r="U748" s="242"/>
      <c r="V748" s="242"/>
      <c r="W748" s="242"/>
      <c r="X748" s="242"/>
      <c r="Y748" s="148"/>
      <c r="Z748" s="148"/>
    </row>
    <row r="749">
      <c r="A749" s="148"/>
      <c r="B749" s="148"/>
      <c r="C749" s="148"/>
      <c r="D749" s="245"/>
      <c r="E749" s="148"/>
      <c r="F749" s="277"/>
      <c r="G749" s="148"/>
      <c r="H749" s="148"/>
      <c r="I749" s="251"/>
      <c r="J749" s="251"/>
      <c r="K749" s="148"/>
      <c r="L749" s="277"/>
      <c r="M749" s="252"/>
      <c r="N749" s="250"/>
      <c r="O749" s="253"/>
      <c r="P749" s="240"/>
      <c r="Q749" s="148"/>
      <c r="R749" s="148"/>
      <c r="S749" s="242"/>
      <c r="T749" s="242"/>
      <c r="U749" s="242"/>
      <c r="V749" s="242"/>
      <c r="W749" s="242"/>
      <c r="X749" s="242"/>
      <c r="Y749" s="148"/>
      <c r="Z749" s="148"/>
    </row>
    <row r="750">
      <c r="A750" s="148"/>
      <c r="B750" s="148"/>
      <c r="C750" s="148"/>
      <c r="D750" s="245"/>
      <c r="E750" s="148"/>
      <c r="F750" s="277"/>
      <c r="G750" s="148"/>
      <c r="H750" s="148"/>
      <c r="I750" s="251"/>
      <c r="J750" s="251"/>
      <c r="K750" s="148"/>
      <c r="L750" s="277"/>
      <c r="M750" s="252"/>
      <c r="N750" s="250"/>
      <c r="O750" s="253"/>
      <c r="P750" s="240"/>
      <c r="Q750" s="148"/>
      <c r="R750" s="148"/>
      <c r="S750" s="242"/>
      <c r="T750" s="242"/>
      <c r="U750" s="242"/>
      <c r="V750" s="242"/>
      <c r="W750" s="242"/>
      <c r="X750" s="242"/>
      <c r="Y750" s="148"/>
      <c r="Z750" s="148"/>
    </row>
    <row r="751">
      <c r="A751" s="148"/>
      <c r="B751" s="148"/>
      <c r="C751" s="148"/>
      <c r="D751" s="245"/>
      <c r="E751" s="148"/>
      <c r="F751" s="277"/>
      <c r="G751" s="148"/>
      <c r="H751" s="148"/>
      <c r="I751" s="251"/>
      <c r="J751" s="251"/>
      <c r="K751" s="148"/>
      <c r="L751" s="277"/>
      <c r="M751" s="252"/>
      <c r="N751" s="250"/>
      <c r="O751" s="253"/>
      <c r="P751" s="240"/>
      <c r="Q751" s="148"/>
      <c r="R751" s="148"/>
      <c r="S751" s="242"/>
      <c r="T751" s="242"/>
      <c r="U751" s="242"/>
      <c r="V751" s="242"/>
      <c r="W751" s="242"/>
      <c r="X751" s="242"/>
      <c r="Y751" s="148"/>
      <c r="Z751" s="148"/>
    </row>
    <row r="752">
      <c r="A752" s="148"/>
      <c r="B752" s="148"/>
      <c r="C752" s="148"/>
      <c r="D752" s="245"/>
      <c r="E752" s="148"/>
      <c r="F752" s="277"/>
      <c r="G752" s="148"/>
      <c r="H752" s="148"/>
      <c r="I752" s="251"/>
      <c r="J752" s="251"/>
      <c r="K752" s="148"/>
      <c r="L752" s="277"/>
      <c r="M752" s="252"/>
      <c r="N752" s="250"/>
      <c r="O752" s="253"/>
      <c r="P752" s="240"/>
      <c r="Q752" s="148"/>
      <c r="R752" s="148"/>
      <c r="S752" s="242"/>
      <c r="T752" s="242"/>
      <c r="U752" s="242"/>
      <c r="V752" s="242"/>
      <c r="W752" s="242"/>
      <c r="X752" s="242"/>
      <c r="Y752" s="148"/>
      <c r="Z752" s="148"/>
    </row>
    <row r="753">
      <c r="A753" s="148"/>
      <c r="B753" s="148"/>
      <c r="C753" s="148"/>
      <c r="D753" s="245"/>
      <c r="E753" s="148"/>
      <c r="F753" s="277"/>
      <c r="G753" s="148"/>
      <c r="H753" s="148"/>
      <c r="I753" s="251"/>
      <c r="J753" s="251"/>
      <c r="K753" s="148"/>
      <c r="L753" s="277"/>
      <c r="M753" s="252"/>
      <c r="N753" s="250"/>
      <c r="O753" s="253"/>
      <c r="P753" s="240"/>
      <c r="Q753" s="148"/>
      <c r="R753" s="148"/>
      <c r="S753" s="242"/>
      <c r="T753" s="242"/>
      <c r="U753" s="242"/>
      <c r="V753" s="242"/>
      <c r="W753" s="242"/>
      <c r="X753" s="242"/>
      <c r="Y753" s="148"/>
      <c r="Z753" s="148"/>
    </row>
    <row r="754">
      <c r="A754" s="148"/>
      <c r="B754" s="148"/>
      <c r="C754" s="148"/>
      <c r="D754" s="245"/>
      <c r="E754" s="148"/>
      <c r="F754" s="277"/>
      <c r="G754" s="148"/>
      <c r="H754" s="148"/>
      <c r="I754" s="251"/>
      <c r="J754" s="251"/>
      <c r="K754" s="148"/>
      <c r="L754" s="277"/>
      <c r="M754" s="252"/>
      <c r="N754" s="250"/>
      <c r="O754" s="253"/>
      <c r="P754" s="240"/>
      <c r="Q754" s="148"/>
      <c r="R754" s="148"/>
      <c r="S754" s="242"/>
      <c r="T754" s="242"/>
      <c r="U754" s="242"/>
      <c r="V754" s="242"/>
      <c r="W754" s="242"/>
      <c r="X754" s="242"/>
      <c r="Y754" s="148"/>
      <c r="Z754" s="148"/>
    </row>
    <row r="755">
      <c r="A755" s="148"/>
      <c r="B755" s="148"/>
      <c r="C755" s="148"/>
      <c r="D755" s="245"/>
      <c r="E755" s="148"/>
      <c r="F755" s="277"/>
      <c r="G755" s="148"/>
      <c r="H755" s="148"/>
      <c r="I755" s="251"/>
      <c r="J755" s="251"/>
      <c r="K755" s="148"/>
      <c r="L755" s="277"/>
      <c r="M755" s="252"/>
      <c r="N755" s="250"/>
      <c r="O755" s="253"/>
      <c r="P755" s="240"/>
      <c r="Q755" s="148"/>
      <c r="R755" s="148"/>
      <c r="S755" s="242"/>
      <c r="T755" s="242"/>
      <c r="U755" s="242"/>
      <c r="V755" s="242"/>
      <c r="W755" s="242"/>
      <c r="X755" s="242"/>
      <c r="Y755" s="148"/>
      <c r="Z755" s="148"/>
    </row>
    <row r="756">
      <c r="A756" s="148"/>
      <c r="B756" s="148"/>
      <c r="C756" s="148"/>
      <c r="D756" s="245"/>
      <c r="E756" s="148"/>
      <c r="F756" s="277"/>
      <c r="G756" s="148"/>
      <c r="H756" s="148"/>
      <c r="I756" s="251"/>
      <c r="J756" s="251"/>
      <c r="K756" s="148"/>
      <c r="L756" s="277"/>
      <c r="M756" s="252"/>
      <c r="N756" s="250"/>
      <c r="O756" s="253"/>
      <c r="P756" s="240"/>
      <c r="Q756" s="148"/>
      <c r="R756" s="148"/>
      <c r="S756" s="242"/>
      <c r="T756" s="242"/>
      <c r="U756" s="242"/>
      <c r="V756" s="242"/>
      <c r="W756" s="242"/>
      <c r="X756" s="242"/>
      <c r="Y756" s="148"/>
      <c r="Z756" s="148"/>
    </row>
    <row r="757">
      <c r="A757" s="148"/>
      <c r="B757" s="148"/>
      <c r="C757" s="148"/>
      <c r="D757" s="245"/>
      <c r="E757" s="148"/>
      <c r="F757" s="277"/>
      <c r="G757" s="148"/>
      <c r="H757" s="148"/>
      <c r="I757" s="251"/>
      <c r="J757" s="251"/>
      <c r="K757" s="148"/>
      <c r="L757" s="277"/>
      <c r="M757" s="252"/>
      <c r="N757" s="250"/>
      <c r="O757" s="253"/>
      <c r="P757" s="240"/>
      <c r="Q757" s="148"/>
      <c r="R757" s="148"/>
      <c r="S757" s="242"/>
      <c r="T757" s="242"/>
      <c r="U757" s="242"/>
      <c r="V757" s="242"/>
      <c r="W757" s="242"/>
      <c r="X757" s="242"/>
      <c r="Y757" s="148"/>
      <c r="Z757" s="148"/>
    </row>
    <row r="758">
      <c r="A758" s="148"/>
      <c r="B758" s="148"/>
      <c r="C758" s="148"/>
      <c r="D758" s="245"/>
      <c r="E758" s="148"/>
      <c r="F758" s="277"/>
      <c r="G758" s="148"/>
      <c r="H758" s="148"/>
      <c r="I758" s="251"/>
      <c r="J758" s="251"/>
      <c r="K758" s="148"/>
      <c r="L758" s="277"/>
      <c r="M758" s="252"/>
      <c r="N758" s="250"/>
      <c r="O758" s="253"/>
      <c r="P758" s="240"/>
      <c r="Q758" s="148"/>
      <c r="R758" s="148"/>
      <c r="S758" s="242"/>
      <c r="T758" s="242"/>
      <c r="U758" s="242"/>
      <c r="V758" s="242"/>
      <c r="W758" s="242"/>
      <c r="X758" s="242"/>
      <c r="Y758" s="148"/>
      <c r="Z758" s="148"/>
    </row>
    <row r="759">
      <c r="A759" s="148"/>
      <c r="B759" s="148"/>
      <c r="C759" s="148"/>
      <c r="D759" s="245"/>
      <c r="E759" s="148"/>
      <c r="F759" s="277"/>
      <c r="G759" s="148"/>
      <c r="H759" s="148"/>
      <c r="I759" s="251"/>
      <c r="J759" s="251"/>
      <c r="K759" s="148"/>
      <c r="L759" s="277"/>
      <c r="M759" s="252"/>
      <c r="N759" s="250"/>
      <c r="O759" s="253"/>
      <c r="P759" s="240"/>
      <c r="Q759" s="148"/>
      <c r="R759" s="148"/>
      <c r="S759" s="242"/>
      <c r="T759" s="242"/>
      <c r="U759" s="242"/>
      <c r="V759" s="242"/>
      <c r="W759" s="242"/>
      <c r="X759" s="242"/>
      <c r="Y759" s="148"/>
      <c r="Z759" s="148"/>
    </row>
    <row r="760">
      <c r="A760" s="148"/>
      <c r="B760" s="148"/>
      <c r="C760" s="148"/>
      <c r="D760" s="245"/>
      <c r="E760" s="148"/>
      <c r="F760" s="277"/>
      <c r="G760" s="148"/>
      <c r="H760" s="148"/>
      <c r="I760" s="251"/>
      <c r="J760" s="251"/>
      <c r="K760" s="148"/>
      <c r="L760" s="277"/>
      <c r="M760" s="252"/>
      <c r="N760" s="250"/>
      <c r="O760" s="253"/>
      <c r="P760" s="240"/>
      <c r="Q760" s="148"/>
      <c r="R760" s="148"/>
      <c r="S760" s="242"/>
      <c r="T760" s="242"/>
      <c r="U760" s="242"/>
      <c r="V760" s="242"/>
      <c r="W760" s="242"/>
      <c r="X760" s="242"/>
      <c r="Y760" s="148"/>
      <c r="Z760" s="148"/>
    </row>
    <row r="761">
      <c r="A761" s="148"/>
      <c r="B761" s="148"/>
      <c r="C761" s="148"/>
      <c r="D761" s="245"/>
      <c r="E761" s="148"/>
      <c r="F761" s="277"/>
      <c r="G761" s="148"/>
      <c r="H761" s="148"/>
      <c r="I761" s="251"/>
      <c r="J761" s="251"/>
      <c r="K761" s="148"/>
      <c r="L761" s="277"/>
      <c r="M761" s="252"/>
      <c r="N761" s="250"/>
      <c r="O761" s="253"/>
      <c r="P761" s="240"/>
      <c r="Q761" s="148"/>
      <c r="R761" s="148"/>
      <c r="S761" s="242"/>
      <c r="T761" s="242"/>
      <c r="U761" s="242"/>
      <c r="V761" s="242"/>
      <c r="W761" s="242"/>
      <c r="X761" s="242"/>
      <c r="Y761" s="148"/>
      <c r="Z761" s="148"/>
    </row>
    <row r="762">
      <c r="A762" s="148"/>
      <c r="B762" s="148"/>
      <c r="C762" s="148"/>
      <c r="D762" s="245"/>
      <c r="E762" s="148"/>
      <c r="F762" s="277"/>
      <c r="G762" s="148"/>
      <c r="H762" s="148"/>
      <c r="I762" s="251"/>
      <c r="J762" s="251"/>
      <c r="K762" s="148"/>
      <c r="L762" s="277"/>
      <c r="M762" s="252"/>
      <c r="N762" s="250"/>
      <c r="O762" s="253"/>
      <c r="P762" s="240"/>
      <c r="Q762" s="148"/>
      <c r="R762" s="148"/>
      <c r="S762" s="242"/>
      <c r="T762" s="242"/>
      <c r="U762" s="242"/>
      <c r="V762" s="242"/>
      <c r="W762" s="242"/>
      <c r="X762" s="242"/>
      <c r="Y762" s="148"/>
      <c r="Z762" s="148"/>
    </row>
    <row r="763">
      <c r="A763" s="148"/>
      <c r="B763" s="148"/>
      <c r="C763" s="148"/>
      <c r="D763" s="245"/>
      <c r="E763" s="148"/>
      <c r="F763" s="277"/>
      <c r="G763" s="148"/>
      <c r="H763" s="148"/>
      <c r="I763" s="251"/>
      <c r="J763" s="251"/>
      <c r="K763" s="148"/>
      <c r="L763" s="277"/>
      <c r="M763" s="252"/>
      <c r="N763" s="250"/>
      <c r="O763" s="253"/>
      <c r="P763" s="240"/>
      <c r="Q763" s="148"/>
      <c r="R763" s="148"/>
      <c r="S763" s="242"/>
      <c r="T763" s="242"/>
      <c r="U763" s="242"/>
      <c r="V763" s="242"/>
      <c r="W763" s="242"/>
      <c r="X763" s="242"/>
      <c r="Y763" s="148"/>
      <c r="Z763" s="148"/>
    </row>
    <row r="764">
      <c r="A764" s="148"/>
      <c r="B764" s="148"/>
      <c r="C764" s="148"/>
      <c r="D764" s="245"/>
      <c r="E764" s="148"/>
      <c r="F764" s="277"/>
      <c r="G764" s="148"/>
      <c r="H764" s="148"/>
      <c r="I764" s="251"/>
      <c r="J764" s="251"/>
      <c r="K764" s="148"/>
      <c r="L764" s="277"/>
      <c r="M764" s="252"/>
      <c r="N764" s="250"/>
      <c r="O764" s="253"/>
      <c r="P764" s="240"/>
      <c r="Q764" s="148"/>
      <c r="R764" s="148"/>
      <c r="S764" s="242"/>
      <c r="T764" s="242"/>
      <c r="U764" s="242"/>
      <c r="V764" s="242"/>
      <c r="W764" s="242"/>
      <c r="X764" s="242"/>
      <c r="Y764" s="148"/>
      <c r="Z764" s="148"/>
    </row>
    <row r="765">
      <c r="A765" s="148"/>
      <c r="B765" s="148"/>
      <c r="C765" s="148"/>
      <c r="D765" s="245"/>
      <c r="E765" s="148"/>
      <c r="F765" s="277"/>
      <c r="G765" s="148"/>
      <c r="H765" s="148"/>
      <c r="I765" s="251"/>
      <c r="J765" s="251"/>
      <c r="K765" s="148"/>
      <c r="L765" s="277"/>
      <c r="M765" s="252"/>
      <c r="N765" s="250"/>
      <c r="O765" s="253"/>
      <c r="P765" s="240"/>
      <c r="Q765" s="148"/>
      <c r="R765" s="148"/>
      <c r="S765" s="242"/>
      <c r="T765" s="242"/>
      <c r="U765" s="242"/>
      <c r="V765" s="242"/>
      <c r="W765" s="242"/>
      <c r="X765" s="242"/>
      <c r="Y765" s="148"/>
      <c r="Z765" s="148"/>
    </row>
    <row r="766">
      <c r="A766" s="148"/>
      <c r="B766" s="148"/>
      <c r="C766" s="148"/>
      <c r="D766" s="245"/>
      <c r="E766" s="148"/>
      <c r="F766" s="277"/>
      <c r="G766" s="148"/>
      <c r="H766" s="148"/>
      <c r="I766" s="251"/>
      <c r="J766" s="251"/>
      <c r="K766" s="148"/>
      <c r="L766" s="277"/>
      <c r="M766" s="252"/>
      <c r="N766" s="250"/>
      <c r="O766" s="253"/>
      <c r="P766" s="240"/>
      <c r="Q766" s="148"/>
      <c r="R766" s="148"/>
      <c r="S766" s="242"/>
      <c r="T766" s="242"/>
      <c r="U766" s="242"/>
      <c r="V766" s="242"/>
      <c r="W766" s="242"/>
      <c r="X766" s="242"/>
      <c r="Y766" s="148"/>
      <c r="Z766" s="148"/>
    </row>
    <row r="767">
      <c r="A767" s="148"/>
      <c r="B767" s="148"/>
      <c r="C767" s="148"/>
      <c r="D767" s="245"/>
      <c r="E767" s="148"/>
      <c r="F767" s="277"/>
      <c r="G767" s="148"/>
      <c r="H767" s="148"/>
      <c r="I767" s="251"/>
      <c r="J767" s="251"/>
      <c r="K767" s="148"/>
      <c r="L767" s="277"/>
      <c r="M767" s="252"/>
      <c r="N767" s="250"/>
      <c r="O767" s="253"/>
      <c r="P767" s="240"/>
      <c r="Q767" s="148"/>
      <c r="R767" s="148"/>
      <c r="S767" s="242"/>
      <c r="T767" s="242"/>
      <c r="U767" s="242"/>
      <c r="V767" s="242"/>
      <c r="W767" s="242"/>
      <c r="X767" s="242"/>
      <c r="Y767" s="148"/>
      <c r="Z767" s="148"/>
    </row>
    <row r="768">
      <c r="A768" s="148"/>
      <c r="B768" s="148"/>
      <c r="C768" s="148"/>
      <c r="D768" s="245"/>
      <c r="E768" s="148"/>
      <c r="F768" s="277"/>
      <c r="G768" s="148"/>
      <c r="H768" s="148"/>
      <c r="I768" s="251"/>
      <c r="J768" s="251"/>
      <c r="K768" s="148"/>
      <c r="L768" s="277"/>
      <c r="M768" s="252"/>
      <c r="N768" s="250"/>
      <c r="O768" s="253"/>
      <c r="P768" s="240"/>
      <c r="Q768" s="148"/>
      <c r="R768" s="148"/>
      <c r="S768" s="242"/>
      <c r="T768" s="242"/>
      <c r="U768" s="242"/>
      <c r="V768" s="242"/>
      <c r="W768" s="242"/>
      <c r="X768" s="242"/>
      <c r="Y768" s="148"/>
      <c r="Z768" s="148"/>
    </row>
    <row r="769">
      <c r="A769" s="148"/>
      <c r="B769" s="148"/>
      <c r="C769" s="148"/>
      <c r="D769" s="245"/>
      <c r="E769" s="148"/>
      <c r="F769" s="277"/>
      <c r="G769" s="148"/>
      <c r="H769" s="148"/>
      <c r="I769" s="251"/>
      <c r="J769" s="251"/>
      <c r="K769" s="148"/>
      <c r="L769" s="277"/>
      <c r="M769" s="252"/>
      <c r="N769" s="250"/>
      <c r="O769" s="253"/>
      <c r="P769" s="240"/>
      <c r="Q769" s="148"/>
      <c r="R769" s="148"/>
      <c r="S769" s="242"/>
      <c r="T769" s="242"/>
      <c r="U769" s="242"/>
      <c r="V769" s="242"/>
      <c r="W769" s="242"/>
      <c r="X769" s="242"/>
      <c r="Y769" s="148"/>
      <c r="Z769" s="148"/>
    </row>
    <row r="770">
      <c r="A770" s="148"/>
      <c r="B770" s="148"/>
      <c r="C770" s="148"/>
      <c r="D770" s="245"/>
      <c r="E770" s="148"/>
      <c r="F770" s="277"/>
      <c r="G770" s="148"/>
      <c r="H770" s="148"/>
      <c r="I770" s="251"/>
      <c r="J770" s="251"/>
      <c r="K770" s="148"/>
      <c r="L770" s="277"/>
      <c r="M770" s="252"/>
      <c r="N770" s="250"/>
      <c r="O770" s="253"/>
      <c r="P770" s="240"/>
      <c r="Q770" s="148"/>
      <c r="R770" s="148"/>
      <c r="S770" s="242"/>
      <c r="T770" s="242"/>
      <c r="U770" s="242"/>
      <c r="V770" s="242"/>
      <c r="W770" s="242"/>
      <c r="X770" s="242"/>
      <c r="Y770" s="148"/>
      <c r="Z770" s="148"/>
    </row>
    <row r="771">
      <c r="A771" s="148"/>
      <c r="B771" s="148"/>
      <c r="C771" s="148"/>
      <c r="D771" s="245"/>
      <c r="E771" s="148"/>
      <c r="F771" s="277"/>
      <c r="G771" s="148"/>
      <c r="H771" s="148"/>
      <c r="I771" s="251"/>
      <c r="J771" s="251"/>
      <c r="K771" s="148"/>
      <c r="L771" s="277"/>
      <c r="M771" s="252"/>
      <c r="N771" s="250"/>
      <c r="O771" s="253"/>
      <c r="P771" s="240"/>
      <c r="Q771" s="148"/>
      <c r="R771" s="148"/>
      <c r="S771" s="242"/>
      <c r="T771" s="242"/>
      <c r="U771" s="242"/>
      <c r="V771" s="242"/>
      <c r="W771" s="242"/>
      <c r="X771" s="242"/>
      <c r="Y771" s="148"/>
      <c r="Z771" s="148"/>
    </row>
    <row r="772">
      <c r="A772" s="148"/>
      <c r="B772" s="148"/>
      <c r="C772" s="148"/>
      <c r="D772" s="245"/>
      <c r="E772" s="148"/>
      <c r="F772" s="277"/>
      <c r="G772" s="148"/>
      <c r="H772" s="148"/>
      <c r="I772" s="251"/>
      <c r="J772" s="251"/>
      <c r="K772" s="148"/>
      <c r="L772" s="277"/>
      <c r="M772" s="252"/>
      <c r="N772" s="250"/>
      <c r="O772" s="253"/>
      <c r="P772" s="240"/>
      <c r="Q772" s="148"/>
      <c r="R772" s="148"/>
      <c r="S772" s="242"/>
      <c r="T772" s="242"/>
      <c r="U772" s="242"/>
      <c r="V772" s="242"/>
      <c r="W772" s="242"/>
      <c r="X772" s="242"/>
      <c r="Y772" s="148"/>
      <c r="Z772" s="148"/>
    </row>
    <row r="773">
      <c r="A773" s="148"/>
      <c r="B773" s="148"/>
      <c r="C773" s="148"/>
      <c r="D773" s="245"/>
      <c r="E773" s="148"/>
      <c r="F773" s="277"/>
      <c r="G773" s="148"/>
      <c r="H773" s="148"/>
      <c r="I773" s="251"/>
      <c r="J773" s="251"/>
      <c r="K773" s="148"/>
      <c r="L773" s="277"/>
      <c r="M773" s="252"/>
      <c r="N773" s="250"/>
      <c r="O773" s="253"/>
      <c r="P773" s="240"/>
      <c r="Q773" s="148"/>
      <c r="R773" s="148"/>
      <c r="S773" s="242"/>
      <c r="T773" s="242"/>
      <c r="U773" s="242"/>
      <c r="V773" s="242"/>
      <c r="W773" s="242"/>
      <c r="X773" s="242"/>
      <c r="Y773" s="148"/>
      <c r="Z773" s="148"/>
    </row>
    <row r="774">
      <c r="A774" s="148"/>
      <c r="B774" s="148"/>
      <c r="C774" s="148"/>
      <c r="D774" s="245"/>
      <c r="E774" s="148"/>
      <c r="F774" s="277"/>
      <c r="G774" s="148"/>
      <c r="H774" s="148"/>
      <c r="I774" s="251"/>
      <c r="J774" s="251"/>
      <c r="K774" s="148"/>
      <c r="L774" s="277"/>
      <c r="M774" s="252"/>
      <c r="N774" s="250"/>
      <c r="O774" s="253"/>
      <c r="P774" s="240"/>
      <c r="Q774" s="148"/>
      <c r="R774" s="148"/>
      <c r="S774" s="242"/>
      <c r="T774" s="242"/>
      <c r="U774" s="242"/>
      <c r="V774" s="242"/>
      <c r="W774" s="242"/>
      <c r="X774" s="242"/>
      <c r="Y774" s="148"/>
      <c r="Z774" s="148"/>
    </row>
    <row r="775">
      <c r="A775" s="148"/>
      <c r="B775" s="148"/>
      <c r="C775" s="148"/>
      <c r="D775" s="245"/>
      <c r="E775" s="148"/>
      <c r="F775" s="277"/>
      <c r="G775" s="148"/>
      <c r="H775" s="148"/>
      <c r="I775" s="251"/>
      <c r="J775" s="251"/>
      <c r="K775" s="148"/>
      <c r="L775" s="277"/>
      <c r="M775" s="252"/>
      <c r="N775" s="250"/>
      <c r="O775" s="253"/>
      <c r="P775" s="240"/>
      <c r="Q775" s="148"/>
      <c r="R775" s="148"/>
      <c r="S775" s="242"/>
      <c r="T775" s="242"/>
      <c r="U775" s="242"/>
      <c r="V775" s="242"/>
      <c r="W775" s="242"/>
      <c r="X775" s="242"/>
      <c r="Y775" s="148"/>
      <c r="Z775" s="148"/>
    </row>
    <row r="776">
      <c r="A776" s="148"/>
      <c r="B776" s="148"/>
      <c r="C776" s="148"/>
      <c r="D776" s="245"/>
      <c r="E776" s="148"/>
      <c r="F776" s="277"/>
      <c r="G776" s="148"/>
      <c r="H776" s="148"/>
      <c r="I776" s="251"/>
      <c r="J776" s="251"/>
      <c r="K776" s="148"/>
      <c r="L776" s="277"/>
      <c r="M776" s="252"/>
      <c r="N776" s="250"/>
      <c r="O776" s="253"/>
      <c r="P776" s="240"/>
      <c r="Q776" s="148"/>
      <c r="R776" s="148"/>
      <c r="S776" s="242"/>
      <c r="T776" s="242"/>
      <c r="U776" s="242"/>
      <c r="V776" s="242"/>
      <c r="W776" s="242"/>
      <c r="X776" s="242"/>
      <c r="Y776" s="148"/>
      <c r="Z776" s="148"/>
    </row>
    <row r="777">
      <c r="A777" s="148"/>
      <c r="B777" s="148"/>
      <c r="C777" s="148"/>
      <c r="D777" s="245"/>
      <c r="E777" s="148"/>
      <c r="F777" s="277"/>
      <c r="G777" s="148"/>
      <c r="H777" s="148"/>
      <c r="I777" s="251"/>
      <c r="J777" s="251"/>
      <c r="K777" s="148"/>
      <c r="L777" s="277"/>
      <c r="M777" s="252"/>
      <c r="N777" s="250"/>
      <c r="O777" s="253"/>
      <c r="P777" s="240"/>
      <c r="Q777" s="148"/>
      <c r="R777" s="148"/>
      <c r="S777" s="242"/>
      <c r="T777" s="242"/>
      <c r="U777" s="242"/>
      <c r="V777" s="242"/>
      <c r="W777" s="242"/>
      <c r="X777" s="242"/>
      <c r="Y777" s="148"/>
      <c r="Z777" s="148"/>
    </row>
    <row r="778">
      <c r="A778" s="148"/>
      <c r="B778" s="148"/>
      <c r="C778" s="148"/>
      <c r="D778" s="245"/>
      <c r="E778" s="148"/>
      <c r="F778" s="277"/>
      <c r="G778" s="148"/>
      <c r="H778" s="148"/>
      <c r="I778" s="251"/>
      <c r="J778" s="251"/>
      <c r="K778" s="148"/>
      <c r="L778" s="277"/>
      <c r="M778" s="252"/>
      <c r="N778" s="250"/>
      <c r="O778" s="253"/>
      <c r="P778" s="240"/>
      <c r="Q778" s="148"/>
      <c r="R778" s="148"/>
      <c r="S778" s="242"/>
      <c r="T778" s="242"/>
      <c r="U778" s="242"/>
      <c r="V778" s="242"/>
      <c r="W778" s="242"/>
      <c r="X778" s="242"/>
      <c r="Y778" s="148"/>
      <c r="Z778" s="148"/>
    </row>
    <row r="779">
      <c r="A779" s="148"/>
      <c r="B779" s="148"/>
      <c r="C779" s="148"/>
      <c r="D779" s="245"/>
      <c r="E779" s="148"/>
      <c r="F779" s="277"/>
      <c r="G779" s="148"/>
      <c r="H779" s="148"/>
      <c r="I779" s="251"/>
      <c r="J779" s="251"/>
      <c r="K779" s="148"/>
      <c r="L779" s="277"/>
      <c r="M779" s="252"/>
      <c r="N779" s="250"/>
      <c r="O779" s="253"/>
      <c r="P779" s="240"/>
      <c r="Q779" s="148"/>
      <c r="R779" s="148"/>
      <c r="S779" s="242"/>
      <c r="T779" s="242"/>
      <c r="U779" s="242"/>
      <c r="V779" s="242"/>
      <c r="W779" s="242"/>
      <c r="X779" s="242"/>
      <c r="Y779" s="148"/>
      <c r="Z779" s="148"/>
    </row>
    <row r="780">
      <c r="A780" s="148"/>
      <c r="B780" s="148"/>
      <c r="C780" s="148"/>
      <c r="D780" s="245"/>
      <c r="E780" s="148"/>
      <c r="F780" s="277"/>
      <c r="G780" s="148"/>
      <c r="H780" s="148"/>
      <c r="I780" s="251"/>
      <c r="J780" s="251"/>
      <c r="K780" s="148"/>
      <c r="L780" s="277"/>
      <c r="M780" s="252"/>
      <c r="N780" s="250"/>
      <c r="O780" s="253"/>
      <c r="P780" s="240"/>
      <c r="Q780" s="148"/>
      <c r="R780" s="148"/>
      <c r="S780" s="242"/>
      <c r="T780" s="242"/>
      <c r="U780" s="242"/>
      <c r="V780" s="242"/>
      <c r="W780" s="242"/>
      <c r="X780" s="242"/>
      <c r="Y780" s="148"/>
      <c r="Z780" s="148"/>
    </row>
    <row r="781">
      <c r="A781" s="148"/>
      <c r="B781" s="148"/>
      <c r="C781" s="148"/>
      <c r="D781" s="245"/>
      <c r="E781" s="148"/>
      <c r="F781" s="277"/>
      <c r="G781" s="148"/>
      <c r="H781" s="148"/>
      <c r="I781" s="251"/>
      <c r="J781" s="251"/>
      <c r="K781" s="148"/>
      <c r="L781" s="277"/>
      <c r="M781" s="252"/>
      <c r="N781" s="250"/>
      <c r="O781" s="253"/>
      <c r="P781" s="240"/>
      <c r="Q781" s="148"/>
      <c r="R781" s="148"/>
      <c r="S781" s="242"/>
      <c r="T781" s="242"/>
      <c r="U781" s="242"/>
      <c r="V781" s="242"/>
      <c r="W781" s="242"/>
      <c r="X781" s="242"/>
      <c r="Y781" s="148"/>
      <c r="Z781" s="148"/>
    </row>
    <row r="782">
      <c r="A782" s="148"/>
      <c r="B782" s="148"/>
      <c r="C782" s="148"/>
      <c r="D782" s="245"/>
      <c r="E782" s="148"/>
      <c r="F782" s="277"/>
      <c r="G782" s="148"/>
      <c r="H782" s="148"/>
      <c r="I782" s="251"/>
      <c r="J782" s="251"/>
      <c r="K782" s="148"/>
      <c r="L782" s="277"/>
      <c r="M782" s="252"/>
      <c r="N782" s="250"/>
      <c r="O782" s="253"/>
      <c r="P782" s="240"/>
      <c r="Q782" s="148"/>
      <c r="R782" s="148"/>
      <c r="S782" s="242"/>
      <c r="T782" s="242"/>
      <c r="U782" s="242"/>
      <c r="V782" s="242"/>
      <c r="W782" s="242"/>
      <c r="X782" s="242"/>
      <c r="Y782" s="148"/>
      <c r="Z782" s="148"/>
    </row>
    <row r="783">
      <c r="A783" s="148"/>
      <c r="B783" s="148"/>
      <c r="C783" s="148"/>
      <c r="D783" s="245"/>
      <c r="E783" s="148"/>
      <c r="F783" s="277"/>
      <c r="G783" s="148"/>
      <c r="H783" s="148"/>
      <c r="I783" s="251"/>
      <c r="J783" s="251"/>
      <c r="K783" s="148"/>
      <c r="L783" s="277"/>
      <c r="M783" s="252"/>
      <c r="N783" s="250"/>
      <c r="O783" s="253"/>
      <c r="P783" s="240"/>
      <c r="Q783" s="148"/>
      <c r="R783" s="148"/>
      <c r="S783" s="242"/>
      <c r="T783" s="242"/>
      <c r="U783" s="242"/>
      <c r="V783" s="242"/>
      <c r="W783" s="242"/>
      <c r="X783" s="242"/>
      <c r="Y783" s="148"/>
      <c r="Z783" s="148"/>
    </row>
    <row r="784">
      <c r="A784" s="148"/>
      <c r="B784" s="148"/>
      <c r="C784" s="148"/>
      <c r="D784" s="245"/>
      <c r="E784" s="148"/>
      <c r="F784" s="277"/>
      <c r="G784" s="148"/>
      <c r="H784" s="148"/>
      <c r="I784" s="251"/>
      <c r="J784" s="251"/>
      <c r="K784" s="148"/>
      <c r="L784" s="277"/>
      <c r="M784" s="252"/>
      <c r="N784" s="250"/>
      <c r="O784" s="253"/>
      <c r="P784" s="240"/>
      <c r="Q784" s="148"/>
      <c r="R784" s="148"/>
      <c r="S784" s="242"/>
      <c r="T784" s="242"/>
      <c r="U784" s="242"/>
      <c r="V784" s="242"/>
      <c r="W784" s="242"/>
      <c r="X784" s="242"/>
      <c r="Y784" s="148"/>
      <c r="Z784" s="148"/>
    </row>
    <row r="785">
      <c r="A785" s="148"/>
      <c r="B785" s="148"/>
      <c r="C785" s="148"/>
      <c r="D785" s="245"/>
      <c r="E785" s="148"/>
      <c r="F785" s="277"/>
      <c r="G785" s="148"/>
      <c r="H785" s="148"/>
      <c r="I785" s="251"/>
      <c r="J785" s="251"/>
      <c r="K785" s="148"/>
      <c r="L785" s="277"/>
      <c r="M785" s="252"/>
      <c r="N785" s="250"/>
      <c r="O785" s="253"/>
      <c r="P785" s="240"/>
      <c r="Q785" s="148"/>
      <c r="R785" s="148"/>
      <c r="S785" s="242"/>
      <c r="T785" s="242"/>
      <c r="U785" s="242"/>
      <c r="V785" s="242"/>
      <c r="W785" s="242"/>
      <c r="X785" s="242"/>
      <c r="Y785" s="148"/>
      <c r="Z785" s="148"/>
    </row>
    <row r="786">
      <c r="A786" s="148"/>
      <c r="B786" s="148"/>
      <c r="C786" s="148"/>
      <c r="D786" s="245"/>
      <c r="E786" s="148"/>
      <c r="F786" s="277"/>
      <c r="G786" s="148"/>
      <c r="H786" s="148"/>
      <c r="I786" s="251"/>
      <c r="J786" s="251"/>
      <c r="K786" s="148"/>
      <c r="L786" s="277"/>
      <c r="M786" s="252"/>
      <c r="N786" s="250"/>
      <c r="O786" s="253"/>
      <c r="P786" s="240"/>
      <c r="Q786" s="148"/>
      <c r="R786" s="148"/>
      <c r="S786" s="242"/>
      <c r="T786" s="242"/>
      <c r="U786" s="242"/>
      <c r="V786" s="242"/>
      <c r="W786" s="242"/>
      <c r="X786" s="242"/>
      <c r="Y786" s="148"/>
      <c r="Z786" s="148"/>
    </row>
    <row r="787">
      <c r="A787" s="148"/>
      <c r="B787" s="148"/>
      <c r="C787" s="148"/>
      <c r="D787" s="245"/>
      <c r="E787" s="148"/>
      <c r="F787" s="277"/>
      <c r="G787" s="148"/>
      <c r="H787" s="148"/>
      <c r="I787" s="251"/>
      <c r="J787" s="251"/>
      <c r="K787" s="148"/>
      <c r="L787" s="277"/>
      <c r="M787" s="252"/>
      <c r="N787" s="250"/>
      <c r="O787" s="253"/>
      <c r="P787" s="240"/>
      <c r="Q787" s="148"/>
      <c r="R787" s="148"/>
      <c r="S787" s="242"/>
      <c r="T787" s="242"/>
      <c r="U787" s="242"/>
      <c r="V787" s="242"/>
      <c r="W787" s="242"/>
      <c r="X787" s="242"/>
      <c r="Y787" s="148"/>
      <c r="Z787" s="148"/>
    </row>
    <row r="788">
      <c r="A788" s="148"/>
      <c r="B788" s="148"/>
      <c r="C788" s="148"/>
      <c r="D788" s="245"/>
      <c r="E788" s="148"/>
      <c r="F788" s="277"/>
      <c r="G788" s="148"/>
      <c r="H788" s="148"/>
      <c r="I788" s="251"/>
      <c r="J788" s="251"/>
      <c r="K788" s="148"/>
      <c r="L788" s="277"/>
      <c r="M788" s="252"/>
      <c r="N788" s="250"/>
      <c r="O788" s="253"/>
      <c r="P788" s="240"/>
      <c r="Q788" s="148"/>
      <c r="R788" s="148"/>
      <c r="S788" s="242"/>
      <c r="T788" s="242"/>
      <c r="U788" s="242"/>
      <c r="V788" s="242"/>
      <c r="W788" s="242"/>
      <c r="X788" s="242"/>
      <c r="Y788" s="148"/>
      <c r="Z788" s="148"/>
    </row>
    <row r="789">
      <c r="A789" s="148"/>
      <c r="B789" s="148"/>
      <c r="C789" s="148"/>
      <c r="D789" s="245"/>
      <c r="E789" s="148"/>
      <c r="F789" s="277"/>
      <c r="G789" s="148"/>
      <c r="H789" s="148"/>
      <c r="I789" s="251"/>
      <c r="J789" s="251"/>
      <c r="K789" s="148"/>
      <c r="L789" s="277"/>
      <c r="M789" s="252"/>
      <c r="N789" s="250"/>
      <c r="O789" s="253"/>
      <c r="P789" s="240"/>
      <c r="Q789" s="148"/>
      <c r="R789" s="148"/>
      <c r="S789" s="242"/>
      <c r="T789" s="242"/>
      <c r="U789" s="242"/>
      <c r="V789" s="242"/>
      <c r="W789" s="242"/>
      <c r="X789" s="242"/>
      <c r="Y789" s="148"/>
      <c r="Z789" s="148"/>
    </row>
    <row r="790">
      <c r="A790" s="148"/>
      <c r="B790" s="148"/>
      <c r="C790" s="148"/>
      <c r="D790" s="245"/>
      <c r="E790" s="148"/>
      <c r="F790" s="277"/>
      <c r="G790" s="148"/>
      <c r="H790" s="148"/>
      <c r="I790" s="251"/>
      <c r="J790" s="251"/>
      <c r="K790" s="148"/>
      <c r="L790" s="277"/>
      <c r="M790" s="252"/>
      <c r="N790" s="250"/>
      <c r="O790" s="253"/>
      <c r="P790" s="240"/>
      <c r="Q790" s="148"/>
      <c r="R790" s="148"/>
      <c r="S790" s="242"/>
      <c r="T790" s="242"/>
      <c r="U790" s="242"/>
      <c r="V790" s="242"/>
      <c r="W790" s="242"/>
      <c r="X790" s="242"/>
      <c r="Y790" s="148"/>
      <c r="Z790" s="148"/>
    </row>
    <row r="791">
      <c r="A791" s="148"/>
      <c r="B791" s="148"/>
      <c r="C791" s="148"/>
      <c r="D791" s="245"/>
      <c r="E791" s="148"/>
      <c r="F791" s="277"/>
      <c r="G791" s="148"/>
      <c r="H791" s="148"/>
      <c r="I791" s="251"/>
      <c r="J791" s="251"/>
      <c r="K791" s="148"/>
      <c r="L791" s="277"/>
      <c r="M791" s="252"/>
      <c r="N791" s="250"/>
      <c r="O791" s="253"/>
      <c r="P791" s="240"/>
      <c r="Q791" s="148"/>
      <c r="R791" s="148"/>
      <c r="S791" s="242"/>
      <c r="T791" s="242"/>
      <c r="U791" s="242"/>
      <c r="V791" s="242"/>
      <c r="W791" s="242"/>
      <c r="X791" s="242"/>
      <c r="Y791" s="148"/>
      <c r="Z791" s="148"/>
    </row>
    <row r="792">
      <c r="A792" s="148"/>
      <c r="B792" s="148"/>
      <c r="C792" s="148"/>
      <c r="D792" s="245"/>
      <c r="E792" s="148"/>
      <c r="F792" s="277"/>
      <c r="G792" s="148"/>
      <c r="H792" s="148"/>
      <c r="I792" s="251"/>
      <c r="J792" s="251"/>
      <c r="K792" s="148"/>
      <c r="L792" s="277"/>
      <c r="M792" s="252"/>
      <c r="N792" s="250"/>
      <c r="O792" s="253"/>
      <c r="P792" s="240"/>
      <c r="Q792" s="148"/>
      <c r="R792" s="148"/>
      <c r="S792" s="242"/>
      <c r="T792" s="242"/>
      <c r="U792" s="242"/>
      <c r="V792" s="242"/>
      <c r="W792" s="242"/>
      <c r="X792" s="242"/>
      <c r="Y792" s="148"/>
      <c r="Z792" s="148"/>
    </row>
    <row r="793">
      <c r="A793" s="148"/>
      <c r="B793" s="148"/>
      <c r="C793" s="148"/>
      <c r="D793" s="245"/>
      <c r="E793" s="148"/>
      <c r="F793" s="277"/>
      <c r="G793" s="148"/>
      <c r="H793" s="148"/>
      <c r="I793" s="251"/>
      <c r="J793" s="251"/>
      <c r="K793" s="148"/>
      <c r="L793" s="277"/>
      <c r="M793" s="252"/>
      <c r="N793" s="250"/>
      <c r="O793" s="253"/>
      <c r="P793" s="240"/>
      <c r="Q793" s="148"/>
      <c r="R793" s="148"/>
      <c r="S793" s="242"/>
      <c r="T793" s="242"/>
      <c r="U793" s="242"/>
      <c r="V793" s="242"/>
      <c r="W793" s="242"/>
      <c r="X793" s="242"/>
      <c r="Y793" s="148"/>
      <c r="Z793" s="148"/>
    </row>
    <row r="794">
      <c r="A794" s="148"/>
      <c r="B794" s="148"/>
      <c r="C794" s="148"/>
      <c r="D794" s="245"/>
      <c r="E794" s="148"/>
      <c r="F794" s="277"/>
      <c r="G794" s="148"/>
      <c r="H794" s="148"/>
      <c r="I794" s="251"/>
      <c r="J794" s="251"/>
      <c r="K794" s="148"/>
      <c r="L794" s="277"/>
      <c r="M794" s="252"/>
      <c r="N794" s="250"/>
      <c r="O794" s="253"/>
      <c r="P794" s="240"/>
      <c r="Q794" s="148"/>
      <c r="R794" s="148"/>
      <c r="S794" s="242"/>
      <c r="T794" s="242"/>
      <c r="U794" s="242"/>
      <c r="V794" s="242"/>
      <c r="W794" s="242"/>
      <c r="X794" s="242"/>
      <c r="Y794" s="148"/>
      <c r="Z794" s="148"/>
    </row>
    <row r="795">
      <c r="A795" s="148"/>
      <c r="B795" s="148"/>
      <c r="C795" s="148"/>
      <c r="D795" s="245"/>
      <c r="E795" s="148"/>
      <c r="F795" s="277"/>
      <c r="G795" s="148"/>
      <c r="H795" s="148"/>
      <c r="I795" s="251"/>
      <c r="J795" s="251"/>
      <c r="K795" s="148"/>
      <c r="L795" s="277"/>
      <c r="M795" s="252"/>
      <c r="N795" s="250"/>
      <c r="O795" s="253"/>
      <c r="P795" s="240"/>
      <c r="Q795" s="148"/>
      <c r="R795" s="148"/>
      <c r="S795" s="242"/>
      <c r="T795" s="242"/>
      <c r="U795" s="242"/>
      <c r="V795" s="242"/>
      <c r="W795" s="242"/>
      <c r="X795" s="242"/>
      <c r="Y795" s="148"/>
      <c r="Z795" s="148"/>
    </row>
    <row r="796">
      <c r="A796" s="148"/>
      <c r="B796" s="148"/>
      <c r="C796" s="148"/>
      <c r="D796" s="245"/>
      <c r="E796" s="148"/>
      <c r="F796" s="277"/>
      <c r="G796" s="148"/>
      <c r="H796" s="148"/>
      <c r="I796" s="251"/>
      <c r="J796" s="251"/>
      <c r="K796" s="148"/>
      <c r="L796" s="277"/>
      <c r="M796" s="252"/>
      <c r="N796" s="250"/>
      <c r="O796" s="253"/>
      <c r="P796" s="240"/>
      <c r="Q796" s="148"/>
      <c r="R796" s="148"/>
      <c r="S796" s="242"/>
      <c r="T796" s="242"/>
      <c r="U796" s="242"/>
      <c r="V796" s="242"/>
      <c r="W796" s="242"/>
      <c r="X796" s="242"/>
      <c r="Y796" s="148"/>
      <c r="Z796" s="148"/>
    </row>
    <row r="797">
      <c r="A797" s="148"/>
      <c r="B797" s="148"/>
      <c r="C797" s="148"/>
      <c r="D797" s="245"/>
      <c r="E797" s="148"/>
      <c r="F797" s="277"/>
      <c r="G797" s="148"/>
      <c r="H797" s="148"/>
      <c r="I797" s="251"/>
      <c r="J797" s="251"/>
      <c r="K797" s="148"/>
      <c r="L797" s="277"/>
      <c r="M797" s="252"/>
      <c r="N797" s="250"/>
      <c r="O797" s="253"/>
      <c r="P797" s="240"/>
      <c r="Q797" s="148"/>
      <c r="R797" s="148"/>
      <c r="S797" s="242"/>
      <c r="T797" s="242"/>
      <c r="U797" s="242"/>
      <c r="V797" s="242"/>
      <c r="W797" s="242"/>
      <c r="X797" s="242"/>
      <c r="Y797" s="148"/>
      <c r="Z797" s="148"/>
    </row>
    <row r="798">
      <c r="A798" s="148"/>
      <c r="B798" s="148"/>
      <c r="C798" s="148"/>
      <c r="D798" s="245"/>
      <c r="E798" s="148"/>
      <c r="F798" s="277"/>
      <c r="G798" s="148"/>
      <c r="H798" s="148"/>
      <c r="I798" s="251"/>
      <c r="J798" s="251"/>
      <c r="K798" s="148"/>
      <c r="L798" s="277"/>
      <c r="M798" s="252"/>
      <c r="N798" s="250"/>
      <c r="O798" s="253"/>
      <c r="P798" s="240"/>
      <c r="Q798" s="148"/>
      <c r="R798" s="148"/>
      <c r="S798" s="242"/>
      <c r="T798" s="242"/>
      <c r="U798" s="242"/>
      <c r="V798" s="242"/>
      <c r="W798" s="242"/>
      <c r="X798" s="242"/>
      <c r="Y798" s="148"/>
      <c r="Z798" s="148"/>
    </row>
    <row r="799">
      <c r="A799" s="148"/>
      <c r="B799" s="148"/>
      <c r="C799" s="148"/>
      <c r="D799" s="245"/>
      <c r="E799" s="148"/>
      <c r="F799" s="277"/>
      <c r="G799" s="148"/>
      <c r="H799" s="148"/>
      <c r="I799" s="251"/>
      <c r="J799" s="251"/>
      <c r="K799" s="148"/>
      <c r="L799" s="277"/>
      <c r="M799" s="252"/>
      <c r="N799" s="250"/>
      <c r="O799" s="253"/>
      <c r="P799" s="240"/>
      <c r="Q799" s="148"/>
      <c r="R799" s="148"/>
      <c r="S799" s="242"/>
      <c r="T799" s="242"/>
      <c r="U799" s="242"/>
      <c r="V799" s="242"/>
      <c r="W799" s="242"/>
      <c r="X799" s="242"/>
      <c r="Y799" s="148"/>
      <c r="Z799" s="148"/>
    </row>
    <row r="800">
      <c r="A800" s="148"/>
      <c r="B800" s="148"/>
      <c r="C800" s="148"/>
      <c r="D800" s="245"/>
      <c r="E800" s="148"/>
      <c r="F800" s="277"/>
      <c r="G800" s="148"/>
      <c r="H800" s="148"/>
      <c r="I800" s="251"/>
      <c r="J800" s="251"/>
      <c r="K800" s="148"/>
      <c r="L800" s="277"/>
      <c r="M800" s="252"/>
      <c r="N800" s="250"/>
      <c r="O800" s="253"/>
      <c r="P800" s="240"/>
      <c r="Q800" s="148"/>
      <c r="R800" s="148"/>
      <c r="S800" s="242"/>
      <c r="T800" s="242"/>
      <c r="U800" s="242"/>
      <c r="V800" s="242"/>
      <c r="W800" s="242"/>
      <c r="X800" s="242"/>
      <c r="Y800" s="148"/>
      <c r="Z800" s="148"/>
    </row>
    <row r="801">
      <c r="A801" s="148"/>
      <c r="B801" s="148"/>
      <c r="C801" s="148"/>
      <c r="D801" s="245"/>
      <c r="E801" s="148"/>
      <c r="F801" s="277"/>
      <c r="G801" s="148"/>
      <c r="H801" s="148"/>
      <c r="I801" s="251"/>
      <c r="J801" s="251"/>
      <c r="K801" s="148"/>
      <c r="L801" s="277"/>
      <c r="M801" s="252"/>
      <c r="N801" s="250"/>
      <c r="O801" s="253"/>
      <c r="P801" s="240"/>
      <c r="Q801" s="148"/>
      <c r="R801" s="148"/>
      <c r="S801" s="242"/>
      <c r="T801" s="242"/>
      <c r="U801" s="242"/>
      <c r="V801" s="242"/>
      <c r="W801" s="242"/>
      <c r="X801" s="242"/>
      <c r="Y801" s="148"/>
      <c r="Z801" s="148"/>
    </row>
    <row r="802">
      <c r="A802" s="148"/>
      <c r="B802" s="148"/>
      <c r="C802" s="148"/>
      <c r="D802" s="245"/>
      <c r="E802" s="148"/>
      <c r="F802" s="277"/>
      <c r="G802" s="148"/>
      <c r="H802" s="148"/>
      <c r="I802" s="251"/>
      <c r="J802" s="251"/>
      <c r="K802" s="148"/>
      <c r="L802" s="277"/>
      <c r="M802" s="252"/>
      <c r="N802" s="250"/>
      <c r="O802" s="253"/>
      <c r="P802" s="240"/>
      <c r="Q802" s="148"/>
      <c r="R802" s="148"/>
      <c r="S802" s="242"/>
      <c r="T802" s="242"/>
      <c r="U802" s="242"/>
      <c r="V802" s="242"/>
      <c r="W802" s="242"/>
      <c r="X802" s="242"/>
      <c r="Y802" s="148"/>
      <c r="Z802" s="148"/>
    </row>
    <row r="803">
      <c r="A803" s="148"/>
      <c r="B803" s="148"/>
      <c r="C803" s="148"/>
      <c r="D803" s="245"/>
      <c r="E803" s="148"/>
      <c r="F803" s="277"/>
      <c r="G803" s="148"/>
      <c r="H803" s="148"/>
      <c r="I803" s="251"/>
      <c r="J803" s="251"/>
      <c r="K803" s="148"/>
      <c r="L803" s="277"/>
      <c r="M803" s="252"/>
      <c r="N803" s="250"/>
      <c r="O803" s="253"/>
      <c r="P803" s="240"/>
      <c r="Q803" s="148"/>
      <c r="R803" s="148"/>
      <c r="S803" s="242"/>
      <c r="T803" s="242"/>
      <c r="U803" s="242"/>
      <c r="V803" s="242"/>
      <c r="W803" s="242"/>
      <c r="X803" s="242"/>
      <c r="Y803" s="148"/>
      <c r="Z803" s="148"/>
    </row>
    <row r="804">
      <c r="A804" s="148"/>
      <c r="B804" s="148"/>
      <c r="C804" s="148"/>
      <c r="D804" s="245"/>
      <c r="E804" s="148"/>
      <c r="F804" s="277"/>
      <c r="G804" s="148"/>
      <c r="H804" s="148"/>
      <c r="I804" s="251"/>
      <c r="J804" s="251"/>
      <c r="K804" s="148"/>
      <c r="L804" s="277"/>
      <c r="M804" s="252"/>
      <c r="N804" s="250"/>
      <c r="O804" s="253"/>
      <c r="P804" s="240"/>
      <c r="Q804" s="148"/>
      <c r="R804" s="148"/>
      <c r="S804" s="242"/>
      <c r="T804" s="242"/>
      <c r="U804" s="242"/>
      <c r="V804" s="242"/>
      <c r="W804" s="242"/>
      <c r="X804" s="242"/>
      <c r="Y804" s="148"/>
      <c r="Z804" s="148"/>
    </row>
    <row r="805">
      <c r="A805" s="148"/>
      <c r="B805" s="148"/>
      <c r="C805" s="148"/>
      <c r="D805" s="245"/>
      <c r="E805" s="148"/>
      <c r="F805" s="277"/>
      <c r="G805" s="148"/>
      <c r="H805" s="148"/>
      <c r="I805" s="251"/>
      <c r="J805" s="251"/>
      <c r="K805" s="148"/>
      <c r="L805" s="277"/>
      <c r="M805" s="252"/>
      <c r="N805" s="250"/>
      <c r="O805" s="253"/>
      <c r="P805" s="240"/>
      <c r="Q805" s="148"/>
      <c r="R805" s="148"/>
      <c r="S805" s="242"/>
      <c r="T805" s="242"/>
      <c r="U805" s="242"/>
      <c r="V805" s="242"/>
      <c r="W805" s="242"/>
      <c r="X805" s="242"/>
      <c r="Y805" s="148"/>
      <c r="Z805" s="148"/>
    </row>
    <row r="806">
      <c r="A806" s="148"/>
      <c r="B806" s="148"/>
      <c r="C806" s="148"/>
      <c r="D806" s="245"/>
      <c r="E806" s="148"/>
      <c r="F806" s="277"/>
      <c r="G806" s="148"/>
      <c r="H806" s="148"/>
      <c r="I806" s="251"/>
      <c r="J806" s="251"/>
      <c r="K806" s="148"/>
      <c r="L806" s="277"/>
      <c r="M806" s="252"/>
      <c r="N806" s="250"/>
      <c r="O806" s="253"/>
      <c r="P806" s="240"/>
      <c r="Q806" s="148"/>
      <c r="R806" s="148"/>
      <c r="S806" s="242"/>
      <c r="T806" s="242"/>
      <c r="U806" s="242"/>
      <c r="V806" s="242"/>
      <c r="W806" s="242"/>
      <c r="X806" s="242"/>
      <c r="Y806" s="148"/>
      <c r="Z806" s="148"/>
    </row>
    <row r="807">
      <c r="A807" s="148"/>
      <c r="B807" s="148"/>
      <c r="C807" s="148"/>
      <c r="D807" s="245"/>
      <c r="E807" s="148"/>
      <c r="F807" s="277"/>
      <c r="G807" s="148"/>
      <c r="H807" s="148"/>
      <c r="I807" s="251"/>
      <c r="J807" s="251"/>
      <c r="K807" s="148"/>
      <c r="L807" s="277"/>
      <c r="M807" s="252"/>
      <c r="N807" s="250"/>
      <c r="O807" s="253"/>
      <c r="P807" s="240"/>
      <c r="Q807" s="148"/>
      <c r="R807" s="148"/>
      <c r="S807" s="242"/>
      <c r="T807" s="242"/>
      <c r="U807" s="242"/>
      <c r="V807" s="242"/>
      <c r="W807" s="242"/>
      <c r="X807" s="242"/>
      <c r="Y807" s="148"/>
      <c r="Z807" s="148"/>
    </row>
    <row r="808">
      <c r="A808" s="148"/>
      <c r="B808" s="148"/>
      <c r="C808" s="148"/>
      <c r="D808" s="245"/>
      <c r="E808" s="148"/>
      <c r="F808" s="277"/>
      <c r="G808" s="148"/>
      <c r="H808" s="148"/>
      <c r="I808" s="251"/>
      <c r="J808" s="251"/>
      <c r="K808" s="148"/>
      <c r="L808" s="277"/>
      <c r="M808" s="252"/>
      <c r="N808" s="250"/>
      <c r="O808" s="253"/>
      <c r="P808" s="240"/>
      <c r="Q808" s="148"/>
      <c r="R808" s="148"/>
      <c r="S808" s="242"/>
      <c r="T808" s="242"/>
      <c r="U808" s="242"/>
      <c r="V808" s="242"/>
      <c r="W808" s="242"/>
      <c r="X808" s="242"/>
      <c r="Y808" s="148"/>
      <c r="Z808" s="148"/>
    </row>
    <row r="809">
      <c r="A809" s="148"/>
      <c r="B809" s="148"/>
      <c r="C809" s="148"/>
      <c r="D809" s="245"/>
      <c r="E809" s="148"/>
      <c r="F809" s="277"/>
      <c r="G809" s="148"/>
      <c r="H809" s="148"/>
      <c r="I809" s="251"/>
      <c r="J809" s="251"/>
      <c r="K809" s="148"/>
      <c r="L809" s="277"/>
      <c r="M809" s="252"/>
      <c r="N809" s="250"/>
      <c r="O809" s="253"/>
      <c r="P809" s="240"/>
      <c r="Q809" s="148"/>
      <c r="R809" s="148"/>
      <c r="S809" s="242"/>
      <c r="T809" s="242"/>
      <c r="U809" s="242"/>
      <c r="V809" s="242"/>
      <c r="W809" s="242"/>
      <c r="X809" s="242"/>
      <c r="Y809" s="148"/>
      <c r="Z809" s="148"/>
    </row>
    <row r="810">
      <c r="A810" s="148"/>
      <c r="B810" s="148"/>
      <c r="C810" s="148"/>
      <c r="D810" s="245"/>
      <c r="E810" s="148"/>
      <c r="F810" s="277"/>
      <c r="G810" s="148"/>
      <c r="H810" s="148"/>
      <c r="I810" s="251"/>
      <c r="J810" s="251"/>
      <c r="K810" s="148"/>
      <c r="L810" s="277"/>
      <c r="M810" s="252"/>
      <c r="N810" s="250"/>
      <c r="O810" s="253"/>
      <c r="P810" s="240"/>
      <c r="Q810" s="148"/>
      <c r="R810" s="148"/>
      <c r="S810" s="242"/>
      <c r="T810" s="242"/>
      <c r="U810" s="242"/>
      <c r="V810" s="242"/>
      <c r="W810" s="242"/>
      <c r="X810" s="242"/>
      <c r="Y810" s="148"/>
      <c r="Z810" s="148"/>
    </row>
    <row r="811">
      <c r="A811" s="148"/>
      <c r="B811" s="148"/>
      <c r="C811" s="148"/>
      <c r="D811" s="245"/>
      <c r="E811" s="148"/>
      <c r="F811" s="277"/>
      <c r="G811" s="148"/>
      <c r="H811" s="148"/>
      <c r="I811" s="251"/>
      <c r="J811" s="251"/>
      <c r="K811" s="148"/>
      <c r="L811" s="277"/>
      <c r="M811" s="252"/>
      <c r="N811" s="250"/>
      <c r="O811" s="253"/>
      <c r="P811" s="240"/>
      <c r="Q811" s="148"/>
      <c r="R811" s="148"/>
      <c r="S811" s="242"/>
      <c r="T811" s="242"/>
      <c r="U811" s="242"/>
      <c r="V811" s="242"/>
      <c r="W811" s="242"/>
      <c r="X811" s="242"/>
      <c r="Y811" s="148"/>
      <c r="Z811" s="148"/>
    </row>
    <row r="812">
      <c r="A812" s="148"/>
      <c r="B812" s="148"/>
      <c r="C812" s="148"/>
      <c r="D812" s="245"/>
      <c r="E812" s="148"/>
      <c r="F812" s="277"/>
      <c r="G812" s="148"/>
      <c r="H812" s="148"/>
      <c r="I812" s="251"/>
      <c r="J812" s="251"/>
      <c r="K812" s="148"/>
      <c r="L812" s="277"/>
      <c r="M812" s="252"/>
      <c r="N812" s="250"/>
      <c r="O812" s="253"/>
      <c r="P812" s="240"/>
      <c r="Q812" s="148"/>
      <c r="R812" s="148"/>
      <c r="S812" s="242"/>
      <c r="T812" s="242"/>
      <c r="U812" s="242"/>
      <c r="V812" s="242"/>
      <c r="W812" s="242"/>
      <c r="X812" s="242"/>
      <c r="Y812" s="148"/>
      <c r="Z812" s="148"/>
    </row>
    <row r="813">
      <c r="A813" s="148"/>
      <c r="B813" s="148"/>
      <c r="C813" s="148"/>
      <c r="D813" s="245"/>
      <c r="E813" s="148"/>
      <c r="F813" s="277"/>
      <c r="G813" s="148"/>
      <c r="H813" s="148"/>
      <c r="I813" s="251"/>
      <c r="J813" s="251"/>
      <c r="K813" s="148"/>
      <c r="L813" s="277"/>
      <c r="M813" s="252"/>
      <c r="N813" s="250"/>
      <c r="O813" s="253"/>
      <c r="P813" s="240"/>
      <c r="Q813" s="148"/>
      <c r="R813" s="148"/>
      <c r="S813" s="242"/>
      <c r="T813" s="242"/>
      <c r="U813" s="242"/>
      <c r="V813" s="242"/>
      <c r="W813" s="242"/>
      <c r="X813" s="242"/>
      <c r="Y813" s="148"/>
      <c r="Z813" s="148"/>
    </row>
    <row r="814">
      <c r="A814" s="148"/>
      <c r="B814" s="148"/>
      <c r="C814" s="148"/>
      <c r="D814" s="245"/>
      <c r="E814" s="148"/>
      <c r="F814" s="277"/>
      <c r="G814" s="148"/>
      <c r="H814" s="148"/>
      <c r="I814" s="251"/>
      <c r="J814" s="251"/>
      <c r="K814" s="148"/>
      <c r="L814" s="277"/>
      <c r="M814" s="252"/>
      <c r="N814" s="250"/>
      <c r="O814" s="253"/>
      <c r="P814" s="240"/>
      <c r="Q814" s="148"/>
      <c r="R814" s="148"/>
      <c r="S814" s="242"/>
      <c r="T814" s="242"/>
      <c r="U814" s="242"/>
      <c r="V814" s="242"/>
      <c r="W814" s="242"/>
      <c r="X814" s="242"/>
      <c r="Y814" s="148"/>
      <c r="Z814" s="148"/>
    </row>
    <row r="815">
      <c r="A815" s="148"/>
      <c r="B815" s="148"/>
      <c r="C815" s="148"/>
      <c r="D815" s="245"/>
      <c r="E815" s="148"/>
      <c r="F815" s="277"/>
      <c r="G815" s="148"/>
      <c r="H815" s="148"/>
      <c r="I815" s="251"/>
      <c r="J815" s="251"/>
      <c r="K815" s="148"/>
      <c r="L815" s="277"/>
      <c r="M815" s="252"/>
      <c r="N815" s="250"/>
      <c r="O815" s="253"/>
      <c r="P815" s="240"/>
      <c r="Q815" s="148"/>
      <c r="R815" s="148"/>
      <c r="S815" s="242"/>
      <c r="T815" s="242"/>
      <c r="U815" s="242"/>
      <c r="V815" s="242"/>
      <c r="W815" s="242"/>
      <c r="X815" s="242"/>
      <c r="Y815" s="148"/>
      <c r="Z815" s="148"/>
    </row>
    <row r="816">
      <c r="A816" s="148"/>
      <c r="B816" s="148"/>
      <c r="C816" s="148"/>
      <c r="D816" s="245"/>
      <c r="E816" s="148"/>
      <c r="F816" s="277"/>
      <c r="G816" s="148"/>
      <c r="H816" s="148"/>
      <c r="I816" s="251"/>
      <c r="J816" s="251"/>
      <c r="K816" s="148"/>
      <c r="L816" s="277"/>
      <c r="M816" s="252"/>
      <c r="N816" s="250"/>
      <c r="O816" s="253"/>
      <c r="P816" s="240"/>
      <c r="Q816" s="148"/>
      <c r="R816" s="148"/>
      <c r="S816" s="242"/>
      <c r="T816" s="242"/>
      <c r="U816" s="242"/>
      <c r="V816" s="242"/>
      <c r="W816" s="242"/>
      <c r="X816" s="242"/>
      <c r="Y816" s="148"/>
      <c r="Z816" s="148"/>
    </row>
    <row r="817">
      <c r="A817" s="148"/>
      <c r="B817" s="148"/>
      <c r="C817" s="148"/>
      <c r="D817" s="245"/>
      <c r="E817" s="148"/>
      <c r="F817" s="277"/>
      <c r="G817" s="148"/>
      <c r="H817" s="148"/>
      <c r="I817" s="251"/>
      <c r="J817" s="251"/>
      <c r="K817" s="148"/>
      <c r="L817" s="277"/>
      <c r="M817" s="252"/>
      <c r="N817" s="250"/>
      <c r="O817" s="253"/>
      <c r="P817" s="240"/>
      <c r="Q817" s="148"/>
      <c r="R817" s="148"/>
      <c r="S817" s="242"/>
      <c r="T817" s="242"/>
      <c r="U817" s="242"/>
      <c r="V817" s="242"/>
      <c r="W817" s="242"/>
      <c r="X817" s="242"/>
      <c r="Y817" s="148"/>
      <c r="Z817" s="148"/>
    </row>
    <row r="818">
      <c r="A818" s="148"/>
      <c r="B818" s="148"/>
      <c r="C818" s="148"/>
      <c r="D818" s="245"/>
      <c r="E818" s="148"/>
      <c r="F818" s="277"/>
      <c r="G818" s="148"/>
      <c r="H818" s="148"/>
      <c r="I818" s="251"/>
      <c r="J818" s="251"/>
      <c r="K818" s="148"/>
      <c r="L818" s="277"/>
      <c r="M818" s="252"/>
      <c r="N818" s="250"/>
      <c r="O818" s="253"/>
      <c r="P818" s="240"/>
      <c r="Q818" s="148"/>
      <c r="R818" s="148"/>
      <c r="S818" s="242"/>
      <c r="T818" s="242"/>
      <c r="U818" s="242"/>
      <c r="V818" s="242"/>
      <c r="W818" s="242"/>
      <c r="X818" s="242"/>
      <c r="Y818" s="148"/>
      <c r="Z818" s="148"/>
    </row>
    <row r="819">
      <c r="A819" s="148"/>
      <c r="B819" s="148"/>
      <c r="C819" s="148"/>
      <c r="D819" s="245"/>
      <c r="E819" s="148"/>
      <c r="F819" s="277"/>
      <c r="G819" s="148"/>
      <c r="H819" s="148"/>
      <c r="I819" s="251"/>
      <c r="J819" s="251"/>
      <c r="K819" s="148"/>
      <c r="L819" s="277"/>
      <c r="M819" s="252"/>
      <c r="N819" s="250"/>
      <c r="O819" s="253"/>
      <c r="P819" s="240"/>
      <c r="Q819" s="148"/>
      <c r="R819" s="148"/>
      <c r="S819" s="242"/>
      <c r="T819" s="242"/>
      <c r="U819" s="242"/>
      <c r="V819" s="242"/>
      <c r="W819" s="242"/>
      <c r="X819" s="242"/>
      <c r="Y819" s="148"/>
      <c r="Z819" s="148"/>
    </row>
    <row r="820">
      <c r="A820" s="148"/>
      <c r="B820" s="148"/>
      <c r="C820" s="148"/>
      <c r="D820" s="245"/>
      <c r="E820" s="148"/>
      <c r="F820" s="277"/>
      <c r="G820" s="148"/>
      <c r="H820" s="148"/>
      <c r="I820" s="251"/>
      <c r="J820" s="251"/>
      <c r="K820" s="148"/>
      <c r="L820" s="277"/>
      <c r="M820" s="252"/>
      <c r="N820" s="250"/>
      <c r="O820" s="253"/>
      <c r="P820" s="240"/>
      <c r="Q820" s="148"/>
      <c r="R820" s="148"/>
      <c r="S820" s="242"/>
      <c r="T820" s="242"/>
      <c r="U820" s="242"/>
      <c r="V820" s="242"/>
      <c r="W820" s="242"/>
      <c r="X820" s="242"/>
      <c r="Y820" s="148"/>
      <c r="Z820" s="148"/>
    </row>
    <row r="821">
      <c r="A821" s="148"/>
      <c r="B821" s="148"/>
      <c r="C821" s="148"/>
      <c r="D821" s="245"/>
      <c r="E821" s="148"/>
      <c r="F821" s="277"/>
      <c r="G821" s="148"/>
      <c r="H821" s="148"/>
      <c r="I821" s="251"/>
      <c r="J821" s="251"/>
      <c r="K821" s="148"/>
      <c r="L821" s="277"/>
      <c r="M821" s="252"/>
      <c r="N821" s="250"/>
      <c r="O821" s="253"/>
      <c r="P821" s="240"/>
      <c r="Q821" s="148"/>
      <c r="R821" s="148"/>
      <c r="S821" s="242"/>
      <c r="T821" s="242"/>
      <c r="U821" s="242"/>
      <c r="V821" s="242"/>
      <c r="W821" s="242"/>
      <c r="X821" s="242"/>
      <c r="Y821" s="148"/>
      <c r="Z821" s="148"/>
    </row>
    <row r="822">
      <c r="A822" s="148"/>
      <c r="B822" s="148"/>
      <c r="C822" s="148"/>
      <c r="D822" s="245"/>
      <c r="E822" s="148"/>
      <c r="F822" s="277"/>
      <c r="G822" s="148"/>
      <c r="H822" s="148"/>
      <c r="I822" s="251"/>
      <c r="J822" s="251"/>
      <c r="K822" s="148"/>
      <c r="L822" s="277"/>
      <c r="M822" s="252"/>
      <c r="N822" s="250"/>
      <c r="O822" s="253"/>
      <c r="P822" s="240"/>
      <c r="Q822" s="148"/>
      <c r="R822" s="148"/>
      <c r="S822" s="242"/>
      <c r="T822" s="242"/>
      <c r="U822" s="242"/>
      <c r="V822" s="242"/>
      <c r="W822" s="242"/>
      <c r="X822" s="242"/>
      <c r="Y822" s="148"/>
      <c r="Z822" s="148"/>
    </row>
    <row r="823">
      <c r="A823" s="148"/>
      <c r="B823" s="148"/>
      <c r="C823" s="148"/>
      <c r="D823" s="245"/>
      <c r="E823" s="148"/>
      <c r="F823" s="277"/>
      <c r="G823" s="148"/>
      <c r="H823" s="148"/>
      <c r="I823" s="251"/>
      <c r="J823" s="251"/>
      <c r="K823" s="148"/>
      <c r="L823" s="277"/>
      <c r="M823" s="252"/>
      <c r="N823" s="250"/>
      <c r="O823" s="253"/>
      <c r="P823" s="240"/>
      <c r="Q823" s="148"/>
      <c r="R823" s="148"/>
      <c r="S823" s="242"/>
      <c r="T823" s="242"/>
      <c r="U823" s="242"/>
      <c r="V823" s="242"/>
      <c r="W823" s="242"/>
      <c r="X823" s="242"/>
      <c r="Y823" s="148"/>
      <c r="Z823" s="148"/>
    </row>
    <row r="824">
      <c r="A824" s="148"/>
      <c r="B824" s="148"/>
      <c r="C824" s="148"/>
      <c r="D824" s="245"/>
      <c r="E824" s="148"/>
      <c r="F824" s="277"/>
      <c r="G824" s="148"/>
      <c r="H824" s="148"/>
      <c r="I824" s="251"/>
      <c r="J824" s="251"/>
      <c r="K824" s="148"/>
      <c r="L824" s="277"/>
      <c r="M824" s="252"/>
      <c r="N824" s="250"/>
      <c r="O824" s="253"/>
      <c r="P824" s="240"/>
      <c r="Q824" s="148"/>
      <c r="R824" s="148"/>
      <c r="S824" s="242"/>
      <c r="T824" s="242"/>
      <c r="U824" s="242"/>
      <c r="V824" s="242"/>
      <c r="W824" s="242"/>
      <c r="X824" s="242"/>
      <c r="Y824" s="148"/>
      <c r="Z824" s="148"/>
    </row>
    <row r="825">
      <c r="A825" s="148"/>
      <c r="B825" s="148"/>
      <c r="C825" s="148"/>
      <c r="D825" s="245"/>
      <c r="E825" s="148"/>
      <c r="F825" s="277"/>
      <c r="G825" s="148"/>
      <c r="H825" s="148"/>
      <c r="I825" s="251"/>
      <c r="J825" s="251"/>
      <c r="K825" s="148"/>
      <c r="L825" s="277"/>
      <c r="M825" s="252"/>
      <c r="N825" s="250"/>
      <c r="O825" s="253"/>
      <c r="P825" s="240"/>
      <c r="Q825" s="148"/>
      <c r="R825" s="148"/>
      <c r="S825" s="242"/>
      <c r="T825" s="242"/>
      <c r="U825" s="242"/>
      <c r="V825" s="242"/>
      <c r="W825" s="242"/>
      <c r="X825" s="242"/>
      <c r="Y825" s="148"/>
      <c r="Z825" s="148"/>
    </row>
    <row r="826">
      <c r="A826" s="148"/>
      <c r="B826" s="148"/>
      <c r="C826" s="148"/>
      <c r="D826" s="245"/>
      <c r="E826" s="148"/>
      <c r="F826" s="277"/>
      <c r="G826" s="148"/>
      <c r="H826" s="148"/>
      <c r="I826" s="251"/>
      <c r="J826" s="251"/>
      <c r="K826" s="148"/>
      <c r="L826" s="277"/>
      <c r="M826" s="252"/>
      <c r="N826" s="250"/>
      <c r="O826" s="253"/>
      <c r="P826" s="240"/>
      <c r="Q826" s="148"/>
      <c r="R826" s="148"/>
      <c r="S826" s="242"/>
      <c r="T826" s="242"/>
      <c r="U826" s="242"/>
      <c r="V826" s="242"/>
      <c r="W826" s="242"/>
      <c r="X826" s="242"/>
      <c r="Y826" s="148"/>
      <c r="Z826" s="148"/>
    </row>
    <row r="827">
      <c r="A827" s="148"/>
      <c r="B827" s="148"/>
      <c r="C827" s="148"/>
      <c r="D827" s="245"/>
      <c r="E827" s="148"/>
      <c r="F827" s="277"/>
      <c r="G827" s="148"/>
      <c r="H827" s="148"/>
      <c r="I827" s="251"/>
      <c r="J827" s="251"/>
      <c r="K827" s="148"/>
      <c r="L827" s="277"/>
      <c r="M827" s="252"/>
      <c r="N827" s="250"/>
      <c r="O827" s="253"/>
      <c r="P827" s="240"/>
      <c r="Q827" s="148"/>
      <c r="R827" s="148"/>
      <c r="S827" s="242"/>
      <c r="T827" s="242"/>
      <c r="U827" s="242"/>
      <c r="V827" s="242"/>
      <c r="W827" s="242"/>
      <c r="X827" s="242"/>
      <c r="Y827" s="148"/>
      <c r="Z827" s="148"/>
    </row>
    <row r="828">
      <c r="A828" s="148"/>
      <c r="B828" s="148"/>
      <c r="C828" s="148"/>
      <c r="D828" s="245"/>
      <c r="E828" s="148"/>
      <c r="F828" s="277"/>
      <c r="G828" s="148"/>
      <c r="H828" s="148"/>
      <c r="I828" s="251"/>
      <c r="J828" s="251"/>
      <c r="K828" s="148"/>
      <c r="L828" s="277"/>
      <c r="M828" s="252"/>
      <c r="N828" s="250"/>
      <c r="O828" s="253"/>
      <c r="P828" s="240"/>
      <c r="Q828" s="148"/>
      <c r="R828" s="148"/>
      <c r="S828" s="242"/>
      <c r="T828" s="242"/>
      <c r="U828" s="242"/>
      <c r="V828" s="242"/>
      <c r="W828" s="242"/>
      <c r="X828" s="242"/>
      <c r="Y828" s="148"/>
      <c r="Z828" s="148"/>
    </row>
    <row r="829">
      <c r="A829" s="148"/>
      <c r="B829" s="148"/>
      <c r="C829" s="148"/>
      <c r="D829" s="245"/>
      <c r="E829" s="148"/>
      <c r="F829" s="277"/>
      <c r="G829" s="148"/>
      <c r="H829" s="148"/>
      <c r="I829" s="251"/>
      <c r="J829" s="251"/>
      <c r="K829" s="148"/>
      <c r="L829" s="277"/>
      <c r="M829" s="252"/>
      <c r="N829" s="250"/>
      <c r="O829" s="253"/>
      <c r="P829" s="240"/>
      <c r="Q829" s="148"/>
      <c r="R829" s="148"/>
      <c r="S829" s="242"/>
      <c r="T829" s="242"/>
      <c r="U829" s="242"/>
      <c r="V829" s="242"/>
      <c r="W829" s="242"/>
      <c r="X829" s="242"/>
      <c r="Y829" s="148"/>
      <c r="Z829" s="148"/>
    </row>
    <row r="830">
      <c r="A830" s="148"/>
      <c r="B830" s="148"/>
      <c r="C830" s="148"/>
      <c r="D830" s="245"/>
      <c r="E830" s="148"/>
      <c r="F830" s="277"/>
      <c r="G830" s="148"/>
      <c r="H830" s="148"/>
      <c r="I830" s="251"/>
      <c r="J830" s="251"/>
      <c r="K830" s="148"/>
      <c r="L830" s="277"/>
      <c r="M830" s="252"/>
      <c r="N830" s="250"/>
      <c r="O830" s="253"/>
      <c r="P830" s="240"/>
      <c r="Q830" s="148"/>
      <c r="R830" s="148"/>
      <c r="S830" s="242"/>
      <c r="T830" s="242"/>
      <c r="U830" s="242"/>
      <c r="V830" s="242"/>
      <c r="W830" s="242"/>
      <c r="X830" s="242"/>
      <c r="Y830" s="148"/>
      <c r="Z830" s="148"/>
    </row>
    <row r="831">
      <c r="A831" s="148"/>
      <c r="B831" s="148"/>
      <c r="C831" s="148"/>
      <c r="D831" s="245"/>
      <c r="E831" s="148"/>
      <c r="F831" s="277"/>
      <c r="G831" s="148"/>
      <c r="H831" s="148"/>
      <c r="I831" s="251"/>
      <c r="J831" s="251"/>
      <c r="K831" s="148"/>
      <c r="L831" s="277"/>
      <c r="M831" s="252"/>
      <c r="N831" s="250"/>
      <c r="O831" s="253"/>
      <c r="P831" s="240"/>
      <c r="Q831" s="148"/>
      <c r="R831" s="148"/>
      <c r="S831" s="242"/>
      <c r="T831" s="242"/>
      <c r="U831" s="242"/>
      <c r="V831" s="242"/>
      <c r="W831" s="242"/>
      <c r="X831" s="242"/>
      <c r="Y831" s="148"/>
      <c r="Z831" s="148"/>
    </row>
    <row r="832">
      <c r="A832" s="148"/>
      <c r="B832" s="148"/>
      <c r="C832" s="148"/>
      <c r="D832" s="245"/>
      <c r="E832" s="148"/>
      <c r="F832" s="277"/>
      <c r="G832" s="148"/>
      <c r="H832" s="148"/>
      <c r="I832" s="251"/>
      <c r="J832" s="251"/>
      <c r="K832" s="148"/>
      <c r="L832" s="277"/>
      <c r="M832" s="252"/>
      <c r="N832" s="250"/>
      <c r="O832" s="253"/>
      <c r="P832" s="240"/>
      <c r="Q832" s="148"/>
      <c r="R832" s="148"/>
      <c r="S832" s="242"/>
      <c r="T832" s="242"/>
      <c r="U832" s="242"/>
      <c r="V832" s="242"/>
      <c r="W832" s="242"/>
      <c r="X832" s="242"/>
      <c r="Y832" s="148"/>
      <c r="Z832" s="148"/>
    </row>
    <row r="833">
      <c r="A833" s="148"/>
      <c r="B833" s="148"/>
      <c r="C833" s="148"/>
      <c r="D833" s="245"/>
      <c r="E833" s="148"/>
      <c r="F833" s="277"/>
      <c r="G833" s="148"/>
      <c r="H833" s="148"/>
      <c r="I833" s="251"/>
      <c r="J833" s="251"/>
      <c r="K833" s="148"/>
      <c r="L833" s="277"/>
      <c r="M833" s="252"/>
      <c r="N833" s="250"/>
      <c r="O833" s="253"/>
      <c r="P833" s="240"/>
      <c r="Q833" s="148"/>
      <c r="R833" s="148"/>
      <c r="S833" s="242"/>
      <c r="T833" s="242"/>
      <c r="U833" s="242"/>
      <c r="V833" s="242"/>
      <c r="W833" s="242"/>
      <c r="X833" s="242"/>
      <c r="Y833" s="148"/>
      <c r="Z833" s="148"/>
    </row>
    <row r="834">
      <c r="A834" s="148"/>
      <c r="B834" s="148"/>
      <c r="C834" s="148"/>
      <c r="D834" s="245"/>
      <c r="E834" s="148"/>
      <c r="F834" s="277"/>
      <c r="G834" s="148"/>
      <c r="H834" s="148"/>
      <c r="I834" s="251"/>
      <c r="J834" s="251"/>
      <c r="K834" s="148"/>
      <c r="L834" s="277"/>
      <c r="M834" s="252"/>
      <c r="N834" s="250"/>
      <c r="O834" s="253"/>
      <c r="P834" s="240"/>
      <c r="Q834" s="148"/>
      <c r="R834" s="148"/>
      <c r="S834" s="242"/>
      <c r="T834" s="242"/>
      <c r="U834" s="242"/>
      <c r="V834" s="242"/>
      <c r="W834" s="242"/>
      <c r="X834" s="242"/>
      <c r="Y834" s="148"/>
      <c r="Z834" s="148"/>
    </row>
    <row r="835">
      <c r="A835" s="148"/>
      <c r="B835" s="148"/>
      <c r="C835" s="148"/>
      <c r="D835" s="245"/>
      <c r="E835" s="148"/>
      <c r="F835" s="277"/>
      <c r="G835" s="148"/>
      <c r="H835" s="148"/>
      <c r="I835" s="251"/>
      <c r="J835" s="251"/>
      <c r="K835" s="148"/>
      <c r="L835" s="277"/>
      <c r="M835" s="252"/>
      <c r="N835" s="250"/>
      <c r="O835" s="253"/>
      <c r="P835" s="240"/>
      <c r="Q835" s="148"/>
      <c r="R835" s="148"/>
      <c r="S835" s="242"/>
      <c r="T835" s="242"/>
      <c r="U835" s="242"/>
      <c r="V835" s="242"/>
      <c r="W835" s="242"/>
      <c r="X835" s="242"/>
      <c r="Y835" s="148"/>
      <c r="Z835" s="148"/>
    </row>
    <row r="836">
      <c r="A836" s="148"/>
      <c r="B836" s="148"/>
      <c r="C836" s="148"/>
      <c r="D836" s="245"/>
      <c r="E836" s="148"/>
      <c r="F836" s="277"/>
      <c r="G836" s="148"/>
      <c r="H836" s="148"/>
      <c r="I836" s="251"/>
      <c r="J836" s="251"/>
      <c r="K836" s="148"/>
      <c r="L836" s="277"/>
      <c r="M836" s="252"/>
      <c r="N836" s="250"/>
      <c r="O836" s="253"/>
      <c r="P836" s="240"/>
      <c r="Q836" s="148"/>
      <c r="R836" s="148"/>
      <c r="S836" s="242"/>
      <c r="T836" s="242"/>
      <c r="U836" s="242"/>
      <c r="V836" s="242"/>
      <c r="W836" s="242"/>
      <c r="X836" s="242"/>
      <c r="Y836" s="148"/>
      <c r="Z836" s="148"/>
    </row>
    <row r="837">
      <c r="A837" s="148"/>
      <c r="B837" s="148"/>
      <c r="C837" s="148"/>
      <c r="D837" s="245"/>
      <c r="E837" s="148"/>
      <c r="F837" s="277"/>
      <c r="G837" s="148"/>
      <c r="H837" s="148"/>
      <c r="I837" s="251"/>
      <c r="J837" s="251"/>
      <c r="K837" s="148"/>
      <c r="L837" s="277"/>
      <c r="M837" s="252"/>
      <c r="N837" s="250"/>
      <c r="O837" s="253"/>
      <c r="P837" s="240"/>
      <c r="Q837" s="148"/>
      <c r="R837" s="148"/>
      <c r="S837" s="242"/>
      <c r="T837" s="242"/>
      <c r="U837" s="242"/>
      <c r="V837" s="242"/>
      <c r="W837" s="242"/>
      <c r="X837" s="242"/>
      <c r="Y837" s="148"/>
      <c r="Z837" s="148"/>
    </row>
    <row r="838">
      <c r="A838" s="148"/>
      <c r="B838" s="148"/>
      <c r="C838" s="148"/>
      <c r="D838" s="245"/>
      <c r="E838" s="148"/>
      <c r="F838" s="277"/>
      <c r="G838" s="148"/>
      <c r="H838" s="148"/>
      <c r="I838" s="251"/>
      <c r="J838" s="251"/>
      <c r="K838" s="148"/>
      <c r="L838" s="277"/>
      <c r="M838" s="252"/>
      <c r="N838" s="250"/>
      <c r="O838" s="253"/>
      <c r="P838" s="240"/>
      <c r="Q838" s="148"/>
      <c r="R838" s="148"/>
      <c r="S838" s="242"/>
      <c r="T838" s="242"/>
      <c r="U838" s="242"/>
      <c r="V838" s="242"/>
      <c r="W838" s="242"/>
      <c r="X838" s="242"/>
      <c r="Y838" s="148"/>
      <c r="Z838" s="148"/>
    </row>
    <row r="839">
      <c r="A839" s="148"/>
      <c r="B839" s="148"/>
      <c r="C839" s="148"/>
      <c r="D839" s="245"/>
      <c r="E839" s="148"/>
      <c r="F839" s="277"/>
      <c r="G839" s="148"/>
      <c r="H839" s="148"/>
      <c r="I839" s="251"/>
      <c r="J839" s="251"/>
      <c r="K839" s="148"/>
      <c r="L839" s="277"/>
      <c r="M839" s="252"/>
      <c r="N839" s="250"/>
      <c r="O839" s="253"/>
      <c r="P839" s="240"/>
      <c r="Q839" s="148"/>
      <c r="R839" s="148"/>
      <c r="S839" s="242"/>
      <c r="T839" s="242"/>
      <c r="U839" s="242"/>
      <c r="V839" s="242"/>
      <c r="W839" s="242"/>
      <c r="X839" s="242"/>
      <c r="Y839" s="148"/>
      <c r="Z839" s="148"/>
    </row>
    <row r="840">
      <c r="A840" s="148"/>
      <c r="B840" s="148"/>
      <c r="C840" s="148"/>
      <c r="D840" s="245"/>
      <c r="E840" s="148"/>
      <c r="F840" s="277"/>
      <c r="G840" s="148"/>
      <c r="H840" s="148"/>
      <c r="I840" s="251"/>
      <c r="J840" s="251"/>
      <c r="K840" s="148"/>
      <c r="L840" s="277"/>
      <c r="M840" s="252"/>
      <c r="N840" s="250"/>
      <c r="O840" s="253"/>
      <c r="P840" s="240"/>
      <c r="Q840" s="148"/>
      <c r="R840" s="148"/>
      <c r="S840" s="242"/>
      <c r="T840" s="242"/>
      <c r="U840" s="242"/>
      <c r="V840" s="242"/>
      <c r="W840" s="242"/>
      <c r="X840" s="242"/>
      <c r="Y840" s="148"/>
      <c r="Z840" s="148"/>
    </row>
    <row r="841">
      <c r="A841" s="148"/>
      <c r="B841" s="148"/>
      <c r="C841" s="148"/>
      <c r="D841" s="245"/>
      <c r="E841" s="148"/>
      <c r="F841" s="277"/>
      <c r="G841" s="148"/>
      <c r="H841" s="148"/>
      <c r="I841" s="251"/>
      <c r="J841" s="251"/>
      <c r="K841" s="148"/>
      <c r="L841" s="277"/>
      <c r="M841" s="252"/>
      <c r="N841" s="250"/>
      <c r="O841" s="253"/>
      <c r="P841" s="240"/>
      <c r="Q841" s="148"/>
      <c r="R841" s="148"/>
      <c r="S841" s="242"/>
      <c r="T841" s="242"/>
      <c r="U841" s="242"/>
      <c r="V841" s="242"/>
      <c r="W841" s="242"/>
      <c r="X841" s="242"/>
      <c r="Y841" s="148"/>
      <c r="Z841" s="148"/>
    </row>
    <row r="842">
      <c r="A842" s="148"/>
      <c r="B842" s="148"/>
      <c r="C842" s="148"/>
      <c r="D842" s="245"/>
      <c r="E842" s="148"/>
      <c r="F842" s="277"/>
      <c r="G842" s="148"/>
      <c r="H842" s="148"/>
      <c r="I842" s="251"/>
      <c r="J842" s="251"/>
      <c r="K842" s="148"/>
      <c r="L842" s="277"/>
      <c r="M842" s="252"/>
      <c r="N842" s="250"/>
      <c r="O842" s="253"/>
      <c r="P842" s="240"/>
      <c r="Q842" s="148"/>
      <c r="R842" s="148"/>
      <c r="S842" s="242"/>
      <c r="T842" s="242"/>
      <c r="U842" s="242"/>
      <c r="V842" s="242"/>
      <c r="W842" s="242"/>
      <c r="X842" s="242"/>
      <c r="Y842" s="148"/>
      <c r="Z842" s="148"/>
    </row>
    <row r="843">
      <c r="A843" s="148"/>
      <c r="B843" s="148"/>
      <c r="C843" s="148"/>
      <c r="D843" s="245"/>
      <c r="E843" s="148"/>
      <c r="F843" s="277"/>
      <c r="G843" s="148"/>
      <c r="H843" s="148"/>
      <c r="I843" s="251"/>
      <c r="J843" s="251"/>
      <c r="K843" s="148"/>
      <c r="L843" s="277"/>
      <c r="M843" s="252"/>
      <c r="N843" s="250"/>
      <c r="O843" s="253"/>
      <c r="P843" s="240"/>
      <c r="Q843" s="148"/>
      <c r="R843" s="148"/>
      <c r="S843" s="242"/>
      <c r="T843" s="242"/>
      <c r="U843" s="242"/>
      <c r="V843" s="242"/>
      <c r="W843" s="242"/>
      <c r="X843" s="242"/>
      <c r="Y843" s="148"/>
      <c r="Z843" s="148"/>
    </row>
    <row r="844">
      <c r="A844" s="148"/>
      <c r="B844" s="148"/>
      <c r="C844" s="148"/>
      <c r="D844" s="245"/>
      <c r="E844" s="148"/>
      <c r="F844" s="277"/>
      <c r="G844" s="148"/>
      <c r="H844" s="148"/>
      <c r="I844" s="251"/>
      <c r="J844" s="251"/>
      <c r="K844" s="148"/>
      <c r="L844" s="277"/>
      <c r="M844" s="252"/>
      <c r="N844" s="250"/>
      <c r="O844" s="253"/>
      <c r="P844" s="240"/>
      <c r="Q844" s="148"/>
      <c r="R844" s="148"/>
      <c r="S844" s="242"/>
      <c r="T844" s="242"/>
      <c r="U844" s="242"/>
      <c r="V844" s="242"/>
      <c r="W844" s="242"/>
      <c r="X844" s="242"/>
      <c r="Y844" s="148"/>
      <c r="Z844" s="148"/>
    </row>
    <row r="845">
      <c r="A845" s="148"/>
      <c r="B845" s="148"/>
      <c r="C845" s="148"/>
      <c r="D845" s="245"/>
      <c r="E845" s="148"/>
      <c r="F845" s="277"/>
      <c r="G845" s="148"/>
      <c r="H845" s="148"/>
      <c r="I845" s="251"/>
      <c r="J845" s="251"/>
      <c r="K845" s="148"/>
      <c r="L845" s="277"/>
      <c r="M845" s="252"/>
      <c r="N845" s="250"/>
      <c r="O845" s="253"/>
      <c r="P845" s="240"/>
      <c r="Q845" s="148"/>
      <c r="R845" s="148"/>
      <c r="S845" s="242"/>
      <c r="T845" s="242"/>
      <c r="U845" s="242"/>
      <c r="V845" s="242"/>
      <c r="W845" s="242"/>
      <c r="X845" s="242"/>
      <c r="Y845" s="148"/>
      <c r="Z845" s="148"/>
    </row>
    <row r="846">
      <c r="A846" s="148"/>
      <c r="B846" s="148"/>
      <c r="C846" s="148"/>
      <c r="D846" s="245"/>
      <c r="E846" s="148"/>
      <c r="F846" s="277"/>
      <c r="G846" s="148"/>
      <c r="H846" s="148"/>
      <c r="I846" s="251"/>
      <c r="J846" s="251"/>
      <c r="K846" s="148"/>
      <c r="L846" s="277"/>
      <c r="M846" s="252"/>
      <c r="N846" s="250"/>
      <c r="O846" s="253"/>
      <c r="P846" s="240"/>
      <c r="Q846" s="148"/>
      <c r="R846" s="148"/>
      <c r="S846" s="242"/>
      <c r="T846" s="242"/>
      <c r="U846" s="242"/>
      <c r="V846" s="242"/>
      <c r="W846" s="242"/>
      <c r="X846" s="242"/>
      <c r="Y846" s="148"/>
      <c r="Z846" s="148"/>
    </row>
    <row r="847">
      <c r="A847" s="148"/>
      <c r="B847" s="148"/>
      <c r="C847" s="148"/>
      <c r="D847" s="245"/>
      <c r="E847" s="148"/>
      <c r="F847" s="277"/>
      <c r="G847" s="148"/>
      <c r="H847" s="148"/>
      <c r="I847" s="251"/>
      <c r="J847" s="251"/>
      <c r="K847" s="148"/>
      <c r="L847" s="277"/>
      <c r="M847" s="252"/>
      <c r="N847" s="250"/>
      <c r="O847" s="253"/>
      <c r="P847" s="240"/>
      <c r="Q847" s="148"/>
      <c r="R847" s="148"/>
      <c r="S847" s="242"/>
      <c r="T847" s="242"/>
      <c r="U847" s="242"/>
      <c r="V847" s="242"/>
      <c r="W847" s="242"/>
      <c r="X847" s="242"/>
      <c r="Y847" s="148"/>
      <c r="Z847" s="148"/>
    </row>
    <row r="848">
      <c r="A848" s="148"/>
      <c r="B848" s="148"/>
      <c r="C848" s="148"/>
      <c r="D848" s="245"/>
      <c r="E848" s="148"/>
      <c r="F848" s="277"/>
      <c r="G848" s="148"/>
      <c r="H848" s="148"/>
      <c r="I848" s="251"/>
      <c r="J848" s="251"/>
      <c r="K848" s="148"/>
      <c r="L848" s="277"/>
      <c r="M848" s="252"/>
      <c r="N848" s="250"/>
      <c r="O848" s="253"/>
      <c r="P848" s="240"/>
      <c r="Q848" s="148"/>
      <c r="R848" s="148"/>
      <c r="S848" s="242"/>
      <c r="T848" s="242"/>
      <c r="U848" s="242"/>
      <c r="V848" s="242"/>
      <c r="W848" s="242"/>
      <c r="X848" s="242"/>
      <c r="Y848" s="148"/>
      <c r="Z848" s="148"/>
    </row>
    <row r="849">
      <c r="A849" s="148"/>
      <c r="B849" s="148"/>
      <c r="C849" s="148"/>
      <c r="D849" s="245"/>
      <c r="E849" s="148"/>
      <c r="F849" s="277"/>
      <c r="G849" s="148"/>
      <c r="H849" s="148"/>
      <c r="I849" s="251"/>
      <c r="J849" s="251"/>
      <c r="K849" s="148"/>
      <c r="L849" s="277"/>
      <c r="M849" s="252"/>
      <c r="N849" s="250"/>
      <c r="O849" s="253"/>
      <c r="P849" s="240"/>
      <c r="Q849" s="148"/>
      <c r="R849" s="148"/>
      <c r="S849" s="242"/>
      <c r="T849" s="242"/>
      <c r="U849" s="242"/>
      <c r="V849" s="242"/>
      <c r="W849" s="242"/>
      <c r="X849" s="242"/>
      <c r="Y849" s="148"/>
      <c r="Z849" s="148"/>
    </row>
    <row r="850">
      <c r="A850" s="148"/>
      <c r="B850" s="148"/>
      <c r="C850" s="148"/>
      <c r="D850" s="245"/>
      <c r="E850" s="148"/>
      <c r="F850" s="277"/>
      <c r="G850" s="148"/>
      <c r="H850" s="148"/>
      <c r="I850" s="251"/>
      <c r="J850" s="251"/>
      <c r="K850" s="148"/>
      <c r="L850" s="277"/>
      <c r="M850" s="252"/>
      <c r="N850" s="250"/>
      <c r="O850" s="253"/>
      <c r="P850" s="240"/>
      <c r="Q850" s="148"/>
      <c r="R850" s="148"/>
      <c r="S850" s="242"/>
      <c r="T850" s="242"/>
      <c r="U850" s="242"/>
      <c r="V850" s="242"/>
      <c r="W850" s="242"/>
      <c r="X850" s="242"/>
      <c r="Y850" s="148"/>
      <c r="Z850" s="148"/>
    </row>
    <row r="851">
      <c r="A851" s="148"/>
      <c r="B851" s="148"/>
      <c r="C851" s="148"/>
      <c r="D851" s="245"/>
      <c r="E851" s="148"/>
      <c r="F851" s="277"/>
      <c r="G851" s="148"/>
      <c r="H851" s="148"/>
      <c r="I851" s="251"/>
      <c r="J851" s="251"/>
      <c r="K851" s="148"/>
      <c r="L851" s="277"/>
      <c r="M851" s="252"/>
      <c r="N851" s="250"/>
      <c r="O851" s="253"/>
      <c r="P851" s="240"/>
      <c r="Q851" s="148"/>
      <c r="R851" s="148"/>
      <c r="S851" s="242"/>
      <c r="T851" s="242"/>
      <c r="U851" s="242"/>
      <c r="V851" s="242"/>
      <c r="W851" s="242"/>
      <c r="X851" s="242"/>
      <c r="Y851" s="148"/>
      <c r="Z851" s="148"/>
    </row>
    <row r="852">
      <c r="A852" s="148"/>
      <c r="B852" s="148"/>
      <c r="C852" s="148"/>
      <c r="D852" s="245"/>
      <c r="E852" s="148"/>
      <c r="F852" s="277"/>
      <c r="G852" s="148"/>
      <c r="H852" s="148"/>
      <c r="I852" s="251"/>
      <c r="J852" s="251"/>
      <c r="K852" s="148"/>
      <c r="L852" s="277"/>
      <c r="M852" s="252"/>
      <c r="N852" s="250"/>
      <c r="O852" s="253"/>
      <c r="P852" s="240"/>
      <c r="Q852" s="148"/>
      <c r="R852" s="148"/>
      <c r="S852" s="242"/>
      <c r="T852" s="242"/>
      <c r="U852" s="242"/>
      <c r="V852" s="242"/>
      <c r="W852" s="242"/>
      <c r="X852" s="242"/>
      <c r="Y852" s="148"/>
      <c r="Z852" s="148"/>
    </row>
    <row r="853">
      <c r="A853" s="148"/>
      <c r="B853" s="148"/>
      <c r="C853" s="148"/>
      <c r="D853" s="245"/>
      <c r="E853" s="148"/>
      <c r="F853" s="277"/>
      <c r="G853" s="148"/>
      <c r="H853" s="148"/>
      <c r="I853" s="251"/>
      <c r="J853" s="251"/>
      <c r="K853" s="148"/>
      <c r="L853" s="277"/>
      <c r="M853" s="252"/>
      <c r="N853" s="250"/>
      <c r="O853" s="253"/>
      <c r="P853" s="240"/>
      <c r="Q853" s="148"/>
      <c r="R853" s="148"/>
      <c r="S853" s="242"/>
      <c r="T853" s="242"/>
      <c r="U853" s="242"/>
      <c r="V853" s="242"/>
      <c r="W853" s="242"/>
      <c r="X853" s="242"/>
      <c r="Y853" s="148"/>
      <c r="Z853" s="148"/>
    </row>
    <row r="854">
      <c r="A854" s="148"/>
      <c r="B854" s="148"/>
      <c r="C854" s="148"/>
      <c r="D854" s="245"/>
      <c r="E854" s="148"/>
      <c r="F854" s="277"/>
      <c r="G854" s="148"/>
      <c r="H854" s="148"/>
      <c r="I854" s="251"/>
      <c r="J854" s="251"/>
      <c r="K854" s="148"/>
      <c r="L854" s="277"/>
      <c r="M854" s="252"/>
      <c r="N854" s="250"/>
      <c r="O854" s="253"/>
      <c r="P854" s="240"/>
      <c r="Q854" s="148"/>
      <c r="R854" s="148"/>
      <c r="S854" s="242"/>
      <c r="T854" s="242"/>
      <c r="U854" s="242"/>
      <c r="V854" s="242"/>
      <c r="W854" s="242"/>
      <c r="X854" s="242"/>
      <c r="Y854" s="148"/>
      <c r="Z854" s="148"/>
    </row>
    <row r="855">
      <c r="A855" s="148"/>
      <c r="B855" s="148"/>
      <c r="C855" s="148"/>
      <c r="D855" s="245"/>
      <c r="E855" s="148"/>
      <c r="F855" s="277"/>
      <c r="G855" s="148"/>
      <c r="H855" s="148"/>
      <c r="I855" s="251"/>
      <c r="J855" s="251"/>
      <c r="K855" s="148"/>
      <c r="L855" s="277"/>
      <c r="M855" s="252"/>
      <c r="N855" s="250"/>
      <c r="O855" s="253"/>
      <c r="P855" s="240"/>
      <c r="Q855" s="148"/>
      <c r="R855" s="148"/>
      <c r="S855" s="242"/>
      <c r="T855" s="242"/>
      <c r="U855" s="242"/>
      <c r="V855" s="242"/>
      <c r="W855" s="242"/>
      <c r="X855" s="242"/>
      <c r="Y855" s="148"/>
      <c r="Z855" s="148"/>
    </row>
    <row r="856">
      <c r="A856" s="148"/>
      <c r="B856" s="148"/>
      <c r="C856" s="148"/>
      <c r="D856" s="245"/>
      <c r="E856" s="148"/>
      <c r="F856" s="277"/>
      <c r="G856" s="148"/>
      <c r="H856" s="148"/>
      <c r="I856" s="251"/>
      <c r="J856" s="251"/>
      <c r="K856" s="148"/>
      <c r="L856" s="277"/>
      <c r="M856" s="252"/>
      <c r="N856" s="250"/>
      <c r="O856" s="253"/>
      <c r="P856" s="240"/>
      <c r="Q856" s="148"/>
      <c r="R856" s="148"/>
      <c r="S856" s="242"/>
      <c r="T856" s="242"/>
      <c r="U856" s="242"/>
      <c r="V856" s="242"/>
      <c r="W856" s="242"/>
      <c r="X856" s="242"/>
      <c r="Y856" s="148"/>
      <c r="Z856" s="148"/>
    </row>
    <row r="857">
      <c r="A857" s="148"/>
      <c r="B857" s="148"/>
      <c r="C857" s="148"/>
      <c r="D857" s="245"/>
      <c r="E857" s="148"/>
      <c r="F857" s="277"/>
      <c r="G857" s="148"/>
      <c r="H857" s="148"/>
      <c r="I857" s="251"/>
      <c r="J857" s="251"/>
      <c r="K857" s="148"/>
      <c r="L857" s="277"/>
      <c r="M857" s="252"/>
      <c r="N857" s="250"/>
      <c r="O857" s="253"/>
      <c r="P857" s="240"/>
      <c r="Q857" s="148"/>
      <c r="R857" s="148"/>
      <c r="S857" s="242"/>
      <c r="T857" s="242"/>
      <c r="U857" s="242"/>
      <c r="V857" s="242"/>
      <c r="W857" s="242"/>
      <c r="X857" s="242"/>
      <c r="Y857" s="148"/>
      <c r="Z857" s="148"/>
    </row>
    <row r="858">
      <c r="A858" s="148"/>
      <c r="B858" s="148"/>
      <c r="C858" s="148"/>
      <c r="D858" s="245"/>
      <c r="E858" s="148"/>
      <c r="F858" s="277"/>
      <c r="G858" s="148"/>
      <c r="H858" s="148"/>
      <c r="I858" s="251"/>
      <c r="J858" s="251"/>
      <c r="K858" s="148"/>
      <c r="L858" s="277"/>
      <c r="M858" s="252"/>
      <c r="N858" s="250"/>
      <c r="O858" s="253"/>
      <c r="P858" s="240"/>
      <c r="Q858" s="148"/>
      <c r="R858" s="148"/>
      <c r="S858" s="242"/>
      <c r="T858" s="242"/>
      <c r="U858" s="242"/>
      <c r="V858" s="242"/>
      <c r="W858" s="242"/>
      <c r="X858" s="242"/>
      <c r="Y858" s="148"/>
      <c r="Z858" s="148"/>
    </row>
    <row r="859">
      <c r="A859" s="148"/>
      <c r="B859" s="148"/>
      <c r="C859" s="148"/>
      <c r="D859" s="245"/>
      <c r="E859" s="148"/>
      <c r="F859" s="277"/>
      <c r="G859" s="148"/>
      <c r="H859" s="148"/>
      <c r="I859" s="251"/>
      <c r="J859" s="251"/>
      <c r="K859" s="148"/>
      <c r="L859" s="277"/>
      <c r="M859" s="252"/>
      <c r="N859" s="250"/>
      <c r="O859" s="253"/>
      <c r="P859" s="240"/>
      <c r="Q859" s="148"/>
      <c r="R859" s="148"/>
      <c r="S859" s="242"/>
      <c r="T859" s="242"/>
      <c r="U859" s="242"/>
      <c r="V859" s="242"/>
      <c r="W859" s="242"/>
      <c r="X859" s="242"/>
      <c r="Y859" s="148"/>
      <c r="Z859" s="148"/>
    </row>
    <row r="860">
      <c r="A860" s="148"/>
      <c r="B860" s="148"/>
      <c r="C860" s="148"/>
      <c r="D860" s="245"/>
      <c r="E860" s="148"/>
      <c r="F860" s="277"/>
      <c r="G860" s="148"/>
      <c r="H860" s="148"/>
      <c r="I860" s="251"/>
      <c r="J860" s="251"/>
      <c r="K860" s="148"/>
      <c r="L860" s="277"/>
      <c r="M860" s="252"/>
      <c r="N860" s="250"/>
      <c r="O860" s="253"/>
      <c r="P860" s="240"/>
      <c r="Q860" s="148"/>
      <c r="R860" s="148"/>
      <c r="S860" s="242"/>
      <c r="T860" s="242"/>
      <c r="U860" s="242"/>
      <c r="V860" s="242"/>
      <c r="W860" s="242"/>
      <c r="X860" s="242"/>
      <c r="Y860" s="148"/>
      <c r="Z860" s="148"/>
    </row>
    <row r="861">
      <c r="A861" s="148"/>
      <c r="B861" s="148"/>
      <c r="C861" s="148"/>
      <c r="D861" s="245"/>
      <c r="E861" s="148"/>
      <c r="F861" s="277"/>
      <c r="G861" s="148"/>
      <c r="H861" s="148"/>
      <c r="I861" s="251"/>
      <c r="J861" s="251"/>
      <c r="K861" s="148"/>
      <c r="L861" s="277"/>
      <c r="M861" s="252"/>
      <c r="N861" s="250"/>
      <c r="O861" s="253"/>
      <c r="P861" s="240"/>
      <c r="Q861" s="148"/>
      <c r="R861" s="148"/>
      <c r="S861" s="242"/>
      <c r="T861" s="242"/>
      <c r="U861" s="242"/>
      <c r="V861" s="242"/>
      <c r="W861" s="242"/>
      <c r="X861" s="242"/>
      <c r="Y861" s="148"/>
      <c r="Z861" s="148"/>
    </row>
    <row r="862">
      <c r="A862" s="148"/>
      <c r="B862" s="148"/>
      <c r="C862" s="148"/>
      <c r="D862" s="245"/>
      <c r="E862" s="148"/>
      <c r="F862" s="277"/>
      <c r="G862" s="148"/>
      <c r="H862" s="148"/>
      <c r="I862" s="251"/>
      <c r="J862" s="251"/>
      <c r="K862" s="148"/>
      <c r="L862" s="277"/>
      <c r="M862" s="252"/>
      <c r="N862" s="250"/>
      <c r="O862" s="253"/>
      <c r="P862" s="240"/>
      <c r="Q862" s="148"/>
      <c r="R862" s="148"/>
      <c r="S862" s="242"/>
      <c r="T862" s="242"/>
      <c r="U862" s="242"/>
      <c r="V862" s="242"/>
      <c r="W862" s="242"/>
      <c r="X862" s="242"/>
      <c r="Y862" s="148"/>
      <c r="Z862" s="148"/>
    </row>
    <row r="863">
      <c r="A863" s="148"/>
      <c r="B863" s="148"/>
      <c r="C863" s="148"/>
      <c r="D863" s="245"/>
      <c r="E863" s="148"/>
      <c r="F863" s="277"/>
      <c r="G863" s="148"/>
      <c r="H863" s="148"/>
      <c r="I863" s="251"/>
      <c r="J863" s="251"/>
      <c r="K863" s="148"/>
      <c r="L863" s="277"/>
      <c r="M863" s="252"/>
      <c r="N863" s="250"/>
      <c r="O863" s="253"/>
      <c r="P863" s="240"/>
      <c r="Q863" s="148"/>
      <c r="R863" s="148"/>
      <c r="S863" s="242"/>
      <c r="T863" s="242"/>
      <c r="U863" s="242"/>
      <c r="V863" s="242"/>
      <c r="W863" s="242"/>
      <c r="X863" s="242"/>
      <c r="Y863" s="148"/>
      <c r="Z863" s="148"/>
    </row>
    <row r="864">
      <c r="A864" s="148"/>
      <c r="B864" s="148"/>
      <c r="C864" s="148"/>
      <c r="D864" s="245"/>
      <c r="E864" s="148"/>
      <c r="F864" s="277"/>
      <c r="G864" s="148"/>
      <c r="H864" s="148"/>
      <c r="I864" s="251"/>
      <c r="J864" s="251"/>
      <c r="K864" s="148"/>
      <c r="L864" s="277"/>
      <c r="M864" s="252"/>
      <c r="N864" s="250"/>
      <c r="O864" s="253"/>
      <c r="P864" s="240"/>
      <c r="Q864" s="148"/>
      <c r="R864" s="148"/>
      <c r="S864" s="242"/>
      <c r="T864" s="242"/>
      <c r="U864" s="242"/>
      <c r="V864" s="242"/>
      <c r="W864" s="242"/>
      <c r="X864" s="242"/>
      <c r="Y864" s="148"/>
      <c r="Z864" s="148"/>
    </row>
    <row r="865">
      <c r="A865" s="148"/>
      <c r="B865" s="148"/>
      <c r="C865" s="148"/>
      <c r="D865" s="245"/>
      <c r="E865" s="148"/>
      <c r="F865" s="277"/>
      <c r="G865" s="148"/>
      <c r="H865" s="148"/>
      <c r="I865" s="251"/>
      <c r="J865" s="251"/>
      <c r="K865" s="148"/>
      <c r="L865" s="277"/>
      <c r="M865" s="252"/>
      <c r="N865" s="250"/>
      <c r="O865" s="253"/>
      <c r="P865" s="240"/>
      <c r="Q865" s="148"/>
      <c r="R865" s="148"/>
      <c r="S865" s="242"/>
      <c r="T865" s="242"/>
      <c r="U865" s="242"/>
      <c r="V865" s="242"/>
      <c r="W865" s="242"/>
      <c r="X865" s="242"/>
      <c r="Y865" s="148"/>
      <c r="Z865" s="148"/>
    </row>
    <row r="866">
      <c r="A866" s="148"/>
      <c r="B866" s="148"/>
      <c r="C866" s="148"/>
      <c r="D866" s="245"/>
      <c r="E866" s="148"/>
      <c r="F866" s="277"/>
      <c r="G866" s="148"/>
      <c r="H866" s="148"/>
      <c r="I866" s="251"/>
      <c r="J866" s="251"/>
      <c r="K866" s="148"/>
      <c r="L866" s="277"/>
      <c r="M866" s="252"/>
      <c r="N866" s="250"/>
      <c r="O866" s="253"/>
      <c r="P866" s="240"/>
      <c r="Q866" s="148"/>
      <c r="R866" s="148"/>
      <c r="S866" s="242"/>
      <c r="T866" s="242"/>
      <c r="U866" s="242"/>
      <c r="V866" s="242"/>
      <c r="W866" s="242"/>
      <c r="X866" s="242"/>
      <c r="Y866" s="148"/>
      <c r="Z866" s="148"/>
    </row>
    <row r="867">
      <c r="A867" s="148"/>
      <c r="B867" s="148"/>
      <c r="C867" s="148"/>
      <c r="D867" s="245"/>
      <c r="E867" s="148"/>
      <c r="F867" s="277"/>
      <c r="G867" s="148"/>
      <c r="H867" s="148"/>
      <c r="I867" s="251"/>
      <c r="J867" s="251"/>
      <c r="K867" s="148"/>
      <c r="L867" s="277"/>
      <c r="M867" s="252"/>
      <c r="N867" s="250"/>
      <c r="O867" s="253"/>
      <c r="P867" s="240"/>
      <c r="Q867" s="148"/>
      <c r="R867" s="148"/>
      <c r="S867" s="242"/>
      <c r="T867" s="242"/>
      <c r="U867" s="242"/>
      <c r="V867" s="242"/>
      <c r="W867" s="242"/>
      <c r="X867" s="242"/>
      <c r="Y867" s="148"/>
      <c r="Z867" s="148"/>
    </row>
    <row r="868">
      <c r="A868" s="148"/>
      <c r="B868" s="148"/>
      <c r="C868" s="148"/>
      <c r="D868" s="245"/>
      <c r="E868" s="148"/>
      <c r="F868" s="277"/>
      <c r="G868" s="148"/>
      <c r="H868" s="148"/>
      <c r="I868" s="251"/>
      <c r="J868" s="251"/>
      <c r="K868" s="148"/>
      <c r="L868" s="277"/>
      <c r="M868" s="252"/>
      <c r="N868" s="250"/>
      <c r="O868" s="253"/>
      <c r="P868" s="240"/>
      <c r="Q868" s="148"/>
      <c r="R868" s="148"/>
      <c r="S868" s="242"/>
      <c r="T868" s="242"/>
      <c r="U868" s="242"/>
      <c r="V868" s="242"/>
      <c r="W868" s="242"/>
      <c r="X868" s="242"/>
      <c r="Y868" s="148"/>
      <c r="Z868" s="148"/>
    </row>
    <row r="869">
      <c r="A869" s="148"/>
      <c r="B869" s="148"/>
      <c r="C869" s="148"/>
      <c r="D869" s="245"/>
      <c r="E869" s="148"/>
      <c r="F869" s="277"/>
      <c r="G869" s="148"/>
      <c r="H869" s="148"/>
      <c r="I869" s="251"/>
      <c r="J869" s="251"/>
      <c r="K869" s="148"/>
      <c r="L869" s="277"/>
      <c r="M869" s="252"/>
      <c r="N869" s="250"/>
      <c r="O869" s="253"/>
      <c r="P869" s="240"/>
      <c r="Q869" s="148"/>
      <c r="R869" s="148"/>
      <c r="S869" s="242"/>
      <c r="T869" s="242"/>
      <c r="U869" s="242"/>
      <c r="V869" s="242"/>
      <c r="W869" s="242"/>
      <c r="X869" s="242"/>
      <c r="Y869" s="148"/>
      <c r="Z869" s="148"/>
    </row>
    <row r="870">
      <c r="A870" s="148"/>
      <c r="B870" s="148"/>
      <c r="C870" s="148"/>
      <c r="D870" s="245"/>
      <c r="E870" s="148"/>
      <c r="F870" s="277"/>
      <c r="G870" s="148"/>
      <c r="H870" s="148"/>
      <c r="I870" s="251"/>
      <c r="J870" s="251"/>
      <c r="K870" s="148"/>
      <c r="L870" s="277"/>
      <c r="M870" s="252"/>
      <c r="N870" s="250"/>
      <c r="O870" s="253"/>
      <c r="P870" s="240"/>
      <c r="Q870" s="148"/>
      <c r="R870" s="148"/>
      <c r="S870" s="242"/>
      <c r="T870" s="242"/>
      <c r="U870" s="242"/>
      <c r="V870" s="242"/>
      <c r="W870" s="242"/>
      <c r="X870" s="242"/>
      <c r="Y870" s="148"/>
      <c r="Z870" s="148"/>
    </row>
    <row r="871">
      <c r="A871" s="148"/>
      <c r="B871" s="148"/>
      <c r="C871" s="148"/>
      <c r="D871" s="245"/>
      <c r="E871" s="148"/>
      <c r="F871" s="277"/>
      <c r="G871" s="148"/>
      <c r="H871" s="148"/>
      <c r="I871" s="251"/>
      <c r="J871" s="251"/>
      <c r="K871" s="148"/>
      <c r="L871" s="277"/>
      <c r="M871" s="252"/>
      <c r="N871" s="250"/>
      <c r="O871" s="253"/>
      <c r="P871" s="240"/>
      <c r="Q871" s="148"/>
      <c r="R871" s="148"/>
      <c r="S871" s="242"/>
      <c r="T871" s="242"/>
      <c r="U871" s="242"/>
      <c r="V871" s="242"/>
      <c r="W871" s="242"/>
      <c r="X871" s="242"/>
      <c r="Y871" s="148"/>
      <c r="Z871" s="148"/>
    </row>
    <row r="872">
      <c r="A872" s="148"/>
      <c r="B872" s="148"/>
      <c r="C872" s="148"/>
      <c r="D872" s="245"/>
      <c r="E872" s="148"/>
      <c r="F872" s="277"/>
      <c r="G872" s="148"/>
      <c r="H872" s="148"/>
      <c r="I872" s="251"/>
      <c r="J872" s="251"/>
      <c r="K872" s="148"/>
      <c r="L872" s="277"/>
      <c r="M872" s="252"/>
      <c r="N872" s="250"/>
      <c r="O872" s="253"/>
      <c r="P872" s="240"/>
      <c r="Q872" s="148"/>
      <c r="R872" s="148"/>
      <c r="S872" s="242"/>
      <c r="T872" s="242"/>
      <c r="U872" s="242"/>
      <c r="V872" s="242"/>
      <c r="W872" s="242"/>
      <c r="X872" s="242"/>
      <c r="Y872" s="148"/>
      <c r="Z872" s="148"/>
    </row>
    <row r="873">
      <c r="A873" s="148"/>
      <c r="B873" s="148"/>
      <c r="C873" s="148"/>
      <c r="D873" s="245"/>
      <c r="E873" s="148"/>
      <c r="F873" s="277"/>
      <c r="G873" s="148"/>
      <c r="H873" s="148"/>
      <c r="I873" s="251"/>
      <c r="J873" s="251"/>
      <c r="K873" s="148"/>
      <c r="L873" s="277"/>
      <c r="M873" s="252"/>
      <c r="N873" s="250"/>
      <c r="O873" s="253"/>
      <c r="P873" s="240"/>
      <c r="Q873" s="148"/>
      <c r="R873" s="148"/>
      <c r="S873" s="242"/>
      <c r="T873" s="242"/>
      <c r="U873" s="242"/>
      <c r="V873" s="242"/>
      <c r="W873" s="242"/>
      <c r="X873" s="242"/>
      <c r="Y873" s="148"/>
      <c r="Z873" s="148"/>
    </row>
    <row r="874">
      <c r="A874" s="148"/>
      <c r="B874" s="148"/>
      <c r="C874" s="148"/>
      <c r="D874" s="245"/>
      <c r="E874" s="148"/>
      <c r="F874" s="277"/>
      <c r="G874" s="148"/>
      <c r="H874" s="148"/>
      <c r="I874" s="251"/>
      <c r="J874" s="251"/>
      <c r="K874" s="148"/>
      <c r="L874" s="277"/>
      <c r="M874" s="252"/>
      <c r="N874" s="250"/>
      <c r="O874" s="253"/>
      <c r="P874" s="240"/>
      <c r="Q874" s="148"/>
      <c r="R874" s="148"/>
      <c r="S874" s="242"/>
      <c r="T874" s="242"/>
      <c r="U874" s="242"/>
      <c r="V874" s="242"/>
      <c r="W874" s="242"/>
      <c r="X874" s="242"/>
      <c r="Y874" s="148"/>
      <c r="Z874" s="148"/>
    </row>
    <row r="875">
      <c r="A875" s="148"/>
      <c r="B875" s="148"/>
      <c r="C875" s="148"/>
      <c r="D875" s="245"/>
      <c r="E875" s="148"/>
      <c r="F875" s="277"/>
      <c r="G875" s="148"/>
      <c r="H875" s="148"/>
      <c r="I875" s="251"/>
      <c r="J875" s="251"/>
      <c r="K875" s="148"/>
      <c r="L875" s="277"/>
      <c r="M875" s="252"/>
      <c r="N875" s="250"/>
      <c r="O875" s="253"/>
      <c r="P875" s="240"/>
      <c r="Q875" s="148"/>
      <c r="R875" s="148"/>
      <c r="S875" s="242"/>
      <c r="T875" s="242"/>
      <c r="U875" s="242"/>
      <c r="V875" s="242"/>
      <c r="W875" s="242"/>
      <c r="X875" s="242"/>
      <c r="Y875" s="148"/>
      <c r="Z875" s="148"/>
    </row>
    <row r="876">
      <c r="A876" s="148"/>
      <c r="B876" s="148"/>
      <c r="C876" s="148"/>
      <c r="D876" s="245"/>
      <c r="E876" s="148"/>
      <c r="F876" s="277"/>
      <c r="G876" s="148"/>
      <c r="H876" s="148"/>
      <c r="I876" s="251"/>
      <c r="J876" s="251"/>
      <c r="K876" s="148"/>
      <c r="L876" s="277"/>
      <c r="M876" s="252"/>
      <c r="N876" s="250"/>
      <c r="O876" s="253"/>
      <c r="P876" s="240"/>
      <c r="Q876" s="148"/>
      <c r="R876" s="148"/>
      <c r="S876" s="242"/>
      <c r="T876" s="242"/>
      <c r="U876" s="242"/>
      <c r="V876" s="242"/>
      <c r="W876" s="242"/>
      <c r="X876" s="242"/>
      <c r="Y876" s="148"/>
      <c r="Z876" s="148"/>
    </row>
    <row r="877">
      <c r="A877" s="148"/>
      <c r="B877" s="148"/>
      <c r="C877" s="148"/>
      <c r="D877" s="245"/>
      <c r="E877" s="148"/>
      <c r="F877" s="277"/>
      <c r="G877" s="148"/>
      <c r="H877" s="148"/>
      <c r="I877" s="251"/>
      <c r="J877" s="251"/>
      <c r="K877" s="148"/>
      <c r="L877" s="277"/>
      <c r="M877" s="252"/>
      <c r="N877" s="250"/>
      <c r="O877" s="253"/>
      <c r="P877" s="240"/>
      <c r="Q877" s="148"/>
      <c r="R877" s="148"/>
      <c r="S877" s="242"/>
      <c r="T877" s="242"/>
      <c r="U877" s="242"/>
      <c r="V877" s="242"/>
      <c r="W877" s="242"/>
      <c r="X877" s="242"/>
      <c r="Y877" s="148"/>
      <c r="Z877" s="148"/>
    </row>
    <row r="878">
      <c r="A878" s="148"/>
      <c r="B878" s="148"/>
      <c r="C878" s="148"/>
      <c r="D878" s="245"/>
      <c r="E878" s="148"/>
      <c r="F878" s="277"/>
      <c r="G878" s="148"/>
      <c r="H878" s="148"/>
      <c r="I878" s="251"/>
      <c r="J878" s="251"/>
      <c r="K878" s="148"/>
      <c r="L878" s="277"/>
      <c r="M878" s="252"/>
      <c r="N878" s="250"/>
      <c r="O878" s="253"/>
      <c r="P878" s="240"/>
      <c r="Q878" s="148"/>
      <c r="R878" s="148"/>
      <c r="S878" s="242"/>
      <c r="T878" s="242"/>
      <c r="U878" s="242"/>
      <c r="V878" s="242"/>
      <c r="W878" s="242"/>
      <c r="X878" s="242"/>
      <c r="Y878" s="148"/>
      <c r="Z878" s="148"/>
    </row>
    <row r="879">
      <c r="A879" s="148"/>
      <c r="B879" s="148"/>
      <c r="C879" s="148"/>
      <c r="D879" s="245"/>
      <c r="E879" s="148"/>
      <c r="F879" s="277"/>
      <c r="G879" s="148"/>
      <c r="H879" s="148"/>
      <c r="I879" s="251"/>
      <c r="J879" s="251"/>
      <c r="K879" s="148"/>
      <c r="L879" s="277"/>
      <c r="M879" s="252"/>
      <c r="N879" s="250"/>
      <c r="O879" s="253"/>
      <c r="P879" s="240"/>
      <c r="Q879" s="148"/>
      <c r="R879" s="148"/>
      <c r="S879" s="242"/>
      <c r="T879" s="242"/>
      <c r="U879" s="242"/>
      <c r="V879" s="242"/>
      <c r="W879" s="242"/>
      <c r="X879" s="242"/>
      <c r="Y879" s="148"/>
      <c r="Z879" s="148"/>
    </row>
    <row r="880">
      <c r="A880" s="148"/>
      <c r="B880" s="148"/>
      <c r="C880" s="148"/>
      <c r="D880" s="245"/>
      <c r="E880" s="148"/>
      <c r="F880" s="277"/>
      <c r="G880" s="148"/>
      <c r="H880" s="148"/>
      <c r="I880" s="251"/>
      <c r="J880" s="251"/>
      <c r="K880" s="148"/>
      <c r="L880" s="277"/>
      <c r="M880" s="252"/>
      <c r="N880" s="250"/>
      <c r="O880" s="253"/>
      <c r="P880" s="240"/>
      <c r="Q880" s="148"/>
      <c r="R880" s="148"/>
      <c r="S880" s="242"/>
      <c r="T880" s="242"/>
      <c r="U880" s="242"/>
      <c r="V880" s="242"/>
      <c r="W880" s="242"/>
      <c r="X880" s="242"/>
      <c r="Y880" s="148"/>
      <c r="Z880" s="148"/>
    </row>
    <row r="881">
      <c r="A881" s="148"/>
      <c r="B881" s="148"/>
      <c r="C881" s="148"/>
      <c r="D881" s="245"/>
      <c r="E881" s="148"/>
      <c r="F881" s="277"/>
      <c r="G881" s="148"/>
      <c r="H881" s="148"/>
      <c r="I881" s="251"/>
      <c r="J881" s="251"/>
      <c r="K881" s="148"/>
      <c r="L881" s="277"/>
      <c r="M881" s="252"/>
      <c r="N881" s="250"/>
      <c r="O881" s="253"/>
      <c r="P881" s="240"/>
      <c r="Q881" s="148"/>
      <c r="R881" s="148"/>
      <c r="S881" s="242"/>
      <c r="T881" s="242"/>
      <c r="U881" s="242"/>
      <c r="V881" s="242"/>
      <c r="W881" s="242"/>
      <c r="X881" s="242"/>
      <c r="Y881" s="148"/>
      <c r="Z881" s="148"/>
    </row>
    <row r="882">
      <c r="A882" s="148"/>
      <c r="B882" s="148"/>
      <c r="C882" s="148"/>
      <c r="D882" s="245"/>
      <c r="E882" s="148"/>
      <c r="F882" s="277"/>
      <c r="G882" s="148"/>
      <c r="H882" s="148"/>
      <c r="I882" s="251"/>
      <c r="J882" s="251"/>
      <c r="K882" s="148"/>
      <c r="L882" s="277"/>
      <c r="M882" s="252"/>
      <c r="N882" s="250"/>
      <c r="O882" s="253"/>
      <c r="P882" s="240"/>
      <c r="Q882" s="148"/>
      <c r="R882" s="148"/>
      <c r="S882" s="242"/>
      <c r="T882" s="242"/>
      <c r="U882" s="242"/>
      <c r="V882" s="242"/>
      <c r="W882" s="242"/>
      <c r="X882" s="242"/>
      <c r="Y882" s="148"/>
      <c r="Z882" s="148"/>
    </row>
    <row r="883">
      <c r="A883" s="148"/>
      <c r="B883" s="148"/>
      <c r="C883" s="148"/>
      <c r="D883" s="245"/>
      <c r="E883" s="148"/>
      <c r="F883" s="277"/>
      <c r="G883" s="148"/>
      <c r="H883" s="148"/>
      <c r="I883" s="251"/>
      <c r="J883" s="251"/>
      <c r="K883" s="148"/>
      <c r="L883" s="277"/>
      <c r="M883" s="252"/>
      <c r="N883" s="250"/>
      <c r="O883" s="253"/>
      <c r="P883" s="240"/>
      <c r="Q883" s="148"/>
      <c r="R883" s="148"/>
      <c r="S883" s="242"/>
      <c r="T883" s="242"/>
      <c r="U883" s="242"/>
      <c r="V883" s="242"/>
      <c r="W883" s="242"/>
      <c r="X883" s="242"/>
      <c r="Y883" s="148"/>
      <c r="Z883" s="148"/>
    </row>
    <row r="884">
      <c r="A884" s="148"/>
      <c r="B884" s="148"/>
      <c r="C884" s="148"/>
      <c r="D884" s="245"/>
      <c r="E884" s="148"/>
      <c r="F884" s="277"/>
      <c r="G884" s="148"/>
      <c r="H884" s="148"/>
      <c r="I884" s="251"/>
      <c r="J884" s="251"/>
      <c r="K884" s="148"/>
      <c r="L884" s="277"/>
      <c r="M884" s="252"/>
      <c r="N884" s="250"/>
      <c r="O884" s="253"/>
      <c r="P884" s="240"/>
      <c r="Q884" s="148"/>
      <c r="R884" s="148"/>
      <c r="S884" s="242"/>
      <c r="T884" s="242"/>
      <c r="U884" s="242"/>
      <c r="V884" s="242"/>
      <c r="W884" s="242"/>
      <c r="X884" s="242"/>
      <c r="Y884" s="148"/>
      <c r="Z884" s="148"/>
    </row>
    <row r="885">
      <c r="A885" s="148"/>
      <c r="B885" s="148"/>
      <c r="C885" s="148"/>
      <c r="D885" s="245"/>
      <c r="E885" s="148"/>
      <c r="F885" s="277"/>
      <c r="G885" s="148"/>
      <c r="H885" s="148"/>
      <c r="I885" s="251"/>
      <c r="J885" s="251"/>
      <c r="K885" s="148"/>
      <c r="L885" s="277"/>
      <c r="M885" s="252"/>
      <c r="N885" s="250"/>
      <c r="O885" s="253"/>
      <c r="P885" s="240"/>
      <c r="Q885" s="148"/>
      <c r="R885" s="148"/>
      <c r="S885" s="242"/>
      <c r="T885" s="242"/>
      <c r="U885" s="242"/>
      <c r="V885" s="242"/>
      <c r="W885" s="242"/>
      <c r="X885" s="242"/>
      <c r="Y885" s="148"/>
      <c r="Z885" s="148"/>
    </row>
    <row r="886">
      <c r="A886" s="148"/>
      <c r="B886" s="148"/>
      <c r="C886" s="148"/>
      <c r="D886" s="245"/>
      <c r="E886" s="148"/>
      <c r="F886" s="277"/>
      <c r="G886" s="148"/>
      <c r="H886" s="148"/>
      <c r="I886" s="251"/>
      <c r="J886" s="251"/>
      <c r="K886" s="148"/>
      <c r="L886" s="277"/>
      <c r="M886" s="252"/>
      <c r="N886" s="250"/>
      <c r="O886" s="253"/>
      <c r="P886" s="240"/>
      <c r="Q886" s="148"/>
      <c r="R886" s="148"/>
      <c r="S886" s="242"/>
      <c r="T886" s="242"/>
      <c r="U886" s="242"/>
      <c r="V886" s="242"/>
      <c r="W886" s="242"/>
      <c r="X886" s="242"/>
      <c r="Y886" s="148"/>
      <c r="Z886" s="148"/>
    </row>
    <row r="887">
      <c r="A887" s="148"/>
      <c r="B887" s="148"/>
      <c r="C887" s="148"/>
      <c r="D887" s="245"/>
      <c r="E887" s="148"/>
      <c r="F887" s="277"/>
      <c r="G887" s="148"/>
      <c r="H887" s="148"/>
      <c r="I887" s="251"/>
      <c r="J887" s="251"/>
      <c r="K887" s="148"/>
      <c r="L887" s="277"/>
      <c r="M887" s="252"/>
      <c r="N887" s="250"/>
      <c r="O887" s="253"/>
      <c r="P887" s="240"/>
      <c r="Q887" s="148"/>
      <c r="R887" s="148"/>
      <c r="S887" s="242"/>
      <c r="T887" s="242"/>
      <c r="U887" s="242"/>
      <c r="V887" s="242"/>
      <c r="W887" s="242"/>
      <c r="X887" s="242"/>
      <c r="Y887" s="148"/>
      <c r="Z887" s="148"/>
    </row>
    <row r="888">
      <c r="A888" s="148"/>
      <c r="B888" s="148"/>
      <c r="C888" s="148"/>
      <c r="D888" s="245"/>
      <c r="E888" s="148"/>
      <c r="F888" s="277"/>
      <c r="G888" s="148"/>
      <c r="H888" s="148"/>
      <c r="I888" s="251"/>
      <c r="J888" s="251"/>
      <c r="K888" s="148"/>
      <c r="L888" s="277"/>
      <c r="M888" s="252"/>
      <c r="N888" s="250"/>
      <c r="O888" s="253"/>
      <c r="P888" s="240"/>
      <c r="Q888" s="148"/>
      <c r="R888" s="148"/>
      <c r="S888" s="242"/>
      <c r="T888" s="242"/>
      <c r="U888" s="242"/>
      <c r="V888" s="242"/>
      <c r="W888" s="242"/>
      <c r="X888" s="242"/>
      <c r="Y888" s="148"/>
      <c r="Z888" s="148"/>
    </row>
    <row r="889">
      <c r="A889" s="148"/>
      <c r="B889" s="148"/>
      <c r="C889" s="148"/>
      <c r="D889" s="245"/>
      <c r="E889" s="148"/>
      <c r="F889" s="277"/>
      <c r="G889" s="148"/>
      <c r="H889" s="148"/>
      <c r="I889" s="251"/>
      <c r="J889" s="251"/>
      <c r="K889" s="148"/>
      <c r="L889" s="277"/>
      <c r="M889" s="252"/>
      <c r="N889" s="250"/>
      <c r="O889" s="253"/>
      <c r="P889" s="240"/>
      <c r="Q889" s="148"/>
      <c r="R889" s="148"/>
      <c r="S889" s="242"/>
      <c r="T889" s="242"/>
      <c r="U889" s="242"/>
      <c r="V889" s="242"/>
      <c r="W889" s="242"/>
      <c r="X889" s="242"/>
      <c r="Y889" s="148"/>
      <c r="Z889" s="148"/>
    </row>
    <row r="890">
      <c r="A890" s="148"/>
      <c r="B890" s="148"/>
      <c r="C890" s="148"/>
      <c r="D890" s="245"/>
      <c r="E890" s="148"/>
      <c r="F890" s="277"/>
      <c r="G890" s="148"/>
      <c r="H890" s="148"/>
      <c r="I890" s="251"/>
      <c r="J890" s="251"/>
      <c r="K890" s="148"/>
      <c r="L890" s="277"/>
      <c r="M890" s="252"/>
      <c r="N890" s="250"/>
      <c r="O890" s="253"/>
      <c r="P890" s="240"/>
      <c r="Q890" s="148"/>
      <c r="R890" s="148"/>
      <c r="S890" s="242"/>
      <c r="T890" s="242"/>
      <c r="U890" s="242"/>
      <c r="V890" s="242"/>
      <c r="W890" s="242"/>
      <c r="X890" s="242"/>
      <c r="Y890" s="148"/>
      <c r="Z890" s="148"/>
    </row>
    <row r="891">
      <c r="A891" s="148"/>
      <c r="B891" s="148"/>
      <c r="C891" s="148"/>
      <c r="D891" s="245"/>
      <c r="E891" s="148"/>
      <c r="F891" s="277"/>
      <c r="G891" s="148"/>
      <c r="H891" s="148"/>
      <c r="I891" s="251"/>
      <c r="J891" s="251"/>
      <c r="K891" s="148"/>
      <c r="L891" s="277"/>
      <c r="M891" s="252"/>
      <c r="N891" s="250"/>
      <c r="O891" s="253"/>
      <c r="P891" s="240"/>
      <c r="Q891" s="148"/>
      <c r="R891" s="148"/>
      <c r="S891" s="242"/>
      <c r="T891" s="242"/>
      <c r="U891" s="242"/>
      <c r="V891" s="242"/>
      <c r="W891" s="242"/>
      <c r="X891" s="242"/>
      <c r="Y891" s="148"/>
      <c r="Z891" s="148"/>
    </row>
    <row r="892">
      <c r="A892" s="148"/>
      <c r="B892" s="148"/>
      <c r="C892" s="148"/>
      <c r="D892" s="245"/>
      <c r="E892" s="148"/>
      <c r="F892" s="277"/>
      <c r="G892" s="148"/>
      <c r="H892" s="148"/>
      <c r="I892" s="251"/>
      <c r="J892" s="251"/>
      <c r="K892" s="148"/>
      <c r="L892" s="277"/>
      <c r="M892" s="252"/>
      <c r="N892" s="250"/>
      <c r="O892" s="253"/>
      <c r="P892" s="240"/>
      <c r="Q892" s="148"/>
      <c r="R892" s="148"/>
      <c r="S892" s="242"/>
      <c r="T892" s="242"/>
      <c r="U892" s="242"/>
      <c r="V892" s="242"/>
      <c r="W892" s="242"/>
      <c r="X892" s="242"/>
      <c r="Y892" s="148"/>
      <c r="Z892" s="148"/>
    </row>
    <row r="893">
      <c r="A893" s="148"/>
      <c r="B893" s="148"/>
      <c r="C893" s="148"/>
      <c r="D893" s="245"/>
      <c r="E893" s="148"/>
      <c r="F893" s="277"/>
      <c r="G893" s="148"/>
      <c r="H893" s="148"/>
      <c r="I893" s="251"/>
      <c r="J893" s="251"/>
      <c r="K893" s="148"/>
      <c r="L893" s="277"/>
      <c r="M893" s="252"/>
      <c r="N893" s="250"/>
      <c r="O893" s="253"/>
      <c r="P893" s="240"/>
      <c r="Q893" s="148"/>
      <c r="R893" s="148"/>
      <c r="S893" s="242"/>
      <c r="T893" s="242"/>
      <c r="U893" s="242"/>
      <c r="V893" s="242"/>
      <c r="W893" s="242"/>
      <c r="X893" s="242"/>
      <c r="Y893" s="148"/>
      <c r="Z893" s="148"/>
    </row>
    <row r="894">
      <c r="A894" s="148"/>
      <c r="B894" s="148"/>
      <c r="C894" s="148"/>
      <c r="D894" s="245"/>
      <c r="E894" s="148"/>
      <c r="F894" s="277"/>
      <c r="G894" s="148"/>
      <c r="H894" s="148"/>
      <c r="I894" s="251"/>
      <c r="J894" s="251"/>
      <c r="K894" s="148"/>
      <c r="L894" s="277"/>
      <c r="M894" s="252"/>
      <c r="N894" s="250"/>
      <c r="O894" s="253"/>
      <c r="P894" s="240"/>
      <c r="Q894" s="148"/>
      <c r="R894" s="148"/>
      <c r="S894" s="242"/>
      <c r="T894" s="242"/>
      <c r="U894" s="242"/>
      <c r="V894" s="242"/>
      <c r="W894" s="242"/>
      <c r="X894" s="242"/>
      <c r="Y894" s="148"/>
      <c r="Z894" s="148"/>
    </row>
    <row r="895">
      <c r="A895" s="148"/>
      <c r="B895" s="148"/>
      <c r="C895" s="148"/>
      <c r="D895" s="245"/>
      <c r="E895" s="148"/>
      <c r="F895" s="277"/>
      <c r="G895" s="148"/>
      <c r="H895" s="148"/>
      <c r="I895" s="251"/>
      <c r="J895" s="251"/>
      <c r="K895" s="148"/>
      <c r="L895" s="277"/>
      <c r="M895" s="252"/>
      <c r="N895" s="250"/>
      <c r="O895" s="253"/>
      <c r="P895" s="240"/>
      <c r="Q895" s="148"/>
      <c r="R895" s="148"/>
      <c r="S895" s="242"/>
      <c r="T895" s="242"/>
      <c r="U895" s="242"/>
      <c r="V895" s="242"/>
      <c r="W895" s="242"/>
      <c r="X895" s="242"/>
      <c r="Y895" s="148"/>
      <c r="Z895" s="148"/>
    </row>
    <row r="896">
      <c r="A896" s="148"/>
      <c r="B896" s="148"/>
      <c r="C896" s="148"/>
      <c r="D896" s="245"/>
      <c r="E896" s="148"/>
      <c r="F896" s="277"/>
      <c r="G896" s="148"/>
      <c r="H896" s="148"/>
      <c r="I896" s="251"/>
      <c r="J896" s="251"/>
      <c r="K896" s="148"/>
      <c r="L896" s="277"/>
      <c r="M896" s="252"/>
      <c r="N896" s="250"/>
      <c r="O896" s="253"/>
      <c r="P896" s="240"/>
      <c r="Q896" s="148"/>
      <c r="R896" s="148"/>
      <c r="S896" s="242"/>
      <c r="T896" s="242"/>
      <c r="U896" s="242"/>
      <c r="V896" s="242"/>
      <c r="W896" s="242"/>
      <c r="X896" s="242"/>
      <c r="Y896" s="148"/>
      <c r="Z896" s="148"/>
    </row>
    <row r="897">
      <c r="A897" s="148"/>
      <c r="B897" s="148"/>
      <c r="C897" s="148"/>
      <c r="D897" s="245"/>
      <c r="E897" s="148"/>
      <c r="F897" s="277"/>
      <c r="G897" s="148"/>
      <c r="H897" s="148"/>
      <c r="I897" s="251"/>
      <c r="J897" s="251"/>
      <c r="K897" s="148"/>
      <c r="L897" s="277"/>
      <c r="M897" s="252"/>
      <c r="N897" s="250"/>
      <c r="O897" s="253"/>
      <c r="P897" s="240"/>
      <c r="Q897" s="148"/>
      <c r="R897" s="148"/>
      <c r="S897" s="242"/>
      <c r="T897" s="242"/>
      <c r="U897" s="242"/>
      <c r="V897" s="242"/>
      <c r="W897" s="242"/>
      <c r="X897" s="242"/>
      <c r="Y897" s="148"/>
      <c r="Z897" s="148"/>
    </row>
    <row r="898">
      <c r="A898" s="148"/>
      <c r="B898" s="148"/>
      <c r="C898" s="148"/>
      <c r="D898" s="245"/>
      <c r="E898" s="148"/>
      <c r="F898" s="277"/>
      <c r="G898" s="148"/>
      <c r="H898" s="148"/>
      <c r="I898" s="251"/>
      <c r="J898" s="251"/>
      <c r="K898" s="148"/>
      <c r="L898" s="277"/>
      <c r="M898" s="252"/>
      <c r="N898" s="250"/>
      <c r="O898" s="253"/>
      <c r="P898" s="240"/>
      <c r="Q898" s="148"/>
      <c r="R898" s="148"/>
      <c r="S898" s="242"/>
      <c r="T898" s="242"/>
      <c r="U898" s="242"/>
      <c r="V898" s="242"/>
      <c r="W898" s="242"/>
      <c r="X898" s="242"/>
      <c r="Y898" s="148"/>
      <c r="Z898" s="148"/>
    </row>
    <row r="899">
      <c r="A899" s="148"/>
      <c r="B899" s="148"/>
      <c r="C899" s="148"/>
      <c r="D899" s="245"/>
      <c r="E899" s="148"/>
      <c r="F899" s="277"/>
      <c r="G899" s="148"/>
      <c r="H899" s="148"/>
      <c r="I899" s="251"/>
      <c r="J899" s="251"/>
      <c r="K899" s="148"/>
      <c r="L899" s="277"/>
      <c r="M899" s="252"/>
      <c r="N899" s="250"/>
      <c r="O899" s="253"/>
      <c r="P899" s="240"/>
      <c r="Q899" s="148"/>
      <c r="R899" s="148"/>
      <c r="S899" s="242"/>
      <c r="T899" s="242"/>
      <c r="U899" s="242"/>
      <c r="V899" s="242"/>
      <c r="W899" s="242"/>
      <c r="X899" s="242"/>
      <c r="Y899" s="148"/>
      <c r="Z899" s="148"/>
    </row>
    <row r="900">
      <c r="A900" s="148"/>
      <c r="B900" s="148"/>
      <c r="C900" s="148"/>
      <c r="D900" s="245"/>
      <c r="E900" s="148"/>
      <c r="F900" s="277"/>
      <c r="G900" s="148"/>
      <c r="H900" s="148"/>
      <c r="I900" s="251"/>
      <c r="J900" s="251"/>
      <c r="K900" s="148"/>
      <c r="L900" s="277"/>
      <c r="M900" s="252"/>
      <c r="N900" s="250"/>
      <c r="O900" s="253"/>
      <c r="P900" s="240"/>
      <c r="Q900" s="148"/>
      <c r="R900" s="148"/>
      <c r="S900" s="242"/>
      <c r="T900" s="242"/>
      <c r="U900" s="242"/>
      <c r="V900" s="242"/>
      <c r="W900" s="242"/>
      <c r="X900" s="242"/>
      <c r="Y900" s="148"/>
      <c r="Z900" s="148"/>
    </row>
    <row r="901">
      <c r="A901" s="148"/>
      <c r="B901" s="148"/>
      <c r="C901" s="148"/>
      <c r="D901" s="245"/>
      <c r="E901" s="148"/>
      <c r="F901" s="277"/>
      <c r="G901" s="148"/>
      <c r="H901" s="148"/>
      <c r="I901" s="251"/>
      <c r="J901" s="251"/>
      <c r="K901" s="148"/>
      <c r="L901" s="277"/>
      <c r="M901" s="252"/>
      <c r="N901" s="250"/>
      <c r="O901" s="253"/>
      <c r="P901" s="240"/>
      <c r="Q901" s="148"/>
      <c r="R901" s="148"/>
      <c r="S901" s="242"/>
      <c r="T901" s="242"/>
      <c r="U901" s="242"/>
      <c r="V901" s="242"/>
      <c r="W901" s="242"/>
      <c r="X901" s="242"/>
      <c r="Y901" s="148"/>
      <c r="Z901" s="148"/>
    </row>
    <row r="902">
      <c r="A902" s="148"/>
      <c r="B902" s="148"/>
      <c r="C902" s="148"/>
      <c r="D902" s="245"/>
      <c r="E902" s="148"/>
      <c r="F902" s="277"/>
      <c r="G902" s="148"/>
      <c r="H902" s="148"/>
      <c r="I902" s="251"/>
      <c r="J902" s="251"/>
      <c r="K902" s="148"/>
      <c r="L902" s="277"/>
      <c r="M902" s="252"/>
      <c r="N902" s="250"/>
      <c r="O902" s="253"/>
      <c r="P902" s="240"/>
      <c r="Q902" s="148"/>
      <c r="R902" s="148"/>
      <c r="S902" s="242"/>
      <c r="T902" s="242"/>
      <c r="U902" s="242"/>
      <c r="V902" s="242"/>
      <c r="W902" s="242"/>
      <c r="X902" s="242"/>
      <c r="Y902" s="148"/>
      <c r="Z902" s="148"/>
    </row>
    <row r="903">
      <c r="A903" s="148"/>
      <c r="B903" s="148"/>
      <c r="C903" s="148"/>
      <c r="D903" s="245"/>
      <c r="E903" s="148"/>
      <c r="F903" s="277"/>
      <c r="G903" s="148"/>
      <c r="H903" s="148"/>
      <c r="I903" s="251"/>
      <c r="J903" s="251"/>
      <c r="K903" s="148"/>
      <c r="L903" s="277"/>
      <c r="M903" s="252"/>
      <c r="N903" s="250"/>
      <c r="O903" s="253"/>
      <c r="P903" s="240"/>
      <c r="Q903" s="148"/>
      <c r="R903" s="148"/>
      <c r="S903" s="242"/>
      <c r="T903" s="242"/>
      <c r="U903" s="242"/>
      <c r="V903" s="242"/>
      <c r="W903" s="242"/>
      <c r="X903" s="242"/>
      <c r="Y903" s="148"/>
      <c r="Z903" s="148"/>
    </row>
    <row r="904">
      <c r="A904" s="148"/>
      <c r="B904" s="148"/>
      <c r="C904" s="148"/>
      <c r="D904" s="245"/>
      <c r="E904" s="148"/>
      <c r="F904" s="277"/>
      <c r="G904" s="148"/>
      <c r="H904" s="148"/>
      <c r="I904" s="251"/>
      <c r="J904" s="251"/>
      <c r="K904" s="148"/>
      <c r="L904" s="277"/>
      <c r="M904" s="252"/>
      <c r="N904" s="250"/>
      <c r="O904" s="253"/>
      <c r="P904" s="240"/>
      <c r="Q904" s="148"/>
      <c r="R904" s="148"/>
      <c r="S904" s="242"/>
      <c r="T904" s="242"/>
      <c r="U904" s="242"/>
      <c r="V904" s="242"/>
      <c r="W904" s="242"/>
      <c r="X904" s="242"/>
      <c r="Y904" s="148"/>
      <c r="Z904" s="148"/>
    </row>
    <row r="905">
      <c r="A905" s="148"/>
      <c r="B905" s="148"/>
      <c r="C905" s="148"/>
      <c r="D905" s="245"/>
      <c r="E905" s="148"/>
      <c r="F905" s="277"/>
      <c r="G905" s="148"/>
      <c r="H905" s="148"/>
      <c r="I905" s="251"/>
      <c r="J905" s="251"/>
      <c r="K905" s="148"/>
      <c r="L905" s="277"/>
      <c r="M905" s="252"/>
      <c r="N905" s="250"/>
      <c r="O905" s="253"/>
      <c r="P905" s="240"/>
      <c r="Q905" s="148"/>
      <c r="R905" s="148"/>
      <c r="S905" s="242"/>
      <c r="T905" s="242"/>
      <c r="U905" s="242"/>
      <c r="V905" s="242"/>
      <c r="W905" s="242"/>
      <c r="X905" s="242"/>
      <c r="Y905" s="148"/>
      <c r="Z905" s="148"/>
    </row>
    <row r="906">
      <c r="A906" s="148"/>
      <c r="B906" s="148"/>
      <c r="C906" s="148"/>
      <c r="D906" s="245"/>
      <c r="E906" s="148"/>
      <c r="F906" s="277"/>
      <c r="G906" s="148"/>
      <c r="H906" s="148"/>
      <c r="I906" s="251"/>
      <c r="J906" s="251"/>
      <c r="K906" s="148"/>
      <c r="L906" s="277"/>
      <c r="M906" s="252"/>
      <c r="N906" s="250"/>
      <c r="O906" s="253"/>
      <c r="P906" s="240"/>
      <c r="Q906" s="148"/>
      <c r="R906" s="148"/>
      <c r="S906" s="242"/>
      <c r="T906" s="242"/>
      <c r="U906" s="242"/>
      <c r="V906" s="242"/>
      <c r="W906" s="242"/>
      <c r="X906" s="242"/>
      <c r="Y906" s="148"/>
      <c r="Z906" s="148"/>
    </row>
    <row r="907">
      <c r="A907" s="148"/>
      <c r="B907" s="148"/>
      <c r="C907" s="148"/>
      <c r="D907" s="245"/>
      <c r="E907" s="148"/>
      <c r="F907" s="277"/>
      <c r="G907" s="148"/>
      <c r="H907" s="148"/>
      <c r="I907" s="251"/>
      <c r="J907" s="251"/>
      <c r="K907" s="148"/>
      <c r="L907" s="277"/>
      <c r="M907" s="252"/>
      <c r="N907" s="250"/>
      <c r="O907" s="253"/>
      <c r="P907" s="240"/>
      <c r="Q907" s="148"/>
      <c r="R907" s="148"/>
      <c r="S907" s="242"/>
      <c r="T907" s="242"/>
      <c r="U907" s="242"/>
      <c r="V907" s="242"/>
      <c r="W907" s="242"/>
      <c r="X907" s="242"/>
      <c r="Y907" s="148"/>
      <c r="Z907" s="148"/>
    </row>
    <row r="908">
      <c r="A908" s="148"/>
      <c r="B908" s="148"/>
      <c r="C908" s="148"/>
      <c r="D908" s="245"/>
      <c r="E908" s="148"/>
      <c r="F908" s="277"/>
      <c r="G908" s="148"/>
      <c r="H908" s="148"/>
      <c r="I908" s="251"/>
      <c r="J908" s="251"/>
      <c r="K908" s="148"/>
      <c r="L908" s="277"/>
      <c r="M908" s="252"/>
      <c r="N908" s="250"/>
      <c r="O908" s="253"/>
      <c r="P908" s="240"/>
      <c r="Q908" s="148"/>
      <c r="R908" s="148"/>
      <c r="S908" s="242"/>
      <c r="T908" s="242"/>
      <c r="U908" s="242"/>
      <c r="V908" s="242"/>
      <c r="W908" s="242"/>
      <c r="X908" s="242"/>
      <c r="Y908" s="148"/>
      <c r="Z908" s="148"/>
    </row>
    <row r="909">
      <c r="A909" s="148"/>
      <c r="B909" s="148"/>
      <c r="C909" s="148"/>
      <c r="D909" s="245"/>
      <c r="E909" s="148"/>
      <c r="F909" s="277"/>
      <c r="G909" s="148"/>
      <c r="H909" s="148"/>
      <c r="I909" s="251"/>
      <c r="J909" s="251"/>
      <c r="K909" s="148"/>
      <c r="L909" s="277"/>
      <c r="M909" s="252"/>
      <c r="N909" s="250"/>
      <c r="O909" s="253"/>
      <c r="P909" s="240"/>
      <c r="Q909" s="148"/>
      <c r="R909" s="148"/>
      <c r="S909" s="242"/>
      <c r="T909" s="242"/>
      <c r="U909" s="242"/>
      <c r="V909" s="242"/>
      <c r="W909" s="242"/>
      <c r="X909" s="242"/>
      <c r="Y909" s="148"/>
      <c r="Z909" s="148"/>
    </row>
    <row r="910">
      <c r="A910" s="148"/>
      <c r="B910" s="148"/>
      <c r="C910" s="148"/>
      <c r="D910" s="245"/>
      <c r="E910" s="148"/>
      <c r="F910" s="277"/>
      <c r="G910" s="148"/>
      <c r="H910" s="148"/>
      <c r="I910" s="251"/>
      <c r="J910" s="251"/>
      <c r="K910" s="148"/>
      <c r="L910" s="277"/>
      <c r="M910" s="252"/>
      <c r="N910" s="250"/>
      <c r="O910" s="253"/>
      <c r="P910" s="240"/>
      <c r="Q910" s="148"/>
      <c r="R910" s="148"/>
      <c r="S910" s="242"/>
      <c r="T910" s="242"/>
      <c r="U910" s="242"/>
      <c r="V910" s="242"/>
      <c r="W910" s="242"/>
      <c r="X910" s="242"/>
      <c r="Y910" s="148"/>
      <c r="Z910" s="148"/>
    </row>
    <row r="911">
      <c r="A911" s="148"/>
      <c r="B911" s="148"/>
      <c r="C911" s="148"/>
      <c r="D911" s="245"/>
      <c r="E911" s="148"/>
      <c r="F911" s="277"/>
      <c r="G911" s="148"/>
      <c r="H911" s="148"/>
      <c r="I911" s="251"/>
      <c r="J911" s="251"/>
      <c r="K911" s="148"/>
      <c r="L911" s="277"/>
      <c r="M911" s="252"/>
      <c r="N911" s="250"/>
      <c r="O911" s="253"/>
      <c r="P911" s="240"/>
      <c r="Q911" s="148"/>
      <c r="R911" s="148"/>
      <c r="S911" s="242"/>
      <c r="T911" s="242"/>
      <c r="U911" s="242"/>
      <c r="V911" s="242"/>
      <c r="W911" s="242"/>
      <c r="X911" s="242"/>
      <c r="Y911" s="148"/>
      <c r="Z911" s="148"/>
    </row>
    <row r="912">
      <c r="A912" s="148"/>
      <c r="B912" s="148"/>
      <c r="C912" s="148"/>
      <c r="D912" s="245"/>
      <c r="E912" s="148"/>
      <c r="F912" s="277"/>
      <c r="G912" s="148"/>
      <c r="H912" s="148"/>
      <c r="I912" s="251"/>
      <c r="J912" s="251"/>
      <c r="K912" s="148"/>
      <c r="L912" s="277"/>
      <c r="M912" s="252"/>
      <c r="N912" s="250"/>
      <c r="O912" s="253"/>
      <c r="P912" s="240"/>
      <c r="Q912" s="148"/>
      <c r="R912" s="148"/>
      <c r="S912" s="242"/>
      <c r="T912" s="242"/>
      <c r="U912" s="242"/>
      <c r="V912" s="242"/>
      <c r="W912" s="242"/>
      <c r="X912" s="242"/>
      <c r="Y912" s="148"/>
      <c r="Z912" s="148"/>
    </row>
    <row r="913">
      <c r="A913" s="148"/>
      <c r="B913" s="148"/>
      <c r="C913" s="148"/>
      <c r="D913" s="245"/>
      <c r="E913" s="148"/>
      <c r="F913" s="277"/>
      <c r="G913" s="148"/>
      <c r="H913" s="148"/>
      <c r="I913" s="251"/>
      <c r="J913" s="251"/>
      <c r="K913" s="148"/>
      <c r="L913" s="277"/>
      <c r="M913" s="252"/>
      <c r="N913" s="250"/>
      <c r="O913" s="253"/>
      <c r="P913" s="240"/>
      <c r="Q913" s="148"/>
      <c r="R913" s="148"/>
      <c r="S913" s="242"/>
      <c r="T913" s="242"/>
      <c r="U913" s="242"/>
      <c r="V913" s="242"/>
      <c r="W913" s="242"/>
      <c r="X913" s="242"/>
      <c r="Y913" s="148"/>
      <c r="Z913" s="148"/>
    </row>
    <row r="914">
      <c r="A914" s="148"/>
      <c r="B914" s="148"/>
      <c r="C914" s="148"/>
      <c r="D914" s="245"/>
      <c r="E914" s="148"/>
      <c r="F914" s="277"/>
      <c r="G914" s="148"/>
      <c r="H914" s="148"/>
      <c r="I914" s="251"/>
      <c r="J914" s="251"/>
      <c r="K914" s="148"/>
      <c r="L914" s="277"/>
      <c r="M914" s="252"/>
      <c r="N914" s="250"/>
      <c r="O914" s="253"/>
      <c r="P914" s="240"/>
      <c r="Q914" s="148"/>
      <c r="R914" s="148"/>
      <c r="S914" s="242"/>
      <c r="T914" s="242"/>
      <c r="U914" s="242"/>
      <c r="V914" s="242"/>
      <c r="W914" s="242"/>
      <c r="X914" s="242"/>
      <c r="Y914" s="148"/>
      <c r="Z914" s="148"/>
    </row>
    <row r="915">
      <c r="A915" s="148"/>
      <c r="B915" s="148"/>
      <c r="C915" s="148"/>
      <c r="D915" s="245"/>
      <c r="E915" s="148"/>
      <c r="F915" s="277"/>
      <c r="G915" s="148"/>
      <c r="H915" s="148"/>
      <c r="I915" s="251"/>
      <c r="J915" s="251"/>
      <c r="K915" s="148"/>
      <c r="L915" s="277"/>
      <c r="M915" s="252"/>
      <c r="N915" s="250"/>
      <c r="O915" s="253"/>
      <c r="P915" s="240"/>
      <c r="Q915" s="148"/>
      <c r="R915" s="148"/>
      <c r="S915" s="242"/>
      <c r="T915" s="242"/>
      <c r="U915" s="242"/>
      <c r="V915" s="242"/>
      <c r="W915" s="242"/>
      <c r="X915" s="242"/>
      <c r="Y915" s="148"/>
      <c r="Z915" s="148"/>
    </row>
    <row r="916">
      <c r="A916" s="148"/>
      <c r="B916" s="148"/>
      <c r="C916" s="148"/>
      <c r="D916" s="245"/>
      <c r="E916" s="148"/>
      <c r="F916" s="277"/>
      <c r="G916" s="148"/>
      <c r="H916" s="148"/>
      <c r="I916" s="251"/>
      <c r="J916" s="251"/>
      <c r="K916" s="148"/>
      <c r="L916" s="277"/>
      <c r="M916" s="252"/>
      <c r="N916" s="250"/>
      <c r="O916" s="253"/>
      <c r="P916" s="240"/>
      <c r="Q916" s="148"/>
      <c r="R916" s="148"/>
      <c r="S916" s="242"/>
      <c r="T916" s="242"/>
      <c r="U916" s="242"/>
      <c r="V916" s="242"/>
      <c r="W916" s="242"/>
      <c r="X916" s="242"/>
      <c r="Y916" s="148"/>
      <c r="Z916" s="148"/>
    </row>
    <row r="917">
      <c r="A917" s="148"/>
      <c r="B917" s="148"/>
      <c r="C917" s="148"/>
      <c r="D917" s="245"/>
      <c r="E917" s="148"/>
      <c r="F917" s="277"/>
      <c r="G917" s="148"/>
      <c r="H917" s="148"/>
      <c r="I917" s="251"/>
      <c r="J917" s="251"/>
      <c r="K917" s="148"/>
      <c r="L917" s="277"/>
      <c r="M917" s="252"/>
      <c r="N917" s="250"/>
      <c r="O917" s="253"/>
      <c r="P917" s="240"/>
      <c r="Q917" s="148"/>
      <c r="R917" s="148"/>
      <c r="S917" s="242"/>
      <c r="T917" s="242"/>
      <c r="U917" s="242"/>
      <c r="V917" s="242"/>
      <c r="W917" s="242"/>
      <c r="X917" s="242"/>
      <c r="Y917" s="148"/>
      <c r="Z917" s="148"/>
    </row>
    <row r="918">
      <c r="A918" s="148"/>
      <c r="B918" s="148"/>
      <c r="C918" s="148"/>
      <c r="D918" s="245"/>
      <c r="E918" s="148"/>
      <c r="F918" s="277"/>
      <c r="G918" s="148"/>
      <c r="H918" s="148"/>
      <c r="I918" s="251"/>
      <c r="J918" s="251"/>
      <c r="K918" s="148"/>
      <c r="L918" s="277"/>
      <c r="M918" s="252"/>
      <c r="N918" s="250"/>
      <c r="O918" s="253"/>
      <c r="P918" s="240"/>
      <c r="Q918" s="148"/>
      <c r="R918" s="148"/>
      <c r="S918" s="242"/>
      <c r="T918" s="242"/>
      <c r="U918" s="242"/>
      <c r="V918" s="242"/>
      <c r="W918" s="242"/>
      <c r="X918" s="242"/>
      <c r="Y918" s="148"/>
      <c r="Z918" s="148"/>
    </row>
    <row r="919">
      <c r="A919" s="148"/>
      <c r="B919" s="148"/>
      <c r="C919" s="148"/>
      <c r="D919" s="245"/>
      <c r="E919" s="148"/>
      <c r="F919" s="277"/>
      <c r="G919" s="148"/>
      <c r="H919" s="148"/>
      <c r="I919" s="251"/>
      <c r="J919" s="251"/>
      <c r="K919" s="148"/>
      <c r="L919" s="277"/>
      <c r="M919" s="252"/>
      <c r="N919" s="250"/>
      <c r="O919" s="253"/>
      <c r="P919" s="240"/>
      <c r="Q919" s="148"/>
      <c r="R919" s="148"/>
      <c r="S919" s="242"/>
      <c r="T919" s="242"/>
      <c r="U919" s="242"/>
      <c r="V919" s="242"/>
      <c r="W919" s="242"/>
      <c r="X919" s="242"/>
      <c r="Y919" s="148"/>
      <c r="Z919" s="148"/>
    </row>
    <row r="920">
      <c r="A920" s="148"/>
      <c r="B920" s="148"/>
      <c r="C920" s="148"/>
      <c r="D920" s="245"/>
      <c r="E920" s="148"/>
      <c r="F920" s="277"/>
      <c r="G920" s="148"/>
      <c r="H920" s="148"/>
      <c r="I920" s="251"/>
      <c r="J920" s="251"/>
      <c r="K920" s="148"/>
      <c r="L920" s="277"/>
      <c r="M920" s="252"/>
      <c r="N920" s="250"/>
      <c r="O920" s="253"/>
      <c r="P920" s="240"/>
      <c r="Q920" s="148"/>
      <c r="R920" s="148"/>
      <c r="S920" s="242"/>
      <c r="T920" s="242"/>
      <c r="U920" s="242"/>
      <c r="V920" s="242"/>
      <c r="W920" s="242"/>
      <c r="X920" s="242"/>
      <c r="Y920" s="148"/>
      <c r="Z920" s="148"/>
    </row>
    <row r="921">
      <c r="A921" s="148"/>
      <c r="B921" s="148"/>
      <c r="C921" s="148"/>
      <c r="D921" s="245"/>
      <c r="E921" s="148"/>
      <c r="F921" s="277"/>
      <c r="G921" s="148"/>
      <c r="H921" s="148"/>
      <c r="I921" s="251"/>
      <c r="J921" s="251"/>
      <c r="K921" s="148"/>
      <c r="L921" s="277"/>
      <c r="M921" s="252"/>
      <c r="N921" s="250"/>
      <c r="O921" s="253"/>
      <c r="P921" s="240"/>
      <c r="Q921" s="148"/>
      <c r="R921" s="148"/>
      <c r="S921" s="242"/>
      <c r="T921" s="242"/>
      <c r="U921" s="242"/>
      <c r="V921" s="242"/>
      <c r="W921" s="242"/>
      <c r="X921" s="242"/>
      <c r="Y921" s="148"/>
      <c r="Z921" s="148"/>
    </row>
    <row r="922">
      <c r="A922" s="148"/>
      <c r="B922" s="148"/>
      <c r="C922" s="148"/>
      <c r="D922" s="245"/>
      <c r="E922" s="148"/>
      <c r="F922" s="277"/>
      <c r="G922" s="148"/>
      <c r="H922" s="148"/>
      <c r="I922" s="251"/>
      <c r="J922" s="251"/>
      <c r="K922" s="148"/>
      <c r="L922" s="277"/>
      <c r="M922" s="252"/>
      <c r="N922" s="250"/>
      <c r="O922" s="253"/>
      <c r="P922" s="240"/>
      <c r="Q922" s="148"/>
      <c r="R922" s="148"/>
      <c r="S922" s="242"/>
      <c r="T922" s="242"/>
      <c r="U922" s="242"/>
      <c r="V922" s="242"/>
      <c r="W922" s="242"/>
      <c r="X922" s="242"/>
      <c r="Y922" s="148"/>
      <c r="Z922" s="148"/>
    </row>
    <row r="923">
      <c r="A923" s="148"/>
      <c r="B923" s="148"/>
      <c r="C923" s="148"/>
      <c r="D923" s="245"/>
      <c r="E923" s="148"/>
      <c r="F923" s="277"/>
      <c r="G923" s="148"/>
      <c r="H923" s="148"/>
      <c r="I923" s="251"/>
      <c r="J923" s="251"/>
      <c r="K923" s="148"/>
      <c r="L923" s="277"/>
      <c r="M923" s="252"/>
      <c r="N923" s="250"/>
      <c r="O923" s="253"/>
      <c r="P923" s="240"/>
      <c r="Q923" s="148"/>
      <c r="R923" s="148"/>
      <c r="S923" s="242"/>
      <c r="T923" s="242"/>
      <c r="U923" s="242"/>
      <c r="V923" s="242"/>
      <c r="W923" s="242"/>
      <c r="X923" s="242"/>
      <c r="Y923" s="148"/>
      <c r="Z923" s="148"/>
    </row>
    <row r="924">
      <c r="A924" s="148"/>
      <c r="B924" s="148"/>
      <c r="C924" s="148"/>
      <c r="D924" s="245"/>
      <c r="E924" s="148"/>
      <c r="F924" s="277"/>
      <c r="G924" s="148"/>
      <c r="H924" s="148"/>
      <c r="I924" s="251"/>
      <c r="J924" s="251"/>
      <c r="K924" s="148"/>
      <c r="L924" s="277"/>
      <c r="M924" s="252"/>
      <c r="N924" s="250"/>
      <c r="O924" s="253"/>
      <c r="P924" s="240"/>
      <c r="Q924" s="148"/>
      <c r="R924" s="148"/>
      <c r="S924" s="242"/>
      <c r="T924" s="242"/>
      <c r="U924" s="242"/>
      <c r="V924" s="242"/>
      <c r="W924" s="242"/>
      <c r="X924" s="242"/>
      <c r="Y924" s="148"/>
      <c r="Z924" s="148"/>
    </row>
    <row r="925">
      <c r="A925" s="148"/>
      <c r="B925" s="148"/>
      <c r="C925" s="148"/>
      <c r="D925" s="245"/>
      <c r="E925" s="148"/>
      <c r="F925" s="277"/>
      <c r="G925" s="148"/>
      <c r="H925" s="148"/>
      <c r="I925" s="251"/>
      <c r="J925" s="251"/>
      <c r="K925" s="148"/>
      <c r="L925" s="277"/>
      <c r="M925" s="252"/>
      <c r="N925" s="250"/>
      <c r="O925" s="253"/>
      <c r="P925" s="240"/>
      <c r="Q925" s="148"/>
      <c r="R925" s="148"/>
      <c r="S925" s="242"/>
      <c r="T925" s="242"/>
      <c r="U925" s="242"/>
      <c r="V925" s="242"/>
      <c r="W925" s="242"/>
      <c r="X925" s="242"/>
      <c r="Y925" s="148"/>
      <c r="Z925" s="148"/>
    </row>
    <row r="926">
      <c r="A926" s="148"/>
      <c r="B926" s="148"/>
      <c r="C926" s="148"/>
      <c r="D926" s="245"/>
      <c r="E926" s="148"/>
      <c r="F926" s="277"/>
      <c r="G926" s="148"/>
      <c r="H926" s="148"/>
      <c r="I926" s="251"/>
      <c r="J926" s="251"/>
      <c r="K926" s="148"/>
      <c r="L926" s="277"/>
      <c r="M926" s="252"/>
      <c r="N926" s="250"/>
      <c r="O926" s="253"/>
      <c r="P926" s="240"/>
      <c r="Q926" s="148"/>
      <c r="R926" s="148"/>
      <c r="S926" s="242"/>
      <c r="T926" s="242"/>
      <c r="U926" s="242"/>
      <c r="V926" s="242"/>
      <c r="W926" s="242"/>
      <c r="X926" s="242"/>
      <c r="Y926" s="148"/>
      <c r="Z926" s="148"/>
    </row>
    <row r="927">
      <c r="A927" s="148"/>
      <c r="B927" s="148"/>
      <c r="C927" s="148"/>
      <c r="D927" s="245"/>
      <c r="E927" s="148"/>
      <c r="F927" s="277"/>
      <c r="G927" s="148"/>
      <c r="H927" s="148"/>
      <c r="I927" s="251"/>
      <c r="J927" s="251"/>
      <c r="K927" s="148"/>
      <c r="L927" s="277"/>
      <c r="M927" s="252"/>
      <c r="N927" s="250"/>
      <c r="O927" s="253"/>
      <c r="P927" s="240"/>
      <c r="Q927" s="148"/>
      <c r="R927" s="148"/>
      <c r="S927" s="242"/>
      <c r="T927" s="242"/>
      <c r="U927" s="242"/>
      <c r="V927" s="242"/>
      <c r="W927" s="242"/>
      <c r="X927" s="242"/>
      <c r="Y927" s="148"/>
      <c r="Z927" s="148"/>
    </row>
    <row r="928">
      <c r="A928" s="148"/>
      <c r="B928" s="148"/>
      <c r="C928" s="148"/>
      <c r="D928" s="245"/>
      <c r="E928" s="148"/>
      <c r="F928" s="277"/>
      <c r="G928" s="148"/>
      <c r="H928" s="148"/>
      <c r="I928" s="251"/>
      <c r="J928" s="251"/>
      <c r="K928" s="148"/>
      <c r="L928" s="277"/>
      <c r="M928" s="252"/>
      <c r="N928" s="250"/>
      <c r="O928" s="253"/>
      <c r="P928" s="240"/>
      <c r="Q928" s="148"/>
      <c r="R928" s="148"/>
      <c r="S928" s="242"/>
      <c r="T928" s="242"/>
      <c r="U928" s="242"/>
      <c r="V928" s="242"/>
      <c r="W928" s="242"/>
      <c r="X928" s="242"/>
      <c r="Y928" s="148"/>
      <c r="Z928" s="148"/>
    </row>
    <row r="929">
      <c r="A929" s="148"/>
      <c r="B929" s="148"/>
      <c r="C929" s="148"/>
      <c r="D929" s="245"/>
      <c r="E929" s="148"/>
      <c r="F929" s="277"/>
      <c r="G929" s="148"/>
      <c r="H929" s="148"/>
      <c r="I929" s="251"/>
      <c r="J929" s="251"/>
      <c r="K929" s="148"/>
      <c r="L929" s="277"/>
      <c r="M929" s="252"/>
      <c r="N929" s="250"/>
      <c r="O929" s="253"/>
      <c r="P929" s="240"/>
      <c r="Q929" s="148"/>
      <c r="R929" s="148"/>
      <c r="S929" s="242"/>
      <c r="T929" s="242"/>
      <c r="U929" s="242"/>
      <c r="V929" s="242"/>
      <c r="W929" s="242"/>
      <c r="X929" s="242"/>
      <c r="Y929" s="148"/>
      <c r="Z929" s="148"/>
    </row>
    <row r="930">
      <c r="A930" s="148"/>
      <c r="B930" s="148"/>
      <c r="C930" s="148"/>
      <c r="D930" s="245"/>
      <c r="E930" s="148"/>
      <c r="F930" s="277"/>
      <c r="G930" s="148"/>
      <c r="H930" s="148"/>
      <c r="I930" s="251"/>
      <c r="J930" s="251"/>
      <c r="K930" s="148"/>
      <c r="L930" s="277"/>
      <c r="M930" s="252"/>
      <c r="N930" s="250"/>
      <c r="O930" s="253"/>
      <c r="P930" s="240"/>
      <c r="Q930" s="148"/>
      <c r="R930" s="148"/>
      <c r="S930" s="242"/>
      <c r="T930" s="242"/>
      <c r="U930" s="242"/>
      <c r="V930" s="242"/>
      <c r="W930" s="242"/>
      <c r="X930" s="242"/>
      <c r="Y930" s="148"/>
      <c r="Z930" s="148"/>
    </row>
    <row r="931">
      <c r="A931" s="148"/>
      <c r="B931" s="148"/>
      <c r="C931" s="148"/>
      <c r="D931" s="245"/>
      <c r="E931" s="148"/>
      <c r="F931" s="277"/>
      <c r="G931" s="148"/>
      <c r="H931" s="148"/>
      <c r="I931" s="251"/>
      <c r="J931" s="251"/>
      <c r="K931" s="148"/>
      <c r="L931" s="277"/>
      <c r="M931" s="252"/>
      <c r="N931" s="250"/>
      <c r="O931" s="253"/>
      <c r="P931" s="240"/>
      <c r="Q931" s="148"/>
      <c r="R931" s="148"/>
      <c r="S931" s="242"/>
      <c r="T931" s="242"/>
      <c r="U931" s="242"/>
      <c r="V931" s="242"/>
      <c r="W931" s="242"/>
      <c r="X931" s="242"/>
      <c r="Y931" s="148"/>
      <c r="Z931" s="148"/>
    </row>
    <row r="932">
      <c r="A932" s="148"/>
      <c r="B932" s="148"/>
      <c r="C932" s="148"/>
      <c r="D932" s="245"/>
      <c r="E932" s="148"/>
      <c r="F932" s="277"/>
      <c r="G932" s="148"/>
      <c r="H932" s="148"/>
      <c r="I932" s="251"/>
      <c r="J932" s="251"/>
      <c r="K932" s="148"/>
      <c r="L932" s="277"/>
      <c r="M932" s="252"/>
      <c r="N932" s="250"/>
      <c r="O932" s="253"/>
      <c r="P932" s="240"/>
      <c r="Q932" s="148"/>
      <c r="R932" s="148"/>
      <c r="S932" s="242"/>
      <c r="T932" s="242"/>
      <c r="U932" s="242"/>
      <c r="V932" s="242"/>
      <c r="W932" s="242"/>
      <c r="X932" s="242"/>
      <c r="Y932" s="148"/>
      <c r="Z932" s="148"/>
    </row>
    <row r="933">
      <c r="A933" s="148"/>
      <c r="B933" s="148"/>
      <c r="C933" s="148"/>
      <c r="D933" s="245"/>
      <c r="E933" s="148"/>
      <c r="F933" s="277"/>
      <c r="G933" s="148"/>
      <c r="H933" s="148"/>
      <c r="I933" s="251"/>
      <c r="J933" s="251"/>
      <c r="K933" s="148"/>
      <c r="L933" s="277"/>
      <c r="M933" s="252"/>
      <c r="N933" s="250"/>
      <c r="O933" s="253"/>
      <c r="P933" s="240"/>
      <c r="Q933" s="148"/>
      <c r="R933" s="148"/>
      <c r="S933" s="242"/>
      <c r="T933" s="242"/>
      <c r="U933" s="242"/>
      <c r="V933" s="242"/>
      <c r="W933" s="242"/>
      <c r="X933" s="242"/>
      <c r="Y933" s="148"/>
      <c r="Z933" s="148"/>
    </row>
    <row r="934">
      <c r="A934" s="148"/>
      <c r="B934" s="148"/>
      <c r="C934" s="148"/>
      <c r="D934" s="245"/>
      <c r="E934" s="148"/>
      <c r="F934" s="277"/>
      <c r="G934" s="148"/>
      <c r="H934" s="148"/>
      <c r="I934" s="251"/>
      <c r="J934" s="251"/>
      <c r="K934" s="148"/>
      <c r="L934" s="277"/>
      <c r="M934" s="252"/>
      <c r="N934" s="250"/>
      <c r="O934" s="253"/>
      <c r="P934" s="240"/>
      <c r="Q934" s="148"/>
      <c r="R934" s="148"/>
      <c r="S934" s="242"/>
      <c r="T934" s="242"/>
      <c r="U934" s="242"/>
      <c r="V934" s="242"/>
      <c r="W934" s="242"/>
      <c r="X934" s="242"/>
      <c r="Y934" s="148"/>
      <c r="Z934" s="148"/>
    </row>
    <row r="935">
      <c r="A935" s="148"/>
      <c r="B935" s="148"/>
      <c r="C935" s="148"/>
      <c r="D935" s="245"/>
      <c r="E935" s="148"/>
      <c r="F935" s="277"/>
      <c r="G935" s="148"/>
      <c r="H935" s="148"/>
      <c r="I935" s="251"/>
      <c r="J935" s="251"/>
      <c r="K935" s="148"/>
      <c r="L935" s="277"/>
      <c r="M935" s="252"/>
      <c r="N935" s="250"/>
      <c r="O935" s="253"/>
      <c r="P935" s="240"/>
      <c r="Q935" s="148"/>
      <c r="R935" s="148"/>
      <c r="S935" s="242"/>
      <c r="T935" s="242"/>
      <c r="U935" s="242"/>
      <c r="V935" s="242"/>
      <c r="W935" s="242"/>
      <c r="X935" s="242"/>
      <c r="Y935" s="148"/>
      <c r="Z935" s="148"/>
    </row>
    <row r="936">
      <c r="A936" s="148"/>
      <c r="B936" s="148"/>
      <c r="C936" s="148"/>
      <c r="D936" s="245"/>
      <c r="E936" s="148"/>
      <c r="F936" s="277"/>
      <c r="G936" s="148"/>
      <c r="H936" s="148"/>
      <c r="I936" s="251"/>
      <c r="J936" s="251"/>
      <c r="K936" s="148"/>
      <c r="L936" s="277"/>
      <c r="M936" s="252"/>
      <c r="N936" s="250"/>
      <c r="O936" s="253"/>
      <c r="P936" s="240"/>
      <c r="Q936" s="148"/>
      <c r="R936" s="148"/>
      <c r="S936" s="242"/>
      <c r="T936" s="242"/>
      <c r="U936" s="242"/>
      <c r="V936" s="242"/>
      <c r="W936" s="242"/>
      <c r="X936" s="242"/>
      <c r="Y936" s="148"/>
      <c r="Z936" s="148"/>
    </row>
    <row r="937">
      <c r="A937" s="148"/>
      <c r="B937" s="148"/>
      <c r="C937" s="148"/>
      <c r="D937" s="245"/>
      <c r="E937" s="148"/>
      <c r="F937" s="277"/>
      <c r="G937" s="148"/>
      <c r="H937" s="148"/>
      <c r="I937" s="251"/>
      <c r="J937" s="251"/>
      <c r="K937" s="148"/>
      <c r="L937" s="277"/>
      <c r="M937" s="252"/>
      <c r="N937" s="250"/>
      <c r="O937" s="253"/>
      <c r="P937" s="240"/>
      <c r="Q937" s="148"/>
      <c r="R937" s="148"/>
      <c r="S937" s="242"/>
      <c r="T937" s="242"/>
      <c r="U937" s="242"/>
      <c r="V937" s="242"/>
      <c r="W937" s="242"/>
      <c r="X937" s="242"/>
      <c r="Y937" s="148"/>
      <c r="Z937" s="148"/>
    </row>
    <row r="938">
      <c r="A938" s="148"/>
      <c r="B938" s="148"/>
      <c r="C938" s="148"/>
      <c r="D938" s="245"/>
      <c r="E938" s="148"/>
      <c r="F938" s="277"/>
      <c r="G938" s="148"/>
      <c r="H938" s="148"/>
      <c r="I938" s="251"/>
      <c r="J938" s="251"/>
      <c r="K938" s="148"/>
      <c r="L938" s="277"/>
      <c r="M938" s="252"/>
      <c r="N938" s="250"/>
      <c r="O938" s="253"/>
      <c r="P938" s="240"/>
      <c r="Q938" s="148"/>
      <c r="R938" s="148"/>
      <c r="S938" s="242"/>
      <c r="T938" s="242"/>
      <c r="U938" s="242"/>
      <c r="V938" s="242"/>
      <c r="W938" s="242"/>
      <c r="X938" s="242"/>
      <c r="Y938" s="148"/>
      <c r="Z938" s="148"/>
    </row>
    <row r="939">
      <c r="A939" s="148"/>
      <c r="B939" s="148"/>
      <c r="C939" s="148"/>
      <c r="D939" s="245"/>
      <c r="E939" s="148"/>
      <c r="F939" s="277"/>
      <c r="G939" s="148"/>
      <c r="H939" s="148"/>
      <c r="I939" s="251"/>
      <c r="J939" s="251"/>
      <c r="K939" s="148"/>
      <c r="L939" s="277"/>
      <c r="M939" s="252"/>
      <c r="N939" s="250"/>
      <c r="O939" s="253"/>
      <c r="P939" s="240"/>
      <c r="Q939" s="148"/>
      <c r="R939" s="148"/>
      <c r="S939" s="242"/>
      <c r="T939" s="242"/>
      <c r="U939" s="242"/>
      <c r="V939" s="242"/>
      <c r="W939" s="242"/>
      <c r="X939" s="242"/>
      <c r="Y939" s="148"/>
      <c r="Z939" s="148"/>
    </row>
    <row r="940">
      <c r="A940" s="148"/>
      <c r="B940" s="148"/>
      <c r="C940" s="148"/>
      <c r="D940" s="245"/>
      <c r="E940" s="148"/>
      <c r="F940" s="277"/>
      <c r="G940" s="148"/>
      <c r="H940" s="148"/>
      <c r="I940" s="251"/>
      <c r="J940" s="251"/>
      <c r="K940" s="148"/>
      <c r="L940" s="277"/>
      <c r="M940" s="252"/>
      <c r="N940" s="250"/>
      <c r="O940" s="253"/>
      <c r="P940" s="240"/>
      <c r="Q940" s="148"/>
      <c r="R940" s="148"/>
      <c r="S940" s="242"/>
      <c r="T940" s="242"/>
      <c r="U940" s="242"/>
      <c r="V940" s="242"/>
      <c r="W940" s="242"/>
      <c r="X940" s="242"/>
      <c r="Y940" s="148"/>
      <c r="Z940" s="148"/>
    </row>
    <row r="941">
      <c r="A941" s="148"/>
      <c r="B941" s="148"/>
      <c r="C941" s="148"/>
      <c r="D941" s="245"/>
      <c r="E941" s="148"/>
      <c r="F941" s="277"/>
      <c r="G941" s="148"/>
      <c r="H941" s="148"/>
      <c r="I941" s="251"/>
      <c r="J941" s="251"/>
      <c r="K941" s="148"/>
      <c r="L941" s="277"/>
      <c r="M941" s="252"/>
      <c r="N941" s="250"/>
      <c r="O941" s="253"/>
      <c r="P941" s="240"/>
      <c r="Q941" s="148"/>
      <c r="R941" s="148"/>
      <c r="S941" s="242"/>
      <c r="T941" s="242"/>
      <c r="U941" s="242"/>
      <c r="V941" s="242"/>
      <c r="W941" s="242"/>
      <c r="X941" s="242"/>
      <c r="Y941" s="148"/>
      <c r="Z941" s="148"/>
    </row>
    <row r="942">
      <c r="A942" s="148"/>
      <c r="B942" s="148"/>
      <c r="C942" s="148"/>
      <c r="D942" s="245"/>
      <c r="E942" s="148"/>
      <c r="F942" s="277"/>
      <c r="G942" s="148"/>
      <c r="H942" s="148"/>
      <c r="I942" s="251"/>
      <c r="J942" s="251"/>
      <c r="K942" s="148"/>
      <c r="L942" s="277"/>
      <c r="M942" s="252"/>
      <c r="N942" s="250"/>
      <c r="O942" s="253"/>
      <c r="P942" s="240"/>
      <c r="Q942" s="148"/>
      <c r="R942" s="148"/>
      <c r="S942" s="242"/>
      <c r="T942" s="242"/>
      <c r="U942" s="242"/>
      <c r="V942" s="242"/>
      <c r="W942" s="242"/>
      <c r="X942" s="242"/>
      <c r="Y942" s="148"/>
      <c r="Z942" s="148"/>
    </row>
    <row r="943">
      <c r="A943" s="148"/>
      <c r="B943" s="148"/>
      <c r="C943" s="148"/>
      <c r="D943" s="245"/>
      <c r="E943" s="148"/>
      <c r="F943" s="277"/>
      <c r="G943" s="148"/>
      <c r="H943" s="148"/>
      <c r="I943" s="251"/>
      <c r="J943" s="251"/>
      <c r="K943" s="148"/>
      <c r="L943" s="277"/>
      <c r="M943" s="252"/>
      <c r="N943" s="250"/>
      <c r="O943" s="253"/>
      <c r="P943" s="240"/>
      <c r="Q943" s="148"/>
      <c r="R943" s="148"/>
      <c r="S943" s="242"/>
      <c r="T943" s="242"/>
      <c r="U943" s="242"/>
      <c r="V943" s="242"/>
      <c r="W943" s="242"/>
      <c r="X943" s="242"/>
      <c r="Y943" s="148"/>
      <c r="Z943" s="148"/>
    </row>
    <row r="944">
      <c r="A944" s="148"/>
      <c r="B944" s="148"/>
      <c r="C944" s="148"/>
      <c r="D944" s="245"/>
      <c r="E944" s="148"/>
      <c r="F944" s="277"/>
      <c r="G944" s="148"/>
      <c r="H944" s="148"/>
      <c r="I944" s="251"/>
      <c r="J944" s="251"/>
      <c r="K944" s="148"/>
      <c r="L944" s="277"/>
      <c r="M944" s="252"/>
      <c r="N944" s="250"/>
      <c r="O944" s="253"/>
      <c r="P944" s="240"/>
      <c r="Q944" s="148"/>
      <c r="R944" s="148"/>
      <c r="S944" s="242"/>
      <c r="T944" s="242"/>
      <c r="U944" s="242"/>
      <c r="V944" s="242"/>
      <c r="W944" s="242"/>
      <c r="X944" s="242"/>
      <c r="Y944" s="148"/>
      <c r="Z944" s="148"/>
    </row>
    <row r="945">
      <c r="A945" s="148"/>
      <c r="B945" s="148"/>
      <c r="C945" s="148"/>
      <c r="D945" s="245"/>
      <c r="E945" s="148"/>
      <c r="F945" s="277"/>
      <c r="G945" s="148"/>
      <c r="H945" s="148"/>
      <c r="I945" s="251"/>
      <c r="J945" s="251"/>
      <c r="K945" s="148"/>
      <c r="L945" s="277"/>
      <c r="M945" s="252"/>
      <c r="N945" s="250"/>
      <c r="O945" s="253"/>
      <c r="P945" s="240"/>
      <c r="Q945" s="148"/>
      <c r="R945" s="148"/>
      <c r="S945" s="242"/>
      <c r="T945" s="242"/>
      <c r="U945" s="242"/>
      <c r="V945" s="242"/>
      <c r="W945" s="242"/>
      <c r="X945" s="242"/>
      <c r="Y945" s="148"/>
      <c r="Z945" s="148"/>
    </row>
    <row r="946">
      <c r="A946" s="148"/>
      <c r="B946" s="148"/>
      <c r="C946" s="148"/>
      <c r="D946" s="245"/>
      <c r="E946" s="148"/>
      <c r="F946" s="277"/>
      <c r="G946" s="148"/>
      <c r="H946" s="148"/>
      <c r="I946" s="251"/>
      <c r="J946" s="251"/>
      <c r="K946" s="148"/>
      <c r="L946" s="277"/>
      <c r="M946" s="252"/>
      <c r="N946" s="250"/>
      <c r="O946" s="253"/>
      <c r="P946" s="240"/>
      <c r="Q946" s="148"/>
      <c r="R946" s="148"/>
      <c r="S946" s="242"/>
      <c r="T946" s="242"/>
      <c r="U946" s="242"/>
      <c r="V946" s="242"/>
      <c r="W946" s="242"/>
      <c r="X946" s="242"/>
      <c r="Y946" s="148"/>
      <c r="Z946" s="148"/>
    </row>
    <row r="947">
      <c r="A947" s="148"/>
      <c r="B947" s="148"/>
      <c r="C947" s="148"/>
      <c r="D947" s="245"/>
      <c r="E947" s="148"/>
      <c r="F947" s="277"/>
      <c r="G947" s="148"/>
      <c r="H947" s="148"/>
      <c r="I947" s="251"/>
      <c r="J947" s="251"/>
      <c r="K947" s="148"/>
      <c r="L947" s="277"/>
      <c r="M947" s="252"/>
      <c r="N947" s="250"/>
      <c r="O947" s="253"/>
      <c r="P947" s="240"/>
      <c r="Q947" s="148"/>
      <c r="R947" s="148"/>
      <c r="S947" s="242"/>
      <c r="T947" s="242"/>
      <c r="U947" s="242"/>
      <c r="V947" s="242"/>
      <c r="W947" s="242"/>
      <c r="X947" s="242"/>
      <c r="Y947" s="148"/>
      <c r="Z947" s="148"/>
    </row>
    <row r="948">
      <c r="A948" s="148"/>
      <c r="B948" s="148"/>
      <c r="C948" s="148"/>
      <c r="D948" s="245"/>
      <c r="E948" s="148"/>
      <c r="F948" s="277"/>
      <c r="G948" s="148"/>
      <c r="H948" s="148"/>
      <c r="I948" s="251"/>
      <c r="J948" s="251"/>
      <c r="K948" s="148"/>
      <c r="L948" s="277"/>
      <c r="M948" s="252"/>
      <c r="N948" s="250"/>
      <c r="O948" s="253"/>
      <c r="P948" s="240"/>
      <c r="Q948" s="148"/>
      <c r="R948" s="148"/>
      <c r="S948" s="242"/>
      <c r="T948" s="242"/>
      <c r="U948" s="242"/>
      <c r="V948" s="242"/>
      <c r="W948" s="242"/>
      <c r="X948" s="242"/>
      <c r="Y948" s="148"/>
      <c r="Z948" s="148"/>
    </row>
    <row r="949">
      <c r="A949" s="148"/>
      <c r="B949" s="148"/>
      <c r="C949" s="148"/>
      <c r="D949" s="245"/>
      <c r="E949" s="148"/>
      <c r="F949" s="277"/>
      <c r="G949" s="148"/>
      <c r="H949" s="148"/>
      <c r="I949" s="251"/>
      <c r="J949" s="251"/>
      <c r="K949" s="148"/>
      <c r="L949" s="277"/>
      <c r="M949" s="252"/>
      <c r="N949" s="250"/>
      <c r="O949" s="253"/>
      <c r="P949" s="240"/>
      <c r="Q949" s="148"/>
      <c r="R949" s="148"/>
      <c r="S949" s="242"/>
      <c r="T949" s="242"/>
      <c r="U949" s="242"/>
      <c r="V949" s="242"/>
      <c r="W949" s="242"/>
      <c r="X949" s="242"/>
      <c r="Y949" s="148"/>
      <c r="Z949" s="148"/>
    </row>
    <row r="950">
      <c r="A950" s="148"/>
      <c r="B950" s="148"/>
      <c r="C950" s="148"/>
      <c r="D950" s="245"/>
      <c r="E950" s="148"/>
      <c r="F950" s="277"/>
      <c r="G950" s="148"/>
      <c r="H950" s="148"/>
      <c r="I950" s="251"/>
      <c r="J950" s="251"/>
      <c r="K950" s="148"/>
      <c r="L950" s="277"/>
      <c r="M950" s="252"/>
      <c r="N950" s="250"/>
      <c r="O950" s="253"/>
      <c r="P950" s="240"/>
      <c r="Q950" s="148"/>
      <c r="R950" s="148"/>
      <c r="S950" s="242"/>
      <c r="T950" s="242"/>
      <c r="U950" s="242"/>
      <c r="V950" s="242"/>
      <c r="W950" s="242"/>
      <c r="X950" s="242"/>
      <c r="Y950" s="148"/>
      <c r="Z950" s="148"/>
    </row>
    <row r="951">
      <c r="A951" s="148"/>
      <c r="B951" s="148"/>
      <c r="C951" s="148"/>
      <c r="D951" s="245"/>
      <c r="E951" s="148"/>
      <c r="F951" s="277"/>
      <c r="G951" s="148"/>
      <c r="H951" s="148"/>
      <c r="I951" s="251"/>
      <c r="J951" s="251"/>
      <c r="K951" s="148"/>
      <c r="L951" s="277"/>
      <c r="M951" s="252"/>
      <c r="N951" s="250"/>
      <c r="O951" s="253"/>
      <c r="P951" s="240"/>
      <c r="Q951" s="148"/>
      <c r="R951" s="148"/>
      <c r="S951" s="242"/>
      <c r="T951" s="242"/>
      <c r="U951" s="242"/>
      <c r="V951" s="242"/>
      <c r="W951" s="242"/>
      <c r="X951" s="242"/>
      <c r="Y951" s="148"/>
      <c r="Z951" s="148"/>
    </row>
    <row r="952">
      <c r="A952" s="148"/>
      <c r="B952" s="148"/>
      <c r="C952" s="148"/>
      <c r="D952" s="245"/>
      <c r="E952" s="148"/>
      <c r="F952" s="277"/>
      <c r="G952" s="148"/>
      <c r="H952" s="148"/>
      <c r="I952" s="251"/>
      <c r="J952" s="251"/>
      <c r="K952" s="148"/>
      <c r="L952" s="277"/>
      <c r="M952" s="252"/>
      <c r="N952" s="250"/>
      <c r="O952" s="253"/>
      <c r="P952" s="240"/>
      <c r="Q952" s="148"/>
      <c r="R952" s="148"/>
      <c r="S952" s="242"/>
      <c r="T952" s="242"/>
      <c r="U952" s="242"/>
      <c r="V952" s="242"/>
      <c r="W952" s="242"/>
      <c r="X952" s="242"/>
      <c r="Y952" s="148"/>
      <c r="Z952" s="148"/>
    </row>
    <row r="953">
      <c r="A953" s="148"/>
      <c r="B953" s="148"/>
      <c r="C953" s="148"/>
      <c r="D953" s="245"/>
      <c r="E953" s="148"/>
      <c r="F953" s="277"/>
      <c r="G953" s="148"/>
      <c r="H953" s="148"/>
      <c r="I953" s="251"/>
      <c r="J953" s="251"/>
      <c r="K953" s="148"/>
      <c r="L953" s="277"/>
      <c r="M953" s="252"/>
      <c r="N953" s="250"/>
      <c r="O953" s="253"/>
      <c r="P953" s="240"/>
      <c r="Q953" s="148"/>
      <c r="R953" s="148"/>
      <c r="S953" s="242"/>
      <c r="T953" s="242"/>
      <c r="U953" s="242"/>
      <c r="V953" s="242"/>
      <c r="W953" s="242"/>
      <c r="X953" s="242"/>
      <c r="Y953" s="148"/>
      <c r="Z953" s="148"/>
    </row>
    <row r="954">
      <c r="A954" s="148"/>
      <c r="B954" s="148"/>
      <c r="C954" s="148"/>
      <c r="D954" s="245"/>
      <c r="E954" s="148"/>
      <c r="F954" s="277"/>
      <c r="G954" s="148"/>
      <c r="H954" s="148"/>
      <c r="I954" s="251"/>
      <c r="J954" s="251"/>
      <c r="K954" s="148"/>
      <c r="L954" s="277"/>
      <c r="M954" s="252"/>
      <c r="N954" s="250"/>
      <c r="O954" s="253"/>
      <c r="P954" s="240"/>
      <c r="Q954" s="148"/>
      <c r="R954" s="148"/>
      <c r="S954" s="242"/>
      <c r="T954" s="242"/>
      <c r="U954" s="242"/>
      <c r="V954" s="242"/>
      <c r="W954" s="242"/>
      <c r="X954" s="242"/>
      <c r="Y954" s="148"/>
      <c r="Z954" s="148"/>
    </row>
    <row r="955">
      <c r="A955" s="148"/>
      <c r="B955" s="148"/>
      <c r="C955" s="148"/>
      <c r="D955" s="245"/>
      <c r="E955" s="148"/>
      <c r="F955" s="277"/>
      <c r="G955" s="148"/>
      <c r="H955" s="148"/>
      <c r="I955" s="251"/>
      <c r="J955" s="251"/>
      <c r="K955" s="148"/>
      <c r="L955" s="277"/>
      <c r="M955" s="252"/>
      <c r="N955" s="250"/>
      <c r="O955" s="253"/>
      <c r="P955" s="240"/>
      <c r="Q955" s="148"/>
      <c r="R955" s="148"/>
      <c r="S955" s="242"/>
      <c r="T955" s="242"/>
      <c r="U955" s="242"/>
      <c r="V955" s="242"/>
      <c r="W955" s="242"/>
      <c r="X955" s="242"/>
      <c r="Y955" s="148"/>
      <c r="Z955" s="148"/>
    </row>
    <row r="956">
      <c r="A956" s="148"/>
      <c r="B956" s="148"/>
      <c r="C956" s="148"/>
      <c r="D956" s="245"/>
      <c r="E956" s="148"/>
      <c r="F956" s="277"/>
      <c r="G956" s="148"/>
      <c r="H956" s="148"/>
      <c r="I956" s="251"/>
      <c r="J956" s="251"/>
      <c r="K956" s="148"/>
      <c r="L956" s="277"/>
      <c r="M956" s="252"/>
      <c r="N956" s="250"/>
      <c r="O956" s="253"/>
      <c r="P956" s="240"/>
      <c r="Q956" s="148"/>
      <c r="R956" s="148"/>
      <c r="S956" s="242"/>
      <c r="T956" s="242"/>
      <c r="U956" s="242"/>
      <c r="V956" s="242"/>
      <c r="W956" s="242"/>
      <c r="X956" s="242"/>
      <c r="Y956" s="148"/>
      <c r="Z956" s="148"/>
    </row>
    <row r="957">
      <c r="A957" s="148"/>
      <c r="B957" s="148"/>
      <c r="C957" s="148"/>
      <c r="D957" s="245"/>
      <c r="E957" s="148"/>
      <c r="F957" s="277"/>
      <c r="G957" s="148"/>
      <c r="H957" s="148"/>
      <c r="I957" s="251"/>
      <c r="J957" s="251"/>
      <c r="K957" s="148"/>
      <c r="L957" s="277"/>
      <c r="M957" s="252"/>
      <c r="N957" s="250"/>
      <c r="O957" s="253"/>
      <c r="P957" s="240"/>
      <c r="Q957" s="148"/>
      <c r="R957" s="148"/>
      <c r="S957" s="242"/>
      <c r="T957" s="242"/>
      <c r="U957" s="242"/>
      <c r="V957" s="242"/>
      <c r="W957" s="242"/>
      <c r="X957" s="242"/>
      <c r="Y957" s="148"/>
      <c r="Z957" s="148"/>
    </row>
    <row r="958">
      <c r="A958" s="148"/>
      <c r="B958" s="148"/>
      <c r="C958" s="148"/>
      <c r="D958" s="245"/>
      <c r="E958" s="148"/>
      <c r="F958" s="277"/>
      <c r="G958" s="148"/>
      <c r="H958" s="148"/>
      <c r="I958" s="251"/>
      <c r="J958" s="251"/>
      <c r="K958" s="148"/>
      <c r="L958" s="277"/>
      <c r="M958" s="252"/>
      <c r="N958" s="250"/>
      <c r="O958" s="253"/>
      <c r="P958" s="240"/>
      <c r="Q958" s="148"/>
      <c r="R958" s="148"/>
      <c r="S958" s="242"/>
      <c r="T958" s="242"/>
      <c r="U958" s="242"/>
      <c r="V958" s="242"/>
      <c r="W958" s="242"/>
      <c r="X958" s="242"/>
      <c r="Y958" s="148"/>
      <c r="Z958" s="148"/>
    </row>
    <row r="959">
      <c r="A959" s="148"/>
      <c r="B959" s="148"/>
      <c r="C959" s="148"/>
      <c r="D959" s="245"/>
      <c r="E959" s="148"/>
      <c r="F959" s="277"/>
      <c r="G959" s="148"/>
      <c r="H959" s="148"/>
      <c r="I959" s="251"/>
      <c r="J959" s="251"/>
      <c r="K959" s="148"/>
      <c r="L959" s="277"/>
      <c r="M959" s="252"/>
      <c r="N959" s="250"/>
      <c r="O959" s="253"/>
      <c r="P959" s="240"/>
      <c r="Q959" s="148"/>
      <c r="R959" s="148"/>
      <c r="S959" s="242"/>
      <c r="T959" s="242"/>
      <c r="U959" s="242"/>
      <c r="V959" s="242"/>
      <c r="W959" s="242"/>
      <c r="X959" s="242"/>
      <c r="Y959" s="148"/>
      <c r="Z959" s="148"/>
    </row>
    <row r="960">
      <c r="A960" s="148"/>
      <c r="B960" s="148"/>
      <c r="C960" s="148"/>
      <c r="D960" s="245"/>
      <c r="E960" s="148"/>
      <c r="F960" s="277"/>
      <c r="G960" s="148"/>
      <c r="H960" s="148"/>
      <c r="I960" s="251"/>
      <c r="J960" s="251"/>
      <c r="K960" s="148"/>
      <c r="L960" s="277"/>
      <c r="M960" s="252"/>
      <c r="N960" s="250"/>
      <c r="O960" s="253"/>
      <c r="P960" s="240"/>
      <c r="Q960" s="148"/>
      <c r="R960" s="148"/>
      <c r="S960" s="242"/>
      <c r="T960" s="242"/>
      <c r="U960" s="242"/>
      <c r="V960" s="242"/>
      <c r="W960" s="242"/>
      <c r="X960" s="242"/>
      <c r="Y960" s="148"/>
      <c r="Z960" s="148"/>
    </row>
    <row r="961">
      <c r="A961" s="148"/>
      <c r="B961" s="148"/>
      <c r="C961" s="148"/>
      <c r="D961" s="245"/>
      <c r="E961" s="148"/>
      <c r="F961" s="277"/>
      <c r="G961" s="148"/>
      <c r="H961" s="148"/>
      <c r="I961" s="251"/>
      <c r="J961" s="251"/>
      <c r="K961" s="148"/>
      <c r="L961" s="277"/>
      <c r="M961" s="252"/>
      <c r="N961" s="250"/>
      <c r="O961" s="253"/>
      <c r="P961" s="240"/>
      <c r="Q961" s="148"/>
      <c r="R961" s="148"/>
      <c r="S961" s="242"/>
      <c r="T961" s="242"/>
      <c r="U961" s="242"/>
      <c r="V961" s="242"/>
      <c r="W961" s="242"/>
      <c r="X961" s="242"/>
      <c r="Y961" s="148"/>
      <c r="Z961" s="148"/>
    </row>
    <row r="962">
      <c r="A962" s="148"/>
      <c r="B962" s="148"/>
      <c r="C962" s="148"/>
      <c r="D962" s="245"/>
      <c r="E962" s="148"/>
      <c r="F962" s="277"/>
      <c r="G962" s="148"/>
      <c r="H962" s="148"/>
      <c r="I962" s="251"/>
      <c r="J962" s="251"/>
      <c r="K962" s="148"/>
      <c r="L962" s="277"/>
      <c r="M962" s="252"/>
      <c r="N962" s="250"/>
      <c r="O962" s="253"/>
      <c r="P962" s="240"/>
      <c r="Q962" s="148"/>
      <c r="R962" s="148"/>
      <c r="S962" s="242"/>
      <c r="T962" s="242"/>
      <c r="U962" s="242"/>
      <c r="V962" s="242"/>
      <c r="W962" s="242"/>
      <c r="X962" s="242"/>
      <c r="Y962" s="148"/>
      <c r="Z962" s="148"/>
    </row>
    <row r="963">
      <c r="A963" s="148"/>
      <c r="B963" s="148"/>
      <c r="C963" s="148"/>
      <c r="D963" s="245"/>
      <c r="E963" s="148"/>
      <c r="F963" s="277"/>
      <c r="G963" s="148"/>
      <c r="H963" s="148"/>
      <c r="I963" s="251"/>
      <c r="J963" s="251"/>
      <c r="K963" s="148"/>
      <c r="L963" s="277"/>
      <c r="M963" s="252"/>
      <c r="N963" s="250"/>
      <c r="O963" s="253"/>
      <c r="P963" s="240"/>
      <c r="Q963" s="148"/>
      <c r="R963" s="148"/>
      <c r="S963" s="242"/>
      <c r="T963" s="242"/>
      <c r="U963" s="242"/>
      <c r="V963" s="242"/>
      <c r="W963" s="242"/>
      <c r="X963" s="242"/>
      <c r="Y963" s="148"/>
      <c r="Z963" s="148"/>
    </row>
    <row r="964">
      <c r="A964" s="148"/>
      <c r="B964" s="148"/>
      <c r="C964" s="148"/>
      <c r="D964" s="245"/>
      <c r="E964" s="148"/>
      <c r="F964" s="277"/>
      <c r="G964" s="148"/>
      <c r="H964" s="148"/>
      <c r="I964" s="251"/>
      <c r="J964" s="251"/>
      <c r="K964" s="148"/>
      <c r="L964" s="277"/>
      <c r="M964" s="252"/>
      <c r="N964" s="250"/>
      <c r="O964" s="253"/>
      <c r="P964" s="240"/>
      <c r="Q964" s="148"/>
      <c r="R964" s="148"/>
      <c r="S964" s="242"/>
      <c r="T964" s="242"/>
      <c r="U964" s="242"/>
      <c r="V964" s="242"/>
      <c r="W964" s="242"/>
      <c r="X964" s="242"/>
      <c r="Y964" s="148"/>
      <c r="Z964" s="148"/>
    </row>
    <row r="965">
      <c r="A965" s="148"/>
      <c r="B965" s="148"/>
      <c r="C965" s="148"/>
      <c r="D965" s="245"/>
      <c r="E965" s="148"/>
      <c r="F965" s="277"/>
      <c r="G965" s="148"/>
      <c r="H965" s="148"/>
      <c r="I965" s="251"/>
      <c r="J965" s="251"/>
      <c r="K965" s="148"/>
      <c r="L965" s="277"/>
      <c r="M965" s="252"/>
      <c r="N965" s="250"/>
      <c r="O965" s="253"/>
      <c r="P965" s="240"/>
      <c r="Q965" s="148"/>
      <c r="R965" s="148"/>
      <c r="S965" s="242"/>
      <c r="T965" s="242"/>
      <c r="U965" s="242"/>
      <c r="V965" s="242"/>
      <c r="W965" s="242"/>
      <c r="X965" s="242"/>
      <c r="Y965" s="148"/>
      <c r="Z965" s="148"/>
    </row>
    <row r="966">
      <c r="A966" s="148"/>
      <c r="B966" s="148"/>
      <c r="C966" s="148"/>
      <c r="D966" s="245"/>
      <c r="E966" s="148"/>
      <c r="F966" s="277"/>
      <c r="G966" s="148"/>
      <c r="H966" s="148"/>
      <c r="I966" s="251"/>
      <c r="J966" s="251"/>
      <c r="K966" s="148"/>
      <c r="L966" s="277"/>
      <c r="M966" s="252"/>
      <c r="N966" s="250"/>
      <c r="O966" s="253"/>
      <c r="P966" s="240"/>
      <c r="Q966" s="148"/>
      <c r="R966" s="148"/>
      <c r="S966" s="242"/>
      <c r="T966" s="242"/>
      <c r="U966" s="242"/>
      <c r="V966" s="242"/>
      <c r="W966" s="242"/>
      <c r="X966" s="242"/>
      <c r="Y966" s="148"/>
      <c r="Z966" s="148"/>
    </row>
    <row r="967">
      <c r="A967" s="148"/>
      <c r="B967" s="148"/>
      <c r="C967" s="148"/>
      <c r="D967" s="245"/>
      <c r="E967" s="148"/>
      <c r="F967" s="277"/>
      <c r="G967" s="148"/>
      <c r="H967" s="148"/>
      <c r="I967" s="251"/>
      <c r="J967" s="251"/>
      <c r="K967" s="148"/>
      <c r="L967" s="277"/>
      <c r="M967" s="252"/>
      <c r="N967" s="250"/>
      <c r="O967" s="253"/>
      <c r="P967" s="240"/>
      <c r="Q967" s="148"/>
      <c r="R967" s="148"/>
      <c r="S967" s="242"/>
      <c r="T967" s="242"/>
      <c r="U967" s="242"/>
      <c r="V967" s="242"/>
      <c r="W967" s="242"/>
      <c r="X967" s="242"/>
      <c r="Y967" s="148"/>
      <c r="Z967" s="148"/>
    </row>
    <row r="968">
      <c r="A968" s="148"/>
      <c r="B968" s="148"/>
      <c r="C968" s="148"/>
      <c r="D968" s="245"/>
      <c r="E968" s="148"/>
      <c r="F968" s="277"/>
      <c r="G968" s="148"/>
      <c r="H968" s="148"/>
      <c r="I968" s="251"/>
      <c r="J968" s="251"/>
      <c r="K968" s="148"/>
      <c r="L968" s="277"/>
      <c r="M968" s="252"/>
      <c r="N968" s="250"/>
      <c r="O968" s="253"/>
      <c r="P968" s="240"/>
      <c r="Q968" s="148"/>
      <c r="R968" s="148"/>
      <c r="S968" s="242"/>
      <c r="T968" s="242"/>
      <c r="U968" s="242"/>
      <c r="V968" s="242"/>
      <c r="W968" s="242"/>
      <c r="X968" s="242"/>
      <c r="Y968" s="148"/>
      <c r="Z968" s="148"/>
    </row>
    <row r="969">
      <c r="A969" s="148"/>
      <c r="B969" s="148"/>
      <c r="C969" s="148"/>
      <c r="D969" s="245"/>
      <c r="E969" s="148"/>
      <c r="F969" s="277"/>
      <c r="G969" s="148"/>
      <c r="H969" s="148"/>
      <c r="I969" s="251"/>
      <c r="J969" s="251"/>
      <c r="K969" s="148"/>
      <c r="L969" s="277"/>
      <c r="M969" s="252"/>
      <c r="N969" s="250"/>
      <c r="O969" s="253"/>
      <c r="P969" s="240"/>
      <c r="Q969" s="148"/>
      <c r="R969" s="148"/>
      <c r="S969" s="242"/>
      <c r="T969" s="242"/>
      <c r="U969" s="242"/>
      <c r="V969" s="242"/>
      <c r="W969" s="242"/>
      <c r="X969" s="242"/>
      <c r="Y969" s="148"/>
      <c r="Z969" s="148"/>
    </row>
    <row r="970">
      <c r="A970" s="148"/>
      <c r="B970" s="148"/>
      <c r="C970" s="148"/>
      <c r="D970" s="245"/>
      <c r="E970" s="148"/>
      <c r="F970" s="277"/>
      <c r="G970" s="148"/>
      <c r="H970" s="148"/>
      <c r="I970" s="251"/>
      <c r="J970" s="251"/>
      <c r="K970" s="148"/>
      <c r="L970" s="277"/>
      <c r="M970" s="252"/>
      <c r="N970" s="250"/>
      <c r="O970" s="253"/>
      <c r="P970" s="240"/>
      <c r="Q970" s="148"/>
      <c r="R970" s="148"/>
      <c r="S970" s="242"/>
      <c r="T970" s="242"/>
      <c r="U970" s="242"/>
      <c r="V970" s="242"/>
      <c r="W970" s="242"/>
      <c r="X970" s="242"/>
      <c r="Y970" s="148"/>
      <c r="Z970" s="148"/>
    </row>
    <row r="971">
      <c r="A971" s="148"/>
      <c r="B971" s="148"/>
      <c r="C971" s="148"/>
      <c r="D971" s="245"/>
      <c r="E971" s="148"/>
      <c r="F971" s="277"/>
      <c r="G971" s="148"/>
      <c r="H971" s="148"/>
      <c r="I971" s="251"/>
      <c r="J971" s="251"/>
      <c r="K971" s="148"/>
      <c r="L971" s="277"/>
      <c r="M971" s="252"/>
      <c r="N971" s="250"/>
      <c r="O971" s="253"/>
      <c r="P971" s="240"/>
      <c r="Q971" s="148"/>
      <c r="R971" s="148"/>
      <c r="S971" s="242"/>
      <c r="T971" s="242"/>
      <c r="U971" s="242"/>
      <c r="V971" s="242"/>
      <c r="W971" s="242"/>
      <c r="X971" s="242"/>
      <c r="Y971" s="148"/>
      <c r="Z971" s="148"/>
    </row>
    <row r="972">
      <c r="A972" s="148"/>
      <c r="B972" s="148"/>
      <c r="C972" s="148"/>
      <c r="D972" s="245"/>
      <c r="E972" s="148"/>
      <c r="F972" s="277"/>
      <c r="G972" s="148"/>
      <c r="H972" s="148"/>
      <c r="I972" s="251"/>
      <c r="J972" s="251"/>
      <c r="K972" s="148"/>
      <c r="L972" s="277"/>
      <c r="M972" s="252"/>
      <c r="N972" s="250"/>
      <c r="O972" s="253"/>
      <c r="P972" s="240"/>
      <c r="Q972" s="148"/>
      <c r="R972" s="148"/>
      <c r="S972" s="242"/>
      <c r="T972" s="242"/>
      <c r="U972" s="242"/>
      <c r="V972" s="242"/>
      <c r="W972" s="242"/>
      <c r="X972" s="242"/>
      <c r="Y972" s="148"/>
      <c r="Z972" s="148"/>
    </row>
    <row r="973">
      <c r="A973" s="148"/>
      <c r="B973" s="148"/>
      <c r="C973" s="148"/>
      <c r="D973" s="245"/>
      <c r="E973" s="148"/>
      <c r="F973" s="277"/>
      <c r="G973" s="148"/>
      <c r="H973" s="148"/>
      <c r="I973" s="251"/>
      <c r="J973" s="251"/>
      <c r="K973" s="148"/>
      <c r="L973" s="277"/>
      <c r="M973" s="252"/>
      <c r="N973" s="250"/>
      <c r="O973" s="253"/>
      <c r="P973" s="240"/>
      <c r="Q973" s="148"/>
      <c r="R973" s="148"/>
      <c r="S973" s="242"/>
      <c r="T973" s="242"/>
      <c r="U973" s="242"/>
      <c r="V973" s="242"/>
      <c r="W973" s="242"/>
      <c r="X973" s="242"/>
      <c r="Y973" s="148"/>
      <c r="Z973" s="148"/>
    </row>
    <row r="974">
      <c r="A974" s="148"/>
      <c r="B974" s="148"/>
      <c r="C974" s="148"/>
      <c r="D974" s="245"/>
      <c r="E974" s="148"/>
      <c r="F974" s="277"/>
      <c r="G974" s="148"/>
      <c r="H974" s="148"/>
      <c r="I974" s="251"/>
      <c r="J974" s="251"/>
      <c r="K974" s="148"/>
      <c r="L974" s="277"/>
      <c r="M974" s="252"/>
      <c r="N974" s="250"/>
      <c r="O974" s="253"/>
      <c r="P974" s="240"/>
      <c r="Q974" s="148"/>
      <c r="R974" s="148"/>
      <c r="S974" s="242"/>
      <c r="T974" s="242"/>
      <c r="U974" s="242"/>
      <c r="V974" s="242"/>
      <c r="W974" s="242"/>
      <c r="X974" s="242"/>
      <c r="Y974" s="148"/>
      <c r="Z974" s="148"/>
    </row>
    <row r="975">
      <c r="A975" s="148"/>
      <c r="B975" s="148"/>
      <c r="C975" s="148"/>
      <c r="D975" s="245"/>
      <c r="E975" s="148"/>
      <c r="F975" s="277"/>
      <c r="G975" s="148"/>
      <c r="H975" s="148"/>
      <c r="I975" s="251"/>
      <c r="J975" s="251"/>
      <c r="K975" s="148"/>
      <c r="L975" s="277"/>
      <c r="M975" s="252"/>
      <c r="N975" s="250"/>
      <c r="O975" s="253"/>
      <c r="P975" s="240"/>
      <c r="Q975" s="148"/>
      <c r="R975" s="148"/>
      <c r="S975" s="242"/>
      <c r="T975" s="242"/>
      <c r="U975" s="242"/>
      <c r="V975" s="242"/>
      <c r="W975" s="242"/>
      <c r="X975" s="242"/>
      <c r="Y975" s="148"/>
      <c r="Z975" s="148"/>
    </row>
    <row r="976">
      <c r="A976" s="148"/>
      <c r="B976" s="148"/>
      <c r="C976" s="148"/>
      <c r="D976" s="245"/>
      <c r="E976" s="148"/>
      <c r="F976" s="277"/>
      <c r="G976" s="148"/>
      <c r="H976" s="148"/>
      <c r="I976" s="251"/>
      <c r="J976" s="251"/>
      <c r="K976" s="148"/>
      <c r="L976" s="277"/>
      <c r="M976" s="252"/>
      <c r="N976" s="250"/>
      <c r="O976" s="253"/>
      <c r="P976" s="240"/>
      <c r="Q976" s="148"/>
      <c r="R976" s="148"/>
      <c r="S976" s="242"/>
      <c r="T976" s="242"/>
      <c r="U976" s="242"/>
      <c r="V976" s="242"/>
      <c r="W976" s="242"/>
      <c r="X976" s="242"/>
      <c r="Y976" s="148"/>
      <c r="Z976" s="148"/>
    </row>
    <row r="977">
      <c r="A977" s="148"/>
      <c r="B977" s="148"/>
      <c r="C977" s="148"/>
      <c r="D977" s="245"/>
      <c r="E977" s="148"/>
      <c r="F977" s="277"/>
      <c r="G977" s="148"/>
      <c r="H977" s="148"/>
      <c r="I977" s="251"/>
      <c r="J977" s="251"/>
      <c r="K977" s="148"/>
      <c r="L977" s="277"/>
      <c r="M977" s="252"/>
      <c r="N977" s="250"/>
      <c r="O977" s="253"/>
      <c r="P977" s="240"/>
      <c r="Q977" s="148"/>
      <c r="R977" s="148"/>
      <c r="S977" s="242"/>
      <c r="T977" s="242"/>
      <c r="U977" s="242"/>
      <c r="V977" s="242"/>
      <c r="W977" s="242"/>
      <c r="X977" s="242"/>
      <c r="Y977" s="148"/>
      <c r="Z977" s="148"/>
    </row>
    <row r="978">
      <c r="A978" s="148"/>
      <c r="B978" s="148"/>
      <c r="C978" s="148"/>
      <c r="D978" s="245"/>
      <c r="E978" s="148"/>
      <c r="F978" s="277"/>
      <c r="G978" s="148"/>
      <c r="H978" s="148"/>
      <c r="I978" s="251"/>
      <c r="J978" s="251"/>
      <c r="K978" s="148"/>
      <c r="L978" s="277"/>
      <c r="M978" s="252"/>
      <c r="N978" s="250"/>
      <c r="O978" s="253"/>
      <c r="P978" s="240"/>
      <c r="Q978" s="148"/>
      <c r="R978" s="148"/>
      <c r="S978" s="242"/>
      <c r="T978" s="242"/>
      <c r="U978" s="242"/>
      <c r="V978" s="242"/>
      <c r="W978" s="242"/>
      <c r="X978" s="242"/>
      <c r="Y978" s="148"/>
      <c r="Z978" s="148"/>
    </row>
    <row r="979">
      <c r="A979" s="148"/>
      <c r="B979" s="148"/>
      <c r="C979" s="148"/>
      <c r="D979" s="245"/>
      <c r="E979" s="148"/>
      <c r="F979" s="277"/>
      <c r="G979" s="148"/>
      <c r="H979" s="148"/>
      <c r="I979" s="251"/>
      <c r="J979" s="251"/>
      <c r="K979" s="148"/>
      <c r="L979" s="277"/>
      <c r="M979" s="252"/>
      <c r="N979" s="250"/>
      <c r="O979" s="253"/>
      <c r="P979" s="240"/>
      <c r="Q979" s="148"/>
      <c r="R979" s="148"/>
      <c r="S979" s="242"/>
      <c r="T979" s="242"/>
      <c r="U979" s="242"/>
      <c r="V979" s="242"/>
      <c r="W979" s="242"/>
      <c r="X979" s="242"/>
      <c r="Y979" s="148"/>
      <c r="Z979" s="148"/>
    </row>
    <row r="980">
      <c r="A980" s="148"/>
      <c r="B980" s="148"/>
      <c r="C980" s="148"/>
      <c r="D980" s="245"/>
      <c r="E980" s="148"/>
      <c r="F980" s="277"/>
      <c r="G980" s="148"/>
      <c r="H980" s="148"/>
      <c r="I980" s="251"/>
      <c r="J980" s="251"/>
      <c r="K980" s="148"/>
      <c r="L980" s="277"/>
      <c r="M980" s="252"/>
      <c r="N980" s="250"/>
      <c r="O980" s="253"/>
      <c r="P980" s="240"/>
      <c r="Q980" s="148"/>
      <c r="R980" s="148"/>
      <c r="S980" s="242"/>
      <c r="T980" s="242"/>
      <c r="U980" s="242"/>
      <c r="V980" s="242"/>
      <c r="W980" s="242"/>
      <c r="X980" s="242"/>
      <c r="Y980" s="148"/>
      <c r="Z980" s="148"/>
    </row>
    <row r="981">
      <c r="A981" s="148"/>
      <c r="B981" s="148"/>
      <c r="C981" s="148"/>
      <c r="D981" s="245"/>
      <c r="E981" s="148"/>
      <c r="F981" s="277"/>
      <c r="G981" s="148"/>
      <c r="H981" s="148"/>
      <c r="I981" s="251"/>
      <c r="J981" s="251"/>
      <c r="K981" s="148"/>
      <c r="L981" s="277"/>
      <c r="M981" s="252"/>
      <c r="N981" s="250"/>
      <c r="O981" s="253"/>
      <c r="P981" s="240"/>
      <c r="Q981" s="148"/>
      <c r="R981" s="148"/>
      <c r="S981" s="242"/>
      <c r="T981" s="242"/>
      <c r="U981" s="242"/>
      <c r="V981" s="242"/>
      <c r="W981" s="242"/>
      <c r="X981" s="242"/>
      <c r="Y981" s="148"/>
      <c r="Z981" s="148"/>
    </row>
    <row r="982">
      <c r="A982" s="148"/>
      <c r="B982" s="148"/>
      <c r="C982" s="148"/>
      <c r="D982" s="245"/>
      <c r="E982" s="148"/>
      <c r="F982" s="277"/>
      <c r="G982" s="148"/>
      <c r="H982" s="148"/>
      <c r="I982" s="251"/>
      <c r="J982" s="251"/>
      <c r="K982" s="148"/>
      <c r="L982" s="277"/>
      <c r="M982" s="252"/>
      <c r="N982" s="250"/>
      <c r="O982" s="253"/>
      <c r="P982" s="240"/>
      <c r="Q982" s="148"/>
      <c r="R982" s="148"/>
      <c r="S982" s="242"/>
      <c r="T982" s="242"/>
      <c r="U982" s="242"/>
      <c r="V982" s="242"/>
      <c r="W982" s="242"/>
      <c r="X982" s="242"/>
      <c r="Y982" s="148"/>
      <c r="Z982" s="148"/>
    </row>
    <row r="983">
      <c r="A983" s="148"/>
      <c r="B983" s="148"/>
      <c r="C983" s="148"/>
      <c r="D983" s="245"/>
      <c r="E983" s="148"/>
      <c r="F983" s="277"/>
      <c r="G983" s="148"/>
      <c r="H983" s="148"/>
      <c r="I983" s="251"/>
      <c r="J983" s="251"/>
      <c r="K983" s="148"/>
      <c r="L983" s="277"/>
      <c r="M983" s="252"/>
      <c r="N983" s="250"/>
      <c r="O983" s="253"/>
      <c r="P983" s="240"/>
      <c r="Q983" s="148"/>
      <c r="R983" s="148"/>
      <c r="S983" s="242"/>
      <c r="T983" s="242"/>
      <c r="U983" s="242"/>
      <c r="V983" s="242"/>
      <c r="W983" s="242"/>
      <c r="X983" s="242"/>
      <c r="Y983" s="148"/>
      <c r="Z983" s="148"/>
    </row>
    <row r="984">
      <c r="A984" s="148"/>
      <c r="B984" s="148"/>
      <c r="C984" s="148"/>
      <c r="D984" s="245"/>
      <c r="E984" s="148"/>
      <c r="F984" s="277"/>
      <c r="G984" s="148"/>
      <c r="H984" s="148"/>
      <c r="I984" s="251"/>
      <c r="J984" s="251"/>
      <c r="K984" s="148"/>
      <c r="L984" s="277"/>
      <c r="M984" s="252"/>
      <c r="N984" s="250"/>
      <c r="O984" s="253"/>
      <c r="P984" s="240"/>
      <c r="Q984" s="148"/>
      <c r="R984" s="148"/>
      <c r="S984" s="242"/>
      <c r="T984" s="242"/>
      <c r="U984" s="242"/>
      <c r="V984" s="242"/>
      <c r="W984" s="242"/>
      <c r="X984" s="242"/>
      <c r="Y984" s="148"/>
      <c r="Z984" s="148"/>
    </row>
    <row r="985">
      <c r="A985" s="148"/>
      <c r="B985" s="148"/>
      <c r="C985" s="148"/>
      <c r="D985" s="245"/>
      <c r="E985" s="148"/>
      <c r="F985" s="277"/>
      <c r="G985" s="148"/>
      <c r="H985" s="148"/>
      <c r="I985" s="251"/>
      <c r="J985" s="251"/>
      <c r="K985" s="148"/>
      <c r="L985" s="277"/>
      <c r="M985" s="252"/>
      <c r="N985" s="250"/>
      <c r="O985" s="253"/>
      <c r="P985" s="240"/>
      <c r="Q985" s="148"/>
      <c r="R985" s="148"/>
      <c r="S985" s="242"/>
      <c r="T985" s="242"/>
      <c r="U985" s="242"/>
      <c r="V985" s="242"/>
      <c r="W985" s="242"/>
      <c r="X985" s="242"/>
      <c r="Y985" s="148"/>
      <c r="Z985" s="148"/>
    </row>
    <row r="986">
      <c r="A986" s="148"/>
      <c r="B986" s="148"/>
      <c r="C986" s="148"/>
      <c r="D986" s="245"/>
      <c r="E986" s="148"/>
      <c r="F986" s="277"/>
      <c r="G986" s="148"/>
      <c r="H986" s="148"/>
      <c r="I986" s="251"/>
      <c r="J986" s="251"/>
      <c r="K986" s="148"/>
      <c r="L986" s="277"/>
      <c r="M986" s="252"/>
      <c r="N986" s="250"/>
      <c r="O986" s="253"/>
      <c r="P986" s="240"/>
      <c r="Q986" s="148"/>
      <c r="R986" s="148"/>
      <c r="S986" s="242"/>
      <c r="T986" s="242"/>
      <c r="U986" s="242"/>
      <c r="V986" s="242"/>
      <c r="W986" s="242"/>
      <c r="X986" s="242"/>
      <c r="Y986" s="148"/>
      <c r="Z986" s="148"/>
    </row>
    <row r="987">
      <c r="A987" s="148"/>
      <c r="B987" s="148"/>
      <c r="C987" s="148"/>
      <c r="D987" s="245"/>
      <c r="E987" s="148"/>
      <c r="F987" s="277"/>
      <c r="G987" s="148"/>
      <c r="H987" s="148"/>
      <c r="I987" s="251"/>
      <c r="J987" s="251"/>
      <c r="K987" s="148"/>
      <c r="L987" s="277"/>
      <c r="M987" s="252"/>
      <c r="N987" s="250"/>
      <c r="O987" s="253"/>
      <c r="P987" s="240"/>
      <c r="Q987" s="148"/>
      <c r="R987" s="148"/>
      <c r="S987" s="242"/>
      <c r="T987" s="242"/>
      <c r="U987" s="242"/>
      <c r="V987" s="242"/>
      <c r="W987" s="242"/>
      <c r="X987" s="242"/>
      <c r="Y987" s="148"/>
      <c r="Z987" s="148"/>
    </row>
    <row r="988">
      <c r="A988" s="148"/>
      <c r="B988" s="148"/>
      <c r="C988" s="148"/>
      <c r="D988" s="245"/>
      <c r="E988" s="148"/>
      <c r="F988" s="277"/>
      <c r="G988" s="148"/>
      <c r="H988" s="148"/>
      <c r="I988" s="251"/>
      <c r="J988" s="251"/>
      <c r="K988" s="148"/>
      <c r="L988" s="277"/>
      <c r="M988" s="252"/>
      <c r="N988" s="250"/>
      <c r="O988" s="253"/>
      <c r="P988" s="240"/>
      <c r="Q988" s="148"/>
      <c r="R988" s="148"/>
      <c r="S988" s="242"/>
      <c r="T988" s="242"/>
      <c r="U988" s="242"/>
      <c r="V988" s="242"/>
      <c r="W988" s="242"/>
      <c r="X988" s="242"/>
      <c r="Y988" s="148"/>
      <c r="Z988" s="148"/>
    </row>
    <row r="989">
      <c r="A989" s="148"/>
      <c r="B989" s="148"/>
      <c r="C989" s="148"/>
      <c r="D989" s="245"/>
      <c r="E989" s="148"/>
      <c r="F989" s="277"/>
      <c r="G989" s="148"/>
      <c r="H989" s="148"/>
      <c r="I989" s="251"/>
      <c r="J989" s="251"/>
      <c r="K989" s="148"/>
      <c r="L989" s="277"/>
      <c r="M989" s="252"/>
      <c r="N989" s="250"/>
      <c r="O989" s="253"/>
      <c r="P989" s="240"/>
      <c r="Q989" s="148"/>
      <c r="R989" s="148"/>
      <c r="S989" s="242"/>
      <c r="T989" s="242"/>
      <c r="U989" s="242"/>
      <c r="V989" s="242"/>
      <c r="W989" s="242"/>
      <c r="X989" s="242"/>
      <c r="Y989" s="148"/>
      <c r="Z989" s="148"/>
    </row>
    <row r="990">
      <c r="A990" s="148"/>
      <c r="B990" s="148"/>
      <c r="C990" s="148"/>
      <c r="D990" s="245"/>
      <c r="E990" s="148"/>
      <c r="F990" s="277"/>
      <c r="G990" s="148"/>
      <c r="H990" s="148"/>
      <c r="I990" s="251"/>
      <c r="J990" s="251"/>
      <c r="K990" s="148"/>
      <c r="L990" s="277"/>
      <c r="M990" s="252"/>
      <c r="N990" s="250"/>
      <c r="O990" s="253"/>
      <c r="P990" s="240"/>
      <c r="Q990" s="148"/>
      <c r="R990" s="148"/>
      <c r="S990" s="242"/>
      <c r="T990" s="242"/>
      <c r="U990" s="242"/>
      <c r="V990" s="242"/>
      <c r="W990" s="242"/>
      <c r="X990" s="242"/>
      <c r="Y990" s="148"/>
      <c r="Z990" s="148"/>
    </row>
    <row r="991">
      <c r="A991" s="148"/>
      <c r="B991" s="148"/>
      <c r="C991" s="148"/>
      <c r="D991" s="245"/>
      <c r="E991" s="148"/>
      <c r="F991" s="277"/>
      <c r="G991" s="148"/>
      <c r="H991" s="148"/>
      <c r="I991" s="251"/>
      <c r="J991" s="251"/>
      <c r="K991" s="148"/>
      <c r="L991" s="277"/>
      <c r="M991" s="252"/>
      <c r="N991" s="250"/>
      <c r="O991" s="253"/>
      <c r="P991" s="240"/>
      <c r="Q991" s="148"/>
      <c r="R991" s="148"/>
      <c r="S991" s="242"/>
      <c r="T991" s="242"/>
      <c r="U991" s="242"/>
      <c r="V991" s="242"/>
      <c r="W991" s="242"/>
      <c r="X991" s="242"/>
      <c r="Y991" s="148"/>
      <c r="Z991" s="148"/>
    </row>
    <row r="992">
      <c r="A992" s="148"/>
      <c r="B992" s="148"/>
      <c r="C992" s="148"/>
      <c r="D992" s="245"/>
      <c r="E992" s="148"/>
      <c r="F992" s="277"/>
      <c r="G992" s="148"/>
      <c r="H992" s="148"/>
      <c r="I992" s="251"/>
      <c r="J992" s="251"/>
      <c r="K992" s="148"/>
      <c r="L992" s="277"/>
      <c r="M992" s="252"/>
      <c r="N992" s="250"/>
      <c r="O992" s="253"/>
      <c r="P992" s="240"/>
      <c r="Q992" s="148"/>
      <c r="R992" s="148"/>
      <c r="S992" s="242"/>
      <c r="T992" s="242"/>
      <c r="U992" s="242"/>
      <c r="V992" s="242"/>
      <c r="W992" s="242"/>
      <c r="X992" s="242"/>
      <c r="Y992" s="148"/>
      <c r="Z992" s="148"/>
    </row>
    <row r="993">
      <c r="A993" s="148"/>
      <c r="B993" s="148"/>
      <c r="C993" s="148"/>
      <c r="D993" s="245"/>
      <c r="E993" s="148"/>
      <c r="F993" s="277"/>
      <c r="G993" s="148"/>
      <c r="H993" s="148"/>
      <c r="I993" s="251"/>
      <c r="J993" s="251"/>
      <c r="K993" s="148"/>
      <c r="L993" s="277"/>
      <c r="M993" s="252"/>
      <c r="N993" s="250"/>
      <c r="O993" s="253"/>
      <c r="P993" s="240"/>
      <c r="Q993" s="148"/>
      <c r="R993" s="148"/>
      <c r="S993" s="242"/>
      <c r="T993" s="242"/>
      <c r="U993" s="242"/>
      <c r="V993" s="242"/>
      <c r="W993" s="242"/>
      <c r="X993" s="242"/>
      <c r="Y993" s="148"/>
      <c r="Z993" s="148"/>
    </row>
    <row r="994">
      <c r="A994" s="148"/>
      <c r="B994" s="148"/>
      <c r="C994" s="148"/>
      <c r="D994" s="245"/>
      <c r="E994" s="148"/>
      <c r="F994" s="277"/>
      <c r="G994" s="148"/>
      <c r="H994" s="148"/>
      <c r="I994" s="251"/>
      <c r="J994" s="251"/>
      <c r="K994" s="148"/>
      <c r="L994" s="277"/>
      <c r="M994" s="252"/>
      <c r="N994" s="250"/>
      <c r="O994" s="253"/>
      <c r="P994" s="240"/>
      <c r="Q994" s="148"/>
      <c r="R994" s="148"/>
      <c r="S994" s="242"/>
      <c r="T994" s="242"/>
      <c r="U994" s="242"/>
      <c r="V994" s="242"/>
      <c r="W994" s="242"/>
      <c r="X994" s="242"/>
      <c r="Y994" s="148"/>
      <c r="Z994" s="148"/>
    </row>
    <row r="995">
      <c r="A995" s="148"/>
      <c r="B995" s="148"/>
      <c r="C995" s="148"/>
      <c r="D995" s="245"/>
      <c r="E995" s="148"/>
      <c r="F995" s="277"/>
      <c r="G995" s="148"/>
      <c r="H995" s="148"/>
      <c r="I995" s="251"/>
      <c r="J995" s="251"/>
      <c r="K995" s="148"/>
      <c r="L995" s="277"/>
      <c r="M995" s="252"/>
      <c r="N995" s="250"/>
      <c r="O995" s="253"/>
      <c r="P995" s="240"/>
      <c r="Q995" s="148"/>
      <c r="R995" s="148"/>
      <c r="S995" s="242"/>
      <c r="T995" s="242"/>
      <c r="U995" s="242"/>
      <c r="V995" s="242"/>
      <c r="W995" s="242"/>
      <c r="X995" s="242"/>
      <c r="Y995" s="148"/>
      <c r="Z995" s="148"/>
    </row>
    <row r="996">
      <c r="A996" s="148"/>
      <c r="B996" s="148"/>
      <c r="C996" s="148"/>
      <c r="D996" s="245"/>
      <c r="E996" s="148"/>
      <c r="F996" s="277"/>
      <c r="G996" s="148"/>
      <c r="H996" s="148"/>
      <c r="I996" s="251"/>
      <c r="J996" s="251"/>
      <c r="K996" s="148"/>
      <c r="L996" s="277"/>
      <c r="M996" s="252"/>
      <c r="N996" s="250"/>
      <c r="O996" s="253"/>
      <c r="P996" s="240"/>
      <c r="Q996" s="148"/>
      <c r="R996" s="148"/>
      <c r="S996" s="242"/>
      <c r="T996" s="242"/>
      <c r="U996" s="242"/>
      <c r="V996" s="242"/>
      <c r="W996" s="242"/>
      <c r="X996" s="242"/>
      <c r="Y996" s="148"/>
      <c r="Z996" s="148"/>
    </row>
    <row r="997">
      <c r="A997" s="148"/>
      <c r="B997" s="148"/>
      <c r="C997" s="148"/>
      <c r="D997" s="245"/>
      <c r="E997" s="148"/>
      <c r="F997" s="277"/>
      <c r="G997" s="148"/>
      <c r="H997" s="148"/>
      <c r="I997" s="251"/>
      <c r="J997" s="251"/>
      <c r="K997" s="148"/>
      <c r="L997" s="277"/>
      <c r="M997" s="252"/>
      <c r="N997" s="250"/>
      <c r="O997" s="253"/>
      <c r="P997" s="240"/>
      <c r="Q997" s="148"/>
      <c r="R997" s="148"/>
      <c r="S997" s="242"/>
      <c r="T997" s="242"/>
      <c r="U997" s="242"/>
      <c r="V997" s="242"/>
      <c r="W997" s="242"/>
      <c r="X997" s="242"/>
      <c r="Y997" s="148"/>
      <c r="Z997" s="148"/>
    </row>
    <row r="998">
      <c r="A998" s="148"/>
      <c r="B998" s="148"/>
      <c r="C998" s="148"/>
      <c r="D998" s="245"/>
      <c r="E998" s="148"/>
      <c r="F998" s="277"/>
      <c r="G998" s="148"/>
      <c r="H998" s="148"/>
      <c r="I998" s="251"/>
      <c r="J998" s="251"/>
      <c r="K998" s="148"/>
      <c r="L998" s="277"/>
      <c r="M998" s="252"/>
      <c r="N998" s="250"/>
      <c r="O998" s="253"/>
      <c r="P998" s="240"/>
      <c r="Q998" s="148"/>
      <c r="R998" s="148"/>
      <c r="S998" s="242"/>
      <c r="T998" s="242"/>
      <c r="U998" s="242"/>
      <c r="V998" s="242"/>
      <c r="W998" s="242"/>
      <c r="X998" s="242"/>
      <c r="Y998" s="148"/>
      <c r="Z998" s="148"/>
    </row>
    <row r="999">
      <c r="A999" s="148"/>
      <c r="B999" s="148"/>
      <c r="C999" s="148"/>
      <c r="D999" s="245"/>
      <c r="E999" s="148"/>
      <c r="F999" s="277"/>
      <c r="G999" s="148"/>
      <c r="H999" s="148"/>
      <c r="I999" s="251"/>
      <c r="J999" s="251"/>
      <c r="K999" s="148"/>
      <c r="L999" s="277"/>
      <c r="M999" s="252"/>
      <c r="N999" s="250"/>
      <c r="O999" s="253"/>
      <c r="P999" s="240"/>
      <c r="Q999" s="148"/>
      <c r="R999" s="148"/>
      <c r="S999" s="242"/>
      <c r="T999" s="242"/>
      <c r="U999" s="242"/>
      <c r="V999" s="242"/>
      <c r="W999" s="242"/>
      <c r="X999" s="242"/>
      <c r="Y999" s="148"/>
      <c r="Z999" s="148"/>
    </row>
    <row r="1000">
      <c r="A1000" s="148"/>
      <c r="B1000" s="148"/>
      <c r="C1000" s="148"/>
      <c r="D1000" s="245"/>
      <c r="E1000" s="148"/>
      <c r="F1000" s="277"/>
      <c r="G1000" s="148"/>
      <c r="H1000" s="148"/>
      <c r="I1000" s="251"/>
      <c r="J1000" s="251"/>
      <c r="K1000" s="148"/>
      <c r="L1000" s="277"/>
      <c r="M1000" s="252"/>
      <c r="N1000" s="250"/>
      <c r="O1000" s="253"/>
      <c r="P1000" s="240"/>
      <c r="Q1000" s="148"/>
      <c r="R1000" s="148"/>
      <c r="S1000" s="242"/>
      <c r="T1000" s="242"/>
      <c r="U1000" s="242"/>
      <c r="V1000" s="242"/>
      <c r="W1000" s="242"/>
      <c r="X1000" s="242"/>
      <c r="Y1000" s="148"/>
      <c r="Z1000" s="148"/>
    </row>
    <row r="1001">
      <c r="A1001" s="148"/>
      <c r="B1001" s="148"/>
      <c r="C1001" s="148"/>
      <c r="D1001" s="245"/>
      <c r="E1001" s="148"/>
      <c r="F1001" s="277"/>
      <c r="G1001" s="148"/>
      <c r="H1001" s="148"/>
      <c r="I1001" s="251"/>
      <c r="J1001" s="251"/>
      <c r="K1001" s="148"/>
      <c r="L1001" s="277"/>
      <c r="M1001" s="252"/>
      <c r="N1001" s="250"/>
      <c r="O1001" s="253"/>
      <c r="P1001" s="240"/>
      <c r="Q1001" s="148"/>
      <c r="R1001" s="148"/>
      <c r="S1001" s="242"/>
      <c r="T1001" s="242"/>
      <c r="U1001" s="242"/>
      <c r="V1001" s="242"/>
      <c r="W1001" s="242"/>
      <c r="X1001" s="242"/>
      <c r="Y1001" s="148"/>
      <c r="Z1001" s="148"/>
    </row>
    <row r="1002">
      <c r="A1002" s="148"/>
      <c r="B1002" s="148"/>
      <c r="C1002" s="148"/>
      <c r="D1002" s="245"/>
      <c r="E1002" s="148"/>
      <c r="F1002" s="277"/>
      <c r="G1002" s="148"/>
      <c r="H1002" s="148"/>
      <c r="I1002" s="251"/>
      <c r="J1002" s="251"/>
      <c r="K1002" s="148"/>
      <c r="L1002" s="277"/>
      <c r="M1002" s="252"/>
      <c r="N1002" s="250"/>
      <c r="O1002" s="253"/>
      <c r="P1002" s="240"/>
      <c r="Q1002" s="148"/>
      <c r="R1002" s="148"/>
      <c r="S1002" s="242"/>
      <c r="T1002" s="242"/>
      <c r="U1002" s="242"/>
      <c r="V1002" s="242"/>
      <c r="W1002" s="242"/>
      <c r="X1002" s="242"/>
      <c r="Y1002" s="148"/>
      <c r="Z1002" s="148"/>
    </row>
    <row r="1003">
      <c r="A1003" s="148"/>
      <c r="B1003" s="148"/>
      <c r="C1003" s="148"/>
      <c r="D1003" s="245"/>
      <c r="E1003" s="148"/>
      <c r="F1003" s="277"/>
      <c r="G1003" s="148"/>
      <c r="H1003" s="148"/>
      <c r="I1003" s="251"/>
      <c r="J1003" s="251"/>
      <c r="K1003" s="148"/>
      <c r="L1003" s="277"/>
      <c r="M1003" s="252"/>
      <c r="N1003" s="250"/>
      <c r="O1003" s="253"/>
      <c r="P1003" s="240"/>
      <c r="Q1003" s="148"/>
      <c r="R1003" s="148"/>
      <c r="S1003" s="242"/>
      <c r="T1003" s="242"/>
      <c r="U1003" s="242"/>
      <c r="V1003" s="242"/>
      <c r="W1003" s="242"/>
      <c r="X1003" s="242"/>
      <c r="Y1003" s="148"/>
      <c r="Z1003" s="148"/>
    </row>
    <row r="1004">
      <c r="A1004" s="148"/>
      <c r="B1004" s="148"/>
      <c r="C1004" s="148"/>
      <c r="D1004" s="245"/>
      <c r="E1004" s="148"/>
      <c r="F1004" s="277"/>
      <c r="G1004" s="148"/>
      <c r="H1004" s="148"/>
      <c r="I1004" s="251"/>
      <c r="J1004" s="251"/>
      <c r="K1004" s="148"/>
      <c r="L1004" s="277"/>
      <c r="M1004" s="252"/>
      <c r="N1004" s="250"/>
      <c r="O1004" s="253"/>
      <c r="P1004" s="240"/>
      <c r="Q1004" s="148"/>
      <c r="R1004" s="148"/>
      <c r="S1004" s="242"/>
      <c r="T1004" s="242"/>
      <c r="U1004" s="242"/>
      <c r="V1004" s="242"/>
      <c r="W1004" s="242"/>
      <c r="X1004" s="242"/>
      <c r="Y1004" s="148"/>
      <c r="Z1004" s="148"/>
    </row>
    <row r="1005">
      <c r="A1005" s="148"/>
      <c r="B1005" s="148"/>
      <c r="C1005" s="148"/>
      <c r="D1005" s="245"/>
      <c r="E1005" s="148"/>
      <c r="F1005" s="277"/>
      <c r="G1005" s="148"/>
      <c r="H1005" s="148"/>
      <c r="I1005" s="251"/>
      <c r="J1005" s="251"/>
      <c r="K1005" s="148"/>
      <c r="L1005" s="277"/>
      <c r="M1005" s="252"/>
      <c r="N1005" s="250"/>
      <c r="O1005" s="253"/>
      <c r="P1005" s="240"/>
      <c r="Q1005" s="148"/>
      <c r="R1005" s="148"/>
      <c r="S1005" s="242"/>
      <c r="T1005" s="242"/>
      <c r="U1005" s="242"/>
      <c r="V1005" s="242"/>
      <c r="W1005" s="242"/>
      <c r="X1005" s="242"/>
      <c r="Y1005" s="148"/>
      <c r="Z1005" s="148"/>
    </row>
    <row r="1006">
      <c r="A1006" s="148"/>
      <c r="B1006" s="148"/>
      <c r="C1006" s="148"/>
      <c r="D1006" s="245"/>
      <c r="E1006" s="148"/>
      <c r="F1006" s="277"/>
      <c r="G1006" s="148"/>
      <c r="H1006" s="148"/>
      <c r="I1006" s="251"/>
      <c r="J1006" s="251"/>
      <c r="K1006" s="148"/>
      <c r="L1006" s="277"/>
      <c r="M1006" s="252"/>
      <c r="N1006" s="250"/>
      <c r="O1006" s="253"/>
      <c r="P1006" s="240"/>
      <c r="Q1006" s="148"/>
      <c r="R1006" s="148"/>
      <c r="S1006" s="242"/>
      <c r="T1006" s="242"/>
      <c r="U1006" s="242"/>
      <c r="V1006" s="242"/>
      <c r="W1006" s="242"/>
      <c r="X1006" s="242"/>
      <c r="Y1006" s="148"/>
      <c r="Z1006" s="148"/>
    </row>
    <row r="1007">
      <c r="A1007" s="148"/>
      <c r="B1007" s="148"/>
      <c r="C1007" s="148"/>
      <c r="D1007" s="245"/>
      <c r="E1007" s="148"/>
      <c r="F1007" s="277"/>
      <c r="G1007" s="148"/>
      <c r="H1007" s="148"/>
      <c r="I1007" s="251"/>
      <c r="J1007" s="251"/>
      <c r="K1007" s="148"/>
      <c r="L1007" s="277"/>
      <c r="M1007" s="252"/>
      <c r="N1007" s="250"/>
      <c r="O1007" s="253"/>
      <c r="P1007" s="240"/>
      <c r="Q1007" s="148"/>
      <c r="R1007" s="148"/>
      <c r="S1007" s="242"/>
      <c r="T1007" s="242"/>
      <c r="U1007" s="242"/>
      <c r="V1007" s="242"/>
      <c r="W1007" s="242"/>
      <c r="X1007" s="242"/>
      <c r="Y1007" s="148"/>
      <c r="Z1007" s="148"/>
    </row>
    <row r="1008">
      <c r="A1008" s="148"/>
      <c r="B1008" s="148"/>
      <c r="C1008" s="148"/>
      <c r="D1008" s="245"/>
      <c r="E1008" s="148"/>
      <c r="F1008" s="277"/>
      <c r="G1008" s="148"/>
      <c r="H1008" s="148"/>
      <c r="I1008" s="251"/>
      <c r="J1008" s="251"/>
      <c r="K1008" s="148"/>
      <c r="L1008" s="277"/>
      <c r="M1008" s="252"/>
      <c r="N1008" s="250"/>
      <c r="O1008" s="253"/>
      <c r="P1008" s="240"/>
      <c r="Q1008" s="148"/>
      <c r="R1008" s="148"/>
      <c r="S1008" s="242"/>
      <c r="T1008" s="242"/>
      <c r="U1008" s="242"/>
      <c r="V1008" s="242"/>
      <c r="W1008" s="242"/>
      <c r="X1008" s="242"/>
      <c r="Y1008" s="148"/>
      <c r="Z1008" s="148"/>
    </row>
    <row r="1009">
      <c r="A1009" s="148"/>
      <c r="B1009" s="148"/>
      <c r="C1009" s="148"/>
      <c r="D1009" s="245"/>
      <c r="E1009" s="148"/>
      <c r="F1009" s="277"/>
      <c r="G1009" s="148"/>
      <c r="H1009" s="148"/>
      <c r="I1009" s="251"/>
      <c r="J1009" s="251"/>
      <c r="K1009" s="148"/>
      <c r="L1009" s="277"/>
      <c r="M1009" s="252"/>
      <c r="N1009" s="250"/>
      <c r="O1009" s="253"/>
      <c r="P1009" s="240"/>
      <c r="Q1009" s="148"/>
      <c r="R1009" s="148"/>
      <c r="S1009" s="242"/>
      <c r="T1009" s="242"/>
      <c r="U1009" s="242"/>
      <c r="V1009" s="242"/>
      <c r="W1009" s="242"/>
      <c r="X1009" s="242"/>
      <c r="Y1009" s="148"/>
      <c r="Z1009" s="148"/>
    </row>
    <row r="1010">
      <c r="A1010" s="148"/>
      <c r="B1010" s="148"/>
      <c r="C1010" s="148"/>
      <c r="D1010" s="245"/>
      <c r="E1010" s="148"/>
      <c r="F1010" s="277"/>
      <c r="G1010" s="148"/>
      <c r="H1010" s="148"/>
      <c r="I1010" s="251"/>
      <c r="J1010" s="251"/>
      <c r="K1010" s="148"/>
      <c r="L1010" s="277"/>
      <c r="M1010" s="252"/>
      <c r="N1010" s="250"/>
      <c r="O1010" s="253"/>
      <c r="P1010" s="240"/>
      <c r="Q1010" s="148"/>
      <c r="R1010" s="148"/>
      <c r="S1010" s="242"/>
      <c r="T1010" s="242"/>
      <c r="U1010" s="242"/>
      <c r="V1010" s="242"/>
      <c r="W1010" s="242"/>
      <c r="X1010" s="242"/>
      <c r="Y1010" s="148"/>
      <c r="Z1010" s="148"/>
    </row>
    <row r="1011">
      <c r="A1011" s="148"/>
      <c r="B1011" s="148"/>
      <c r="C1011" s="148"/>
      <c r="D1011" s="245"/>
      <c r="E1011" s="148"/>
      <c r="F1011" s="277"/>
      <c r="G1011" s="148"/>
      <c r="H1011" s="148"/>
      <c r="I1011" s="251"/>
      <c r="J1011" s="251"/>
      <c r="K1011" s="148"/>
      <c r="L1011" s="277"/>
      <c r="M1011" s="252"/>
      <c r="N1011" s="250"/>
      <c r="O1011" s="253"/>
      <c r="P1011" s="240"/>
      <c r="Q1011" s="148"/>
      <c r="R1011" s="148"/>
      <c r="S1011" s="242"/>
      <c r="T1011" s="242"/>
      <c r="U1011" s="242"/>
      <c r="V1011" s="242"/>
      <c r="W1011" s="242"/>
      <c r="X1011" s="242"/>
      <c r="Y1011" s="148"/>
      <c r="Z1011" s="148"/>
    </row>
    <row r="1012">
      <c r="A1012" s="148"/>
      <c r="B1012" s="148"/>
      <c r="C1012" s="148"/>
      <c r="D1012" s="245"/>
      <c r="E1012" s="148"/>
      <c r="F1012" s="277"/>
      <c r="G1012" s="148"/>
      <c r="H1012" s="148"/>
      <c r="I1012" s="251"/>
      <c r="J1012" s="251"/>
      <c r="K1012" s="148"/>
      <c r="L1012" s="277"/>
      <c r="M1012" s="252"/>
      <c r="N1012" s="250"/>
      <c r="O1012" s="253"/>
      <c r="P1012" s="240"/>
      <c r="Q1012" s="148"/>
      <c r="R1012" s="148"/>
      <c r="S1012" s="242"/>
      <c r="T1012" s="242"/>
      <c r="U1012" s="242"/>
      <c r="V1012" s="242"/>
      <c r="W1012" s="242"/>
      <c r="X1012" s="242"/>
      <c r="Y1012" s="148"/>
      <c r="Z1012" s="148"/>
    </row>
  </sheetData>
  <mergeCells count="431">
    <mergeCell ref="A118:B119"/>
    <mergeCell ref="C118:C119"/>
    <mergeCell ref="A120:B120"/>
    <mergeCell ref="A127:B128"/>
    <mergeCell ref="G112:H112"/>
    <mergeCell ref="J113:J114"/>
    <mergeCell ref="M113:N114"/>
    <mergeCell ref="O113:O114"/>
    <mergeCell ref="A114:B114"/>
    <mergeCell ref="M115:N115"/>
    <mergeCell ref="A116:B116"/>
    <mergeCell ref="M116:N116"/>
    <mergeCell ref="M117:N117"/>
    <mergeCell ref="M118:N118"/>
    <mergeCell ref="M119:N119"/>
    <mergeCell ref="M120:N120"/>
    <mergeCell ref="M121:N121"/>
    <mergeCell ref="M122:N122"/>
    <mergeCell ref="M123:N123"/>
    <mergeCell ref="M124:N124"/>
    <mergeCell ref="M125:N125"/>
    <mergeCell ref="M126:N126"/>
    <mergeCell ref="M127:N127"/>
    <mergeCell ref="M128:N128"/>
    <mergeCell ref="M129:N129"/>
    <mergeCell ref="M130:N130"/>
    <mergeCell ref="M131:N131"/>
    <mergeCell ref="M132:N132"/>
    <mergeCell ref="M133:N133"/>
    <mergeCell ref="M134:N134"/>
    <mergeCell ref="M135:N135"/>
    <mergeCell ref="M136:N136"/>
    <mergeCell ref="M137:N137"/>
    <mergeCell ref="M138:N138"/>
    <mergeCell ref="M139:N139"/>
    <mergeCell ref="M140:N140"/>
    <mergeCell ref="M141:N141"/>
    <mergeCell ref="M142:N142"/>
    <mergeCell ref="M143:N143"/>
    <mergeCell ref="M164:N164"/>
    <mergeCell ref="M165:N165"/>
    <mergeCell ref="M166:N166"/>
    <mergeCell ref="M167:N167"/>
    <mergeCell ref="M168:N168"/>
    <mergeCell ref="M169:N169"/>
    <mergeCell ref="M170:N170"/>
    <mergeCell ref="M171:N171"/>
    <mergeCell ref="M172:N172"/>
    <mergeCell ref="M173:N173"/>
    <mergeCell ref="M174:N174"/>
    <mergeCell ref="M175:N175"/>
    <mergeCell ref="M176:N176"/>
    <mergeCell ref="M177:N177"/>
    <mergeCell ref="A186:B186"/>
    <mergeCell ref="A188:B188"/>
    <mergeCell ref="A190:B191"/>
    <mergeCell ref="C190:C191"/>
    <mergeCell ref="A192:B192"/>
    <mergeCell ref="A199:B200"/>
    <mergeCell ref="M178:N178"/>
    <mergeCell ref="M179:N179"/>
    <mergeCell ref="G184:H184"/>
    <mergeCell ref="J185:J186"/>
    <mergeCell ref="M185:N186"/>
    <mergeCell ref="O185:O186"/>
    <mergeCell ref="M187:N187"/>
    <mergeCell ref="M188:N188"/>
    <mergeCell ref="M189:N189"/>
    <mergeCell ref="M190:N190"/>
    <mergeCell ref="M191:N191"/>
    <mergeCell ref="M192:N192"/>
    <mergeCell ref="M193:N193"/>
    <mergeCell ref="M194:N194"/>
    <mergeCell ref="M195:N195"/>
    <mergeCell ref="M196:N196"/>
    <mergeCell ref="M197:N197"/>
    <mergeCell ref="M198:N198"/>
    <mergeCell ref="M199:N199"/>
    <mergeCell ref="M200:N200"/>
    <mergeCell ref="M201:N201"/>
    <mergeCell ref="M202:N202"/>
    <mergeCell ref="M203:N203"/>
    <mergeCell ref="M204:N204"/>
    <mergeCell ref="M205:N205"/>
    <mergeCell ref="M206:N206"/>
    <mergeCell ref="M207:N207"/>
    <mergeCell ref="M208:N208"/>
    <mergeCell ref="M209:N209"/>
    <mergeCell ref="M210:N210"/>
    <mergeCell ref="M211:N211"/>
    <mergeCell ref="M212:N212"/>
    <mergeCell ref="M213:N213"/>
    <mergeCell ref="M214:N214"/>
    <mergeCell ref="M215:N215"/>
    <mergeCell ref="A262:B263"/>
    <mergeCell ref="C262:C263"/>
    <mergeCell ref="M262:N262"/>
    <mergeCell ref="M263:N263"/>
    <mergeCell ref="A264:B264"/>
    <mergeCell ref="M264:N264"/>
    <mergeCell ref="M265:N265"/>
    <mergeCell ref="M266:N266"/>
    <mergeCell ref="M267:N267"/>
    <mergeCell ref="M268:N268"/>
    <mergeCell ref="M269:N269"/>
    <mergeCell ref="M270:N270"/>
    <mergeCell ref="A271:B272"/>
    <mergeCell ref="M271:N271"/>
    <mergeCell ref="A226:B227"/>
    <mergeCell ref="C226:C227"/>
    <mergeCell ref="A228:B228"/>
    <mergeCell ref="A235:B236"/>
    <mergeCell ref="G220:H220"/>
    <mergeCell ref="J221:J222"/>
    <mergeCell ref="M221:N222"/>
    <mergeCell ref="O221:O222"/>
    <mergeCell ref="A222:B222"/>
    <mergeCell ref="M223:N223"/>
    <mergeCell ref="A224:B224"/>
    <mergeCell ref="M224:N224"/>
    <mergeCell ref="M225:N225"/>
    <mergeCell ref="M226:N226"/>
    <mergeCell ref="M227:N227"/>
    <mergeCell ref="M228:N228"/>
    <mergeCell ref="M229:N229"/>
    <mergeCell ref="M230:N230"/>
    <mergeCell ref="M231:N231"/>
    <mergeCell ref="M232:N232"/>
    <mergeCell ref="M233:N233"/>
    <mergeCell ref="M234:N234"/>
    <mergeCell ref="M235:N235"/>
    <mergeCell ref="M236:N236"/>
    <mergeCell ref="M237:N237"/>
    <mergeCell ref="M238:N238"/>
    <mergeCell ref="M239:N239"/>
    <mergeCell ref="M240:N240"/>
    <mergeCell ref="M241:N241"/>
    <mergeCell ref="M242:N242"/>
    <mergeCell ref="M243:N243"/>
    <mergeCell ref="M244:N244"/>
    <mergeCell ref="M245:N245"/>
    <mergeCell ref="M246:N246"/>
    <mergeCell ref="M247:N247"/>
    <mergeCell ref="M248:N248"/>
    <mergeCell ref="M249:N249"/>
    <mergeCell ref="M250:N250"/>
    <mergeCell ref="M251:N251"/>
    <mergeCell ref="M272:N272"/>
    <mergeCell ref="M273:N273"/>
    <mergeCell ref="M274:N274"/>
    <mergeCell ref="M275:N275"/>
    <mergeCell ref="M276:N276"/>
    <mergeCell ref="M277:N277"/>
    <mergeCell ref="M278:N278"/>
    <mergeCell ref="M279:N279"/>
    <mergeCell ref="M280:N280"/>
    <mergeCell ref="M281:N281"/>
    <mergeCell ref="M282:N282"/>
    <mergeCell ref="M283:N283"/>
    <mergeCell ref="M284:N284"/>
    <mergeCell ref="M285:N285"/>
    <mergeCell ref="A294:B294"/>
    <mergeCell ref="A296:B296"/>
    <mergeCell ref="A298:B299"/>
    <mergeCell ref="C298:C299"/>
    <mergeCell ref="A300:B300"/>
    <mergeCell ref="A307:B308"/>
    <mergeCell ref="M286:N286"/>
    <mergeCell ref="M287:N287"/>
    <mergeCell ref="G292:H292"/>
    <mergeCell ref="J293:J294"/>
    <mergeCell ref="M293:N294"/>
    <mergeCell ref="O293:O294"/>
    <mergeCell ref="M295:N295"/>
    <mergeCell ref="M296:N296"/>
    <mergeCell ref="M297:N297"/>
    <mergeCell ref="M298:N298"/>
    <mergeCell ref="M299:N299"/>
    <mergeCell ref="M300:N300"/>
    <mergeCell ref="M301:N301"/>
    <mergeCell ref="M302:N302"/>
    <mergeCell ref="M303:N303"/>
    <mergeCell ref="M304:N304"/>
    <mergeCell ref="M305:N305"/>
    <mergeCell ref="M306:N306"/>
    <mergeCell ref="M307:N307"/>
    <mergeCell ref="M308:N308"/>
    <mergeCell ref="M309:N309"/>
    <mergeCell ref="M310:N310"/>
    <mergeCell ref="M311:N311"/>
    <mergeCell ref="M312:N312"/>
    <mergeCell ref="M313:N313"/>
    <mergeCell ref="M314:N314"/>
    <mergeCell ref="M315:N315"/>
    <mergeCell ref="M316:N316"/>
    <mergeCell ref="M317:N317"/>
    <mergeCell ref="M318:N318"/>
    <mergeCell ref="M319:N319"/>
    <mergeCell ref="M320:N320"/>
    <mergeCell ref="M321:N321"/>
    <mergeCell ref="M322:N322"/>
    <mergeCell ref="M323:N323"/>
    <mergeCell ref="M368:N368"/>
    <mergeCell ref="M369:N369"/>
    <mergeCell ref="G364:H364"/>
    <mergeCell ref="J365:J366"/>
    <mergeCell ref="M365:N366"/>
    <mergeCell ref="O365:O366"/>
    <mergeCell ref="A366:B366"/>
    <mergeCell ref="M367:N367"/>
    <mergeCell ref="A368:B368"/>
    <mergeCell ref="A370:B371"/>
    <mergeCell ref="C370:C371"/>
    <mergeCell ref="M370:N370"/>
    <mergeCell ref="M371:N371"/>
    <mergeCell ref="A372:B372"/>
    <mergeCell ref="M372:N372"/>
    <mergeCell ref="M373:N373"/>
    <mergeCell ref="M374:N374"/>
    <mergeCell ref="M375:N375"/>
    <mergeCell ref="M376:N376"/>
    <mergeCell ref="M377:N377"/>
    <mergeCell ref="M378:N378"/>
    <mergeCell ref="A379:B380"/>
    <mergeCell ref="M379:N379"/>
    <mergeCell ref="M394:N394"/>
    <mergeCell ref="M395:N395"/>
    <mergeCell ref="M387:N387"/>
    <mergeCell ref="M388:N388"/>
    <mergeCell ref="M389:N389"/>
    <mergeCell ref="M390:N390"/>
    <mergeCell ref="M391:N391"/>
    <mergeCell ref="M392:N392"/>
    <mergeCell ref="M393:N393"/>
    <mergeCell ref="A334:B335"/>
    <mergeCell ref="C334:C335"/>
    <mergeCell ref="A336:B336"/>
    <mergeCell ref="A343:B344"/>
    <mergeCell ref="G328:H328"/>
    <mergeCell ref="J329:J330"/>
    <mergeCell ref="M329:N330"/>
    <mergeCell ref="O329:O330"/>
    <mergeCell ref="A330:B330"/>
    <mergeCell ref="M331:N331"/>
    <mergeCell ref="A332:B332"/>
    <mergeCell ref="M332:N332"/>
    <mergeCell ref="M333:N333"/>
    <mergeCell ref="M334:N334"/>
    <mergeCell ref="M335:N335"/>
    <mergeCell ref="M336:N336"/>
    <mergeCell ref="M337:N337"/>
    <mergeCell ref="M338:N338"/>
    <mergeCell ref="M339:N339"/>
    <mergeCell ref="M340:N340"/>
    <mergeCell ref="M341:N341"/>
    <mergeCell ref="M342:N342"/>
    <mergeCell ref="M343:N343"/>
    <mergeCell ref="M344:N344"/>
    <mergeCell ref="M345:N345"/>
    <mergeCell ref="M346:N346"/>
    <mergeCell ref="M347:N347"/>
    <mergeCell ref="M348:N348"/>
    <mergeCell ref="M349:N349"/>
    <mergeCell ref="M350:N350"/>
    <mergeCell ref="M351:N351"/>
    <mergeCell ref="M352:N352"/>
    <mergeCell ref="M353:N353"/>
    <mergeCell ref="M354:N354"/>
    <mergeCell ref="M355:N355"/>
    <mergeCell ref="M356:N356"/>
    <mergeCell ref="M357:N357"/>
    <mergeCell ref="M358:N358"/>
    <mergeCell ref="M359:N359"/>
    <mergeCell ref="M380:N380"/>
    <mergeCell ref="M381:N381"/>
    <mergeCell ref="M382:N382"/>
    <mergeCell ref="M383:N383"/>
    <mergeCell ref="M384:N384"/>
    <mergeCell ref="M385:N385"/>
    <mergeCell ref="M386:N386"/>
    <mergeCell ref="M43:N43"/>
    <mergeCell ref="M44:N44"/>
    <mergeCell ref="G39:H39"/>
    <mergeCell ref="J40:J41"/>
    <mergeCell ref="M40:N41"/>
    <mergeCell ref="O40:O41"/>
    <mergeCell ref="A41:B41"/>
    <mergeCell ref="M42:N42"/>
    <mergeCell ref="A43:B43"/>
    <mergeCell ref="A45:B46"/>
    <mergeCell ref="C45:C46"/>
    <mergeCell ref="M45:N45"/>
    <mergeCell ref="M46:N46"/>
    <mergeCell ref="A47:B47"/>
    <mergeCell ref="M47:N47"/>
    <mergeCell ref="M48:N48"/>
    <mergeCell ref="M49:N49"/>
    <mergeCell ref="M50:N50"/>
    <mergeCell ref="M51:N51"/>
    <mergeCell ref="M52:N52"/>
    <mergeCell ref="M53:N53"/>
    <mergeCell ref="A54:B55"/>
    <mergeCell ref="M54:N54"/>
    <mergeCell ref="A8:B9"/>
    <mergeCell ref="C8:C9"/>
    <mergeCell ref="A10:B10"/>
    <mergeCell ref="B12:C12"/>
    <mergeCell ref="B13:C13"/>
    <mergeCell ref="A17:B18"/>
    <mergeCell ref="G2:H2"/>
    <mergeCell ref="J3:J4"/>
    <mergeCell ref="M3:N4"/>
    <mergeCell ref="O3:O4"/>
    <mergeCell ref="A4:B4"/>
    <mergeCell ref="M5:N5"/>
    <mergeCell ref="A6:B6"/>
    <mergeCell ref="M6:N6"/>
    <mergeCell ref="M7:N7"/>
    <mergeCell ref="M8:N8"/>
    <mergeCell ref="M9:N9"/>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 ref="M31:N31"/>
    <mergeCell ref="M32:N32"/>
    <mergeCell ref="M33:N33"/>
    <mergeCell ref="M55:N55"/>
    <mergeCell ref="M56:N56"/>
    <mergeCell ref="M57:N57"/>
    <mergeCell ref="M58:N58"/>
    <mergeCell ref="M59:N59"/>
    <mergeCell ref="M60:N60"/>
    <mergeCell ref="M61:N61"/>
    <mergeCell ref="M62:N62"/>
    <mergeCell ref="M63:N63"/>
    <mergeCell ref="M64:N64"/>
    <mergeCell ref="M65:N65"/>
    <mergeCell ref="M66:N66"/>
    <mergeCell ref="M67:N67"/>
    <mergeCell ref="M68:N68"/>
    <mergeCell ref="A78:B78"/>
    <mergeCell ref="A80:B80"/>
    <mergeCell ref="A82:B83"/>
    <mergeCell ref="C82:C83"/>
    <mergeCell ref="A84:B84"/>
    <mergeCell ref="A91:B92"/>
    <mergeCell ref="M69:N69"/>
    <mergeCell ref="M70:N70"/>
    <mergeCell ref="G76:H76"/>
    <mergeCell ref="J77:J78"/>
    <mergeCell ref="M77:N78"/>
    <mergeCell ref="O77:O78"/>
    <mergeCell ref="M79:N79"/>
    <mergeCell ref="M80:N80"/>
    <mergeCell ref="M81:N81"/>
    <mergeCell ref="M82:N82"/>
    <mergeCell ref="M83:N83"/>
    <mergeCell ref="M84:N84"/>
    <mergeCell ref="M85:N85"/>
    <mergeCell ref="M86:N86"/>
    <mergeCell ref="M87:N87"/>
    <mergeCell ref="M88:N88"/>
    <mergeCell ref="M89:N89"/>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52:N152"/>
    <mergeCell ref="M153:N153"/>
    <mergeCell ref="G148:H148"/>
    <mergeCell ref="J149:J150"/>
    <mergeCell ref="M149:N150"/>
    <mergeCell ref="O149:O150"/>
    <mergeCell ref="A150:B150"/>
    <mergeCell ref="M151:N151"/>
    <mergeCell ref="A152:B152"/>
    <mergeCell ref="A154:B155"/>
    <mergeCell ref="C154:C155"/>
    <mergeCell ref="M154:N154"/>
    <mergeCell ref="M155:N155"/>
    <mergeCell ref="A156:B156"/>
    <mergeCell ref="M156:N156"/>
    <mergeCell ref="M157:N157"/>
    <mergeCell ref="M158:N158"/>
    <mergeCell ref="M159:N159"/>
    <mergeCell ref="M160:N160"/>
    <mergeCell ref="M161:N161"/>
    <mergeCell ref="M162:N162"/>
    <mergeCell ref="A163:B164"/>
    <mergeCell ref="M163:N163"/>
    <mergeCell ref="M260:N260"/>
    <mergeCell ref="M261:N261"/>
    <mergeCell ref="G256:H256"/>
    <mergeCell ref="J257:J258"/>
    <mergeCell ref="M257:N258"/>
    <mergeCell ref="O257:O258"/>
    <mergeCell ref="A258:B258"/>
    <mergeCell ref="M259:N259"/>
    <mergeCell ref="A260:B260"/>
  </mergeCells>
  <conditionalFormatting sqref="B1 B38 B63:B71 B77 B79 B88:B90 B100:B101 B103 B133:B134 B170:B174 B176 B178 B181:B185 B187 B195:B198 B214:B218 B220 B225 B229 B248:B253 B255 B257 B261 B265 B269:B270 B273 B275 B277 B280:B289 B291 B293 B297 B301:B306 B310 B313:B317 B323:B329 B331 B333 B337:B340 B351:B354 B362:B365 B367 B369 B373 B375 B377:B378 B381:B440 B446:B1012">
    <cfRule type="notContainsBlanks" dxfId="0" priority="1">
      <formula>LEN(TRIM(B1))&gt;0</formula>
    </cfRule>
  </conditionalFormatting>
  <conditionalFormatting sqref="P3:P21 P40:P58 P105:P122 P136:P153 P165:P184 P188:P215 P218:P242 P253:P271 P273:P284 P289:P317 P326:P344">
    <cfRule type="notContainsBlanks" dxfId="0" priority="2">
      <formula>LEN(TRIM(P3))&gt;0</formula>
    </cfRule>
  </conditionalFormatting>
  <conditionalFormatting sqref="C5 C41:C42 C78 C107 C138 C167 C176 C199 C220 C255 C275 C291 C308 C328 C331">
    <cfRule type="notContainsBlanks" dxfId="0" priority="3">
      <formula>LEN(TRIM(C5))&gt;0</formula>
    </cfRule>
  </conditionalFormatting>
  <conditionalFormatting sqref="C4 C40:C41 C77 C106 C137 C166 C175 C189 C219 C254 C274 C290 C307 C327 C330">
    <cfRule type="notContainsBlanks" dxfId="0" priority="4">
      <formula>LEN(TRIM(C4))&gt;0</formula>
    </cfRule>
  </conditionalFormatting>
  <conditionalFormatting sqref="D1:D34 D36:D354 D356:D1012">
    <cfRule type="notContainsBlanks" dxfId="0" priority="5">
      <formula>LEN(TRIM(D1))&gt;0</formula>
    </cfRule>
  </conditionalFormatting>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0"/>
    <col customWidth="1" min="2" max="2" width="9.5"/>
    <col customWidth="1" min="3" max="3" width="13.63"/>
    <col customWidth="1" min="4" max="4" width="13.25"/>
    <col customWidth="1" min="5" max="5" width="15.13"/>
    <col customWidth="1" min="6" max="6" width="9.38"/>
    <col customWidth="1" min="7" max="7" width="3.75"/>
    <col customWidth="1" min="8" max="8" width="3.88"/>
    <col customWidth="1" min="9" max="9" width="1.25"/>
    <col customWidth="1" min="10" max="10" width="16.5"/>
    <col customWidth="1" min="11" max="11" width="0.5"/>
    <col customWidth="1" min="12" max="12" width="8.13"/>
    <col customWidth="1" min="13" max="13" width="17.13"/>
    <col customWidth="1" min="14" max="14" width="16.88"/>
    <col customWidth="1" min="15" max="15" width="12.75"/>
    <col customWidth="1" min="16" max="16" width="8.88"/>
    <col customWidth="1" min="17" max="17" width="1.63"/>
    <col customWidth="1" min="18" max="18" width="1.75"/>
    <col customWidth="1" min="19" max="19" width="2.13"/>
    <col customWidth="1" min="20" max="20" width="8.13"/>
    <col customWidth="1" min="21" max="21" width="9.5"/>
    <col customWidth="1" min="22" max="22" width="9.75"/>
    <col customWidth="1" min="23" max="23" width="5.75"/>
    <col customWidth="1" min="24" max="24" width="11.13"/>
    <col customWidth="1" min="25" max="25" width="6.88"/>
    <col customWidth="1" min="26" max="26" width="9.0"/>
  </cols>
  <sheetData>
    <row r="1">
      <c r="A1" s="169" t="s">
        <v>113</v>
      </c>
      <c r="B1" s="539"/>
      <c r="C1" s="540"/>
      <c r="D1" s="405"/>
      <c r="E1" s="541"/>
      <c r="F1" s="542"/>
      <c r="G1" s="467" t="s">
        <v>333</v>
      </c>
      <c r="H1" s="361"/>
      <c r="I1" s="57"/>
      <c r="J1" s="105"/>
      <c r="K1" s="57"/>
      <c r="L1" s="150"/>
      <c r="M1" s="239"/>
      <c r="N1" s="239"/>
      <c r="O1" s="57"/>
      <c r="P1" s="157"/>
      <c r="Q1" s="404"/>
      <c r="R1" s="57"/>
      <c r="S1" s="394"/>
      <c r="T1" s="394"/>
      <c r="U1" s="394"/>
      <c r="V1" s="394"/>
      <c r="W1" s="394"/>
      <c r="X1" s="394"/>
      <c r="Y1" s="395"/>
      <c r="Z1" s="395"/>
    </row>
    <row r="2">
      <c r="A2" s="468"/>
      <c r="B2" s="157"/>
      <c r="C2" s="466"/>
      <c r="D2" s="405"/>
      <c r="E2" s="543" t="s">
        <v>335</v>
      </c>
      <c r="F2" s="544" t="s">
        <v>237</v>
      </c>
      <c r="G2" s="412" t="s">
        <v>336</v>
      </c>
      <c r="H2" s="413" t="s">
        <v>337</v>
      </c>
      <c r="I2" s="239"/>
      <c r="J2" s="145" t="s">
        <v>60</v>
      </c>
      <c r="K2" s="57"/>
      <c r="L2" s="150"/>
      <c r="M2" s="414"/>
      <c r="N2" s="414"/>
      <c r="O2" s="57" t="s">
        <v>334</v>
      </c>
      <c r="P2" s="157"/>
      <c r="Q2" s="404"/>
      <c r="R2" s="57"/>
      <c r="S2" s="399"/>
      <c r="T2" s="399"/>
      <c r="U2" s="399"/>
      <c r="V2" s="399"/>
      <c r="W2" s="399"/>
      <c r="X2" s="399"/>
      <c r="Y2" s="400"/>
      <c r="Z2" s="400"/>
    </row>
    <row r="3">
      <c r="A3" s="470" t="s">
        <v>179</v>
      </c>
      <c r="C3" s="416">
        <f>SUM(F3:F37)</f>
        <v>1819</v>
      </c>
      <c r="D3" s="405"/>
      <c r="E3" s="545" t="s">
        <v>690</v>
      </c>
      <c r="F3" s="546"/>
      <c r="G3" s="419"/>
      <c r="H3" s="419"/>
      <c r="I3" s="57"/>
      <c r="K3" s="57"/>
      <c r="L3" s="150"/>
      <c r="M3" s="377" t="s">
        <v>366</v>
      </c>
      <c r="P3" s="157"/>
      <c r="Q3" s="404"/>
      <c r="R3" s="57"/>
      <c r="S3" s="399"/>
      <c r="T3" s="399"/>
      <c r="U3" s="399"/>
      <c r="V3" s="399"/>
      <c r="W3" s="399"/>
      <c r="X3" s="399"/>
      <c r="Y3" s="400"/>
      <c r="Z3" s="400"/>
    </row>
    <row r="4">
      <c r="A4" s="421" t="s">
        <v>343</v>
      </c>
      <c r="B4" s="422" t="s">
        <v>321</v>
      </c>
      <c r="C4" s="416">
        <f>SUM(P4:P37)</f>
        <v>99</v>
      </c>
      <c r="D4" s="157"/>
      <c r="E4" s="545" t="s">
        <v>691</v>
      </c>
      <c r="F4" s="546">
        <v>100.0</v>
      </c>
      <c r="G4" s="419"/>
      <c r="H4" s="419"/>
      <c r="I4" s="239"/>
      <c r="J4" s="471" t="s">
        <v>341</v>
      </c>
      <c r="K4" s="420"/>
      <c r="L4" s="150"/>
      <c r="M4" s="374"/>
      <c r="O4" s="426" t="s">
        <v>760</v>
      </c>
      <c r="P4" s="423">
        <v>99.0</v>
      </c>
      <c r="Q4" s="404"/>
      <c r="R4" s="57"/>
      <c r="S4" s="394"/>
      <c r="T4" s="394"/>
      <c r="U4" s="394"/>
      <c r="V4" s="394"/>
      <c r="W4" s="394"/>
      <c r="X4" s="394"/>
      <c r="Y4" s="395"/>
      <c r="Z4" s="395"/>
    </row>
    <row r="5">
      <c r="A5" s="427" t="s">
        <v>201</v>
      </c>
      <c r="C5" s="204">
        <f>SUM(L4:L37)</f>
        <v>3145.25</v>
      </c>
      <c r="D5" s="157"/>
      <c r="E5" s="545" t="s">
        <v>693</v>
      </c>
      <c r="F5" s="547"/>
      <c r="G5" s="419"/>
      <c r="H5" s="419"/>
      <c r="I5" s="239"/>
      <c r="J5" s="472" t="s">
        <v>345</v>
      </c>
      <c r="K5" s="420"/>
      <c r="L5" s="150"/>
      <c r="M5" s="374"/>
      <c r="O5" s="431"/>
      <c r="P5" s="423"/>
      <c r="Q5" s="404"/>
      <c r="R5" s="57"/>
      <c r="S5" s="394"/>
      <c r="T5" s="394"/>
      <c r="U5" s="394"/>
      <c r="V5" s="394"/>
      <c r="W5" s="394"/>
      <c r="X5" s="394"/>
      <c r="Y5" s="395"/>
      <c r="Z5" s="395"/>
    </row>
    <row r="6">
      <c r="A6" s="548" t="s">
        <v>761</v>
      </c>
      <c r="B6" s="549">
        <v>0.4</v>
      </c>
      <c r="C6" s="191">
        <v>39.6</v>
      </c>
      <c r="D6" s="157"/>
      <c r="E6" s="550" t="s">
        <v>695</v>
      </c>
      <c r="F6" s="546">
        <v>250.0</v>
      </c>
      <c r="G6" s="419"/>
      <c r="H6" s="419"/>
      <c r="I6" s="239"/>
      <c r="J6" s="433" t="s">
        <v>656</v>
      </c>
      <c r="K6" s="420"/>
      <c r="L6" s="193"/>
      <c r="M6" s="374"/>
      <c r="O6" s="431"/>
      <c r="P6" s="423"/>
      <c r="Q6" s="404"/>
      <c r="R6" s="57"/>
      <c r="S6" s="394"/>
      <c r="T6" s="394"/>
      <c r="U6" s="394"/>
      <c r="V6" s="394"/>
      <c r="W6" s="394"/>
      <c r="X6" s="394"/>
      <c r="Y6" s="395"/>
      <c r="Z6" s="395"/>
    </row>
    <row r="7">
      <c r="A7" s="434" t="s">
        <v>350</v>
      </c>
      <c r="C7" s="551">
        <f>C3-C5-C6</f>
        <v>-1365.85</v>
      </c>
      <c r="D7" s="157"/>
      <c r="E7" s="552" t="s">
        <v>762</v>
      </c>
      <c r="F7" s="553">
        <v>160.0</v>
      </c>
      <c r="G7" s="455"/>
      <c r="H7" s="419"/>
      <c r="I7" s="57"/>
      <c r="J7" s="444" t="s">
        <v>658</v>
      </c>
      <c r="K7" s="420"/>
      <c r="L7" s="193">
        <v>46.0</v>
      </c>
      <c r="M7" s="377" t="s">
        <v>763</v>
      </c>
      <c r="O7" s="431"/>
      <c r="P7" s="157"/>
      <c r="Q7" s="404"/>
      <c r="R7" s="57"/>
      <c r="S7" s="394"/>
      <c r="T7" s="394"/>
      <c r="U7" s="394"/>
      <c r="V7" s="394"/>
      <c r="W7" s="394"/>
      <c r="X7" s="394"/>
      <c r="Y7" s="395"/>
      <c r="Z7" s="395"/>
    </row>
    <row r="8">
      <c r="A8" s="554"/>
      <c r="B8" s="555"/>
      <c r="C8" s="447"/>
      <c r="D8" s="157"/>
      <c r="E8" s="552" t="s">
        <v>674</v>
      </c>
      <c r="F8" s="553">
        <v>500.0</v>
      </c>
      <c r="G8" s="419"/>
      <c r="H8" s="419"/>
      <c r="I8" s="57"/>
      <c r="J8" s="444" t="s">
        <v>660</v>
      </c>
      <c r="K8" s="420"/>
      <c r="L8" s="193">
        <v>80.0</v>
      </c>
      <c r="M8" s="377"/>
      <c r="O8" s="431"/>
      <c r="P8" s="157"/>
      <c r="Q8" s="404"/>
      <c r="R8" s="57"/>
      <c r="S8" s="394"/>
      <c r="T8" s="394"/>
      <c r="U8" s="394"/>
      <c r="V8" s="394"/>
      <c r="W8" s="394"/>
      <c r="X8" s="394"/>
      <c r="Y8" s="395"/>
      <c r="Z8" s="395"/>
    </row>
    <row r="9">
      <c r="A9" s="556"/>
      <c r="C9" s="395"/>
      <c r="D9" s="157"/>
      <c r="E9" s="192" t="s">
        <v>413</v>
      </c>
      <c r="F9" s="546">
        <v>140.0</v>
      </c>
      <c r="G9" s="455"/>
      <c r="H9" s="419"/>
      <c r="I9" s="239"/>
      <c r="J9" s="370" t="s">
        <v>662</v>
      </c>
      <c r="K9" s="420"/>
      <c r="L9" s="193">
        <v>10.0</v>
      </c>
      <c r="M9" s="377" t="s">
        <v>764</v>
      </c>
      <c r="O9" s="431"/>
      <c r="P9" s="157"/>
      <c r="Q9" s="404"/>
      <c r="R9" s="57"/>
      <c r="S9" s="394"/>
      <c r="T9" s="394"/>
      <c r="U9" s="394"/>
      <c r="V9" s="394"/>
      <c r="W9" s="394"/>
      <c r="X9" s="394"/>
      <c r="Y9" s="395"/>
      <c r="Z9" s="395"/>
    </row>
    <row r="10">
      <c r="A10" s="557"/>
      <c r="B10" s="109"/>
      <c r="C10" s="395"/>
      <c r="D10" s="373"/>
      <c r="E10" s="192" t="s">
        <v>760</v>
      </c>
      <c r="F10" s="546">
        <v>99.0</v>
      </c>
      <c r="G10" s="558" t="s">
        <v>426</v>
      </c>
      <c r="H10" s="419"/>
      <c r="I10" s="239"/>
      <c r="J10" s="433" t="s">
        <v>666</v>
      </c>
      <c r="K10" s="420"/>
      <c r="L10" s="150"/>
      <c r="M10" s="374"/>
      <c r="O10" s="431"/>
      <c r="P10" s="157"/>
      <c r="Q10" s="404"/>
      <c r="R10" s="57"/>
      <c r="S10" s="394"/>
      <c r="T10" s="394"/>
      <c r="U10" s="394"/>
      <c r="V10" s="394"/>
      <c r="W10" s="394"/>
      <c r="X10" s="394"/>
      <c r="Y10" s="395"/>
      <c r="Z10" s="395"/>
    </row>
    <row r="11">
      <c r="A11" s="559" t="s">
        <v>765</v>
      </c>
      <c r="B11" s="560">
        <f>SUM(D11:D37)</f>
        <v>1228.37</v>
      </c>
      <c r="C11" s="477" t="s">
        <v>366</v>
      </c>
      <c r="D11" s="157"/>
      <c r="E11" s="192" t="s">
        <v>433</v>
      </c>
      <c r="F11" s="546">
        <v>120.0</v>
      </c>
      <c r="G11" s="419"/>
      <c r="H11" s="419"/>
      <c r="I11" s="239"/>
      <c r="J11" s="433" t="s">
        <v>668</v>
      </c>
      <c r="K11" s="420"/>
      <c r="L11" s="150"/>
      <c r="M11" s="377"/>
      <c r="O11" s="431"/>
      <c r="P11" s="157"/>
      <c r="Q11" s="404"/>
      <c r="R11" s="57"/>
      <c r="S11" s="394"/>
      <c r="T11" s="394"/>
      <c r="U11" s="394"/>
      <c r="V11" s="394"/>
      <c r="W11" s="394"/>
      <c r="X11" s="394"/>
      <c r="Y11" s="395"/>
      <c r="Z11" s="395"/>
    </row>
    <row r="12">
      <c r="A12" s="453" t="s">
        <v>369</v>
      </c>
      <c r="C12" s="561" t="s">
        <v>766</v>
      </c>
      <c r="D12" s="423">
        <v>397.0</v>
      </c>
      <c r="E12" s="192" t="s">
        <v>348</v>
      </c>
      <c r="F12" s="546">
        <v>450.0</v>
      </c>
      <c r="G12" s="562" t="s">
        <v>426</v>
      </c>
      <c r="H12" s="419"/>
      <c r="I12" s="239"/>
      <c r="J12" s="433" t="s">
        <v>670</v>
      </c>
      <c r="K12" s="458"/>
      <c r="L12" s="193">
        <v>1250.0</v>
      </c>
      <c r="M12" s="377"/>
      <c r="O12" s="431"/>
      <c r="P12" s="157"/>
      <c r="Q12" s="404"/>
      <c r="R12" s="57"/>
      <c r="S12" s="394"/>
      <c r="T12" s="394"/>
      <c r="U12" s="394"/>
      <c r="V12" s="394"/>
      <c r="W12" s="394"/>
      <c r="X12" s="394"/>
      <c r="Y12" s="395"/>
      <c r="Z12" s="395"/>
    </row>
    <row r="13">
      <c r="C13" s="561" t="s">
        <v>767</v>
      </c>
      <c r="D13" s="423">
        <v>57.0</v>
      </c>
      <c r="E13" s="192"/>
      <c r="F13" s="546"/>
      <c r="G13" s="419"/>
      <c r="H13" s="419"/>
      <c r="I13" s="239"/>
      <c r="J13" s="433" t="s">
        <v>217</v>
      </c>
      <c r="K13" s="458"/>
      <c r="L13" s="150"/>
      <c r="M13" s="377"/>
      <c r="O13" s="431"/>
      <c r="P13" s="157"/>
      <c r="Q13" s="404"/>
      <c r="R13" s="57"/>
      <c r="S13" s="394"/>
      <c r="T13" s="394"/>
      <c r="U13" s="394"/>
      <c r="V13" s="394"/>
      <c r="W13" s="394"/>
      <c r="X13" s="394"/>
      <c r="Y13" s="395"/>
      <c r="Z13" s="395"/>
    </row>
    <row r="14">
      <c r="A14" s="57"/>
      <c r="B14" s="57"/>
      <c r="C14" s="561" t="s">
        <v>768</v>
      </c>
      <c r="D14" s="423"/>
      <c r="E14" s="228"/>
      <c r="F14" s="547"/>
      <c r="G14" s="419"/>
      <c r="H14" s="419"/>
      <c r="I14" s="239"/>
      <c r="J14" s="109"/>
      <c r="K14" s="420"/>
      <c r="L14" s="193"/>
      <c r="M14" s="374"/>
      <c r="O14" s="431"/>
      <c r="P14" s="157"/>
      <c r="Q14" s="404"/>
      <c r="R14" s="57"/>
      <c r="S14" s="394"/>
      <c r="T14" s="394"/>
      <c r="U14" s="394"/>
      <c r="V14" s="394"/>
      <c r="W14" s="394"/>
      <c r="X14" s="394"/>
      <c r="Y14" s="395"/>
      <c r="Z14" s="395"/>
    </row>
    <row r="15">
      <c r="A15" s="57"/>
      <c r="B15" s="57"/>
      <c r="C15" s="561" t="s">
        <v>769</v>
      </c>
      <c r="D15" s="157"/>
      <c r="E15" s="228"/>
      <c r="F15" s="547"/>
      <c r="G15" s="419"/>
      <c r="H15" s="419"/>
      <c r="I15" s="239"/>
      <c r="J15" s="456" t="s">
        <v>672</v>
      </c>
      <c r="K15" s="420"/>
      <c r="L15" s="150"/>
      <c r="M15" s="377"/>
      <c r="O15" s="431"/>
      <c r="P15" s="157"/>
      <c r="Q15" s="404"/>
      <c r="R15" s="57"/>
      <c r="S15" s="394"/>
      <c r="T15" s="394"/>
      <c r="U15" s="394"/>
      <c r="V15" s="394"/>
      <c r="W15" s="394"/>
      <c r="X15" s="394"/>
      <c r="Y15" s="395"/>
      <c r="Z15" s="395"/>
    </row>
    <row r="16">
      <c r="A16" s="57"/>
      <c r="B16" s="57"/>
      <c r="C16" s="561" t="s">
        <v>770</v>
      </c>
      <c r="D16" s="423">
        <v>80.0</v>
      </c>
      <c r="E16" s="228"/>
      <c r="F16" s="547"/>
      <c r="G16" s="419"/>
      <c r="H16" s="419"/>
      <c r="I16" s="57"/>
      <c r="J16" s="456" t="s">
        <v>675</v>
      </c>
      <c r="K16" s="420"/>
      <c r="L16" s="150"/>
      <c r="M16" s="382"/>
      <c r="O16" s="431"/>
      <c r="P16" s="157"/>
      <c r="Q16" s="404"/>
      <c r="R16" s="57"/>
      <c r="S16" s="394"/>
      <c r="T16" s="394"/>
      <c r="U16" s="394"/>
      <c r="V16" s="394"/>
      <c r="W16" s="394"/>
      <c r="X16" s="394"/>
      <c r="Y16" s="395"/>
      <c r="Z16" s="395"/>
    </row>
    <row r="17">
      <c r="A17" s="57"/>
      <c r="B17" s="57"/>
      <c r="C17" s="563" t="s">
        <v>771</v>
      </c>
      <c r="D17" s="423">
        <v>166.0</v>
      </c>
      <c r="E17" s="228"/>
      <c r="F17" s="547"/>
      <c r="G17" s="455"/>
      <c r="H17" s="419"/>
      <c r="I17" s="57"/>
      <c r="J17" s="456"/>
      <c r="K17" s="420"/>
      <c r="L17" s="150"/>
      <c r="M17" s="425"/>
      <c r="O17" s="431"/>
      <c r="P17" s="157"/>
      <c r="Q17" s="404"/>
      <c r="R17" s="57"/>
      <c r="S17" s="394"/>
      <c r="T17" s="394"/>
      <c r="U17" s="394"/>
      <c r="V17" s="394"/>
      <c r="W17" s="394"/>
      <c r="X17" s="394"/>
      <c r="Y17" s="395"/>
      <c r="Z17" s="395"/>
    </row>
    <row r="18">
      <c r="A18" s="239"/>
      <c r="B18" s="57"/>
      <c r="C18" s="563" t="s">
        <v>772</v>
      </c>
      <c r="D18" s="157"/>
      <c r="E18" s="228"/>
      <c r="F18" s="547"/>
      <c r="G18" s="419"/>
      <c r="H18" s="419"/>
      <c r="I18" s="57"/>
      <c r="J18" s="375"/>
      <c r="K18" s="420"/>
      <c r="L18" s="150"/>
      <c r="M18" s="425"/>
      <c r="O18" s="431"/>
      <c r="P18" s="157"/>
      <c r="Q18" s="404"/>
      <c r="R18" s="57"/>
      <c r="S18" s="394"/>
      <c r="T18" s="394"/>
      <c r="U18" s="394"/>
      <c r="V18" s="394"/>
      <c r="W18" s="394"/>
      <c r="X18" s="394"/>
      <c r="Y18" s="395"/>
      <c r="Z18" s="395"/>
    </row>
    <row r="19">
      <c r="A19" s="239"/>
      <c r="B19" s="57"/>
      <c r="C19" s="561" t="s">
        <v>18</v>
      </c>
      <c r="D19" s="423">
        <v>224.0</v>
      </c>
      <c r="E19" s="228"/>
      <c r="F19" s="547"/>
      <c r="G19" s="419"/>
      <c r="H19" s="419"/>
      <c r="I19" s="57"/>
      <c r="J19" s="375"/>
      <c r="K19" s="420"/>
      <c r="L19" s="193"/>
      <c r="M19" s="382"/>
      <c r="O19" s="431"/>
      <c r="P19" s="157"/>
      <c r="Q19" s="404"/>
      <c r="R19" s="57"/>
      <c r="S19" s="394"/>
      <c r="T19" s="394"/>
      <c r="U19" s="394"/>
      <c r="V19" s="394"/>
      <c r="W19" s="394"/>
      <c r="X19" s="394"/>
      <c r="Y19" s="395"/>
      <c r="Z19" s="395"/>
    </row>
    <row r="20">
      <c r="A20" s="239"/>
      <c r="B20" s="57"/>
      <c r="C20" s="561" t="s">
        <v>773</v>
      </c>
      <c r="D20" s="157"/>
      <c r="E20" s="228"/>
      <c r="F20" s="547"/>
      <c r="G20" s="455"/>
      <c r="H20" s="419"/>
      <c r="I20" s="57"/>
      <c r="J20" s="452"/>
      <c r="K20" s="420"/>
      <c r="L20" s="150"/>
      <c r="M20" s="425"/>
      <c r="O20" s="431"/>
      <c r="P20" s="157"/>
      <c r="Q20" s="404"/>
      <c r="R20" s="57"/>
      <c r="S20" s="394"/>
      <c r="T20" s="394"/>
      <c r="U20" s="394"/>
      <c r="V20" s="394"/>
      <c r="W20" s="394"/>
      <c r="X20" s="394"/>
      <c r="Y20" s="395"/>
      <c r="Z20" s="395"/>
    </row>
    <row r="21">
      <c r="A21" s="57"/>
      <c r="B21" s="57"/>
      <c r="C21" s="561" t="s">
        <v>774</v>
      </c>
      <c r="D21" s="423">
        <v>15.0</v>
      </c>
      <c r="E21" s="228"/>
      <c r="F21" s="547"/>
      <c r="G21" s="419"/>
      <c r="H21" s="419"/>
      <c r="I21" s="57"/>
      <c r="J21" s="105"/>
      <c r="K21" s="420"/>
      <c r="L21" s="150"/>
      <c r="M21" s="425"/>
      <c r="O21" s="431"/>
      <c r="P21" s="157"/>
      <c r="Q21" s="404"/>
      <c r="R21" s="57"/>
      <c r="S21" s="394"/>
      <c r="T21" s="394"/>
      <c r="U21" s="394"/>
      <c r="V21" s="394"/>
      <c r="W21" s="394"/>
      <c r="X21" s="394"/>
      <c r="Y21" s="395"/>
      <c r="Z21" s="395"/>
    </row>
    <row r="22">
      <c r="A22" s="239"/>
      <c r="B22" s="239"/>
      <c r="C22" s="561" t="s">
        <v>775</v>
      </c>
      <c r="D22" s="423">
        <v>42.0</v>
      </c>
      <c r="E22" s="228"/>
      <c r="F22" s="547"/>
      <c r="G22" s="419"/>
      <c r="H22" s="419"/>
      <c r="I22" s="57"/>
      <c r="J22" s="378" t="s">
        <v>682</v>
      </c>
      <c r="K22" s="420"/>
      <c r="L22" s="193">
        <v>58.32</v>
      </c>
      <c r="M22" s="377" t="s">
        <v>776</v>
      </c>
      <c r="O22" s="431"/>
      <c r="P22" s="157"/>
      <c r="Q22" s="404"/>
      <c r="R22" s="57"/>
      <c r="S22" s="394"/>
      <c r="T22" s="394"/>
      <c r="U22" s="394"/>
      <c r="V22" s="394"/>
      <c r="W22" s="394"/>
      <c r="X22" s="394"/>
      <c r="Y22" s="395"/>
      <c r="Z22" s="395"/>
    </row>
    <row r="23">
      <c r="A23" s="239"/>
      <c r="B23" s="239"/>
      <c r="C23" s="561" t="s">
        <v>10</v>
      </c>
      <c r="D23" s="157"/>
      <c r="E23" s="206"/>
      <c r="F23" s="564"/>
      <c r="G23" s="478"/>
      <c r="H23" s="419"/>
      <c r="I23" s="57"/>
      <c r="J23" s="461" t="s">
        <v>684</v>
      </c>
      <c r="K23" s="420"/>
      <c r="L23" s="565">
        <v>114.0</v>
      </c>
      <c r="M23" s="566" t="s">
        <v>777</v>
      </c>
      <c r="O23" s="431"/>
      <c r="P23" s="157"/>
      <c r="Q23" s="404"/>
      <c r="R23" s="57"/>
      <c r="S23" s="394"/>
      <c r="T23" s="394"/>
      <c r="U23" s="394"/>
      <c r="V23" s="394"/>
      <c r="W23" s="394"/>
      <c r="X23" s="394"/>
      <c r="Y23" s="395"/>
      <c r="Z23" s="395"/>
    </row>
    <row r="24">
      <c r="A24" s="239"/>
      <c r="B24" s="239"/>
      <c r="C24" s="561" t="s">
        <v>6</v>
      </c>
      <c r="D24" s="423">
        <v>177.37</v>
      </c>
      <c r="E24" s="206"/>
      <c r="F24" s="547"/>
      <c r="G24" s="455"/>
      <c r="H24" s="455"/>
      <c r="I24" s="57"/>
      <c r="J24" s="461" t="s">
        <v>686</v>
      </c>
      <c r="K24" s="420"/>
      <c r="L24" s="193">
        <v>14.19</v>
      </c>
      <c r="M24" s="377" t="s">
        <v>778</v>
      </c>
      <c r="O24" s="463"/>
      <c r="P24" s="157"/>
      <c r="Q24" s="404"/>
      <c r="R24" s="57"/>
      <c r="S24" s="394"/>
      <c r="T24" s="394"/>
      <c r="U24" s="394"/>
      <c r="V24" s="394"/>
      <c r="W24" s="394"/>
      <c r="X24" s="394"/>
      <c r="Y24" s="395"/>
      <c r="Z24" s="395"/>
    </row>
    <row r="25">
      <c r="A25" s="57"/>
      <c r="B25" s="57"/>
      <c r="C25" s="561" t="s">
        <v>779</v>
      </c>
      <c r="D25" s="157"/>
      <c r="E25" s="228"/>
      <c r="F25" s="547"/>
      <c r="G25" s="455"/>
      <c r="H25" s="455"/>
      <c r="I25" s="239"/>
      <c r="J25" s="460" t="s">
        <v>202</v>
      </c>
      <c r="K25" s="420"/>
      <c r="L25" s="567">
        <v>404.0</v>
      </c>
      <c r="M25" s="377"/>
      <c r="O25" s="463"/>
      <c r="P25" s="157"/>
      <c r="Q25" s="404"/>
      <c r="R25" s="57"/>
      <c r="S25" s="394"/>
      <c r="T25" s="394"/>
      <c r="U25" s="394"/>
      <c r="V25" s="394"/>
      <c r="W25" s="394"/>
      <c r="X25" s="394"/>
      <c r="Y25" s="395"/>
      <c r="Z25" s="395"/>
    </row>
    <row r="26">
      <c r="A26" s="239"/>
      <c r="B26" s="239"/>
      <c r="C26" s="561" t="s">
        <v>780</v>
      </c>
      <c r="D26" s="423">
        <v>20.0</v>
      </c>
      <c r="E26" s="228"/>
      <c r="F26" s="547"/>
      <c r="G26" s="455"/>
      <c r="H26" s="455"/>
      <c r="I26" s="57"/>
      <c r="J26" s="460" t="s">
        <v>274</v>
      </c>
      <c r="K26" s="420"/>
      <c r="L26" s="193">
        <v>213.74</v>
      </c>
      <c r="M26" s="374"/>
      <c r="O26" s="463"/>
      <c r="P26" s="157"/>
      <c r="Q26" s="404"/>
      <c r="R26" s="57"/>
      <c r="S26" s="394"/>
      <c r="T26" s="394"/>
      <c r="U26" s="394"/>
      <c r="V26" s="394"/>
      <c r="W26" s="394"/>
      <c r="X26" s="394"/>
      <c r="Y26" s="395"/>
      <c r="Z26" s="395"/>
    </row>
    <row r="27">
      <c r="A27" s="239"/>
      <c r="B27" s="239"/>
      <c r="C27" s="561" t="s">
        <v>781</v>
      </c>
      <c r="D27" s="423">
        <v>50.0</v>
      </c>
      <c r="E27" s="228"/>
      <c r="F27" s="547"/>
      <c r="G27" s="455"/>
      <c r="H27" s="419"/>
      <c r="I27" s="239"/>
      <c r="J27" s="568"/>
      <c r="K27" s="420"/>
      <c r="L27" s="150"/>
      <c r="M27" s="374"/>
      <c r="O27" s="431"/>
      <c r="P27" s="157"/>
      <c r="Q27" s="404"/>
      <c r="R27" s="57"/>
      <c r="S27" s="394"/>
      <c r="T27" s="394"/>
      <c r="U27" s="394"/>
      <c r="V27" s="394"/>
      <c r="W27" s="394"/>
      <c r="X27" s="394"/>
      <c r="Y27" s="395"/>
      <c r="Z27" s="395"/>
    </row>
    <row r="28">
      <c r="A28" s="239"/>
      <c r="B28" s="157"/>
      <c r="C28" s="561"/>
      <c r="D28" s="157"/>
      <c r="E28" s="569"/>
      <c r="F28" s="547"/>
      <c r="G28" s="419"/>
      <c r="H28" s="419"/>
      <c r="I28" s="57"/>
      <c r="J28" s="462" t="s">
        <v>381</v>
      </c>
      <c r="K28" s="420"/>
      <c r="L28" s="193">
        <v>565.0</v>
      </c>
      <c r="M28" s="377"/>
      <c r="O28" s="431"/>
      <c r="P28" s="157"/>
      <c r="Q28" s="404"/>
      <c r="R28" s="57"/>
      <c r="S28" s="394"/>
      <c r="T28" s="394"/>
      <c r="U28" s="394"/>
      <c r="V28" s="394"/>
      <c r="W28" s="394"/>
      <c r="X28" s="394"/>
      <c r="Y28" s="395"/>
      <c r="Z28" s="395"/>
    </row>
    <row r="29">
      <c r="A29" s="239"/>
      <c r="B29" s="157"/>
      <c r="C29" s="561"/>
      <c r="D29" s="157"/>
      <c r="E29" s="228"/>
      <c r="F29" s="547"/>
      <c r="G29" s="419"/>
      <c r="H29" s="419"/>
      <c r="I29" s="239"/>
      <c r="J29" s="479" t="s">
        <v>383</v>
      </c>
      <c r="K29" s="420"/>
      <c r="L29" s="193">
        <v>390.0</v>
      </c>
      <c r="M29" s="377"/>
      <c r="O29" s="431"/>
      <c r="P29" s="157"/>
      <c r="Q29" s="404"/>
      <c r="R29" s="57"/>
      <c r="S29" s="394"/>
      <c r="T29" s="394"/>
      <c r="U29" s="394"/>
      <c r="V29" s="394"/>
      <c r="W29" s="394"/>
      <c r="X29" s="394"/>
      <c r="Y29" s="395"/>
      <c r="Z29" s="395"/>
    </row>
    <row r="30">
      <c r="A30" s="239"/>
      <c r="B30" s="157"/>
      <c r="C30" s="561"/>
      <c r="D30" s="157"/>
      <c r="E30" s="570"/>
      <c r="F30" s="547"/>
      <c r="G30" s="419"/>
      <c r="H30" s="419"/>
      <c r="I30" s="239"/>
      <c r="J30" s="568"/>
      <c r="K30" s="420"/>
      <c r="L30" s="193"/>
      <c r="M30" s="374"/>
      <c r="O30" s="431"/>
      <c r="P30" s="157"/>
      <c r="Q30" s="404"/>
      <c r="R30" s="57"/>
      <c r="S30" s="394"/>
      <c r="T30" s="394"/>
      <c r="U30" s="394"/>
      <c r="V30" s="394"/>
      <c r="W30" s="394"/>
      <c r="X30" s="394"/>
      <c r="Y30" s="395"/>
      <c r="Z30" s="395"/>
    </row>
    <row r="31">
      <c r="C31" s="571"/>
      <c r="D31" s="157"/>
      <c r="E31" s="570"/>
      <c r="F31" s="547"/>
      <c r="G31" s="419"/>
      <c r="H31" s="419"/>
      <c r="I31" s="239"/>
      <c r="J31" s="464" t="s">
        <v>692</v>
      </c>
      <c r="K31" s="420"/>
      <c r="L31" s="150"/>
      <c r="M31" s="377"/>
      <c r="O31" s="431"/>
      <c r="P31" s="157"/>
      <c r="Q31" s="404"/>
      <c r="R31" s="57"/>
      <c r="S31" s="399"/>
      <c r="T31" s="399"/>
      <c r="U31" s="399"/>
      <c r="V31" s="399"/>
      <c r="W31" s="399"/>
      <c r="X31" s="399"/>
      <c r="Y31" s="400"/>
      <c r="Z31" s="400"/>
    </row>
    <row r="32">
      <c r="C32" s="571"/>
      <c r="D32" s="157"/>
      <c r="E32" s="570"/>
      <c r="F32" s="547"/>
      <c r="G32" s="419"/>
      <c r="H32" s="419"/>
      <c r="I32" s="239"/>
      <c r="J32" s="464" t="s">
        <v>694</v>
      </c>
      <c r="K32" s="420"/>
      <c r="L32" s="150"/>
      <c r="M32" s="374"/>
      <c r="O32" s="431"/>
      <c r="P32" s="157"/>
      <c r="Q32" s="404"/>
      <c r="R32" s="57"/>
      <c r="S32" s="399"/>
      <c r="T32" s="399"/>
      <c r="U32" s="399"/>
      <c r="V32" s="399"/>
      <c r="W32" s="399"/>
      <c r="X32" s="399"/>
      <c r="Y32" s="400"/>
      <c r="Z32" s="400"/>
    </row>
    <row r="33">
      <c r="C33" s="571"/>
      <c r="D33" s="423"/>
      <c r="E33" s="570"/>
      <c r="F33" s="546"/>
      <c r="G33" s="419"/>
      <c r="H33" s="419"/>
      <c r="I33" s="57"/>
      <c r="J33" s="105"/>
      <c r="K33" s="57"/>
      <c r="L33" s="150"/>
      <c r="M33" s="57"/>
      <c r="N33" s="57"/>
      <c r="O33" s="57"/>
      <c r="P33" s="157"/>
      <c r="Q33" s="404"/>
      <c r="R33" s="57"/>
      <c r="S33" s="394"/>
      <c r="T33" s="394"/>
      <c r="U33" s="394"/>
      <c r="V33" s="394"/>
      <c r="W33" s="394"/>
      <c r="X33" s="394"/>
      <c r="Y33" s="395"/>
      <c r="Z33" s="395"/>
    </row>
    <row r="34">
      <c r="A34" s="125" t="s">
        <v>782</v>
      </c>
      <c r="B34" s="572">
        <f>C7-B11</f>
        <v>-2594.22</v>
      </c>
      <c r="D34" s="157"/>
      <c r="E34" s="570"/>
      <c r="F34" s="573"/>
      <c r="G34" s="478"/>
      <c r="H34" s="419"/>
      <c r="I34" s="239"/>
      <c r="J34" s="568"/>
      <c r="K34" s="57"/>
      <c r="L34" s="150"/>
      <c r="M34" s="57"/>
      <c r="N34" s="57"/>
      <c r="O34" s="57"/>
      <c r="P34" s="157"/>
      <c r="Q34" s="404"/>
      <c r="R34" s="57"/>
      <c r="S34" s="394"/>
      <c r="T34" s="394"/>
      <c r="U34" s="394"/>
      <c r="V34" s="394"/>
      <c r="W34" s="394"/>
      <c r="X34" s="394"/>
      <c r="Y34" s="395"/>
      <c r="Z34" s="395"/>
    </row>
    <row r="35">
      <c r="A35" s="274" t="s">
        <v>783</v>
      </c>
      <c r="B35" s="109"/>
      <c r="C35" s="395"/>
      <c r="D35" s="157"/>
      <c r="E35" s="570"/>
      <c r="F35" s="573"/>
      <c r="G35" s="478"/>
      <c r="H35" s="419"/>
      <c r="I35" s="239"/>
      <c r="J35" s="568"/>
      <c r="K35" s="57"/>
      <c r="L35" s="150"/>
      <c r="M35" s="57"/>
      <c r="N35" s="57"/>
      <c r="O35" s="57"/>
      <c r="P35" s="157"/>
      <c r="Q35" s="404"/>
      <c r="R35" s="57"/>
      <c r="S35" s="394"/>
      <c r="T35" s="394"/>
      <c r="U35" s="394"/>
      <c r="V35" s="394"/>
      <c r="W35" s="394"/>
      <c r="X35" s="394"/>
      <c r="Y35" s="395"/>
      <c r="Z35" s="395"/>
    </row>
    <row r="36">
      <c r="A36" s="274" t="s">
        <v>784</v>
      </c>
      <c r="B36" s="109"/>
      <c r="C36" s="395"/>
      <c r="D36" s="157"/>
      <c r="E36" s="570"/>
      <c r="F36" s="573"/>
      <c r="G36" s="478"/>
      <c r="H36" s="419"/>
      <c r="I36" s="239"/>
      <c r="J36" s="568"/>
      <c r="K36" s="57"/>
      <c r="L36" s="150"/>
      <c r="M36" s="57"/>
      <c r="N36" s="57"/>
      <c r="O36" s="57"/>
      <c r="P36" s="157"/>
      <c r="Q36" s="404"/>
      <c r="R36" s="57"/>
      <c r="S36" s="394"/>
      <c r="T36" s="394"/>
      <c r="U36" s="394"/>
      <c r="V36" s="394"/>
      <c r="W36" s="394"/>
      <c r="X36" s="394"/>
      <c r="Y36" s="395"/>
      <c r="Z36" s="395"/>
    </row>
    <row r="37">
      <c r="A37" s="274" t="s">
        <v>785</v>
      </c>
      <c r="B37" s="109"/>
      <c r="C37" s="395"/>
      <c r="D37" s="157"/>
      <c r="E37" s="570"/>
      <c r="F37" s="573"/>
      <c r="G37" s="478"/>
      <c r="H37" s="419"/>
      <c r="I37" s="239"/>
      <c r="J37" s="568"/>
      <c r="K37" s="57"/>
      <c r="L37" s="150"/>
      <c r="M37" s="57"/>
      <c r="N37" s="57"/>
      <c r="O37" s="57"/>
      <c r="P37" s="157"/>
      <c r="Q37" s="404"/>
      <c r="R37" s="57"/>
      <c r="S37" s="394"/>
      <c r="T37" s="394"/>
      <c r="U37" s="394"/>
      <c r="V37" s="394"/>
      <c r="W37" s="394"/>
      <c r="X37" s="394"/>
      <c r="Y37" s="395"/>
      <c r="Z37" s="395"/>
    </row>
    <row r="38">
      <c r="A38" s="402"/>
      <c r="B38" s="403"/>
      <c r="C38" s="403"/>
      <c r="D38" s="403"/>
      <c r="E38" s="574"/>
      <c r="F38" s="575"/>
      <c r="G38" s="159"/>
      <c r="H38" s="159"/>
      <c r="I38" s="159"/>
      <c r="J38" s="576"/>
      <c r="K38" s="159"/>
      <c r="L38" s="162"/>
      <c r="M38" s="402"/>
      <c r="N38" s="402"/>
      <c r="O38" s="159"/>
      <c r="P38" s="403"/>
      <c r="Q38" s="577"/>
      <c r="R38" s="57"/>
      <c r="S38" s="394"/>
      <c r="T38" s="394"/>
      <c r="U38" s="394"/>
      <c r="V38" s="394"/>
      <c r="W38" s="394"/>
      <c r="X38" s="394"/>
      <c r="Y38" s="395"/>
      <c r="Z38" s="395"/>
    </row>
    <row r="39">
      <c r="A39" s="57"/>
      <c r="B39" s="57"/>
      <c r="C39" s="57"/>
      <c r="D39" s="157"/>
      <c r="E39" s="228"/>
      <c r="F39" s="573"/>
      <c r="G39" s="57"/>
      <c r="H39" s="57"/>
      <c r="I39" s="239"/>
      <c r="J39" s="568"/>
      <c r="K39" s="57"/>
      <c r="L39" s="150"/>
      <c r="M39" s="57"/>
      <c r="N39" s="57"/>
      <c r="O39" s="57"/>
      <c r="P39" s="157"/>
      <c r="Q39" s="57"/>
      <c r="R39" s="57"/>
      <c r="S39" s="394"/>
      <c r="T39" s="394"/>
      <c r="U39" s="394"/>
      <c r="V39" s="394"/>
      <c r="W39" s="394"/>
      <c r="X39" s="394"/>
      <c r="Y39" s="395"/>
      <c r="Z39" s="395"/>
    </row>
    <row r="40">
      <c r="A40" s="169" t="s">
        <v>117</v>
      </c>
      <c r="B40" s="539"/>
      <c r="C40" s="540"/>
      <c r="D40" s="405"/>
      <c r="E40" s="541"/>
      <c r="F40" s="542"/>
      <c r="G40" s="467" t="s">
        <v>333</v>
      </c>
      <c r="H40" s="361"/>
      <c r="I40" s="57"/>
      <c r="J40" s="105"/>
      <c r="K40" s="57"/>
      <c r="L40" s="150"/>
      <c r="M40" s="239"/>
      <c r="N40" s="239"/>
      <c r="O40" s="57"/>
      <c r="P40" s="157"/>
      <c r="Q40" s="404"/>
      <c r="R40" s="57"/>
      <c r="S40" s="394"/>
      <c r="T40" s="394"/>
      <c r="U40" s="394"/>
      <c r="V40" s="394"/>
      <c r="W40" s="394"/>
      <c r="X40" s="394"/>
      <c r="Y40" s="395"/>
      <c r="Z40" s="395"/>
    </row>
    <row r="41">
      <c r="A41" s="468"/>
      <c r="B41" s="157"/>
      <c r="C41" s="466"/>
      <c r="D41" s="405"/>
      <c r="E41" s="543" t="s">
        <v>335</v>
      </c>
      <c r="F41" s="544" t="s">
        <v>237</v>
      </c>
      <c r="G41" s="412" t="s">
        <v>336</v>
      </c>
      <c r="H41" s="413" t="s">
        <v>337</v>
      </c>
      <c r="I41" s="239"/>
      <c r="J41" s="145" t="s">
        <v>60</v>
      </c>
      <c r="K41" s="57"/>
      <c r="L41" s="150"/>
      <c r="M41" s="414"/>
      <c r="N41" s="414"/>
      <c r="O41" s="57" t="s">
        <v>334</v>
      </c>
      <c r="P41" s="157"/>
      <c r="Q41" s="404"/>
      <c r="R41" s="57"/>
      <c r="S41" s="394"/>
      <c r="T41" s="394"/>
      <c r="U41" s="394"/>
      <c r="V41" s="394"/>
      <c r="W41" s="394"/>
      <c r="X41" s="394"/>
      <c r="Y41" s="395"/>
      <c r="Z41" s="395"/>
    </row>
    <row r="42">
      <c r="A42" s="470" t="s">
        <v>179</v>
      </c>
      <c r="C42" s="416">
        <f>SUM(F42:F76)</f>
        <v>7810</v>
      </c>
      <c r="D42" s="405"/>
      <c r="E42" s="545" t="s">
        <v>690</v>
      </c>
      <c r="F42" s="546"/>
      <c r="G42" s="578"/>
      <c r="H42" s="419"/>
      <c r="I42" s="57"/>
      <c r="K42" s="57"/>
      <c r="L42" s="150"/>
      <c r="M42" s="377" t="s">
        <v>366</v>
      </c>
      <c r="P42" s="157"/>
      <c r="Q42" s="404"/>
      <c r="R42" s="57"/>
      <c r="S42" s="394"/>
      <c r="T42" s="394"/>
      <c r="U42" s="394"/>
      <c r="V42" s="394"/>
      <c r="W42" s="394"/>
      <c r="X42" s="394"/>
      <c r="Y42" s="395"/>
      <c r="Z42" s="395"/>
    </row>
    <row r="43">
      <c r="A43" s="421" t="s">
        <v>343</v>
      </c>
      <c r="B43" s="422" t="s">
        <v>321</v>
      </c>
      <c r="C43" s="416">
        <f>SUM(P43:P76)</f>
        <v>0</v>
      </c>
      <c r="D43" s="157"/>
      <c r="E43" s="545" t="s">
        <v>691</v>
      </c>
      <c r="F43" s="546">
        <v>100.0</v>
      </c>
      <c r="G43" s="578"/>
      <c r="H43" s="419"/>
      <c r="I43" s="239"/>
      <c r="J43" s="471" t="s">
        <v>341</v>
      </c>
      <c r="K43" s="420"/>
      <c r="L43" s="193">
        <v>190.0</v>
      </c>
      <c r="M43" s="374"/>
      <c r="O43" s="431"/>
      <c r="P43" s="423"/>
      <c r="Q43" s="404"/>
      <c r="R43" s="57"/>
      <c r="S43" s="242"/>
      <c r="T43" s="242"/>
      <c r="U43" s="242"/>
      <c r="V43" s="242"/>
      <c r="W43" s="242"/>
      <c r="X43" s="242"/>
      <c r="Y43" s="148"/>
      <c r="Z43" s="148"/>
    </row>
    <row r="44">
      <c r="A44" s="427" t="s">
        <v>201</v>
      </c>
      <c r="C44" s="204">
        <f>SUM(L43:L76)</f>
        <v>4655.05</v>
      </c>
      <c r="D44" s="157"/>
      <c r="E44" s="545" t="s">
        <v>786</v>
      </c>
      <c r="F44" s="546">
        <v>60.0</v>
      </c>
      <c r="G44" s="578"/>
      <c r="H44" s="419"/>
      <c r="I44" s="239"/>
      <c r="J44" s="472" t="s">
        <v>345</v>
      </c>
      <c r="K44" s="420"/>
      <c r="L44" s="193">
        <v>300.05</v>
      </c>
      <c r="M44" s="374"/>
      <c r="O44" s="431"/>
      <c r="P44" s="423"/>
      <c r="Q44" s="404"/>
      <c r="R44" s="105"/>
      <c r="S44" s="317"/>
      <c r="T44" s="317"/>
      <c r="U44" s="317"/>
      <c r="V44" s="317"/>
      <c r="W44" s="317"/>
      <c r="X44" s="317"/>
      <c r="Y44" s="243"/>
      <c r="Z44" s="243"/>
    </row>
    <row r="45">
      <c r="A45" s="548" t="s">
        <v>761</v>
      </c>
      <c r="B45" s="549">
        <v>0.4</v>
      </c>
      <c r="C45" s="191"/>
      <c r="D45" s="157"/>
      <c r="E45" s="550" t="s">
        <v>695</v>
      </c>
      <c r="F45" s="546">
        <v>1135.0</v>
      </c>
      <c r="G45" s="562"/>
      <c r="H45" s="419"/>
      <c r="I45" s="239"/>
      <c r="J45" s="433" t="s">
        <v>656</v>
      </c>
      <c r="K45" s="420"/>
      <c r="L45" s="193">
        <v>483.0</v>
      </c>
      <c r="M45" s="374"/>
      <c r="O45" s="431"/>
      <c r="P45" s="423"/>
      <c r="Q45" s="404"/>
      <c r="R45" s="148"/>
      <c r="S45" s="242"/>
      <c r="T45" s="242"/>
      <c r="U45" s="242"/>
      <c r="V45" s="242"/>
      <c r="W45" s="242"/>
      <c r="X45" s="242"/>
      <c r="Y45" s="148"/>
      <c r="Z45" s="148"/>
    </row>
    <row r="46">
      <c r="A46" s="434" t="s">
        <v>350</v>
      </c>
      <c r="C46" s="551">
        <f>C42-C44-C45</f>
        <v>3154.95</v>
      </c>
      <c r="D46" s="157"/>
      <c r="E46" s="192" t="s">
        <v>787</v>
      </c>
      <c r="F46" s="546">
        <v>70.0</v>
      </c>
      <c r="G46" s="579"/>
      <c r="H46" s="419"/>
      <c r="I46" s="57"/>
      <c r="J46" s="444" t="s">
        <v>658</v>
      </c>
      <c r="K46" s="420"/>
      <c r="L46" s="193">
        <v>46.0</v>
      </c>
      <c r="M46" s="377"/>
      <c r="O46" s="431"/>
      <c r="P46" s="157"/>
      <c r="Q46" s="404"/>
      <c r="R46" s="148"/>
      <c r="S46" s="242"/>
      <c r="T46" s="242"/>
      <c r="U46" s="242"/>
      <c r="V46" s="242"/>
      <c r="W46" s="242"/>
      <c r="X46" s="242"/>
      <c r="Y46" s="148"/>
      <c r="Z46" s="148"/>
    </row>
    <row r="47">
      <c r="A47" s="554"/>
      <c r="B47" s="555"/>
      <c r="C47" s="447"/>
      <c r="D47" s="157"/>
      <c r="E47" s="192" t="s">
        <v>788</v>
      </c>
      <c r="F47" s="546">
        <v>130.0</v>
      </c>
      <c r="G47" s="578"/>
      <c r="H47" s="419"/>
      <c r="I47" s="57"/>
      <c r="J47" s="444" t="s">
        <v>660</v>
      </c>
      <c r="K47" s="420"/>
      <c r="L47" s="193"/>
      <c r="M47" s="377"/>
      <c r="O47" s="431"/>
      <c r="P47" s="157"/>
      <c r="Q47" s="404"/>
      <c r="R47" s="148"/>
      <c r="S47" s="242"/>
      <c r="T47" s="242"/>
      <c r="U47" s="242"/>
      <c r="V47" s="242"/>
      <c r="W47" s="242"/>
      <c r="X47" s="242"/>
      <c r="Y47" s="148"/>
      <c r="Z47" s="148"/>
    </row>
    <row r="48">
      <c r="A48" s="556"/>
      <c r="C48" s="395"/>
      <c r="D48" s="157"/>
      <c r="E48" s="192" t="s">
        <v>617</v>
      </c>
      <c r="F48" s="546">
        <v>300.0</v>
      </c>
      <c r="G48" s="579"/>
      <c r="H48" s="419"/>
      <c r="I48" s="239"/>
      <c r="J48" s="370" t="s">
        <v>662</v>
      </c>
      <c r="K48" s="420"/>
      <c r="L48" s="193">
        <v>63.0</v>
      </c>
      <c r="M48" s="374"/>
      <c r="O48" s="431"/>
      <c r="P48" s="157"/>
      <c r="Q48" s="404"/>
      <c r="R48" s="148"/>
      <c r="S48" s="242"/>
      <c r="T48" s="242"/>
      <c r="U48" s="242"/>
      <c r="V48" s="242"/>
      <c r="W48" s="242"/>
      <c r="X48" s="242"/>
      <c r="Y48" s="148"/>
      <c r="Z48" s="148"/>
    </row>
    <row r="49">
      <c r="A49" s="557"/>
      <c r="B49" s="109"/>
      <c r="C49" s="395"/>
      <c r="D49" s="373"/>
      <c r="E49" s="192" t="s">
        <v>789</v>
      </c>
      <c r="F49" s="546">
        <v>175.0</v>
      </c>
      <c r="G49" s="578"/>
      <c r="H49" s="419"/>
      <c r="I49" s="239"/>
      <c r="J49" s="433" t="s">
        <v>666</v>
      </c>
      <c r="K49" s="420"/>
      <c r="L49" s="150"/>
      <c r="M49" s="374"/>
      <c r="O49" s="431"/>
      <c r="P49" s="157"/>
      <c r="Q49" s="404"/>
      <c r="R49" s="148"/>
      <c r="S49" s="242"/>
      <c r="T49" s="242"/>
      <c r="U49" s="242"/>
      <c r="V49" s="242"/>
      <c r="W49" s="242"/>
      <c r="X49" s="242"/>
      <c r="Y49" s="148"/>
      <c r="Z49" s="148"/>
    </row>
    <row r="50">
      <c r="A50" s="559" t="s">
        <v>765</v>
      </c>
      <c r="B50" s="560">
        <f>SUM(D50:D76)</f>
        <v>1659</v>
      </c>
      <c r="C50" s="477" t="s">
        <v>366</v>
      </c>
      <c r="D50" s="157"/>
      <c r="E50" s="192" t="s">
        <v>706</v>
      </c>
      <c r="F50" s="546">
        <v>320.0</v>
      </c>
      <c r="G50" s="578"/>
      <c r="H50" s="419"/>
      <c r="I50" s="239"/>
      <c r="J50" s="433" t="s">
        <v>668</v>
      </c>
      <c r="K50" s="420"/>
      <c r="L50" s="150"/>
      <c r="M50" s="377"/>
      <c r="O50" s="431"/>
      <c r="P50" s="157"/>
      <c r="Q50" s="404"/>
      <c r="R50" s="148"/>
      <c r="S50" s="242"/>
      <c r="T50" s="242"/>
      <c r="U50" s="242"/>
      <c r="V50" s="242"/>
      <c r="W50" s="242"/>
      <c r="X50" s="242"/>
      <c r="Y50" s="148"/>
      <c r="Z50" s="148"/>
    </row>
    <row r="51">
      <c r="A51" s="453" t="s">
        <v>369</v>
      </c>
      <c r="C51" s="561" t="s">
        <v>766</v>
      </c>
      <c r="D51" s="423">
        <v>396.0</v>
      </c>
      <c r="E51" s="192" t="s">
        <v>567</v>
      </c>
      <c r="F51" s="546">
        <v>900.0</v>
      </c>
      <c r="G51" s="578"/>
      <c r="H51" s="419"/>
      <c r="I51" s="239"/>
      <c r="J51" s="433" t="s">
        <v>670</v>
      </c>
      <c r="K51" s="458"/>
      <c r="L51" s="193">
        <v>1250.0</v>
      </c>
      <c r="M51" s="377"/>
      <c r="O51" s="431"/>
      <c r="P51" s="157"/>
      <c r="Q51" s="404"/>
      <c r="R51" s="148"/>
      <c r="S51" s="242"/>
      <c r="T51" s="242"/>
      <c r="U51" s="242"/>
      <c r="V51" s="242"/>
      <c r="W51" s="242"/>
      <c r="X51" s="242"/>
      <c r="Y51" s="148"/>
      <c r="Z51" s="148"/>
    </row>
    <row r="52">
      <c r="C52" s="561" t="s">
        <v>767</v>
      </c>
      <c r="D52" s="157"/>
      <c r="E52" s="192" t="s">
        <v>790</v>
      </c>
      <c r="F52" s="546">
        <v>1000.0</v>
      </c>
      <c r="G52" s="578"/>
      <c r="H52" s="419"/>
      <c r="I52" s="239"/>
      <c r="J52" s="433" t="s">
        <v>217</v>
      </c>
      <c r="K52" s="458"/>
      <c r="L52" s="150"/>
      <c r="M52" s="377"/>
      <c r="O52" s="431"/>
      <c r="P52" s="157"/>
      <c r="Q52" s="404"/>
      <c r="R52" s="148"/>
      <c r="S52" s="242"/>
      <c r="T52" s="242"/>
      <c r="U52" s="242"/>
      <c r="V52" s="242"/>
      <c r="W52" s="242"/>
      <c r="X52" s="242"/>
      <c r="Y52" s="148"/>
      <c r="Z52" s="148"/>
    </row>
    <row r="53">
      <c r="A53" s="57"/>
      <c r="B53" s="57"/>
      <c r="C53" s="561" t="s">
        <v>768</v>
      </c>
      <c r="D53" s="423"/>
      <c r="E53" s="192" t="s">
        <v>791</v>
      </c>
      <c r="F53" s="546">
        <v>210.0</v>
      </c>
      <c r="G53" s="578"/>
      <c r="H53" s="419"/>
      <c r="I53" s="239"/>
      <c r="J53" s="109"/>
      <c r="K53" s="420"/>
      <c r="L53" s="193"/>
      <c r="M53" s="374"/>
      <c r="O53" s="431"/>
      <c r="P53" s="157"/>
      <c r="Q53" s="404"/>
      <c r="R53" s="148"/>
      <c r="S53" s="242"/>
      <c r="T53" s="242"/>
      <c r="U53" s="242"/>
      <c r="V53" s="242"/>
      <c r="W53" s="242"/>
      <c r="X53" s="242"/>
      <c r="Y53" s="148"/>
      <c r="Z53" s="148"/>
    </row>
    <row r="54">
      <c r="A54" s="57"/>
      <c r="B54" s="57"/>
      <c r="C54" s="561" t="s">
        <v>769</v>
      </c>
      <c r="D54" s="157"/>
      <c r="E54" s="192" t="s">
        <v>617</v>
      </c>
      <c r="F54" s="546">
        <v>200.0</v>
      </c>
      <c r="G54" s="578"/>
      <c r="H54" s="419"/>
      <c r="I54" s="239"/>
      <c r="J54" s="456" t="s">
        <v>672</v>
      </c>
      <c r="K54" s="420"/>
      <c r="L54" s="150"/>
      <c r="M54" s="377"/>
      <c r="O54" s="431"/>
      <c r="P54" s="157"/>
      <c r="Q54" s="404"/>
      <c r="R54" s="148"/>
      <c r="S54" s="242"/>
      <c r="T54" s="242"/>
      <c r="U54" s="242"/>
      <c r="V54" s="242"/>
      <c r="W54" s="242"/>
      <c r="X54" s="242"/>
      <c r="Y54" s="148"/>
      <c r="Z54" s="148"/>
    </row>
    <row r="55">
      <c r="A55" s="57"/>
      <c r="B55" s="57"/>
      <c r="C55" s="561" t="s">
        <v>770</v>
      </c>
      <c r="D55" s="423"/>
      <c r="E55" s="192" t="s">
        <v>792</v>
      </c>
      <c r="F55" s="546">
        <v>840.0</v>
      </c>
      <c r="G55" s="578"/>
      <c r="H55" s="419"/>
      <c r="I55" s="57"/>
      <c r="J55" s="456" t="s">
        <v>675</v>
      </c>
      <c r="K55" s="420"/>
      <c r="L55" s="150"/>
      <c r="M55" s="382"/>
      <c r="O55" s="431"/>
      <c r="P55" s="157"/>
      <c r="Q55" s="404"/>
      <c r="R55" s="148"/>
      <c r="S55" s="242"/>
      <c r="T55" s="242"/>
      <c r="U55" s="242"/>
      <c r="V55" s="242"/>
      <c r="W55" s="242"/>
      <c r="X55" s="242"/>
      <c r="Y55" s="148"/>
      <c r="Z55" s="148"/>
    </row>
    <row r="56">
      <c r="A56" s="57"/>
      <c r="B56" s="57"/>
      <c r="C56" s="561" t="s">
        <v>793</v>
      </c>
      <c r="D56" s="423">
        <v>300.0</v>
      </c>
      <c r="E56" s="192" t="s">
        <v>510</v>
      </c>
      <c r="F56" s="546">
        <v>250.0</v>
      </c>
      <c r="G56" s="579"/>
      <c r="H56" s="419"/>
      <c r="I56" s="57"/>
      <c r="J56" s="456"/>
      <c r="K56" s="420"/>
      <c r="L56" s="150"/>
      <c r="M56" s="425"/>
      <c r="O56" s="431"/>
      <c r="P56" s="157"/>
      <c r="Q56" s="404"/>
      <c r="R56" s="148"/>
      <c r="S56" s="242"/>
      <c r="T56" s="242"/>
      <c r="U56" s="242"/>
      <c r="V56" s="242"/>
      <c r="W56" s="242"/>
      <c r="X56" s="242"/>
      <c r="Y56" s="148"/>
      <c r="Z56" s="148"/>
    </row>
    <row r="57">
      <c r="A57" s="239"/>
      <c r="B57" s="57"/>
      <c r="C57" s="561" t="s">
        <v>794</v>
      </c>
      <c r="D57" s="423">
        <v>25.0</v>
      </c>
      <c r="E57" s="192" t="s">
        <v>608</v>
      </c>
      <c r="F57" s="546">
        <v>260.0</v>
      </c>
      <c r="G57" s="562" t="s">
        <v>426</v>
      </c>
      <c r="H57" s="419"/>
      <c r="I57" s="57"/>
      <c r="J57" s="375"/>
      <c r="K57" s="420"/>
      <c r="L57" s="150"/>
      <c r="M57" s="425"/>
      <c r="O57" s="431"/>
      <c r="P57" s="157"/>
      <c r="Q57" s="404"/>
      <c r="R57" s="148"/>
      <c r="S57" s="242"/>
      <c r="T57" s="242"/>
      <c r="U57" s="242"/>
      <c r="V57" s="242"/>
      <c r="W57" s="242"/>
      <c r="X57" s="242"/>
      <c r="Y57" s="148"/>
      <c r="Z57" s="148"/>
    </row>
    <row r="58">
      <c r="A58" s="239"/>
      <c r="B58" s="57"/>
      <c r="C58" s="561" t="s">
        <v>18</v>
      </c>
      <c r="D58" s="423">
        <v>558.0</v>
      </c>
      <c r="E58" s="192" t="s">
        <v>563</v>
      </c>
      <c r="F58" s="546">
        <v>480.0</v>
      </c>
      <c r="G58" s="562" t="s">
        <v>426</v>
      </c>
      <c r="H58" s="419"/>
      <c r="I58" s="57"/>
      <c r="J58" s="375"/>
      <c r="K58" s="420"/>
      <c r="L58" s="193"/>
      <c r="M58" s="382"/>
      <c r="O58" s="431"/>
      <c r="P58" s="157"/>
      <c r="Q58" s="404"/>
      <c r="R58" s="148"/>
      <c r="S58" s="242"/>
      <c r="T58" s="242"/>
      <c r="U58" s="242"/>
      <c r="V58" s="242"/>
      <c r="W58" s="242"/>
      <c r="X58" s="242"/>
      <c r="Y58" s="148"/>
      <c r="Z58" s="148"/>
    </row>
    <row r="59">
      <c r="A59" s="239"/>
      <c r="B59" s="57"/>
      <c r="C59" s="561" t="s">
        <v>773</v>
      </c>
      <c r="D59" s="157"/>
      <c r="E59" s="192" t="s">
        <v>613</v>
      </c>
      <c r="F59" s="546">
        <v>500.0</v>
      </c>
      <c r="G59" s="579"/>
      <c r="H59" s="419"/>
      <c r="I59" s="57"/>
      <c r="J59" s="452"/>
      <c r="K59" s="420"/>
      <c r="L59" s="150"/>
      <c r="M59" s="425"/>
      <c r="O59" s="431"/>
      <c r="P59" s="157"/>
      <c r="Q59" s="404"/>
      <c r="R59" s="148"/>
      <c r="S59" s="242"/>
      <c r="T59" s="242"/>
      <c r="U59" s="242"/>
      <c r="V59" s="242"/>
      <c r="W59" s="242"/>
      <c r="X59" s="242"/>
      <c r="Y59" s="148"/>
      <c r="Z59" s="148"/>
    </row>
    <row r="60">
      <c r="A60" s="57"/>
      <c r="B60" s="57"/>
      <c r="C60" s="561" t="s">
        <v>774</v>
      </c>
      <c r="D60" s="423">
        <v>10.0</v>
      </c>
      <c r="E60" s="192" t="s">
        <v>795</v>
      </c>
      <c r="F60" s="546">
        <v>80.0</v>
      </c>
      <c r="G60" s="578"/>
      <c r="H60" s="419"/>
      <c r="I60" s="57"/>
      <c r="J60" s="105"/>
      <c r="K60" s="420"/>
      <c r="L60" s="150"/>
      <c r="M60" s="425"/>
      <c r="O60" s="431"/>
      <c r="P60" s="157"/>
      <c r="Q60" s="404"/>
      <c r="R60" s="148"/>
      <c r="S60" s="242"/>
      <c r="T60" s="242"/>
      <c r="U60" s="242"/>
      <c r="V60" s="242"/>
      <c r="W60" s="242"/>
      <c r="X60" s="242"/>
      <c r="Y60" s="148"/>
      <c r="Z60" s="148"/>
    </row>
    <row r="61">
      <c r="A61" s="239"/>
      <c r="B61" s="239"/>
      <c r="C61" s="561" t="s">
        <v>775</v>
      </c>
      <c r="D61" s="423">
        <v>45.0</v>
      </c>
      <c r="E61" s="192" t="s">
        <v>613</v>
      </c>
      <c r="F61" s="546">
        <v>800.0</v>
      </c>
      <c r="G61" s="578"/>
      <c r="H61" s="419"/>
      <c r="I61" s="57"/>
      <c r="J61" s="378" t="s">
        <v>682</v>
      </c>
      <c r="K61" s="420"/>
      <c r="L61" s="193">
        <v>60.0</v>
      </c>
      <c r="M61" s="377" t="s">
        <v>796</v>
      </c>
      <c r="O61" s="431"/>
      <c r="P61" s="157"/>
      <c r="Q61" s="404"/>
      <c r="R61" s="148"/>
      <c r="S61" s="242"/>
      <c r="T61" s="242"/>
      <c r="U61" s="242"/>
      <c r="V61" s="242"/>
      <c r="W61" s="242"/>
      <c r="X61" s="242"/>
      <c r="Y61" s="148"/>
      <c r="Z61" s="148"/>
    </row>
    <row r="62">
      <c r="A62" s="239"/>
      <c r="B62" s="239"/>
      <c r="C62" s="561" t="s">
        <v>10</v>
      </c>
      <c r="D62" s="157"/>
      <c r="E62" s="192"/>
      <c r="F62" s="580"/>
      <c r="G62" s="581"/>
      <c r="H62" s="419"/>
      <c r="I62" s="57"/>
      <c r="J62" s="461" t="s">
        <v>684</v>
      </c>
      <c r="K62" s="420"/>
      <c r="L62" s="193"/>
      <c r="M62" s="377"/>
      <c r="O62" s="431"/>
      <c r="P62" s="157"/>
      <c r="Q62" s="404"/>
      <c r="R62" s="148"/>
      <c r="S62" s="242"/>
      <c r="T62" s="242"/>
      <c r="U62" s="242"/>
      <c r="V62" s="242"/>
      <c r="W62" s="242"/>
      <c r="X62" s="242"/>
      <c r="Y62" s="148"/>
      <c r="Z62" s="148"/>
    </row>
    <row r="63">
      <c r="A63" s="239"/>
      <c r="B63" s="239"/>
      <c r="C63" s="561" t="s">
        <v>6</v>
      </c>
      <c r="D63" s="423">
        <v>230.0</v>
      </c>
      <c r="E63" s="206"/>
      <c r="F63" s="547"/>
      <c r="G63" s="579"/>
      <c r="H63" s="455"/>
      <c r="I63" s="57"/>
      <c r="J63" s="461" t="s">
        <v>686</v>
      </c>
      <c r="K63" s="420"/>
      <c r="L63" s="193">
        <v>310.0</v>
      </c>
      <c r="M63" s="374"/>
      <c r="O63" s="463"/>
      <c r="P63" s="157"/>
      <c r="Q63" s="404"/>
      <c r="R63" s="148"/>
      <c r="S63" s="242"/>
      <c r="T63" s="242"/>
      <c r="U63" s="242"/>
      <c r="V63" s="242"/>
      <c r="W63" s="242"/>
      <c r="X63" s="242"/>
      <c r="Y63" s="148"/>
      <c r="Z63" s="148"/>
    </row>
    <row r="64">
      <c r="A64" s="57"/>
      <c r="B64" s="57"/>
      <c r="C64" s="561" t="s">
        <v>779</v>
      </c>
      <c r="D64" s="157"/>
      <c r="E64" s="228"/>
      <c r="F64" s="547"/>
      <c r="G64" s="579"/>
      <c r="H64" s="455"/>
      <c r="I64" s="239"/>
      <c r="J64" s="460" t="s">
        <v>202</v>
      </c>
      <c r="K64" s="420"/>
      <c r="L64" s="193"/>
      <c r="M64" s="377"/>
      <c r="O64" s="463"/>
      <c r="P64" s="157"/>
      <c r="Q64" s="404"/>
      <c r="R64" s="148"/>
      <c r="S64" s="242"/>
      <c r="T64" s="242"/>
      <c r="U64" s="242"/>
      <c r="V64" s="242"/>
      <c r="W64" s="242"/>
      <c r="X64" s="242"/>
      <c r="Y64" s="148"/>
      <c r="Z64" s="148"/>
    </row>
    <row r="65">
      <c r="A65" s="239"/>
      <c r="B65" s="239"/>
      <c r="C65" s="561" t="s">
        <v>780</v>
      </c>
      <c r="D65" s="423">
        <v>75.0</v>
      </c>
      <c r="E65" s="228"/>
      <c r="F65" s="547"/>
      <c r="G65" s="579"/>
      <c r="H65" s="455"/>
      <c r="I65" s="57"/>
      <c r="J65" s="460" t="s">
        <v>274</v>
      </c>
      <c r="K65" s="420"/>
      <c r="L65" s="193">
        <v>213.0</v>
      </c>
      <c r="M65" s="374"/>
      <c r="O65" s="463"/>
      <c r="P65" s="157"/>
      <c r="Q65" s="404"/>
      <c r="R65" s="148"/>
      <c r="S65" s="242"/>
      <c r="T65" s="242"/>
      <c r="U65" s="242"/>
      <c r="V65" s="242"/>
      <c r="W65" s="242"/>
      <c r="X65" s="242"/>
      <c r="Y65" s="148"/>
      <c r="Z65" s="148"/>
    </row>
    <row r="66">
      <c r="A66" s="239"/>
      <c r="B66" s="239"/>
      <c r="C66" s="561" t="s">
        <v>797</v>
      </c>
      <c r="D66" s="423">
        <v>20.0</v>
      </c>
      <c r="E66" s="228"/>
      <c r="F66" s="547"/>
      <c r="G66" s="579"/>
      <c r="H66" s="419"/>
      <c r="I66" s="239"/>
      <c r="J66" s="568"/>
      <c r="K66" s="420"/>
      <c r="L66" s="150"/>
      <c r="M66" s="374"/>
      <c r="O66" s="431"/>
      <c r="P66" s="157"/>
      <c r="Q66" s="404"/>
      <c r="R66" s="243"/>
      <c r="S66" s="317"/>
      <c r="T66" s="317"/>
      <c r="U66" s="317"/>
      <c r="V66" s="317"/>
      <c r="W66" s="317"/>
      <c r="X66" s="317"/>
      <c r="Y66" s="243"/>
      <c r="Z66" s="243"/>
    </row>
    <row r="67">
      <c r="A67" s="239"/>
      <c r="B67" s="157"/>
      <c r="C67" s="561"/>
      <c r="D67" s="157"/>
      <c r="E67" s="569"/>
      <c r="F67" s="547"/>
      <c r="G67" s="578"/>
      <c r="H67" s="419"/>
      <c r="I67" s="57"/>
      <c r="J67" s="462" t="s">
        <v>381</v>
      </c>
      <c r="K67" s="420"/>
      <c r="L67" s="193">
        <v>810.0</v>
      </c>
      <c r="M67" s="377"/>
      <c r="O67" s="431"/>
      <c r="P67" s="157"/>
      <c r="Q67" s="404"/>
      <c r="R67" s="582"/>
      <c r="S67" s="583"/>
      <c r="T67" s="583"/>
      <c r="U67" s="583"/>
      <c r="V67" s="583"/>
      <c r="W67" s="583"/>
      <c r="X67" s="583"/>
      <c r="Y67" s="582"/>
      <c r="Z67" s="582"/>
    </row>
    <row r="68">
      <c r="A68" s="239"/>
      <c r="B68" s="157"/>
      <c r="C68" s="561"/>
      <c r="D68" s="157"/>
      <c r="E68" s="228"/>
      <c r="F68" s="547"/>
      <c r="G68" s="578"/>
      <c r="H68" s="419"/>
      <c r="I68" s="239"/>
      <c r="J68" s="479" t="s">
        <v>383</v>
      </c>
      <c r="K68" s="420"/>
      <c r="L68" s="193">
        <v>930.0</v>
      </c>
      <c r="M68" s="377"/>
      <c r="O68" s="431"/>
      <c r="P68" s="157"/>
      <c r="Q68" s="404"/>
      <c r="R68" s="148"/>
      <c r="S68" s="242"/>
      <c r="T68" s="242"/>
      <c r="U68" s="242"/>
      <c r="V68" s="242"/>
      <c r="W68" s="242"/>
      <c r="X68" s="242"/>
      <c r="Y68" s="148"/>
      <c r="Z68" s="148"/>
    </row>
    <row r="69">
      <c r="A69" s="239"/>
      <c r="B69" s="157"/>
      <c r="C69" s="561"/>
      <c r="D69" s="157"/>
      <c r="E69" s="570"/>
      <c r="F69" s="547"/>
      <c r="G69" s="578"/>
      <c r="H69" s="419"/>
      <c r="I69" s="239"/>
      <c r="J69" s="568"/>
      <c r="K69" s="420"/>
      <c r="L69" s="193"/>
      <c r="M69" s="374"/>
      <c r="O69" s="431"/>
      <c r="P69" s="157"/>
      <c r="Q69" s="404"/>
      <c r="R69" s="148"/>
      <c r="S69" s="242"/>
      <c r="T69" s="242"/>
      <c r="U69" s="242"/>
      <c r="V69" s="242"/>
      <c r="W69" s="242"/>
      <c r="X69" s="242"/>
      <c r="Y69" s="148"/>
      <c r="Z69" s="148"/>
    </row>
    <row r="70">
      <c r="C70" s="571"/>
      <c r="D70" s="157"/>
      <c r="E70" s="570"/>
      <c r="F70" s="547"/>
      <c r="G70" s="578"/>
      <c r="H70" s="419"/>
      <c r="I70" s="239"/>
      <c r="J70" s="464" t="s">
        <v>692</v>
      </c>
      <c r="K70" s="420"/>
      <c r="L70" s="193"/>
      <c r="M70" s="377"/>
      <c r="O70" s="431"/>
      <c r="P70" s="157"/>
      <c r="Q70" s="404"/>
      <c r="R70" s="148"/>
      <c r="S70" s="242"/>
      <c r="T70" s="242"/>
      <c r="U70" s="242"/>
      <c r="V70" s="242"/>
      <c r="W70" s="242"/>
      <c r="X70" s="242"/>
      <c r="Y70" s="148"/>
      <c r="Z70" s="148"/>
    </row>
    <row r="71">
      <c r="C71" s="571"/>
      <c r="D71" s="157"/>
      <c r="E71" s="570"/>
      <c r="F71" s="547"/>
      <c r="G71" s="578"/>
      <c r="H71" s="419"/>
      <c r="I71" s="239"/>
      <c r="J71" s="464" t="s">
        <v>694</v>
      </c>
      <c r="K71" s="420"/>
      <c r="L71" s="150"/>
      <c r="M71" s="374"/>
      <c r="O71" s="431"/>
      <c r="P71" s="157"/>
      <c r="Q71" s="404"/>
      <c r="R71" s="148"/>
      <c r="S71" s="242"/>
      <c r="T71" s="242"/>
      <c r="U71" s="242"/>
      <c r="V71" s="242"/>
      <c r="W71" s="242"/>
      <c r="X71" s="242"/>
      <c r="Y71" s="148"/>
      <c r="Z71" s="148"/>
    </row>
    <row r="72">
      <c r="C72" s="571"/>
      <c r="D72" s="423"/>
      <c r="E72" s="570"/>
      <c r="F72" s="546"/>
      <c r="G72" s="578"/>
      <c r="H72" s="419"/>
      <c r="I72" s="57"/>
      <c r="J72" s="105"/>
      <c r="K72" s="57"/>
      <c r="L72" s="150"/>
      <c r="M72" s="57"/>
      <c r="N72" s="57"/>
      <c r="O72" s="57"/>
      <c r="P72" s="157"/>
      <c r="Q72" s="404"/>
      <c r="R72" s="148"/>
      <c r="S72" s="242"/>
      <c r="T72" s="242"/>
      <c r="U72" s="242"/>
      <c r="V72" s="242"/>
      <c r="W72" s="242"/>
      <c r="X72" s="242"/>
      <c r="Y72" s="148"/>
      <c r="Z72" s="148"/>
    </row>
    <row r="73">
      <c r="A73" s="125" t="s">
        <v>798</v>
      </c>
      <c r="B73" s="572">
        <f>C46-B50</f>
        <v>1495.95</v>
      </c>
      <c r="D73" s="157"/>
      <c r="E73" s="570"/>
      <c r="F73" s="573"/>
      <c r="G73" s="581"/>
      <c r="H73" s="419"/>
      <c r="I73" s="239"/>
      <c r="J73" s="568"/>
      <c r="K73" s="57"/>
      <c r="L73" s="150"/>
      <c r="M73" s="57"/>
      <c r="N73" s="57"/>
      <c r="O73" s="57"/>
      <c r="P73" s="157"/>
      <c r="Q73" s="404"/>
      <c r="R73" s="148"/>
      <c r="S73" s="242"/>
      <c r="T73" s="242"/>
      <c r="U73" s="242"/>
      <c r="V73" s="242"/>
      <c r="W73" s="242"/>
      <c r="X73" s="242"/>
      <c r="Y73" s="148"/>
      <c r="Z73" s="148"/>
    </row>
    <row r="74">
      <c r="A74" s="274" t="s">
        <v>783</v>
      </c>
      <c r="B74" s="109">
        <v>220.0</v>
      </c>
      <c r="C74" s="395"/>
      <c r="D74" s="157"/>
      <c r="E74" s="570"/>
      <c r="F74" s="573"/>
      <c r="G74" s="581"/>
      <c r="H74" s="419"/>
      <c r="I74" s="239"/>
      <c r="J74" s="568"/>
      <c r="K74" s="57"/>
      <c r="L74" s="150"/>
      <c r="M74" s="57"/>
      <c r="N74" s="57"/>
      <c r="O74" s="57"/>
      <c r="P74" s="157"/>
      <c r="Q74" s="404"/>
      <c r="R74" s="148"/>
      <c r="S74" s="242"/>
      <c r="T74" s="242"/>
      <c r="U74" s="242"/>
      <c r="V74" s="242"/>
      <c r="W74" s="242"/>
      <c r="X74" s="242"/>
      <c r="Y74" s="148"/>
      <c r="Z74" s="148"/>
    </row>
    <row r="75">
      <c r="A75" s="274" t="s">
        <v>784</v>
      </c>
      <c r="B75" s="109">
        <v>4550.0</v>
      </c>
      <c r="C75" s="395"/>
      <c r="D75" s="157"/>
      <c r="E75" s="570"/>
      <c r="F75" s="573"/>
      <c r="G75" s="581"/>
      <c r="H75" s="419"/>
      <c r="I75" s="239"/>
      <c r="J75" s="568"/>
      <c r="K75" s="57"/>
      <c r="L75" s="150"/>
      <c r="M75" s="57"/>
      <c r="N75" s="57"/>
      <c r="O75" s="57"/>
      <c r="P75" s="157"/>
      <c r="Q75" s="404"/>
      <c r="R75" s="148"/>
      <c r="S75" s="242"/>
      <c r="T75" s="242"/>
      <c r="U75" s="242"/>
      <c r="V75" s="242"/>
      <c r="W75" s="242"/>
      <c r="X75" s="242"/>
      <c r="Y75" s="148"/>
      <c r="Z75" s="148"/>
    </row>
    <row r="76">
      <c r="A76" s="274" t="s">
        <v>785</v>
      </c>
      <c r="B76" s="109"/>
      <c r="C76" s="395"/>
      <c r="D76" s="157"/>
      <c r="E76" s="570"/>
      <c r="F76" s="573"/>
      <c r="G76" s="581"/>
      <c r="H76" s="419"/>
      <c r="I76" s="239"/>
      <c r="J76" s="568"/>
      <c r="K76" s="57"/>
      <c r="L76" s="150"/>
      <c r="M76" s="57"/>
      <c r="N76" s="57"/>
      <c r="O76" s="57"/>
      <c r="P76" s="157"/>
      <c r="Q76" s="404"/>
      <c r="R76" s="148"/>
      <c r="S76" s="242"/>
      <c r="T76" s="242"/>
      <c r="U76" s="242"/>
      <c r="V76" s="242"/>
      <c r="W76" s="242"/>
      <c r="X76" s="242"/>
      <c r="Y76" s="148"/>
      <c r="Z76" s="148"/>
    </row>
    <row r="77">
      <c r="A77" s="402"/>
      <c r="B77" s="403"/>
      <c r="C77" s="403"/>
      <c r="D77" s="403"/>
      <c r="E77" s="574"/>
      <c r="F77" s="575"/>
      <c r="G77" s="159"/>
      <c r="H77" s="159"/>
      <c r="I77" s="159"/>
      <c r="J77" s="576"/>
      <c r="K77" s="159"/>
      <c r="L77" s="162"/>
      <c r="M77" s="402"/>
      <c r="N77" s="402"/>
      <c r="O77" s="159"/>
      <c r="P77" s="403"/>
      <c r="Q77" s="577"/>
      <c r="R77" s="148"/>
      <c r="S77" s="242"/>
      <c r="T77" s="242"/>
      <c r="U77" s="242"/>
      <c r="V77" s="242"/>
      <c r="W77" s="242"/>
      <c r="X77" s="242"/>
      <c r="Y77" s="148"/>
      <c r="Z77" s="148"/>
    </row>
    <row r="78" ht="9.75" customHeight="1">
      <c r="A78" s="338"/>
      <c r="B78" s="584"/>
      <c r="C78" s="148"/>
      <c r="D78" s="245"/>
      <c r="E78" s="585"/>
      <c r="F78" s="586"/>
      <c r="G78" s="148"/>
      <c r="H78" s="148"/>
      <c r="I78" s="251"/>
      <c r="J78" s="243"/>
      <c r="K78" s="148"/>
      <c r="L78" s="277"/>
      <c r="M78" s="252"/>
      <c r="N78" s="250"/>
      <c r="O78" s="253"/>
      <c r="P78" s="240"/>
      <c r="Q78" s="148"/>
      <c r="R78" s="148"/>
      <c r="S78" s="242"/>
      <c r="T78" s="242"/>
      <c r="U78" s="242"/>
      <c r="V78" s="242"/>
      <c r="W78" s="242"/>
      <c r="X78" s="242"/>
      <c r="Y78" s="148"/>
      <c r="Z78" s="148"/>
    </row>
    <row r="79">
      <c r="A79" s="169" t="s">
        <v>127</v>
      </c>
      <c r="B79" s="539"/>
      <c r="C79" s="540"/>
      <c r="D79" s="405"/>
      <c r="E79" s="541"/>
      <c r="F79" s="542"/>
      <c r="G79" s="467" t="s">
        <v>333</v>
      </c>
      <c r="H79" s="361"/>
      <c r="I79" s="57"/>
      <c r="J79" s="105"/>
      <c r="K79" s="57"/>
      <c r="L79" s="150"/>
      <c r="M79" s="239"/>
      <c r="N79" s="239"/>
      <c r="O79" s="57"/>
      <c r="P79" s="157"/>
      <c r="Q79" s="404"/>
      <c r="R79" s="148"/>
      <c r="S79" s="242"/>
      <c r="T79" s="242"/>
      <c r="U79" s="242"/>
      <c r="V79" s="242"/>
      <c r="W79" s="242"/>
      <c r="X79" s="242"/>
      <c r="Y79" s="148"/>
      <c r="Z79" s="148"/>
    </row>
    <row r="80">
      <c r="A80" s="468"/>
      <c r="B80" s="157"/>
      <c r="C80" s="466"/>
      <c r="D80" s="405"/>
      <c r="E80" s="543" t="s">
        <v>335</v>
      </c>
      <c r="F80" s="544" t="s">
        <v>237</v>
      </c>
      <c r="G80" s="412" t="s">
        <v>336</v>
      </c>
      <c r="H80" s="413" t="s">
        <v>337</v>
      </c>
      <c r="I80" s="239"/>
      <c r="J80" s="145" t="s">
        <v>60</v>
      </c>
      <c r="K80" s="57"/>
      <c r="L80" s="150"/>
      <c r="M80" s="414"/>
      <c r="N80" s="414"/>
      <c r="O80" s="57" t="s">
        <v>334</v>
      </c>
      <c r="P80" s="157"/>
      <c r="Q80" s="404"/>
      <c r="R80" s="148"/>
      <c r="S80" s="242"/>
      <c r="T80" s="242"/>
      <c r="U80" s="242"/>
      <c r="V80" s="242"/>
      <c r="W80" s="242"/>
      <c r="X80" s="242"/>
      <c r="Y80" s="148"/>
      <c r="Z80" s="148"/>
    </row>
    <row r="81">
      <c r="A81" s="470" t="s">
        <v>179</v>
      </c>
      <c r="C81" s="416">
        <f>SUM(F81:F115)</f>
        <v>11416</v>
      </c>
      <c r="D81" s="405"/>
      <c r="E81" s="545" t="s">
        <v>690</v>
      </c>
      <c r="F81" s="546">
        <v>58.0</v>
      </c>
      <c r="G81" s="419"/>
      <c r="H81" s="419"/>
      <c r="I81" s="57"/>
      <c r="K81" s="57"/>
      <c r="L81" s="150"/>
      <c r="M81" s="377" t="s">
        <v>366</v>
      </c>
      <c r="P81" s="157"/>
      <c r="Q81" s="404"/>
      <c r="R81" s="148"/>
      <c r="S81" s="242"/>
      <c r="T81" s="242"/>
      <c r="U81" s="242"/>
      <c r="V81" s="242"/>
      <c r="W81" s="242"/>
      <c r="X81" s="242"/>
      <c r="Y81" s="148"/>
      <c r="Z81" s="148"/>
    </row>
    <row r="82">
      <c r="A82" s="421" t="s">
        <v>343</v>
      </c>
      <c r="B82" s="422" t="s">
        <v>321</v>
      </c>
      <c r="C82" s="416">
        <f>SUM(P82:P115)</f>
        <v>3900</v>
      </c>
      <c r="D82" s="157"/>
      <c r="E82" s="545" t="s">
        <v>691</v>
      </c>
      <c r="F82" s="546">
        <v>100.0</v>
      </c>
      <c r="G82" s="419"/>
      <c r="H82" s="419"/>
      <c r="I82" s="239"/>
      <c r="J82" s="471" t="s">
        <v>341</v>
      </c>
      <c r="K82" s="420"/>
      <c r="L82" s="150"/>
      <c r="M82" s="374"/>
      <c r="O82" s="426" t="s">
        <v>799</v>
      </c>
      <c r="P82" s="423">
        <v>1800.0</v>
      </c>
      <c r="Q82" s="404"/>
      <c r="R82" s="148"/>
      <c r="S82" s="242"/>
      <c r="T82" s="242"/>
      <c r="U82" s="242"/>
      <c r="V82" s="242"/>
      <c r="W82" s="242"/>
      <c r="X82" s="242"/>
      <c r="Y82" s="148"/>
      <c r="Z82" s="148"/>
    </row>
    <row r="83">
      <c r="A83" s="427" t="s">
        <v>201</v>
      </c>
      <c r="C83" s="204">
        <f>SUM(L82:L115)</f>
        <v>4440.2</v>
      </c>
      <c r="D83" s="157"/>
      <c r="E83" s="545" t="s">
        <v>800</v>
      </c>
      <c r="F83" s="546">
        <v>500.0</v>
      </c>
      <c r="G83" s="419"/>
      <c r="H83" s="419"/>
      <c r="I83" s="239"/>
      <c r="J83" s="472" t="s">
        <v>345</v>
      </c>
      <c r="K83" s="420"/>
      <c r="L83" s="150"/>
      <c r="M83" s="374"/>
      <c r="O83" s="426" t="s">
        <v>801</v>
      </c>
      <c r="P83" s="423">
        <v>2100.0</v>
      </c>
      <c r="Q83" s="404"/>
      <c r="R83" s="148"/>
      <c r="S83" s="242"/>
      <c r="T83" s="242"/>
      <c r="U83" s="242"/>
      <c r="V83" s="242"/>
      <c r="W83" s="242"/>
      <c r="X83" s="242"/>
      <c r="Y83" s="148"/>
      <c r="Z83" s="148"/>
    </row>
    <row r="84">
      <c r="A84" s="548" t="s">
        <v>761</v>
      </c>
      <c r="B84" s="549">
        <v>0.4</v>
      </c>
      <c r="C84" s="191">
        <v>1560.0</v>
      </c>
      <c r="D84" s="157"/>
      <c r="E84" s="550" t="s">
        <v>695</v>
      </c>
      <c r="F84" s="546">
        <v>1705.0</v>
      </c>
      <c r="G84" s="587"/>
      <c r="H84" s="419"/>
      <c r="I84" s="239"/>
      <c r="J84" s="433" t="s">
        <v>656</v>
      </c>
      <c r="K84" s="420"/>
      <c r="L84" s="193"/>
      <c r="M84" s="374"/>
      <c r="O84" s="426"/>
      <c r="P84" s="423"/>
      <c r="Q84" s="404"/>
      <c r="R84" s="148"/>
      <c r="S84" s="242"/>
      <c r="T84" s="242"/>
      <c r="U84" s="242"/>
      <c r="V84" s="242"/>
      <c r="W84" s="242"/>
      <c r="X84" s="242"/>
      <c r="Y84" s="148"/>
      <c r="Z84" s="148"/>
    </row>
    <row r="85">
      <c r="A85" s="434" t="s">
        <v>350</v>
      </c>
      <c r="C85" s="551">
        <f>C81-C83-C84</f>
        <v>5415.8</v>
      </c>
      <c r="D85" s="157"/>
      <c r="E85" s="192" t="s">
        <v>340</v>
      </c>
      <c r="F85" s="546">
        <v>1800.0</v>
      </c>
      <c r="G85" s="558" t="s">
        <v>426</v>
      </c>
      <c r="H85" s="419"/>
      <c r="I85" s="57"/>
      <c r="J85" s="444" t="s">
        <v>658</v>
      </c>
      <c r="K85" s="420"/>
      <c r="L85" s="193">
        <v>46.0</v>
      </c>
      <c r="M85" s="377"/>
      <c r="O85" s="431"/>
      <c r="P85" s="157"/>
      <c r="Q85" s="404"/>
      <c r="R85" s="148"/>
      <c r="S85" s="242"/>
      <c r="T85" s="242"/>
      <c r="U85" s="242"/>
      <c r="V85" s="242"/>
      <c r="W85" s="242"/>
      <c r="X85" s="242"/>
      <c r="Y85" s="148"/>
      <c r="Z85" s="148"/>
    </row>
    <row r="86">
      <c r="A86" s="554"/>
      <c r="B86" s="555"/>
      <c r="C86" s="447"/>
      <c r="D86" s="157"/>
      <c r="E86" s="192" t="s">
        <v>802</v>
      </c>
      <c r="F86" s="546">
        <v>350.0</v>
      </c>
      <c r="G86" s="419"/>
      <c r="H86" s="419"/>
      <c r="I86" s="57"/>
      <c r="J86" s="444" t="s">
        <v>660</v>
      </c>
      <c r="K86" s="420"/>
      <c r="L86" s="193"/>
      <c r="M86" s="377"/>
      <c r="O86" s="431"/>
      <c r="P86" s="157"/>
      <c r="Q86" s="404"/>
      <c r="R86" s="148"/>
      <c r="S86" s="242"/>
      <c r="T86" s="242"/>
      <c r="U86" s="242"/>
      <c r="V86" s="242"/>
      <c r="W86" s="242"/>
      <c r="X86" s="242"/>
      <c r="Y86" s="148"/>
      <c r="Z86" s="148"/>
    </row>
    <row r="87">
      <c r="A87" s="556"/>
      <c r="C87" s="395"/>
      <c r="D87" s="157"/>
      <c r="E87" s="192" t="s">
        <v>803</v>
      </c>
      <c r="F87" s="546">
        <v>350.0</v>
      </c>
      <c r="G87" s="455"/>
      <c r="H87" s="419"/>
      <c r="I87" s="239"/>
      <c r="J87" s="370" t="s">
        <v>662</v>
      </c>
      <c r="K87" s="420"/>
      <c r="L87" s="193">
        <v>48.0</v>
      </c>
      <c r="M87" s="377" t="s">
        <v>804</v>
      </c>
      <c r="O87" s="431"/>
      <c r="P87" s="157"/>
      <c r="Q87" s="404"/>
      <c r="R87" s="148"/>
      <c r="S87" s="242"/>
      <c r="T87" s="242"/>
      <c r="U87" s="242"/>
      <c r="V87" s="242"/>
      <c r="W87" s="242"/>
      <c r="X87" s="242"/>
      <c r="Y87" s="148"/>
      <c r="Z87" s="148"/>
    </row>
    <row r="88" ht="21.75" customHeight="1">
      <c r="A88" s="557"/>
      <c r="B88" s="109"/>
      <c r="C88" s="395"/>
      <c r="D88" s="373"/>
      <c r="E88" s="192" t="s">
        <v>805</v>
      </c>
      <c r="F88" s="546">
        <v>200.0</v>
      </c>
      <c r="G88" s="419"/>
      <c r="H88" s="419"/>
      <c r="I88" s="239"/>
      <c r="J88" s="433" t="s">
        <v>666</v>
      </c>
      <c r="K88" s="420"/>
      <c r="L88" s="150"/>
      <c r="M88" s="374"/>
      <c r="O88" s="431"/>
      <c r="P88" s="157"/>
      <c r="Q88" s="404"/>
      <c r="R88" s="148"/>
      <c r="S88" s="242"/>
      <c r="T88" s="242"/>
      <c r="U88" s="242"/>
      <c r="V88" s="242"/>
      <c r="W88" s="242"/>
      <c r="X88" s="242"/>
      <c r="Y88" s="148"/>
      <c r="Z88" s="148"/>
    </row>
    <row r="89" ht="17.25" customHeight="1">
      <c r="A89" s="559" t="s">
        <v>765</v>
      </c>
      <c r="B89" s="560">
        <f>SUM(D89:D115)</f>
        <v>2492</v>
      </c>
      <c r="C89" s="477" t="s">
        <v>366</v>
      </c>
      <c r="D89" s="157"/>
      <c r="E89" s="192" t="s">
        <v>806</v>
      </c>
      <c r="F89" s="546">
        <v>50.0</v>
      </c>
      <c r="G89" s="419"/>
      <c r="H89" s="419"/>
      <c r="I89" s="239"/>
      <c r="J89" s="433" t="s">
        <v>668</v>
      </c>
      <c r="K89" s="420"/>
      <c r="L89" s="193">
        <v>138.0</v>
      </c>
      <c r="M89" s="377" t="s">
        <v>807</v>
      </c>
      <c r="O89" s="431"/>
      <c r="P89" s="157"/>
      <c r="Q89" s="404"/>
      <c r="R89" s="148"/>
      <c r="S89" s="242"/>
      <c r="T89" s="242"/>
      <c r="U89" s="242"/>
      <c r="V89" s="242"/>
      <c r="W89" s="242"/>
      <c r="X89" s="242"/>
      <c r="Y89" s="148"/>
      <c r="Z89" s="148"/>
    </row>
    <row r="90">
      <c r="A90" s="453" t="s">
        <v>369</v>
      </c>
      <c r="C90" s="561" t="s">
        <v>766</v>
      </c>
      <c r="D90" s="423">
        <v>396.0</v>
      </c>
      <c r="E90" s="192" t="s">
        <v>617</v>
      </c>
      <c r="F90" s="546">
        <v>200.0</v>
      </c>
      <c r="G90" s="419"/>
      <c r="H90" s="419"/>
      <c r="I90" s="239"/>
      <c r="J90" s="433" t="s">
        <v>670</v>
      </c>
      <c r="K90" s="458"/>
      <c r="L90" s="193">
        <v>1250.0</v>
      </c>
      <c r="M90" s="377"/>
      <c r="O90" s="431"/>
      <c r="P90" s="157"/>
      <c r="Q90" s="404"/>
      <c r="R90" s="148"/>
      <c r="S90" s="242"/>
      <c r="T90" s="242"/>
      <c r="U90" s="242"/>
      <c r="V90" s="242"/>
      <c r="W90" s="242"/>
      <c r="X90" s="242"/>
      <c r="Y90" s="148"/>
      <c r="Z90" s="148"/>
    </row>
    <row r="91" ht="14.25" customHeight="1">
      <c r="C91" s="561" t="s">
        <v>767</v>
      </c>
      <c r="D91" s="423">
        <v>145.0</v>
      </c>
      <c r="E91" s="192" t="s">
        <v>795</v>
      </c>
      <c r="F91" s="546">
        <v>620.0</v>
      </c>
      <c r="G91" s="419"/>
      <c r="H91" s="419"/>
      <c r="I91" s="239"/>
      <c r="J91" s="433" t="s">
        <v>217</v>
      </c>
      <c r="K91" s="458"/>
      <c r="L91" s="150"/>
      <c r="M91" s="377"/>
      <c r="O91" s="431"/>
      <c r="P91" s="157"/>
      <c r="Q91" s="404"/>
      <c r="R91" s="148"/>
      <c r="S91" s="242"/>
      <c r="T91" s="242"/>
      <c r="U91" s="242"/>
      <c r="V91" s="242"/>
      <c r="W91" s="242"/>
      <c r="X91" s="242"/>
      <c r="Y91" s="148"/>
      <c r="Z91" s="148"/>
    </row>
    <row r="92">
      <c r="A92" s="57"/>
      <c r="B92" s="57"/>
      <c r="C92" s="561" t="s">
        <v>768</v>
      </c>
      <c r="D92" s="423"/>
      <c r="E92" s="192" t="s">
        <v>591</v>
      </c>
      <c r="F92" s="546">
        <v>2100.0</v>
      </c>
      <c r="G92" s="558" t="s">
        <v>426</v>
      </c>
      <c r="H92" s="419"/>
      <c r="I92" s="239"/>
      <c r="J92" s="109"/>
      <c r="K92" s="420"/>
      <c r="L92" s="193"/>
      <c r="M92" s="374"/>
      <c r="O92" s="431"/>
      <c r="P92" s="157"/>
      <c r="Q92" s="404"/>
      <c r="R92" s="148"/>
      <c r="S92" s="242"/>
      <c r="T92" s="242"/>
      <c r="U92" s="242"/>
      <c r="V92" s="242"/>
      <c r="W92" s="242"/>
      <c r="X92" s="242"/>
      <c r="Y92" s="148"/>
      <c r="Z92" s="148"/>
    </row>
    <row r="93">
      <c r="A93" s="57"/>
      <c r="B93" s="57"/>
      <c r="C93" s="561" t="s">
        <v>769</v>
      </c>
      <c r="D93" s="157"/>
      <c r="E93" s="192" t="s">
        <v>808</v>
      </c>
      <c r="F93" s="546">
        <v>113.0</v>
      </c>
      <c r="G93" s="562" t="s">
        <v>426</v>
      </c>
      <c r="H93" s="419"/>
      <c r="I93" s="239"/>
      <c r="J93" s="456" t="s">
        <v>672</v>
      </c>
      <c r="K93" s="420"/>
      <c r="L93" s="150"/>
      <c r="M93" s="377"/>
      <c r="O93" s="431"/>
      <c r="P93" s="157"/>
      <c r="Q93" s="404"/>
      <c r="R93" s="148"/>
      <c r="S93" s="242"/>
      <c r="T93" s="242"/>
      <c r="U93" s="242"/>
      <c r="V93" s="242"/>
      <c r="W93" s="242"/>
      <c r="X93" s="242"/>
      <c r="Y93" s="148"/>
      <c r="Z93" s="148"/>
    </row>
    <row r="94">
      <c r="A94" s="57"/>
      <c r="B94" s="57"/>
      <c r="C94" s="561" t="s">
        <v>770</v>
      </c>
      <c r="D94" s="423">
        <v>100.0</v>
      </c>
      <c r="E94" s="192" t="s">
        <v>669</v>
      </c>
      <c r="F94" s="546">
        <v>1340.0</v>
      </c>
      <c r="G94" s="419"/>
      <c r="H94" s="419"/>
      <c r="I94" s="57"/>
      <c r="J94" s="456" t="s">
        <v>675</v>
      </c>
      <c r="K94" s="420"/>
      <c r="L94" s="150"/>
      <c r="M94" s="382"/>
      <c r="O94" s="431"/>
      <c r="P94" s="157"/>
      <c r="Q94" s="404"/>
      <c r="R94" s="148"/>
      <c r="S94" s="242"/>
      <c r="T94" s="242"/>
      <c r="U94" s="242"/>
      <c r="V94" s="242"/>
      <c r="W94" s="242"/>
      <c r="X94" s="242"/>
      <c r="Y94" s="148"/>
      <c r="Z94" s="148"/>
    </row>
    <row r="95">
      <c r="A95" s="57"/>
      <c r="B95" s="57"/>
      <c r="C95" s="561" t="s">
        <v>793</v>
      </c>
      <c r="D95" s="423">
        <v>255.0</v>
      </c>
      <c r="E95" s="192" t="s">
        <v>518</v>
      </c>
      <c r="F95" s="546">
        <v>170.0</v>
      </c>
      <c r="G95" s="455"/>
      <c r="H95" s="419"/>
      <c r="I95" s="57"/>
      <c r="J95" s="456"/>
      <c r="K95" s="420"/>
      <c r="L95" s="150"/>
      <c r="M95" s="425"/>
      <c r="O95" s="431"/>
      <c r="P95" s="157"/>
      <c r="Q95" s="404"/>
      <c r="R95" s="148"/>
      <c r="S95" s="242"/>
      <c r="T95" s="242"/>
      <c r="U95" s="242"/>
      <c r="V95" s="242"/>
      <c r="W95" s="242"/>
      <c r="X95" s="242"/>
      <c r="Y95" s="148"/>
      <c r="Z95" s="148"/>
    </row>
    <row r="96">
      <c r="A96" s="239"/>
      <c r="B96" s="57"/>
      <c r="C96" s="561" t="s">
        <v>794</v>
      </c>
      <c r="D96" s="423">
        <v>25.0</v>
      </c>
      <c r="E96" s="192" t="s">
        <v>615</v>
      </c>
      <c r="F96" s="546">
        <v>1000.0</v>
      </c>
      <c r="G96" s="419"/>
      <c r="H96" s="419"/>
      <c r="I96" s="57"/>
      <c r="J96" s="375"/>
      <c r="K96" s="420"/>
      <c r="L96" s="150"/>
      <c r="M96" s="425"/>
      <c r="O96" s="431"/>
      <c r="P96" s="157"/>
      <c r="Q96" s="404"/>
      <c r="R96" s="148"/>
      <c r="S96" s="242"/>
      <c r="T96" s="242"/>
      <c r="U96" s="242"/>
      <c r="V96" s="242"/>
      <c r="W96" s="242"/>
      <c r="X96" s="242"/>
      <c r="Y96" s="148"/>
      <c r="Z96" s="148"/>
    </row>
    <row r="97">
      <c r="A97" s="239"/>
      <c r="B97" s="57"/>
      <c r="C97" s="561" t="s">
        <v>18</v>
      </c>
      <c r="D97" s="423">
        <v>50.0</v>
      </c>
      <c r="E97" s="192" t="s">
        <v>707</v>
      </c>
      <c r="F97" s="546">
        <v>120.0</v>
      </c>
      <c r="G97" s="419"/>
      <c r="H97" s="419"/>
      <c r="I97" s="57"/>
      <c r="J97" s="375"/>
      <c r="K97" s="420"/>
      <c r="L97" s="193"/>
      <c r="M97" s="382"/>
      <c r="O97" s="431"/>
      <c r="P97" s="157"/>
      <c r="Q97" s="404"/>
      <c r="R97" s="148"/>
      <c r="S97" s="242"/>
      <c r="T97" s="242"/>
      <c r="U97" s="242"/>
      <c r="V97" s="242"/>
      <c r="W97" s="242"/>
      <c r="X97" s="242"/>
      <c r="Y97" s="148"/>
      <c r="Z97" s="148"/>
    </row>
    <row r="98">
      <c r="A98" s="239"/>
      <c r="B98" s="57"/>
      <c r="C98" s="561" t="s">
        <v>773</v>
      </c>
      <c r="D98" s="423">
        <v>150.0</v>
      </c>
      <c r="E98" s="192" t="s">
        <v>809</v>
      </c>
      <c r="F98" s="546">
        <v>60.0</v>
      </c>
      <c r="G98" s="455"/>
      <c r="H98" s="419"/>
      <c r="I98" s="57"/>
      <c r="J98" s="452"/>
      <c r="K98" s="420"/>
      <c r="L98" s="150"/>
      <c r="M98" s="425"/>
      <c r="O98" s="431"/>
      <c r="P98" s="157"/>
      <c r="Q98" s="404"/>
      <c r="R98" s="148"/>
      <c r="S98" s="242"/>
      <c r="T98" s="242"/>
      <c r="U98" s="242"/>
      <c r="V98" s="242"/>
      <c r="W98" s="242"/>
      <c r="X98" s="242"/>
      <c r="Y98" s="148"/>
      <c r="Z98" s="148"/>
    </row>
    <row r="99">
      <c r="A99" s="57"/>
      <c r="B99" s="57"/>
      <c r="C99" s="561" t="s">
        <v>774</v>
      </c>
      <c r="D99" s="423">
        <v>430.0</v>
      </c>
      <c r="E99" s="192" t="s">
        <v>582</v>
      </c>
      <c r="F99" s="546">
        <v>230.0</v>
      </c>
      <c r="G99" s="419"/>
      <c r="H99" s="419"/>
      <c r="I99" s="57"/>
      <c r="J99" s="105"/>
      <c r="K99" s="420"/>
      <c r="L99" s="150"/>
      <c r="M99" s="425"/>
      <c r="O99" s="431"/>
      <c r="P99" s="157"/>
      <c r="Q99" s="404"/>
      <c r="R99" s="148"/>
      <c r="S99" s="242"/>
      <c r="T99" s="242"/>
      <c r="U99" s="242"/>
      <c r="V99" s="242"/>
      <c r="W99" s="242"/>
      <c r="X99" s="242"/>
      <c r="Y99" s="148"/>
      <c r="Z99" s="148"/>
    </row>
    <row r="100">
      <c r="A100" s="239"/>
      <c r="B100" s="239"/>
      <c r="C100" s="561" t="s">
        <v>775</v>
      </c>
      <c r="D100" s="423">
        <v>464.0</v>
      </c>
      <c r="E100" s="192" t="s">
        <v>617</v>
      </c>
      <c r="F100" s="546">
        <v>150.0</v>
      </c>
      <c r="G100" s="419"/>
      <c r="H100" s="419"/>
      <c r="I100" s="57"/>
      <c r="J100" s="378" t="s">
        <v>682</v>
      </c>
      <c r="K100" s="420"/>
      <c r="L100" s="193">
        <v>58.0</v>
      </c>
      <c r="M100" s="377" t="s">
        <v>810</v>
      </c>
      <c r="O100" s="431"/>
      <c r="P100" s="157"/>
      <c r="Q100" s="404"/>
      <c r="R100" s="148"/>
      <c r="S100" s="242"/>
      <c r="T100" s="242"/>
      <c r="U100" s="242"/>
      <c r="V100" s="242"/>
      <c r="W100" s="242"/>
      <c r="X100" s="242"/>
      <c r="Y100" s="148"/>
      <c r="Z100" s="148"/>
    </row>
    <row r="101">
      <c r="A101" s="239"/>
      <c r="B101" s="239"/>
      <c r="C101" s="561" t="s">
        <v>10</v>
      </c>
      <c r="D101" s="157"/>
      <c r="E101" s="192" t="s">
        <v>518</v>
      </c>
      <c r="F101" s="580">
        <v>200.0</v>
      </c>
      <c r="G101" s="478"/>
      <c r="H101" s="419"/>
      <c r="I101" s="57"/>
      <c r="J101" s="461" t="s">
        <v>684</v>
      </c>
      <c r="K101" s="420"/>
      <c r="L101" s="193">
        <v>165.0</v>
      </c>
      <c r="M101" s="377" t="s">
        <v>811</v>
      </c>
      <c r="O101" s="431"/>
      <c r="P101" s="157"/>
      <c r="Q101" s="404"/>
      <c r="R101" s="148"/>
      <c r="S101" s="242"/>
      <c r="T101" s="242"/>
      <c r="U101" s="242"/>
      <c r="V101" s="242"/>
      <c r="W101" s="242"/>
      <c r="X101" s="242"/>
      <c r="Y101" s="148"/>
      <c r="Z101" s="148"/>
    </row>
    <row r="102">
      <c r="A102" s="239"/>
      <c r="B102" s="239"/>
      <c r="C102" s="561" t="s">
        <v>6</v>
      </c>
      <c r="D102" s="423">
        <v>260.0</v>
      </c>
      <c r="E102" s="192"/>
      <c r="F102" s="546"/>
      <c r="G102" s="587"/>
      <c r="H102" s="455"/>
      <c r="I102" s="57"/>
      <c r="J102" s="461" t="s">
        <v>686</v>
      </c>
      <c r="K102" s="420"/>
      <c r="L102" s="193">
        <v>31.0</v>
      </c>
      <c r="M102" s="374"/>
      <c r="O102" s="463"/>
      <c r="P102" s="157"/>
      <c r="Q102" s="404"/>
      <c r="R102" s="148"/>
      <c r="S102" s="242"/>
      <c r="T102" s="242"/>
      <c r="U102" s="242"/>
      <c r="V102" s="242"/>
      <c r="W102" s="242"/>
      <c r="X102" s="242"/>
      <c r="Y102" s="148"/>
      <c r="Z102" s="148"/>
    </row>
    <row r="103">
      <c r="A103" s="57"/>
      <c r="B103" s="57"/>
      <c r="C103" s="561" t="s">
        <v>779</v>
      </c>
      <c r="D103" s="157"/>
      <c r="E103" s="228"/>
      <c r="F103" s="547"/>
      <c r="G103" s="455"/>
      <c r="H103" s="455"/>
      <c r="I103" s="239"/>
      <c r="J103" s="460" t="s">
        <v>202</v>
      </c>
      <c r="K103" s="420"/>
      <c r="L103" s="193"/>
      <c r="M103" s="377"/>
      <c r="O103" s="463"/>
      <c r="P103" s="157"/>
      <c r="Q103" s="404"/>
      <c r="R103" s="148"/>
      <c r="S103" s="242"/>
      <c r="T103" s="242"/>
      <c r="U103" s="242"/>
      <c r="V103" s="242"/>
      <c r="W103" s="242"/>
      <c r="X103" s="242"/>
      <c r="Y103" s="148"/>
      <c r="Z103" s="148"/>
    </row>
    <row r="104">
      <c r="A104" s="239"/>
      <c r="B104" s="239"/>
      <c r="C104" s="561" t="s">
        <v>780</v>
      </c>
      <c r="D104" s="423">
        <v>92.0</v>
      </c>
      <c r="E104" s="228"/>
      <c r="F104" s="547"/>
      <c r="G104" s="455"/>
      <c r="H104" s="455"/>
      <c r="I104" s="57"/>
      <c r="J104" s="460" t="s">
        <v>274</v>
      </c>
      <c r="K104" s="420"/>
      <c r="L104" s="193">
        <v>213.0</v>
      </c>
      <c r="M104" s="374"/>
      <c r="O104" s="463"/>
      <c r="P104" s="157"/>
      <c r="Q104" s="404"/>
      <c r="R104" s="148"/>
      <c r="S104" s="242"/>
      <c r="T104" s="242"/>
      <c r="U104" s="242"/>
      <c r="V104" s="242"/>
      <c r="W104" s="242"/>
      <c r="X104" s="242"/>
      <c r="Y104" s="148"/>
      <c r="Z104" s="148"/>
    </row>
    <row r="105">
      <c r="A105" s="239"/>
      <c r="B105" s="239"/>
      <c r="C105" s="561" t="s">
        <v>781</v>
      </c>
      <c r="D105" s="423">
        <v>125.0</v>
      </c>
      <c r="E105" s="228"/>
      <c r="F105" s="547"/>
      <c r="G105" s="455"/>
      <c r="H105" s="419"/>
      <c r="I105" s="239"/>
      <c r="J105" s="568"/>
      <c r="K105" s="420"/>
      <c r="L105" s="150"/>
      <c r="M105" s="374"/>
      <c r="O105" s="431"/>
      <c r="P105" s="157"/>
      <c r="Q105" s="404"/>
      <c r="R105" s="148"/>
      <c r="S105" s="242"/>
      <c r="T105" s="242"/>
      <c r="U105" s="242"/>
      <c r="V105" s="242"/>
      <c r="W105" s="242"/>
      <c r="X105" s="242"/>
      <c r="Y105" s="148"/>
      <c r="Z105" s="148"/>
    </row>
    <row r="106">
      <c r="A106" s="239"/>
      <c r="B106" s="157"/>
      <c r="C106" s="561"/>
      <c r="D106" s="157"/>
      <c r="E106" s="569"/>
      <c r="F106" s="547"/>
      <c r="G106" s="419"/>
      <c r="H106" s="419"/>
      <c r="I106" s="57"/>
      <c r="J106" s="462" t="s">
        <v>381</v>
      </c>
      <c r="K106" s="420"/>
      <c r="L106" s="193">
        <v>1030.0</v>
      </c>
      <c r="M106" s="377"/>
      <c r="O106" s="431"/>
      <c r="P106" s="157"/>
      <c r="Q106" s="404"/>
      <c r="R106" s="148"/>
      <c r="S106" s="242"/>
      <c r="T106" s="242"/>
      <c r="U106" s="242"/>
      <c r="V106" s="242"/>
      <c r="W106" s="242"/>
      <c r="X106" s="242"/>
      <c r="Y106" s="148"/>
      <c r="Z106" s="148"/>
    </row>
    <row r="107">
      <c r="A107" s="239"/>
      <c r="B107" s="157"/>
      <c r="C107" s="561"/>
      <c r="D107" s="157"/>
      <c r="E107" s="228"/>
      <c r="F107" s="547"/>
      <c r="G107" s="419"/>
      <c r="H107" s="419"/>
      <c r="I107" s="239"/>
      <c r="J107" s="479" t="s">
        <v>383</v>
      </c>
      <c r="K107" s="420"/>
      <c r="L107" s="193">
        <v>1120.0</v>
      </c>
      <c r="M107" s="377"/>
      <c r="O107" s="431"/>
      <c r="P107" s="157"/>
      <c r="Q107" s="404"/>
      <c r="R107" s="148"/>
      <c r="S107" s="242"/>
      <c r="T107" s="242"/>
      <c r="U107" s="242"/>
      <c r="V107" s="242"/>
      <c r="W107" s="242"/>
      <c r="X107" s="242"/>
      <c r="Y107" s="148"/>
      <c r="Z107" s="148"/>
    </row>
    <row r="108">
      <c r="A108" s="239"/>
      <c r="B108" s="157"/>
      <c r="C108" s="561"/>
      <c r="D108" s="157"/>
      <c r="E108" s="570"/>
      <c r="F108" s="547"/>
      <c r="G108" s="419"/>
      <c r="H108" s="419"/>
      <c r="I108" s="239"/>
      <c r="J108" s="568"/>
      <c r="K108" s="420"/>
      <c r="L108" s="193"/>
      <c r="M108" s="374"/>
      <c r="O108" s="431"/>
      <c r="P108" s="157"/>
      <c r="Q108" s="404"/>
      <c r="R108" s="148"/>
      <c r="S108" s="242"/>
      <c r="T108" s="242"/>
      <c r="U108" s="242"/>
      <c r="V108" s="242"/>
      <c r="W108" s="242"/>
      <c r="X108" s="242"/>
      <c r="Y108" s="148"/>
      <c r="Z108" s="148"/>
    </row>
    <row r="109">
      <c r="C109" s="571"/>
      <c r="D109" s="157"/>
      <c r="E109" s="570"/>
      <c r="F109" s="547"/>
      <c r="G109" s="419"/>
      <c r="H109" s="419"/>
      <c r="I109" s="239"/>
      <c r="J109" s="464" t="s">
        <v>692</v>
      </c>
      <c r="K109" s="420"/>
      <c r="L109" s="150"/>
      <c r="M109" s="377"/>
      <c r="O109" s="431"/>
      <c r="P109" s="157"/>
      <c r="Q109" s="404"/>
      <c r="R109" s="148"/>
      <c r="S109" s="242"/>
      <c r="T109" s="242"/>
      <c r="U109" s="242"/>
      <c r="V109" s="242"/>
      <c r="W109" s="242"/>
      <c r="X109" s="242"/>
      <c r="Y109" s="148"/>
      <c r="Z109" s="148"/>
    </row>
    <row r="110">
      <c r="C110" s="571"/>
      <c r="D110" s="157"/>
      <c r="E110" s="570"/>
      <c r="F110" s="547"/>
      <c r="G110" s="419"/>
      <c r="H110" s="419"/>
      <c r="I110" s="239"/>
      <c r="J110" s="464" t="s">
        <v>694</v>
      </c>
      <c r="K110" s="420"/>
      <c r="L110" s="193">
        <v>341.2</v>
      </c>
      <c r="M110" s="374"/>
      <c r="O110" s="431"/>
      <c r="P110" s="157"/>
      <c r="Q110" s="404"/>
      <c r="R110" s="148"/>
      <c r="S110" s="242"/>
      <c r="T110" s="242"/>
      <c r="U110" s="242"/>
      <c r="V110" s="242"/>
      <c r="W110" s="242"/>
      <c r="X110" s="242"/>
      <c r="Y110" s="148"/>
      <c r="Z110" s="148"/>
    </row>
    <row r="111">
      <c r="C111" s="571"/>
      <c r="D111" s="423"/>
      <c r="E111" s="570"/>
      <c r="F111" s="546"/>
      <c r="G111" s="419"/>
      <c r="H111" s="419"/>
      <c r="I111" s="57"/>
      <c r="J111" s="105"/>
      <c r="K111" s="57"/>
      <c r="L111" s="193"/>
      <c r="M111" s="57"/>
      <c r="N111" s="57"/>
      <c r="O111" s="57"/>
      <c r="P111" s="157"/>
      <c r="Q111" s="404"/>
      <c r="R111" s="148"/>
      <c r="S111" s="242"/>
      <c r="T111" s="242"/>
      <c r="U111" s="242"/>
      <c r="V111" s="242"/>
      <c r="W111" s="242"/>
      <c r="X111" s="242"/>
      <c r="Y111" s="148"/>
      <c r="Z111" s="148"/>
    </row>
    <row r="112">
      <c r="A112" s="125" t="s">
        <v>798</v>
      </c>
      <c r="B112" s="572">
        <f>C85-B89</f>
        <v>2923.8</v>
      </c>
      <c r="D112" s="157"/>
      <c r="E112" s="570"/>
      <c r="F112" s="573"/>
      <c r="G112" s="478"/>
      <c r="H112" s="419"/>
      <c r="I112" s="239"/>
      <c r="J112" s="568"/>
      <c r="K112" s="57"/>
      <c r="L112" s="150"/>
      <c r="M112" s="57"/>
      <c r="N112" s="57"/>
      <c r="O112" s="57"/>
      <c r="P112" s="157"/>
      <c r="Q112" s="404"/>
      <c r="R112" s="148"/>
      <c r="S112" s="242"/>
      <c r="T112" s="242"/>
      <c r="U112" s="242"/>
      <c r="V112" s="242"/>
      <c r="W112" s="242"/>
      <c r="X112" s="242"/>
      <c r="Y112" s="148"/>
      <c r="Z112" s="148"/>
    </row>
    <row r="113">
      <c r="A113" s="274" t="s">
        <v>783</v>
      </c>
      <c r="B113" s="109">
        <v>480.0</v>
      </c>
      <c r="C113" s="395"/>
      <c r="D113" s="157"/>
      <c r="E113" s="570"/>
      <c r="F113" s="573"/>
      <c r="G113" s="478"/>
      <c r="H113" s="419"/>
      <c r="I113" s="239"/>
      <c r="J113" s="568"/>
      <c r="K113" s="57"/>
      <c r="L113" s="150"/>
      <c r="M113" s="57"/>
      <c r="N113" s="57"/>
      <c r="O113" s="57"/>
      <c r="P113" s="157"/>
      <c r="Q113" s="404"/>
      <c r="R113" s="148"/>
      <c r="S113" s="242"/>
      <c r="T113" s="242"/>
      <c r="U113" s="242"/>
      <c r="V113" s="242"/>
      <c r="W113" s="242"/>
      <c r="X113" s="242"/>
      <c r="Y113" s="148"/>
      <c r="Z113" s="148"/>
    </row>
    <row r="114">
      <c r="A114" s="274" t="s">
        <v>784</v>
      </c>
      <c r="B114" s="109">
        <v>7000.0</v>
      </c>
      <c r="C114" s="395"/>
      <c r="D114" s="157"/>
      <c r="E114" s="570"/>
      <c r="F114" s="573"/>
      <c r="G114" s="478"/>
      <c r="H114" s="419"/>
      <c r="I114" s="239"/>
      <c r="J114" s="568"/>
      <c r="K114" s="57"/>
      <c r="L114" s="150"/>
      <c r="M114" s="57"/>
      <c r="N114" s="57"/>
      <c r="O114" s="57"/>
      <c r="P114" s="157"/>
      <c r="Q114" s="404"/>
      <c r="R114" s="148"/>
      <c r="S114" s="242"/>
      <c r="T114" s="242"/>
      <c r="U114" s="242"/>
      <c r="V114" s="242"/>
      <c r="W114" s="242"/>
      <c r="X114" s="242"/>
      <c r="Y114" s="148"/>
      <c r="Z114" s="148"/>
    </row>
    <row r="115">
      <c r="A115" s="274" t="s">
        <v>785</v>
      </c>
      <c r="B115" s="109"/>
      <c r="C115" s="395"/>
      <c r="D115" s="157"/>
      <c r="E115" s="570"/>
      <c r="F115" s="573"/>
      <c r="G115" s="478"/>
      <c r="H115" s="419"/>
      <c r="I115" s="239"/>
      <c r="J115" s="568"/>
      <c r="K115" s="57"/>
      <c r="L115" s="150"/>
      <c r="M115" s="57"/>
      <c r="N115" s="57"/>
      <c r="O115" s="57"/>
      <c r="P115" s="157"/>
      <c r="Q115" s="404"/>
      <c r="R115" s="148"/>
      <c r="S115" s="242"/>
      <c r="T115" s="242"/>
      <c r="U115" s="242"/>
      <c r="V115" s="242"/>
      <c r="W115" s="242"/>
      <c r="X115" s="242"/>
      <c r="Y115" s="148"/>
      <c r="Z115" s="148"/>
    </row>
    <row r="116">
      <c r="A116" s="402"/>
      <c r="B116" s="403"/>
      <c r="C116" s="403"/>
      <c r="D116" s="403"/>
      <c r="E116" s="574"/>
      <c r="F116" s="575"/>
      <c r="G116" s="159"/>
      <c r="H116" s="159"/>
      <c r="I116" s="159"/>
      <c r="J116" s="576"/>
      <c r="K116" s="159"/>
      <c r="L116" s="162"/>
      <c r="M116" s="402"/>
      <c r="N116" s="402"/>
      <c r="O116" s="159"/>
      <c r="P116" s="403"/>
      <c r="Q116" s="577"/>
      <c r="R116" s="148"/>
      <c r="S116" s="242"/>
      <c r="T116" s="242"/>
      <c r="U116" s="242"/>
      <c r="V116" s="242"/>
      <c r="W116" s="242"/>
      <c r="X116" s="242"/>
      <c r="Y116" s="148"/>
      <c r="Z116" s="148"/>
    </row>
    <row r="117">
      <c r="A117" s="400"/>
      <c r="B117" s="148"/>
      <c r="C117" s="148"/>
      <c r="D117" s="245"/>
      <c r="E117" s="585"/>
      <c r="F117" s="586"/>
      <c r="G117" s="148"/>
      <c r="H117" s="148"/>
      <c r="I117" s="251"/>
      <c r="J117" s="243"/>
      <c r="K117" s="148"/>
      <c r="L117" s="277"/>
      <c r="M117" s="252"/>
      <c r="N117" s="250"/>
      <c r="O117" s="253"/>
      <c r="P117" s="240"/>
      <c r="Q117" s="148"/>
      <c r="R117" s="148"/>
      <c r="S117" s="242"/>
      <c r="T117" s="242"/>
      <c r="U117" s="242"/>
      <c r="V117" s="242"/>
      <c r="W117" s="242"/>
      <c r="X117" s="242"/>
      <c r="Y117" s="148"/>
      <c r="Z117" s="148"/>
    </row>
    <row r="118">
      <c r="A118" s="169" t="s">
        <v>71</v>
      </c>
      <c r="B118" s="539"/>
      <c r="C118" s="540"/>
      <c r="D118" s="405"/>
      <c r="E118" s="541"/>
      <c r="F118" s="542"/>
      <c r="G118" s="467" t="s">
        <v>333</v>
      </c>
      <c r="H118" s="361"/>
      <c r="I118" s="57"/>
      <c r="J118" s="105"/>
      <c r="K118" s="57"/>
      <c r="L118" s="150"/>
      <c r="M118" s="239"/>
      <c r="N118" s="239"/>
      <c r="O118" s="57"/>
      <c r="P118" s="157"/>
      <c r="Q118" s="404"/>
      <c r="R118" s="148"/>
      <c r="S118" s="242"/>
      <c r="T118" s="242"/>
      <c r="U118" s="242"/>
      <c r="V118" s="242"/>
      <c r="W118" s="242"/>
      <c r="X118" s="242"/>
      <c r="Y118" s="148"/>
      <c r="Z118" s="148"/>
    </row>
    <row r="119">
      <c r="A119" s="468"/>
      <c r="B119" s="157"/>
      <c r="C119" s="466"/>
      <c r="D119" s="405"/>
      <c r="E119" s="543" t="s">
        <v>335</v>
      </c>
      <c r="F119" s="544" t="s">
        <v>237</v>
      </c>
      <c r="G119" s="412" t="s">
        <v>336</v>
      </c>
      <c r="H119" s="413" t="s">
        <v>337</v>
      </c>
      <c r="I119" s="239"/>
      <c r="J119" s="145" t="s">
        <v>60</v>
      </c>
      <c r="K119" s="57"/>
      <c r="L119" s="150"/>
      <c r="M119" s="414"/>
      <c r="N119" s="414"/>
      <c r="O119" s="57" t="s">
        <v>334</v>
      </c>
      <c r="P119" s="157"/>
      <c r="Q119" s="404"/>
      <c r="R119" s="148"/>
      <c r="S119" s="242"/>
      <c r="T119" s="242"/>
      <c r="U119" s="242"/>
      <c r="V119" s="242"/>
      <c r="W119" s="242"/>
      <c r="X119" s="242"/>
      <c r="Y119" s="148"/>
      <c r="Z119" s="148"/>
    </row>
    <row r="120">
      <c r="A120" s="470" t="s">
        <v>179</v>
      </c>
      <c r="C120" s="416">
        <f>SUM(F120:F154)</f>
        <v>6815</v>
      </c>
      <c r="D120" s="405"/>
      <c r="E120" s="545" t="s">
        <v>690</v>
      </c>
      <c r="F120" s="546"/>
      <c r="G120" s="419"/>
      <c r="H120" s="419"/>
      <c r="I120" s="57"/>
      <c r="K120" s="57"/>
      <c r="L120" s="150"/>
      <c r="M120" s="377" t="s">
        <v>366</v>
      </c>
      <c r="P120" s="157"/>
      <c r="Q120" s="404"/>
      <c r="R120" s="148"/>
      <c r="S120" s="242"/>
      <c r="T120" s="242"/>
      <c r="U120" s="242"/>
      <c r="V120" s="242"/>
      <c r="W120" s="242"/>
      <c r="X120" s="242"/>
      <c r="Y120" s="148"/>
      <c r="Z120" s="148"/>
    </row>
    <row r="121">
      <c r="A121" s="421" t="s">
        <v>343</v>
      </c>
      <c r="B121" s="422" t="s">
        <v>321</v>
      </c>
      <c r="C121" s="416">
        <f>SUM(P121:P154)</f>
        <v>2220</v>
      </c>
      <c r="D121" s="157"/>
      <c r="E121" s="545" t="s">
        <v>691</v>
      </c>
      <c r="F121" s="546">
        <v>100.0</v>
      </c>
      <c r="G121" s="419"/>
      <c r="H121" s="419"/>
      <c r="I121" s="239"/>
      <c r="J121" s="471" t="s">
        <v>341</v>
      </c>
      <c r="K121" s="420"/>
      <c r="L121" s="150"/>
      <c r="M121" s="374"/>
      <c r="O121" s="426" t="s">
        <v>533</v>
      </c>
      <c r="P121" s="423">
        <v>2100.0</v>
      </c>
      <c r="Q121" s="404"/>
      <c r="R121" s="148"/>
      <c r="S121" s="242"/>
      <c r="T121" s="242"/>
      <c r="U121" s="242"/>
      <c r="V121" s="242"/>
      <c r="W121" s="242"/>
      <c r="X121" s="242"/>
      <c r="Y121" s="148"/>
      <c r="Z121" s="148"/>
    </row>
    <row r="122">
      <c r="A122" s="427" t="s">
        <v>201</v>
      </c>
      <c r="C122" s="204">
        <f>SUM(L121:L154)</f>
        <v>4664</v>
      </c>
      <c r="D122" s="157"/>
      <c r="E122" s="545" t="s">
        <v>800</v>
      </c>
      <c r="F122" s="546">
        <v>500.0</v>
      </c>
      <c r="G122" s="419"/>
      <c r="H122" s="419"/>
      <c r="I122" s="239"/>
      <c r="J122" s="472" t="s">
        <v>345</v>
      </c>
      <c r="K122" s="420"/>
      <c r="L122" s="193">
        <v>367.0</v>
      </c>
      <c r="M122" s="374"/>
      <c r="O122" s="426" t="s">
        <v>594</v>
      </c>
      <c r="P122" s="423">
        <v>120.0</v>
      </c>
      <c r="Q122" s="404"/>
      <c r="R122" s="148"/>
      <c r="S122" s="242"/>
      <c r="T122" s="242"/>
      <c r="U122" s="242"/>
      <c r="V122" s="242"/>
      <c r="W122" s="242"/>
      <c r="X122" s="242"/>
      <c r="Y122" s="148"/>
      <c r="Z122" s="148"/>
    </row>
    <row r="123">
      <c r="A123" s="548" t="s">
        <v>761</v>
      </c>
      <c r="B123" s="549">
        <v>0.4</v>
      </c>
      <c r="C123" s="191">
        <v>890.0</v>
      </c>
      <c r="D123" s="157"/>
      <c r="E123" s="550" t="s">
        <v>695</v>
      </c>
      <c r="F123" s="546">
        <v>765.0</v>
      </c>
      <c r="G123" s="587"/>
      <c r="H123" s="419"/>
      <c r="I123" s="239"/>
      <c r="J123" s="433" t="s">
        <v>656</v>
      </c>
      <c r="K123" s="420"/>
      <c r="L123" s="193">
        <v>344.0</v>
      </c>
      <c r="M123" s="374"/>
      <c r="O123" s="426"/>
      <c r="P123" s="423"/>
      <c r="Q123" s="404"/>
      <c r="R123" s="148"/>
      <c r="S123" s="242"/>
      <c r="T123" s="242"/>
      <c r="U123" s="242"/>
      <c r="V123" s="242"/>
      <c r="W123" s="242"/>
      <c r="X123" s="242"/>
      <c r="Y123" s="148"/>
      <c r="Z123" s="148"/>
    </row>
    <row r="124">
      <c r="A124" s="434" t="s">
        <v>350</v>
      </c>
      <c r="C124" s="551">
        <f>C120-C122-C123</f>
        <v>1261</v>
      </c>
      <c r="D124" s="157"/>
      <c r="E124" s="192" t="s">
        <v>812</v>
      </c>
      <c r="F124" s="546">
        <v>90.0</v>
      </c>
      <c r="G124" s="455"/>
      <c r="H124" s="419"/>
      <c r="I124" s="57"/>
      <c r="J124" s="444" t="s">
        <v>658</v>
      </c>
      <c r="K124" s="420"/>
      <c r="L124" s="193">
        <v>47.0</v>
      </c>
      <c r="M124" s="377"/>
      <c r="O124" s="431"/>
      <c r="P124" s="157"/>
      <c r="Q124" s="404"/>
      <c r="R124" s="148"/>
      <c r="S124" s="242"/>
      <c r="T124" s="242"/>
      <c r="U124" s="242"/>
      <c r="V124" s="242"/>
      <c r="W124" s="242"/>
      <c r="X124" s="242"/>
      <c r="Y124" s="148"/>
      <c r="Z124" s="148"/>
    </row>
    <row r="125">
      <c r="A125" s="554"/>
      <c r="B125" s="555"/>
      <c r="C125" s="447"/>
      <c r="D125" s="157"/>
      <c r="E125" s="192" t="s">
        <v>803</v>
      </c>
      <c r="F125" s="546">
        <v>280.0</v>
      </c>
      <c r="G125" s="419"/>
      <c r="H125" s="419"/>
      <c r="I125" s="57"/>
      <c r="J125" s="444" t="s">
        <v>660</v>
      </c>
      <c r="K125" s="420"/>
      <c r="L125" s="193"/>
      <c r="M125" s="377"/>
      <c r="O125" s="431"/>
      <c r="P125" s="157"/>
      <c r="Q125" s="404"/>
      <c r="R125" s="148"/>
      <c r="S125" s="242"/>
      <c r="T125" s="242"/>
      <c r="U125" s="242"/>
      <c r="V125" s="242"/>
      <c r="W125" s="242"/>
      <c r="X125" s="242"/>
      <c r="Y125" s="148"/>
      <c r="Z125" s="148"/>
    </row>
    <row r="126">
      <c r="A126" s="556"/>
      <c r="C126" s="395"/>
      <c r="D126" s="157"/>
      <c r="E126" s="192" t="s">
        <v>533</v>
      </c>
      <c r="F126" s="546">
        <v>2100.0</v>
      </c>
      <c r="G126" s="558" t="s">
        <v>426</v>
      </c>
      <c r="H126" s="419"/>
      <c r="I126" s="239"/>
      <c r="J126" s="370" t="s">
        <v>662</v>
      </c>
      <c r="K126" s="420"/>
      <c r="L126" s="193">
        <v>23.0</v>
      </c>
      <c r="M126" s="377"/>
      <c r="O126" s="431"/>
      <c r="P126" s="157"/>
      <c r="Q126" s="404"/>
      <c r="R126" s="148"/>
      <c r="S126" s="242"/>
      <c r="T126" s="242"/>
      <c r="U126" s="242"/>
      <c r="V126" s="242"/>
      <c r="W126" s="242"/>
      <c r="X126" s="242"/>
      <c r="Y126" s="148"/>
      <c r="Z126" s="148"/>
    </row>
    <row r="127">
      <c r="A127" s="557"/>
      <c r="B127" s="109"/>
      <c r="C127" s="395"/>
      <c r="D127" s="373"/>
      <c r="E127" s="192" t="s">
        <v>601</v>
      </c>
      <c r="F127" s="546">
        <v>50.0</v>
      </c>
      <c r="G127" s="419"/>
      <c r="H127" s="419"/>
      <c r="I127" s="239"/>
      <c r="J127" s="433" t="s">
        <v>666</v>
      </c>
      <c r="K127" s="420"/>
      <c r="L127" s="150"/>
      <c r="M127" s="374"/>
      <c r="O127" s="431"/>
      <c r="P127" s="157"/>
      <c r="Q127" s="404"/>
      <c r="R127" s="148"/>
      <c r="S127" s="242"/>
      <c r="T127" s="242"/>
      <c r="U127" s="242"/>
      <c r="V127" s="242"/>
      <c r="W127" s="242"/>
      <c r="X127" s="242"/>
      <c r="Y127" s="148"/>
      <c r="Z127" s="148"/>
    </row>
    <row r="128">
      <c r="A128" s="559" t="s">
        <v>765</v>
      </c>
      <c r="B128" s="560">
        <f>SUM(D128:D154)</f>
        <v>1528.5</v>
      </c>
      <c r="C128" s="477" t="s">
        <v>366</v>
      </c>
      <c r="D128" s="157"/>
      <c r="E128" s="192" t="s">
        <v>413</v>
      </c>
      <c r="F128" s="546">
        <v>80.0</v>
      </c>
      <c r="G128" s="419"/>
      <c r="H128" s="419"/>
      <c r="I128" s="239"/>
      <c r="J128" s="433" t="s">
        <v>668</v>
      </c>
      <c r="K128" s="420"/>
      <c r="L128" s="150"/>
      <c r="M128" s="377"/>
      <c r="O128" s="431"/>
      <c r="P128" s="157"/>
      <c r="Q128" s="404"/>
      <c r="R128" s="148"/>
      <c r="S128" s="242"/>
      <c r="T128" s="242"/>
      <c r="U128" s="242"/>
      <c r="V128" s="242"/>
      <c r="W128" s="242"/>
      <c r="X128" s="242"/>
      <c r="Y128" s="148"/>
      <c r="Z128" s="148"/>
    </row>
    <row r="129">
      <c r="A129" s="453" t="s">
        <v>369</v>
      </c>
      <c r="C129" s="561" t="s">
        <v>766</v>
      </c>
      <c r="D129" s="423">
        <v>350.0</v>
      </c>
      <c r="E129" s="192" t="s">
        <v>813</v>
      </c>
      <c r="F129" s="546">
        <v>120.0</v>
      </c>
      <c r="G129" s="558" t="s">
        <v>426</v>
      </c>
      <c r="H129" s="419"/>
      <c r="I129" s="239"/>
      <c r="J129" s="433" t="s">
        <v>670</v>
      </c>
      <c r="K129" s="458"/>
      <c r="L129" s="193">
        <v>1250.0</v>
      </c>
      <c r="M129" s="377"/>
      <c r="O129" s="431"/>
      <c r="P129" s="157"/>
      <c r="Q129" s="404"/>
      <c r="R129" s="148"/>
      <c r="S129" s="242"/>
      <c r="T129" s="242"/>
      <c r="U129" s="242"/>
      <c r="V129" s="242"/>
      <c r="W129" s="242"/>
      <c r="X129" s="242"/>
      <c r="Y129" s="148"/>
      <c r="Z129" s="148"/>
    </row>
    <row r="130">
      <c r="C130" s="561" t="s">
        <v>767</v>
      </c>
      <c r="D130" s="157"/>
      <c r="E130" s="192"/>
      <c r="F130" s="546"/>
      <c r="G130" s="562"/>
      <c r="H130" s="419"/>
      <c r="I130" s="239"/>
      <c r="J130" s="433" t="s">
        <v>217</v>
      </c>
      <c r="K130" s="458"/>
      <c r="L130" s="150"/>
      <c r="M130" s="377"/>
      <c r="O130" s="431"/>
      <c r="P130" s="157"/>
      <c r="Q130" s="404"/>
      <c r="R130" s="148"/>
      <c r="S130" s="242"/>
      <c r="T130" s="242"/>
      <c r="U130" s="242"/>
      <c r="V130" s="242"/>
      <c r="W130" s="242"/>
      <c r="X130" s="242"/>
      <c r="Y130" s="148"/>
      <c r="Z130" s="148"/>
    </row>
    <row r="131">
      <c r="A131" s="57"/>
      <c r="B131" s="57"/>
      <c r="C131" s="561" t="s">
        <v>768</v>
      </c>
      <c r="D131" s="423">
        <v>26.5</v>
      </c>
      <c r="E131" s="192" t="s">
        <v>706</v>
      </c>
      <c r="F131" s="546">
        <v>400.0</v>
      </c>
      <c r="G131" s="419"/>
      <c r="H131" s="419"/>
      <c r="I131" s="239"/>
      <c r="J131" s="109"/>
      <c r="K131" s="420"/>
      <c r="L131" s="193"/>
      <c r="M131" s="374"/>
      <c r="O131" s="431"/>
      <c r="P131" s="157"/>
      <c r="Q131" s="404"/>
      <c r="R131" s="148"/>
      <c r="S131" s="242"/>
      <c r="T131" s="242"/>
      <c r="U131" s="242"/>
      <c r="V131" s="242"/>
      <c r="W131" s="242"/>
      <c r="X131" s="242"/>
      <c r="Y131" s="148"/>
      <c r="Z131" s="148"/>
    </row>
    <row r="132">
      <c r="A132" s="57"/>
      <c r="B132" s="57"/>
      <c r="C132" s="561" t="s">
        <v>769</v>
      </c>
      <c r="D132" s="157"/>
      <c r="E132" s="192" t="s">
        <v>814</v>
      </c>
      <c r="F132" s="546">
        <v>300.0</v>
      </c>
      <c r="G132" s="419"/>
      <c r="H132" s="419"/>
      <c r="I132" s="239"/>
      <c r="J132" s="456" t="s">
        <v>672</v>
      </c>
      <c r="K132" s="420"/>
      <c r="L132" s="193">
        <v>87.0</v>
      </c>
      <c r="M132" s="377"/>
      <c r="O132" s="431"/>
      <c r="P132" s="157"/>
      <c r="Q132" s="404"/>
      <c r="R132" s="148"/>
      <c r="S132" s="242"/>
      <c r="T132" s="242"/>
      <c r="U132" s="242"/>
      <c r="V132" s="242"/>
      <c r="W132" s="242"/>
      <c r="X132" s="242"/>
      <c r="Y132" s="148"/>
      <c r="Z132" s="148"/>
    </row>
    <row r="133">
      <c r="A133" s="57"/>
      <c r="B133" s="57"/>
      <c r="C133" s="561" t="s">
        <v>770</v>
      </c>
      <c r="D133" s="423"/>
      <c r="E133" s="192" t="s">
        <v>532</v>
      </c>
      <c r="F133" s="546">
        <v>1950.0</v>
      </c>
      <c r="G133" s="419"/>
      <c r="H133" s="419"/>
      <c r="I133" s="57"/>
      <c r="J133" s="456" t="s">
        <v>675</v>
      </c>
      <c r="K133" s="420"/>
      <c r="L133" s="193">
        <v>70.0</v>
      </c>
      <c r="M133" s="382"/>
      <c r="O133" s="431"/>
      <c r="P133" s="157"/>
      <c r="Q133" s="404"/>
      <c r="R133" s="148"/>
      <c r="S133" s="242"/>
      <c r="T133" s="242"/>
      <c r="U133" s="242"/>
      <c r="V133" s="242"/>
      <c r="W133" s="242"/>
      <c r="X133" s="242"/>
      <c r="Y133" s="148"/>
      <c r="Z133" s="148"/>
    </row>
    <row r="134">
      <c r="A134" s="57"/>
      <c r="B134" s="57"/>
      <c r="C134" s="561" t="s">
        <v>793</v>
      </c>
      <c r="D134" s="423">
        <v>216.0</v>
      </c>
      <c r="E134" s="192" t="s">
        <v>815</v>
      </c>
      <c r="F134" s="546">
        <v>80.0</v>
      </c>
      <c r="G134" s="587" t="s">
        <v>426</v>
      </c>
      <c r="H134" s="419"/>
      <c r="I134" s="57"/>
      <c r="J134" s="456"/>
      <c r="K134" s="420"/>
      <c r="L134" s="150"/>
      <c r="M134" s="425"/>
      <c r="O134" s="431"/>
      <c r="P134" s="157"/>
      <c r="Q134" s="404"/>
      <c r="R134" s="148"/>
      <c r="S134" s="242"/>
      <c r="T134" s="242"/>
      <c r="U134" s="242"/>
      <c r="V134" s="242"/>
      <c r="W134" s="242"/>
      <c r="X134" s="242"/>
      <c r="Y134" s="148"/>
      <c r="Z134" s="148"/>
    </row>
    <row r="135">
      <c r="A135" s="239"/>
      <c r="B135" s="57"/>
      <c r="C135" s="561" t="s">
        <v>794</v>
      </c>
      <c r="D135" s="423">
        <v>46.0</v>
      </c>
      <c r="E135" s="192"/>
      <c r="F135" s="547"/>
      <c r="G135" s="419"/>
      <c r="H135" s="419"/>
      <c r="I135" s="57"/>
      <c r="J135" s="375"/>
      <c r="K135" s="420"/>
      <c r="L135" s="150"/>
      <c r="M135" s="425"/>
      <c r="O135" s="431"/>
      <c r="P135" s="157"/>
      <c r="Q135" s="404"/>
      <c r="R135" s="148"/>
      <c r="S135" s="242"/>
      <c r="T135" s="242"/>
      <c r="U135" s="242"/>
      <c r="V135" s="242"/>
      <c r="W135" s="242"/>
      <c r="X135" s="242"/>
      <c r="Y135" s="148"/>
      <c r="Z135" s="148"/>
    </row>
    <row r="136">
      <c r="A136" s="239"/>
      <c r="B136" s="57"/>
      <c r="C136" s="561" t="s">
        <v>18</v>
      </c>
      <c r="D136" s="423">
        <v>95.0</v>
      </c>
      <c r="E136" s="228"/>
      <c r="F136" s="547"/>
      <c r="G136" s="419"/>
      <c r="H136" s="419"/>
      <c r="I136" s="57"/>
      <c r="J136" s="375"/>
      <c r="K136" s="420"/>
      <c r="L136" s="193"/>
      <c r="M136" s="382"/>
      <c r="O136" s="431"/>
      <c r="P136" s="157"/>
      <c r="Q136" s="404"/>
      <c r="R136" s="148"/>
      <c r="S136" s="242"/>
      <c r="T136" s="242"/>
      <c r="U136" s="242"/>
      <c r="V136" s="242"/>
      <c r="W136" s="242"/>
      <c r="X136" s="242"/>
      <c r="Y136" s="148"/>
      <c r="Z136" s="148"/>
    </row>
    <row r="137">
      <c r="A137" s="239"/>
      <c r="B137" s="57"/>
      <c r="C137" s="561" t="s">
        <v>773</v>
      </c>
      <c r="D137" s="423">
        <v>64.0</v>
      </c>
      <c r="E137" s="228"/>
      <c r="F137" s="547"/>
      <c r="G137" s="455"/>
      <c r="H137" s="419"/>
      <c r="I137" s="57"/>
      <c r="J137" s="452"/>
      <c r="K137" s="420"/>
      <c r="L137" s="150"/>
      <c r="M137" s="425"/>
      <c r="O137" s="431"/>
      <c r="P137" s="157"/>
      <c r="Q137" s="404"/>
      <c r="R137" s="148"/>
      <c r="S137" s="242"/>
      <c r="T137" s="242"/>
      <c r="U137" s="242"/>
      <c r="V137" s="242"/>
      <c r="W137" s="242"/>
      <c r="X137" s="242"/>
      <c r="Y137" s="148"/>
      <c r="Z137" s="148"/>
    </row>
    <row r="138">
      <c r="A138" s="57"/>
      <c r="B138" s="57"/>
      <c r="C138" s="561" t="s">
        <v>774</v>
      </c>
      <c r="D138" s="423">
        <v>158.0</v>
      </c>
      <c r="E138" s="228"/>
      <c r="F138" s="547"/>
      <c r="G138" s="419"/>
      <c r="H138" s="419"/>
      <c r="I138" s="57"/>
      <c r="J138" s="105"/>
      <c r="K138" s="420"/>
      <c r="L138" s="150"/>
      <c r="M138" s="425"/>
      <c r="O138" s="431"/>
      <c r="P138" s="157"/>
      <c r="Q138" s="404"/>
      <c r="R138" s="148"/>
      <c r="S138" s="242"/>
      <c r="T138" s="242"/>
      <c r="U138" s="242"/>
      <c r="V138" s="242"/>
      <c r="W138" s="242"/>
      <c r="X138" s="242"/>
      <c r="Y138" s="148"/>
      <c r="Z138" s="148"/>
    </row>
    <row r="139">
      <c r="A139" s="239"/>
      <c r="B139" s="239"/>
      <c r="C139" s="561" t="s">
        <v>775</v>
      </c>
      <c r="D139" s="423">
        <v>401.0</v>
      </c>
      <c r="E139" s="192"/>
      <c r="F139" s="547"/>
      <c r="G139" s="419"/>
      <c r="H139" s="419"/>
      <c r="I139" s="57"/>
      <c r="J139" s="378" t="s">
        <v>682</v>
      </c>
      <c r="K139" s="420"/>
      <c r="L139" s="193">
        <v>115.0</v>
      </c>
      <c r="M139" s="377"/>
      <c r="O139" s="431"/>
      <c r="P139" s="157"/>
      <c r="Q139" s="404"/>
      <c r="R139" s="148"/>
      <c r="S139" s="242"/>
      <c r="T139" s="242"/>
      <c r="U139" s="242"/>
      <c r="V139" s="242"/>
      <c r="W139" s="242"/>
      <c r="X139" s="242"/>
      <c r="Y139" s="148"/>
      <c r="Z139" s="148"/>
    </row>
    <row r="140">
      <c r="A140" s="239"/>
      <c r="B140" s="239"/>
      <c r="C140" s="561" t="s">
        <v>10</v>
      </c>
      <c r="D140" s="157"/>
      <c r="E140" s="206"/>
      <c r="F140" s="564"/>
      <c r="G140" s="478"/>
      <c r="H140" s="419"/>
      <c r="I140" s="57"/>
      <c r="J140" s="461" t="s">
        <v>684</v>
      </c>
      <c r="K140" s="420"/>
      <c r="L140" s="193"/>
      <c r="M140" s="377"/>
      <c r="O140" s="431"/>
      <c r="P140" s="157"/>
      <c r="Q140" s="404"/>
      <c r="R140" s="148"/>
      <c r="S140" s="242"/>
      <c r="T140" s="242"/>
      <c r="U140" s="242"/>
      <c r="V140" s="242"/>
      <c r="W140" s="242"/>
      <c r="X140" s="242"/>
      <c r="Y140" s="148"/>
      <c r="Z140" s="148"/>
    </row>
    <row r="141">
      <c r="A141" s="239"/>
      <c r="B141" s="239"/>
      <c r="C141" s="561" t="s">
        <v>6</v>
      </c>
      <c r="D141" s="423">
        <v>50.0</v>
      </c>
      <c r="E141" s="206"/>
      <c r="F141" s="547"/>
      <c r="G141" s="455"/>
      <c r="H141" s="455"/>
      <c r="I141" s="57"/>
      <c r="J141" s="461" t="s">
        <v>686</v>
      </c>
      <c r="K141" s="420"/>
      <c r="L141" s="150"/>
      <c r="M141" s="374"/>
      <c r="O141" s="463"/>
      <c r="P141" s="157"/>
      <c r="Q141" s="404"/>
      <c r="R141" s="148"/>
      <c r="S141" s="242"/>
      <c r="T141" s="242"/>
      <c r="U141" s="242"/>
      <c r="V141" s="242"/>
      <c r="W141" s="242"/>
      <c r="X141" s="242"/>
      <c r="Y141" s="148"/>
      <c r="Z141" s="148"/>
    </row>
    <row r="142">
      <c r="A142" s="57"/>
      <c r="B142" s="57"/>
      <c r="C142" s="561" t="s">
        <v>779</v>
      </c>
      <c r="D142" s="157"/>
      <c r="E142" s="228"/>
      <c r="F142" s="547"/>
      <c r="G142" s="455"/>
      <c r="H142" s="455"/>
      <c r="I142" s="239"/>
      <c r="J142" s="460" t="s">
        <v>202</v>
      </c>
      <c r="K142" s="420"/>
      <c r="L142" s="193">
        <v>237.0</v>
      </c>
      <c r="M142" s="377"/>
      <c r="O142" s="463"/>
      <c r="P142" s="157"/>
      <c r="Q142" s="404"/>
      <c r="R142" s="148"/>
      <c r="S142" s="242"/>
      <c r="T142" s="242"/>
      <c r="U142" s="242"/>
      <c r="V142" s="242"/>
      <c r="W142" s="242"/>
      <c r="X142" s="242"/>
      <c r="Y142" s="148"/>
      <c r="Z142" s="148"/>
    </row>
    <row r="143">
      <c r="A143" s="239"/>
      <c r="B143" s="239"/>
      <c r="C143" s="561" t="s">
        <v>780</v>
      </c>
      <c r="D143" s="423">
        <v>110.0</v>
      </c>
      <c r="E143" s="228"/>
      <c r="F143" s="547"/>
      <c r="G143" s="455"/>
      <c r="H143" s="455"/>
      <c r="I143" s="57"/>
      <c r="J143" s="460" t="s">
        <v>274</v>
      </c>
      <c r="K143" s="420"/>
      <c r="L143" s="150"/>
      <c r="M143" s="374"/>
      <c r="O143" s="463"/>
      <c r="P143" s="157"/>
      <c r="Q143" s="404"/>
      <c r="R143" s="148"/>
      <c r="S143" s="242"/>
      <c r="T143" s="242"/>
      <c r="U143" s="242"/>
      <c r="V143" s="242"/>
      <c r="W143" s="242"/>
      <c r="X143" s="242"/>
      <c r="Y143" s="148"/>
      <c r="Z143" s="148"/>
    </row>
    <row r="144">
      <c r="A144" s="239"/>
      <c r="B144" s="239"/>
      <c r="C144" s="561" t="s">
        <v>781</v>
      </c>
      <c r="D144" s="423">
        <v>12.0</v>
      </c>
      <c r="E144" s="228"/>
      <c r="F144" s="547"/>
      <c r="G144" s="455"/>
      <c r="H144" s="419"/>
      <c r="I144" s="239"/>
      <c r="J144" s="568"/>
      <c r="K144" s="420"/>
      <c r="L144" s="150"/>
      <c r="M144" s="374"/>
      <c r="O144" s="431"/>
      <c r="P144" s="157"/>
      <c r="Q144" s="404"/>
      <c r="R144" s="148"/>
      <c r="S144" s="242"/>
      <c r="T144" s="242"/>
      <c r="U144" s="242"/>
      <c r="V144" s="242"/>
      <c r="W144" s="242"/>
      <c r="X144" s="242"/>
      <c r="Y144" s="148"/>
      <c r="Z144" s="148"/>
    </row>
    <row r="145">
      <c r="A145" s="239"/>
      <c r="B145" s="157"/>
      <c r="C145" s="561"/>
      <c r="D145" s="157"/>
      <c r="E145" s="569"/>
      <c r="F145" s="547"/>
      <c r="G145" s="419"/>
      <c r="H145" s="419"/>
      <c r="I145" s="57"/>
      <c r="J145" s="462" t="s">
        <v>381</v>
      </c>
      <c r="K145" s="420"/>
      <c r="L145" s="193">
        <v>1199.0</v>
      </c>
      <c r="M145" s="377"/>
      <c r="O145" s="431"/>
      <c r="P145" s="157"/>
      <c r="Q145" s="404"/>
      <c r="R145" s="148"/>
      <c r="S145" s="242"/>
      <c r="T145" s="242"/>
      <c r="U145" s="242"/>
      <c r="V145" s="242"/>
      <c r="W145" s="242"/>
      <c r="X145" s="242"/>
      <c r="Y145" s="148"/>
      <c r="Z145" s="148"/>
    </row>
    <row r="146">
      <c r="A146" s="239"/>
      <c r="B146" s="157"/>
      <c r="C146" s="561"/>
      <c r="D146" s="157"/>
      <c r="E146" s="228"/>
      <c r="F146" s="547"/>
      <c r="G146" s="419"/>
      <c r="H146" s="419"/>
      <c r="I146" s="239"/>
      <c r="J146" s="479" t="s">
        <v>383</v>
      </c>
      <c r="K146" s="420"/>
      <c r="L146" s="193">
        <v>925.0</v>
      </c>
      <c r="M146" s="377"/>
      <c r="O146" s="431"/>
      <c r="P146" s="157"/>
      <c r="Q146" s="404"/>
      <c r="R146" s="148"/>
      <c r="S146" s="242"/>
      <c r="T146" s="242"/>
      <c r="U146" s="242"/>
      <c r="V146" s="242"/>
      <c r="W146" s="242"/>
      <c r="X146" s="242"/>
      <c r="Y146" s="148"/>
      <c r="Z146" s="148"/>
    </row>
    <row r="147">
      <c r="A147" s="239"/>
      <c r="B147" s="157"/>
      <c r="C147" s="561"/>
      <c r="D147" s="157"/>
      <c r="E147" s="570"/>
      <c r="F147" s="547"/>
      <c r="G147" s="419"/>
      <c r="H147" s="419"/>
      <c r="I147" s="239"/>
      <c r="J147" s="568"/>
      <c r="K147" s="420"/>
      <c r="L147" s="193"/>
      <c r="M147" s="374"/>
      <c r="O147" s="431"/>
      <c r="P147" s="157"/>
      <c r="Q147" s="404"/>
      <c r="R147" s="148"/>
      <c r="S147" s="242"/>
      <c r="T147" s="242"/>
      <c r="U147" s="242"/>
      <c r="V147" s="242"/>
      <c r="W147" s="242"/>
      <c r="X147" s="242"/>
      <c r="Y147" s="148"/>
      <c r="Z147" s="148"/>
    </row>
    <row r="148">
      <c r="C148" s="571"/>
      <c r="D148" s="157"/>
      <c r="E148" s="570"/>
      <c r="F148" s="547"/>
      <c r="G148" s="419"/>
      <c r="H148" s="419"/>
      <c r="I148" s="239"/>
      <c r="J148" s="464" t="s">
        <v>692</v>
      </c>
      <c r="K148" s="420"/>
      <c r="L148" s="150"/>
      <c r="M148" s="377"/>
      <c r="O148" s="431"/>
      <c r="P148" s="157"/>
      <c r="Q148" s="404"/>
      <c r="R148" s="148"/>
      <c r="S148" s="242"/>
      <c r="T148" s="242"/>
      <c r="U148" s="242"/>
      <c r="V148" s="242"/>
      <c r="W148" s="242"/>
      <c r="X148" s="242"/>
      <c r="Y148" s="148"/>
      <c r="Z148" s="148"/>
    </row>
    <row r="149">
      <c r="C149" s="571"/>
      <c r="D149" s="157"/>
      <c r="E149" s="570"/>
      <c r="F149" s="547"/>
      <c r="G149" s="419"/>
      <c r="H149" s="419"/>
      <c r="I149" s="239"/>
      <c r="J149" s="464" t="s">
        <v>694</v>
      </c>
      <c r="K149" s="420"/>
      <c r="L149" s="150"/>
      <c r="M149" s="374"/>
      <c r="O149" s="431"/>
      <c r="P149" s="157"/>
      <c r="Q149" s="404"/>
      <c r="R149" s="148"/>
      <c r="S149" s="242"/>
      <c r="T149" s="242"/>
      <c r="U149" s="242"/>
      <c r="V149" s="242"/>
      <c r="W149" s="242"/>
      <c r="X149" s="242"/>
      <c r="Y149" s="148"/>
      <c r="Z149" s="148"/>
    </row>
    <row r="150">
      <c r="C150" s="571"/>
      <c r="D150" s="423"/>
      <c r="E150" s="570"/>
      <c r="F150" s="546"/>
      <c r="G150" s="419"/>
      <c r="H150" s="419"/>
      <c r="I150" s="57"/>
      <c r="J150" s="105"/>
      <c r="K150" s="57"/>
      <c r="L150" s="150"/>
      <c r="M150" s="57"/>
      <c r="N150" s="57"/>
      <c r="O150" s="57"/>
      <c r="P150" s="157"/>
      <c r="Q150" s="404"/>
      <c r="R150" s="148"/>
      <c r="S150" s="242"/>
      <c r="T150" s="242"/>
      <c r="U150" s="242"/>
      <c r="V150" s="242"/>
      <c r="W150" s="242"/>
      <c r="X150" s="242"/>
      <c r="Y150" s="148"/>
      <c r="Z150" s="148"/>
    </row>
    <row r="151">
      <c r="A151" s="125" t="s">
        <v>798</v>
      </c>
      <c r="B151" s="588">
        <f>C124-B128</f>
        <v>-267.5</v>
      </c>
      <c r="D151" s="157"/>
      <c r="E151" s="570"/>
      <c r="F151" s="573"/>
      <c r="G151" s="478"/>
      <c r="H151" s="419"/>
      <c r="I151" s="239"/>
      <c r="J151" s="568"/>
      <c r="K151" s="57"/>
      <c r="L151" s="150"/>
      <c r="M151" s="57"/>
      <c r="N151" s="57"/>
      <c r="O151" s="57"/>
      <c r="P151" s="157"/>
      <c r="Q151" s="404"/>
      <c r="R151" s="148"/>
      <c r="S151" s="242"/>
      <c r="T151" s="242"/>
      <c r="U151" s="242"/>
      <c r="V151" s="242"/>
      <c r="W151" s="242"/>
      <c r="X151" s="242"/>
      <c r="Y151" s="148"/>
      <c r="Z151" s="148"/>
    </row>
    <row r="152">
      <c r="A152" s="274" t="s">
        <v>783</v>
      </c>
      <c r="B152" s="109">
        <v>660.0</v>
      </c>
      <c r="C152" s="395"/>
      <c r="D152" s="157"/>
      <c r="E152" s="570"/>
      <c r="F152" s="573"/>
      <c r="G152" s="478"/>
      <c r="H152" s="419"/>
      <c r="I152" s="239"/>
      <c r="J152" s="568"/>
      <c r="K152" s="57"/>
      <c r="L152" s="150"/>
      <c r="M152" s="57"/>
      <c r="N152" s="57"/>
      <c r="O152" s="57"/>
      <c r="P152" s="157"/>
      <c r="Q152" s="404"/>
      <c r="R152" s="148"/>
      <c r="S152" s="242"/>
      <c r="T152" s="242"/>
      <c r="U152" s="242"/>
      <c r="V152" s="242"/>
      <c r="W152" s="242"/>
      <c r="X152" s="242"/>
      <c r="Y152" s="148"/>
      <c r="Z152" s="148"/>
    </row>
    <row r="153">
      <c r="A153" s="274" t="s">
        <v>784</v>
      </c>
      <c r="B153" s="109">
        <v>8550.0</v>
      </c>
      <c r="C153" s="395"/>
      <c r="D153" s="157"/>
      <c r="E153" s="570"/>
      <c r="F153" s="573"/>
      <c r="G153" s="478"/>
      <c r="H153" s="419"/>
      <c r="I153" s="239"/>
      <c r="J153" s="568"/>
      <c r="K153" s="57"/>
      <c r="L153" s="150"/>
      <c r="M153" s="57"/>
      <c r="N153" s="57"/>
      <c r="O153" s="57"/>
      <c r="P153" s="157"/>
      <c r="Q153" s="404"/>
      <c r="R153" s="148"/>
      <c r="S153" s="242"/>
      <c r="T153" s="242"/>
      <c r="U153" s="242"/>
      <c r="V153" s="242"/>
      <c r="W153" s="242"/>
      <c r="X153" s="242"/>
      <c r="Y153" s="148"/>
      <c r="Z153" s="148"/>
    </row>
    <row r="154">
      <c r="A154" s="274" t="s">
        <v>785</v>
      </c>
      <c r="B154" s="109"/>
      <c r="C154" s="395"/>
      <c r="D154" s="157"/>
      <c r="E154" s="570"/>
      <c r="F154" s="573"/>
      <c r="G154" s="478"/>
      <c r="H154" s="419"/>
      <c r="I154" s="239"/>
      <c r="J154" s="568"/>
      <c r="K154" s="57"/>
      <c r="L154" s="150"/>
      <c r="M154" s="57"/>
      <c r="N154" s="57"/>
      <c r="O154" s="57"/>
      <c r="P154" s="157"/>
      <c r="Q154" s="404"/>
      <c r="R154" s="148"/>
      <c r="S154" s="242"/>
      <c r="T154" s="242"/>
      <c r="U154" s="242"/>
      <c r="V154" s="242"/>
      <c r="W154" s="242"/>
      <c r="X154" s="242"/>
      <c r="Y154" s="148"/>
      <c r="Z154" s="148"/>
    </row>
    <row r="155">
      <c r="A155" s="402"/>
      <c r="B155" s="403"/>
      <c r="C155" s="403"/>
      <c r="D155" s="403"/>
      <c r="E155" s="574"/>
      <c r="F155" s="575"/>
      <c r="G155" s="159"/>
      <c r="H155" s="159"/>
      <c r="I155" s="159"/>
      <c r="J155" s="576"/>
      <c r="K155" s="159"/>
      <c r="L155" s="162"/>
      <c r="M155" s="402"/>
      <c r="N155" s="402"/>
      <c r="O155" s="159"/>
      <c r="P155" s="403"/>
      <c r="Q155" s="577"/>
      <c r="R155" s="148"/>
      <c r="S155" s="242"/>
      <c r="T155" s="242"/>
      <c r="U155" s="242"/>
      <c r="V155" s="242"/>
      <c r="W155" s="242"/>
      <c r="X155" s="242"/>
      <c r="Y155" s="148"/>
      <c r="Z155" s="148"/>
    </row>
    <row r="156">
      <c r="A156" s="148"/>
      <c r="B156" s="148"/>
      <c r="C156" s="148"/>
      <c r="D156" s="245"/>
      <c r="E156" s="585"/>
      <c r="F156" s="586"/>
      <c r="G156" s="148"/>
      <c r="H156" s="148"/>
      <c r="I156" s="251"/>
      <c r="J156" s="243"/>
      <c r="K156" s="148"/>
      <c r="L156" s="277"/>
      <c r="M156" s="252"/>
      <c r="N156" s="250"/>
      <c r="O156" s="253"/>
      <c r="P156" s="240"/>
      <c r="Q156" s="148"/>
      <c r="R156" s="148"/>
      <c r="S156" s="242"/>
      <c r="T156" s="242"/>
      <c r="U156" s="242"/>
      <c r="V156" s="242"/>
      <c r="W156" s="242"/>
      <c r="X156" s="242"/>
      <c r="Y156" s="148"/>
      <c r="Z156" s="148"/>
    </row>
    <row r="157">
      <c r="A157" s="169" t="s">
        <v>75</v>
      </c>
      <c r="B157" s="539"/>
      <c r="C157" s="540"/>
      <c r="D157" s="405"/>
      <c r="E157" s="541"/>
      <c r="F157" s="542"/>
      <c r="G157" s="467" t="s">
        <v>333</v>
      </c>
      <c r="H157" s="361"/>
      <c r="I157" s="57"/>
      <c r="J157" s="105"/>
      <c r="K157" s="57"/>
      <c r="L157" s="150"/>
      <c r="M157" s="239"/>
      <c r="N157" s="239"/>
      <c r="O157" s="57"/>
      <c r="P157" s="157"/>
      <c r="Q157" s="404"/>
      <c r="R157" s="148"/>
      <c r="S157" s="242"/>
      <c r="T157" s="242"/>
      <c r="U157" s="242"/>
      <c r="V157" s="242"/>
      <c r="W157" s="242"/>
      <c r="X157" s="242"/>
      <c r="Y157" s="148"/>
      <c r="Z157" s="148"/>
    </row>
    <row r="158">
      <c r="A158" s="468"/>
      <c r="B158" s="157"/>
      <c r="C158" s="466"/>
      <c r="D158" s="405"/>
      <c r="E158" s="543" t="s">
        <v>335</v>
      </c>
      <c r="F158" s="544" t="s">
        <v>237</v>
      </c>
      <c r="G158" s="412" t="s">
        <v>336</v>
      </c>
      <c r="H158" s="413" t="s">
        <v>337</v>
      </c>
      <c r="I158" s="239"/>
      <c r="J158" s="145" t="s">
        <v>60</v>
      </c>
      <c r="K158" s="57"/>
      <c r="L158" s="150"/>
      <c r="M158" s="414"/>
      <c r="N158" s="414"/>
      <c r="O158" s="57" t="s">
        <v>334</v>
      </c>
      <c r="P158" s="157"/>
      <c r="Q158" s="404"/>
      <c r="R158" s="148"/>
      <c r="S158" s="242"/>
      <c r="T158" s="242"/>
      <c r="U158" s="242"/>
      <c r="V158" s="242"/>
      <c r="W158" s="242"/>
      <c r="X158" s="242"/>
      <c r="Y158" s="148"/>
      <c r="Z158" s="148"/>
    </row>
    <row r="159">
      <c r="A159" s="470" t="s">
        <v>179</v>
      </c>
      <c r="C159" s="416">
        <f>SUM(F159:F193)</f>
        <v>6955</v>
      </c>
      <c r="D159" s="405"/>
      <c r="E159" s="545" t="s">
        <v>690</v>
      </c>
      <c r="F159" s="546"/>
      <c r="G159" s="419"/>
      <c r="H159" s="419"/>
      <c r="I159" s="57"/>
      <c r="K159" s="57"/>
      <c r="L159" s="150"/>
      <c r="M159" s="377" t="s">
        <v>366</v>
      </c>
      <c r="P159" s="157"/>
      <c r="Q159" s="404"/>
      <c r="R159" s="148"/>
      <c r="S159" s="242"/>
      <c r="T159" s="242"/>
      <c r="U159" s="242"/>
      <c r="V159" s="242"/>
      <c r="W159" s="242"/>
      <c r="X159" s="242"/>
      <c r="Y159" s="148"/>
      <c r="Z159" s="148"/>
    </row>
    <row r="160">
      <c r="A160" s="421" t="s">
        <v>343</v>
      </c>
      <c r="B160" s="422" t="s">
        <v>321</v>
      </c>
      <c r="C160" s="416">
        <f>SUM(P160:P193)</f>
        <v>120</v>
      </c>
      <c r="D160" s="157"/>
      <c r="E160" s="545" t="s">
        <v>691</v>
      </c>
      <c r="F160" s="546"/>
      <c r="G160" s="419"/>
      <c r="H160" s="419"/>
      <c r="I160" s="239"/>
      <c r="J160" s="471" t="s">
        <v>341</v>
      </c>
      <c r="K160" s="420"/>
      <c r="L160" s="150"/>
      <c r="M160" s="374"/>
      <c r="O160" s="426" t="s">
        <v>816</v>
      </c>
      <c r="P160" s="423">
        <v>120.0</v>
      </c>
      <c r="Q160" s="404"/>
      <c r="R160" s="148"/>
      <c r="S160" s="242"/>
      <c r="T160" s="242"/>
      <c r="U160" s="242"/>
      <c r="V160" s="242"/>
      <c r="W160" s="242"/>
      <c r="X160" s="242"/>
      <c r="Y160" s="148"/>
      <c r="Z160" s="148"/>
    </row>
    <row r="161">
      <c r="A161" s="427" t="s">
        <v>201</v>
      </c>
      <c r="C161" s="204">
        <f>SUM(L160:L193)</f>
        <v>3909</v>
      </c>
      <c r="D161" s="157"/>
      <c r="E161" s="545" t="s">
        <v>693</v>
      </c>
      <c r="F161" s="546"/>
      <c r="G161" s="419"/>
      <c r="H161" s="419"/>
      <c r="I161" s="239"/>
      <c r="J161" s="472" t="s">
        <v>345</v>
      </c>
      <c r="K161" s="420"/>
      <c r="L161" s="193">
        <v>22.0</v>
      </c>
      <c r="M161" s="374"/>
      <c r="O161" s="431"/>
      <c r="P161" s="423"/>
      <c r="Q161" s="404"/>
      <c r="R161" s="148"/>
      <c r="S161" s="242"/>
      <c r="T161" s="242"/>
      <c r="U161" s="242"/>
      <c r="V161" s="242"/>
      <c r="W161" s="242"/>
      <c r="X161" s="242"/>
      <c r="Y161" s="148"/>
      <c r="Z161" s="148"/>
    </row>
    <row r="162">
      <c r="A162" s="548" t="s">
        <v>761</v>
      </c>
      <c r="B162" s="549">
        <v>0.4</v>
      </c>
      <c r="C162" s="191">
        <v>48.0</v>
      </c>
      <c r="D162" s="157"/>
      <c r="E162" s="550" t="s">
        <v>695</v>
      </c>
      <c r="F162" s="546">
        <v>2155.0</v>
      </c>
      <c r="G162" s="587"/>
      <c r="H162" s="419"/>
      <c r="I162" s="239"/>
      <c r="J162" s="433" t="s">
        <v>656</v>
      </c>
      <c r="K162" s="420"/>
      <c r="L162" s="193"/>
      <c r="M162" s="374"/>
      <c r="O162" s="431"/>
      <c r="P162" s="423"/>
      <c r="Q162" s="404"/>
      <c r="R162" s="148"/>
      <c r="S162" s="242"/>
      <c r="T162" s="242"/>
      <c r="U162" s="242"/>
      <c r="V162" s="242"/>
      <c r="W162" s="242"/>
      <c r="X162" s="242"/>
      <c r="Y162" s="148"/>
      <c r="Z162" s="148"/>
    </row>
    <row r="163">
      <c r="A163" s="434" t="s">
        <v>350</v>
      </c>
      <c r="C163" s="551">
        <f>C159-C161-C162</f>
        <v>2998</v>
      </c>
      <c r="D163" s="157"/>
      <c r="E163" s="192" t="s">
        <v>803</v>
      </c>
      <c r="F163" s="546">
        <v>280.0</v>
      </c>
      <c r="G163" s="455"/>
      <c r="H163" s="419"/>
      <c r="I163" s="57"/>
      <c r="J163" s="444" t="s">
        <v>658</v>
      </c>
      <c r="K163" s="420"/>
      <c r="L163" s="193">
        <v>49.0</v>
      </c>
      <c r="M163" s="377"/>
      <c r="O163" s="431"/>
      <c r="P163" s="157"/>
      <c r="Q163" s="404"/>
      <c r="R163" s="148"/>
      <c r="S163" s="242"/>
      <c r="T163" s="242"/>
      <c r="U163" s="242"/>
      <c r="V163" s="242"/>
      <c r="W163" s="242"/>
      <c r="X163" s="242"/>
      <c r="Y163" s="148"/>
      <c r="Z163" s="148"/>
    </row>
    <row r="164">
      <c r="A164" s="554"/>
      <c r="B164" s="555"/>
      <c r="C164" s="447"/>
      <c r="D164" s="157"/>
      <c r="E164" s="192" t="s">
        <v>817</v>
      </c>
      <c r="F164" s="546">
        <v>120.0</v>
      </c>
      <c r="G164" s="558" t="s">
        <v>426</v>
      </c>
      <c r="H164" s="419"/>
      <c r="I164" s="57"/>
      <c r="J164" s="444" t="s">
        <v>660</v>
      </c>
      <c r="K164" s="420"/>
      <c r="L164" s="193"/>
      <c r="M164" s="377"/>
      <c r="O164" s="431"/>
      <c r="P164" s="157"/>
      <c r="Q164" s="404"/>
      <c r="R164" s="148"/>
      <c r="S164" s="242"/>
      <c r="T164" s="242"/>
      <c r="U164" s="242"/>
      <c r="V164" s="242"/>
      <c r="W164" s="242"/>
      <c r="X164" s="242"/>
      <c r="Y164" s="148"/>
      <c r="Z164" s="148"/>
    </row>
    <row r="165">
      <c r="A165" s="556"/>
      <c r="C165" s="395"/>
      <c r="D165" s="157"/>
      <c r="E165" s="192" t="s">
        <v>818</v>
      </c>
      <c r="F165" s="546">
        <v>200.0</v>
      </c>
      <c r="G165" s="455"/>
      <c r="H165" s="419"/>
      <c r="I165" s="239"/>
      <c r="J165" s="370" t="s">
        <v>662</v>
      </c>
      <c r="K165" s="420"/>
      <c r="L165" s="193">
        <v>30.0</v>
      </c>
      <c r="M165" s="377" t="s">
        <v>819</v>
      </c>
      <c r="O165" s="431"/>
      <c r="P165" s="157"/>
      <c r="Q165" s="404"/>
      <c r="R165" s="148"/>
      <c r="S165" s="242"/>
      <c r="T165" s="242"/>
      <c r="U165" s="242"/>
      <c r="V165" s="242"/>
      <c r="W165" s="242"/>
      <c r="X165" s="242"/>
      <c r="Y165" s="148"/>
      <c r="Z165" s="148"/>
    </row>
    <row r="166">
      <c r="A166" s="557"/>
      <c r="B166" s="109"/>
      <c r="C166" s="395"/>
      <c r="D166" s="373"/>
      <c r="E166" s="192" t="s">
        <v>518</v>
      </c>
      <c r="F166" s="546">
        <v>190.0</v>
      </c>
      <c r="G166" s="419"/>
      <c r="H166" s="419"/>
      <c r="I166" s="239"/>
      <c r="J166" s="433" t="s">
        <v>666</v>
      </c>
      <c r="K166" s="420"/>
      <c r="L166" s="150"/>
      <c r="M166" s="374"/>
      <c r="O166" s="431"/>
      <c r="P166" s="157"/>
      <c r="Q166" s="404"/>
      <c r="R166" s="148"/>
      <c r="S166" s="242"/>
      <c r="T166" s="242"/>
      <c r="U166" s="242"/>
      <c r="V166" s="242"/>
      <c r="W166" s="242"/>
      <c r="X166" s="242"/>
      <c r="Y166" s="148"/>
      <c r="Z166" s="148"/>
    </row>
    <row r="167">
      <c r="A167" s="559" t="s">
        <v>765</v>
      </c>
      <c r="B167" s="560">
        <f>SUM(D167:D193)</f>
        <v>1667.5</v>
      </c>
      <c r="C167" s="477" t="s">
        <v>366</v>
      </c>
      <c r="D167" s="157"/>
      <c r="E167" s="192" t="s">
        <v>820</v>
      </c>
      <c r="F167" s="546">
        <v>290.0</v>
      </c>
      <c r="G167" s="419"/>
      <c r="H167" s="419"/>
      <c r="I167" s="239"/>
      <c r="J167" s="433" t="s">
        <v>668</v>
      </c>
      <c r="K167" s="420"/>
      <c r="L167" s="150"/>
      <c r="M167" s="377"/>
      <c r="O167" s="431"/>
      <c r="P167" s="157"/>
      <c r="Q167" s="404"/>
      <c r="R167" s="148"/>
      <c r="S167" s="242"/>
      <c r="T167" s="242"/>
      <c r="U167" s="242"/>
      <c r="V167" s="242"/>
      <c r="W167" s="242"/>
      <c r="X167" s="242"/>
      <c r="Y167" s="148"/>
      <c r="Z167" s="148"/>
    </row>
    <row r="168">
      <c r="A168" s="453" t="s">
        <v>369</v>
      </c>
      <c r="C168" s="561" t="s">
        <v>766</v>
      </c>
      <c r="D168" s="423">
        <v>396.0</v>
      </c>
      <c r="E168" s="192" t="s">
        <v>821</v>
      </c>
      <c r="F168" s="546">
        <v>160.0</v>
      </c>
      <c r="G168" s="419"/>
      <c r="H168" s="419"/>
      <c r="I168" s="239"/>
      <c r="J168" s="433" t="s">
        <v>670</v>
      </c>
      <c r="K168" s="458"/>
      <c r="L168" s="193">
        <v>1250.0</v>
      </c>
      <c r="M168" s="377"/>
      <c r="O168" s="431"/>
      <c r="P168" s="157"/>
      <c r="Q168" s="404"/>
      <c r="R168" s="148"/>
      <c r="S168" s="242"/>
      <c r="T168" s="242"/>
      <c r="U168" s="242"/>
      <c r="V168" s="242"/>
      <c r="W168" s="242"/>
      <c r="X168" s="242"/>
      <c r="Y168" s="148"/>
      <c r="Z168" s="148"/>
    </row>
    <row r="169">
      <c r="C169" s="561" t="s">
        <v>767</v>
      </c>
      <c r="D169" s="423">
        <v>149.5</v>
      </c>
      <c r="E169" s="192" t="s">
        <v>822</v>
      </c>
      <c r="F169" s="546">
        <v>250.0</v>
      </c>
      <c r="G169" s="419"/>
      <c r="H169" s="419"/>
      <c r="I169" s="239"/>
      <c r="J169" s="433" t="s">
        <v>217</v>
      </c>
      <c r="K169" s="458"/>
      <c r="L169" s="150"/>
      <c r="M169" s="377"/>
      <c r="O169" s="431"/>
      <c r="P169" s="157"/>
      <c r="Q169" s="404"/>
      <c r="R169" s="148"/>
      <c r="S169" s="242"/>
      <c r="T169" s="242"/>
      <c r="U169" s="242"/>
      <c r="V169" s="242"/>
      <c r="W169" s="242"/>
      <c r="X169" s="242"/>
      <c r="Y169" s="148"/>
      <c r="Z169" s="148"/>
    </row>
    <row r="170">
      <c r="A170" s="57"/>
      <c r="B170" s="57"/>
      <c r="C170" s="561" t="s">
        <v>768</v>
      </c>
      <c r="D170" s="423"/>
      <c r="E170" s="192" t="s">
        <v>823</v>
      </c>
      <c r="F170" s="546">
        <v>320.0</v>
      </c>
      <c r="G170" s="419"/>
      <c r="H170" s="419"/>
      <c r="I170" s="239"/>
      <c r="J170" s="109"/>
      <c r="K170" s="420"/>
      <c r="L170" s="193"/>
      <c r="M170" s="374"/>
      <c r="O170" s="431"/>
      <c r="P170" s="157"/>
      <c r="Q170" s="404"/>
      <c r="R170" s="148"/>
      <c r="S170" s="242"/>
      <c r="T170" s="242"/>
      <c r="U170" s="242"/>
      <c r="V170" s="242"/>
      <c r="W170" s="242"/>
      <c r="X170" s="242"/>
      <c r="Y170" s="148"/>
      <c r="Z170" s="148"/>
    </row>
    <row r="171">
      <c r="A171" s="57"/>
      <c r="B171" s="57"/>
      <c r="C171" s="561" t="s">
        <v>769</v>
      </c>
      <c r="D171" s="157"/>
      <c r="E171" s="192" t="s">
        <v>824</v>
      </c>
      <c r="F171" s="546">
        <v>840.0</v>
      </c>
      <c r="G171" s="419"/>
      <c r="H171" s="419"/>
      <c r="I171" s="239"/>
      <c r="J171" s="456" t="s">
        <v>672</v>
      </c>
      <c r="K171" s="420"/>
      <c r="L171" s="150"/>
      <c r="M171" s="377"/>
      <c r="O171" s="431"/>
      <c r="P171" s="157"/>
      <c r="Q171" s="404"/>
      <c r="R171" s="148"/>
      <c r="S171" s="242"/>
      <c r="T171" s="242"/>
      <c r="U171" s="242"/>
      <c r="V171" s="242"/>
      <c r="W171" s="242"/>
      <c r="X171" s="242"/>
      <c r="Y171" s="148"/>
      <c r="Z171" s="148"/>
    </row>
    <row r="172">
      <c r="A172" s="57"/>
      <c r="B172" s="57"/>
      <c r="C172" s="561" t="s">
        <v>770</v>
      </c>
      <c r="D172" s="423"/>
      <c r="E172" s="192" t="s">
        <v>825</v>
      </c>
      <c r="F172" s="546">
        <v>60.0</v>
      </c>
      <c r="G172" s="419"/>
      <c r="H172" s="419"/>
      <c r="I172" s="57"/>
      <c r="J172" s="456" t="s">
        <v>675</v>
      </c>
      <c r="K172" s="420"/>
      <c r="L172" s="150"/>
      <c r="M172" s="382"/>
      <c r="O172" s="431"/>
      <c r="P172" s="157"/>
      <c r="Q172" s="404"/>
      <c r="R172" s="148"/>
      <c r="S172" s="242"/>
      <c r="T172" s="242"/>
      <c r="U172" s="242"/>
      <c r="V172" s="242"/>
      <c r="W172" s="242"/>
      <c r="X172" s="242"/>
      <c r="Y172" s="148"/>
      <c r="Z172" s="148"/>
    </row>
    <row r="173">
      <c r="A173" s="57"/>
      <c r="B173" s="57"/>
      <c r="C173" s="561" t="s">
        <v>793</v>
      </c>
      <c r="D173" s="423">
        <v>280.0</v>
      </c>
      <c r="E173" s="192" t="s">
        <v>588</v>
      </c>
      <c r="F173" s="546">
        <v>40.0</v>
      </c>
      <c r="G173" s="455"/>
      <c r="H173" s="419"/>
      <c r="I173" s="57"/>
      <c r="J173" s="456"/>
      <c r="K173" s="420"/>
      <c r="L173" s="150"/>
      <c r="M173" s="425"/>
      <c r="O173" s="431"/>
      <c r="P173" s="157"/>
      <c r="Q173" s="404"/>
      <c r="R173" s="148"/>
      <c r="S173" s="242"/>
      <c r="T173" s="242"/>
      <c r="U173" s="242"/>
      <c r="V173" s="242"/>
      <c r="W173" s="242"/>
      <c r="X173" s="242"/>
      <c r="Y173" s="148"/>
      <c r="Z173" s="148"/>
    </row>
    <row r="174">
      <c r="A174" s="239"/>
      <c r="B174" s="57"/>
      <c r="C174" s="561" t="s">
        <v>794</v>
      </c>
      <c r="D174" s="423">
        <v>15.0</v>
      </c>
      <c r="E174" s="192" t="s">
        <v>826</v>
      </c>
      <c r="F174" s="546">
        <v>150.0</v>
      </c>
      <c r="G174" s="419"/>
      <c r="H174" s="419"/>
      <c r="I174" s="57"/>
      <c r="J174" s="375"/>
      <c r="K174" s="420"/>
      <c r="L174" s="150"/>
      <c r="M174" s="425"/>
      <c r="O174" s="431"/>
      <c r="P174" s="157"/>
      <c r="Q174" s="404"/>
      <c r="R174" s="148"/>
      <c r="S174" s="242"/>
      <c r="T174" s="242"/>
      <c r="U174" s="242"/>
      <c r="V174" s="242"/>
      <c r="W174" s="242"/>
      <c r="X174" s="242"/>
      <c r="Y174" s="148"/>
      <c r="Z174" s="148"/>
    </row>
    <row r="175">
      <c r="A175" s="239"/>
      <c r="B175" s="57"/>
      <c r="C175" s="561" t="s">
        <v>18</v>
      </c>
      <c r="D175" s="423">
        <v>30.0</v>
      </c>
      <c r="E175" s="192" t="s">
        <v>827</v>
      </c>
      <c r="F175" s="546">
        <v>180.0</v>
      </c>
      <c r="G175" s="419"/>
      <c r="H175" s="419"/>
      <c r="I175" s="57"/>
      <c r="J175" s="375"/>
      <c r="K175" s="420"/>
      <c r="L175" s="193"/>
      <c r="M175" s="382"/>
      <c r="O175" s="431"/>
      <c r="P175" s="157"/>
      <c r="Q175" s="404"/>
      <c r="R175" s="148"/>
      <c r="S175" s="242"/>
      <c r="T175" s="242"/>
      <c r="U175" s="242"/>
      <c r="V175" s="242"/>
      <c r="W175" s="242"/>
      <c r="X175" s="242"/>
      <c r="Y175" s="148"/>
      <c r="Z175" s="148"/>
    </row>
    <row r="176">
      <c r="A176" s="239"/>
      <c r="B176" s="57"/>
      <c r="C176" s="561" t="s">
        <v>773</v>
      </c>
      <c r="D176" s="423">
        <v>15.0</v>
      </c>
      <c r="E176" s="192" t="s">
        <v>821</v>
      </c>
      <c r="F176" s="546">
        <v>80.0</v>
      </c>
      <c r="G176" s="455"/>
      <c r="H176" s="419"/>
      <c r="I176" s="57"/>
      <c r="J176" s="452"/>
      <c r="K176" s="420"/>
      <c r="L176" s="150"/>
      <c r="M176" s="425"/>
      <c r="O176" s="431"/>
      <c r="P176" s="157"/>
      <c r="Q176" s="404"/>
      <c r="R176" s="148"/>
      <c r="S176" s="242"/>
      <c r="T176" s="242"/>
      <c r="U176" s="242"/>
      <c r="V176" s="242"/>
      <c r="W176" s="242"/>
      <c r="X176" s="242"/>
      <c r="Y176" s="148"/>
      <c r="Z176" s="148"/>
    </row>
    <row r="177">
      <c r="A177" s="57"/>
      <c r="B177" s="57"/>
      <c r="C177" s="561" t="s">
        <v>774</v>
      </c>
      <c r="D177" s="423">
        <v>262.0</v>
      </c>
      <c r="E177" s="192" t="s">
        <v>593</v>
      </c>
      <c r="F177" s="546">
        <v>200.0</v>
      </c>
      <c r="G177" s="419"/>
      <c r="H177" s="419"/>
      <c r="I177" s="57"/>
      <c r="J177" s="105"/>
      <c r="K177" s="420"/>
      <c r="L177" s="150"/>
      <c r="M177" s="425"/>
      <c r="O177" s="431"/>
      <c r="P177" s="157"/>
      <c r="Q177" s="404"/>
      <c r="R177" s="148"/>
      <c r="S177" s="242"/>
      <c r="T177" s="242"/>
      <c r="U177" s="242"/>
      <c r="V177" s="242"/>
      <c r="W177" s="242"/>
      <c r="X177" s="242"/>
      <c r="Y177" s="148"/>
      <c r="Z177" s="148"/>
    </row>
    <row r="178">
      <c r="A178" s="239"/>
      <c r="B178" s="239"/>
      <c r="C178" s="561" t="s">
        <v>775</v>
      </c>
      <c r="D178" s="423">
        <v>150.0</v>
      </c>
      <c r="E178" s="192" t="s">
        <v>828</v>
      </c>
      <c r="F178" s="546">
        <v>840.0</v>
      </c>
      <c r="G178" s="419"/>
      <c r="H178" s="419"/>
      <c r="I178" s="57"/>
      <c r="J178" s="378" t="s">
        <v>682</v>
      </c>
      <c r="K178" s="420"/>
      <c r="L178" s="193">
        <v>73.0</v>
      </c>
      <c r="M178" s="377" t="s">
        <v>829</v>
      </c>
      <c r="O178" s="431"/>
      <c r="P178" s="157"/>
      <c r="Q178" s="404"/>
      <c r="R178" s="148"/>
      <c r="S178" s="242"/>
      <c r="T178" s="242"/>
      <c r="U178" s="242"/>
      <c r="V178" s="242"/>
      <c r="W178" s="242"/>
      <c r="X178" s="242"/>
      <c r="Y178" s="148"/>
      <c r="Z178" s="148"/>
    </row>
    <row r="179">
      <c r="A179" s="239"/>
      <c r="B179" s="239"/>
      <c r="C179" s="561" t="s">
        <v>10</v>
      </c>
      <c r="D179" s="157"/>
      <c r="E179" s="192" t="s">
        <v>425</v>
      </c>
      <c r="F179" s="580">
        <v>350.0</v>
      </c>
      <c r="G179" s="589" t="s">
        <v>426</v>
      </c>
      <c r="H179" s="419"/>
      <c r="I179" s="57"/>
      <c r="J179" s="461" t="s">
        <v>684</v>
      </c>
      <c r="K179" s="420"/>
      <c r="L179" s="193"/>
      <c r="M179" s="377"/>
      <c r="O179" s="431"/>
      <c r="P179" s="157"/>
      <c r="Q179" s="404"/>
      <c r="R179" s="148"/>
      <c r="S179" s="242"/>
      <c r="T179" s="242"/>
      <c r="U179" s="242"/>
      <c r="V179" s="242"/>
      <c r="W179" s="242"/>
      <c r="X179" s="242"/>
      <c r="Y179" s="148"/>
      <c r="Z179" s="148"/>
    </row>
    <row r="180">
      <c r="A180" s="239"/>
      <c r="B180" s="239"/>
      <c r="C180" s="561" t="s">
        <v>6</v>
      </c>
      <c r="D180" s="423">
        <v>200.0</v>
      </c>
      <c r="E180" s="192" t="s">
        <v>617</v>
      </c>
      <c r="F180" s="546">
        <v>250.0</v>
      </c>
      <c r="G180" s="455"/>
      <c r="H180" s="455"/>
      <c r="I180" s="57"/>
      <c r="J180" s="461" t="s">
        <v>686</v>
      </c>
      <c r="K180" s="420"/>
      <c r="L180" s="150"/>
      <c r="M180" s="374"/>
      <c r="O180" s="463"/>
      <c r="P180" s="157"/>
      <c r="Q180" s="404"/>
      <c r="R180" s="148"/>
      <c r="S180" s="242"/>
      <c r="T180" s="242"/>
      <c r="U180" s="242"/>
      <c r="V180" s="242"/>
      <c r="W180" s="242"/>
      <c r="X180" s="242"/>
      <c r="Y180" s="148"/>
      <c r="Z180" s="148"/>
    </row>
    <row r="181">
      <c r="A181" s="57"/>
      <c r="B181" s="57"/>
      <c r="C181" s="561" t="s">
        <v>779</v>
      </c>
      <c r="D181" s="157"/>
      <c r="E181" s="192"/>
      <c r="F181" s="546"/>
      <c r="G181" s="455"/>
      <c r="H181" s="455"/>
      <c r="I181" s="239"/>
      <c r="J181" s="460" t="s">
        <v>202</v>
      </c>
      <c r="K181" s="420"/>
      <c r="L181" s="193"/>
      <c r="M181" s="377"/>
      <c r="O181" s="463"/>
      <c r="P181" s="157"/>
      <c r="Q181" s="404"/>
      <c r="R181" s="148"/>
      <c r="S181" s="242"/>
      <c r="T181" s="242"/>
      <c r="U181" s="242"/>
      <c r="V181" s="242"/>
      <c r="W181" s="242"/>
      <c r="X181" s="242"/>
      <c r="Y181" s="148"/>
      <c r="Z181" s="148"/>
    </row>
    <row r="182">
      <c r="A182" s="239"/>
      <c r="B182" s="239"/>
      <c r="C182" s="561" t="s">
        <v>780</v>
      </c>
      <c r="D182" s="423">
        <v>120.0</v>
      </c>
      <c r="E182" s="228"/>
      <c r="F182" s="547"/>
      <c r="G182" s="455"/>
      <c r="H182" s="455"/>
      <c r="I182" s="57"/>
      <c r="J182" s="460" t="s">
        <v>274</v>
      </c>
      <c r="K182" s="420"/>
      <c r="L182" s="193">
        <v>213.0</v>
      </c>
      <c r="M182" s="374"/>
      <c r="O182" s="463"/>
      <c r="P182" s="157"/>
      <c r="Q182" s="404"/>
      <c r="R182" s="148"/>
      <c r="S182" s="242"/>
      <c r="T182" s="242"/>
      <c r="U182" s="242"/>
      <c r="V182" s="242"/>
      <c r="W182" s="242"/>
      <c r="X182" s="242"/>
      <c r="Y182" s="148"/>
      <c r="Z182" s="148"/>
    </row>
    <row r="183">
      <c r="A183" s="239"/>
      <c r="B183" s="239"/>
      <c r="C183" s="561" t="s">
        <v>781</v>
      </c>
      <c r="D183" s="423">
        <v>50.0</v>
      </c>
      <c r="E183" s="228"/>
      <c r="F183" s="547"/>
      <c r="G183" s="455"/>
      <c r="H183" s="419"/>
      <c r="I183" s="239"/>
      <c r="J183" s="568"/>
      <c r="K183" s="420"/>
      <c r="L183" s="150"/>
      <c r="M183" s="374"/>
      <c r="O183" s="431"/>
      <c r="P183" s="157"/>
      <c r="Q183" s="404"/>
      <c r="R183" s="148"/>
      <c r="S183" s="242"/>
      <c r="T183" s="242"/>
      <c r="U183" s="242"/>
      <c r="V183" s="242"/>
      <c r="W183" s="242"/>
      <c r="X183" s="242"/>
      <c r="Y183" s="148"/>
      <c r="Z183" s="148"/>
    </row>
    <row r="184">
      <c r="A184" s="239"/>
      <c r="B184" s="157"/>
      <c r="C184" s="561"/>
      <c r="D184" s="157"/>
      <c r="E184" s="569"/>
      <c r="F184" s="547"/>
      <c r="G184" s="419"/>
      <c r="H184" s="419"/>
      <c r="I184" s="57"/>
      <c r="J184" s="462" t="s">
        <v>381</v>
      </c>
      <c r="K184" s="420"/>
      <c r="L184" s="193">
        <v>1250.0</v>
      </c>
      <c r="M184" s="377"/>
      <c r="O184" s="431"/>
      <c r="P184" s="157"/>
      <c r="Q184" s="404"/>
      <c r="R184" s="148"/>
      <c r="S184" s="242"/>
      <c r="T184" s="242"/>
      <c r="U184" s="242"/>
      <c r="V184" s="242"/>
      <c r="W184" s="242"/>
      <c r="X184" s="242"/>
      <c r="Y184" s="148"/>
      <c r="Z184" s="148"/>
    </row>
    <row r="185">
      <c r="A185" s="239"/>
      <c r="B185" s="157"/>
      <c r="C185" s="561"/>
      <c r="D185" s="157"/>
      <c r="E185" s="228"/>
      <c r="F185" s="547"/>
      <c r="G185" s="419"/>
      <c r="H185" s="419"/>
      <c r="I185" s="239"/>
      <c r="J185" s="479" t="s">
        <v>383</v>
      </c>
      <c r="K185" s="420"/>
      <c r="L185" s="193">
        <v>925.0</v>
      </c>
      <c r="M185" s="377"/>
      <c r="O185" s="431"/>
      <c r="P185" s="157"/>
      <c r="Q185" s="404"/>
      <c r="R185" s="148"/>
      <c r="S185" s="242"/>
      <c r="T185" s="242"/>
      <c r="U185" s="242"/>
      <c r="V185" s="242"/>
      <c r="W185" s="242"/>
      <c r="X185" s="242"/>
      <c r="Y185" s="148"/>
      <c r="Z185" s="148"/>
    </row>
    <row r="186">
      <c r="A186" s="239"/>
      <c r="B186" s="157"/>
      <c r="C186" s="561"/>
      <c r="D186" s="157"/>
      <c r="E186" s="570"/>
      <c r="F186" s="547"/>
      <c r="G186" s="419"/>
      <c r="H186" s="419"/>
      <c r="I186" s="239"/>
      <c r="J186" s="568"/>
      <c r="K186" s="420"/>
      <c r="L186" s="193"/>
      <c r="M186" s="374"/>
      <c r="O186" s="431"/>
      <c r="P186" s="157"/>
      <c r="Q186" s="404"/>
      <c r="R186" s="148"/>
      <c r="S186" s="242"/>
      <c r="T186" s="242"/>
      <c r="U186" s="242"/>
      <c r="V186" s="242"/>
      <c r="W186" s="242"/>
      <c r="X186" s="242"/>
      <c r="Y186" s="148"/>
      <c r="Z186" s="148"/>
    </row>
    <row r="187">
      <c r="C187" s="571"/>
      <c r="D187" s="157"/>
      <c r="E187" s="570"/>
      <c r="F187" s="547"/>
      <c r="G187" s="419"/>
      <c r="H187" s="419"/>
      <c r="I187" s="239"/>
      <c r="J187" s="464" t="s">
        <v>692</v>
      </c>
      <c r="K187" s="420"/>
      <c r="L187" s="150"/>
      <c r="M187" s="377"/>
      <c r="O187" s="431"/>
      <c r="P187" s="157"/>
      <c r="Q187" s="404"/>
      <c r="R187" s="148"/>
      <c r="S187" s="242"/>
      <c r="T187" s="242"/>
      <c r="U187" s="242"/>
      <c r="V187" s="242"/>
      <c r="W187" s="242"/>
      <c r="X187" s="242"/>
      <c r="Y187" s="148"/>
      <c r="Z187" s="148"/>
    </row>
    <row r="188">
      <c r="C188" s="571"/>
      <c r="D188" s="157"/>
      <c r="E188" s="570"/>
      <c r="F188" s="547"/>
      <c r="G188" s="419"/>
      <c r="H188" s="419"/>
      <c r="I188" s="239"/>
      <c r="J188" s="464" t="s">
        <v>694</v>
      </c>
      <c r="K188" s="420"/>
      <c r="L188" s="193">
        <v>97.0</v>
      </c>
      <c r="M188" s="377" t="s">
        <v>830</v>
      </c>
      <c r="O188" s="431"/>
      <c r="P188" s="157"/>
      <c r="Q188" s="404"/>
      <c r="R188" s="148"/>
      <c r="S188" s="242"/>
      <c r="T188" s="242"/>
      <c r="U188" s="242"/>
      <c r="V188" s="242"/>
      <c r="W188" s="242"/>
      <c r="X188" s="242"/>
      <c r="Y188" s="148"/>
      <c r="Z188" s="148"/>
    </row>
    <row r="189">
      <c r="C189" s="571"/>
      <c r="D189" s="423"/>
      <c r="E189" s="570"/>
      <c r="F189" s="546"/>
      <c r="G189" s="419"/>
      <c r="H189" s="419"/>
      <c r="I189" s="57"/>
      <c r="J189" s="105"/>
      <c r="K189" s="57"/>
      <c r="L189" s="150"/>
      <c r="M189" s="57"/>
      <c r="N189" s="57"/>
      <c r="O189" s="57"/>
      <c r="P189" s="157"/>
      <c r="Q189" s="404"/>
      <c r="R189" s="148"/>
      <c r="S189" s="242"/>
      <c r="T189" s="242"/>
      <c r="U189" s="242"/>
      <c r="V189" s="242"/>
      <c r="W189" s="242"/>
      <c r="X189" s="242"/>
      <c r="Y189" s="148"/>
      <c r="Z189" s="148"/>
    </row>
    <row r="190">
      <c r="A190" s="125" t="s">
        <v>798</v>
      </c>
      <c r="B190" s="572">
        <f>C163-B167</f>
        <v>1330.5</v>
      </c>
      <c r="D190" s="157"/>
      <c r="E190" s="570"/>
      <c r="F190" s="573"/>
      <c r="G190" s="478"/>
      <c r="H190" s="419"/>
      <c r="I190" s="239"/>
      <c r="J190" s="568"/>
      <c r="K190" s="57"/>
      <c r="L190" s="150"/>
      <c r="M190" s="57"/>
      <c r="N190" s="57"/>
      <c r="O190" s="57"/>
      <c r="P190" s="157"/>
      <c r="Q190" s="404"/>
      <c r="R190" s="148"/>
      <c r="S190" s="242"/>
      <c r="T190" s="242"/>
      <c r="U190" s="242"/>
      <c r="V190" s="242"/>
      <c r="W190" s="242"/>
      <c r="X190" s="242"/>
      <c r="Y190" s="148"/>
      <c r="Z190" s="148"/>
    </row>
    <row r="191">
      <c r="A191" s="274" t="s">
        <v>783</v>
      </c>
      <c r="B191" s="109">
        <v>500.0</v>
      </c>
      <c r="C191" s="395"/>
      <c r="D191" s="157"/>
      <c r="E191" s="570"/>
      <c r="F191" s="573"/>
      <c r="G191" s="478"/>
      <c r="H191" s="419"/>
      <c r="I191" s="239"/>
      <c r="J191" s="568"/>
      <c r="K191" s="57"/>
      <c r="L191" s="150"/>
      <c r="M191" s="57"/>
      <c r="N191" s="57"/>
      <c r="O191" s="57"/>
      <c r="P191" s="157"/>
      <c r="Q191" s="404"/>
      <c r="R191" s="148"/>
      <c r="S191" s="242"/>
      <c r="T191" s="242"/>
      <c r="U191" s="242"/>
      <c r="V191" s="242"/>
      <c r="W191" s="242"/>
      <c r="X191" s="242"/>
      <c r="Y191" s="148"/>
      <c r="Z191" s="148"/>
    </row>
    <row r="192">
      <c r="A192" s="274" t="s">
        <v>784</v>
      </c>
      <c r="B192" s="109">
        <v>9550.0</v>
      </c>
      <c r="C192" s="395"/>
      <c r="D192" s="157"/>
      <c r="E192" s="570"/>
      <c r="F192" s="573"/>
      <c r="G192" s="478"/>
      <c r="H192" s="419"/>
      <c r="I192" s="239"/>
      <c r="J192" s="568"/>
      <c r="K192" s="57"/>
      <c r="L192" s="150"/>
      <c r="M192" s="57"/>
      <c r="N192" s="57"/>
      <c r="O192" s="57"/>
      <c r="P192" s="157"/>
      <c r="Q192" s="404"/>
      <c r="R192" s="148"/>
      <c r="S192" s="242"/>
      <c r="T192" s="242"/>
      <c r="U192" s="242"/>
      <c r="V192" s="242"/>
      <c r="W192" s="242"/>
      <c r="X192" s="242"/>
      <c r="Y192" s="148"/>
      <c r="Z192" s="148"/>
    </row>
    <row r="193">
      <c r="A193" s="274" t="s">
        <v>785</v>
      </c>
      <c r="B193" s="109"/>
      <c r="C193" s="395"/>
      <c r="D193" s="157"/>
      <c r="E193" s="570"/>
      <c r="F193" s="573"/>
      <c r="G193" s="478"/>
      <c r="H193" s="419"/>
      <c r="I193" s="239"/>
      <c r="J193" s="568"/>
      <c r="K193" s="57"/>
      <c r="L193" s="150"/>
      <c r="M193" s="57"/>
      <c r="N193" s="57"/>
      <c r="O193" s="57"/>
      <c r="P193" s="157"/>
      <c r="Q193" s="404"/>
      <c r="R193" s="148"/>
      <c r="S193" s="242"/>
      <c r="T193" s="242"/>
      <c r="U193" s="242"/>
      <c r="V193" s="242"/>
      <c r="W193" s="242"/>
      <c r="X193" s="242"/>
      <c r="Y193" s="148"/>
      <c r="Z193" s="148"/>
    </row>
    <row r="194">
      <c r="A194" s="402"/>
      <c r="B194" s="403"/>
      <c r="C194" s="403"/>
      <c r="D194" s="403"/>
      <c r="E194" s="574"/>
      <c r="F194" s="575"/>
      <c r="G194" s="159"/>
      <c r="H194" s="159"/>
      <c r="I194" s="159"/>
      <c r="J194" s="576"/>
      <c r="K194" s="159"/>
      <c r="L194" s="162"/>
      <c r="M194" s="402"/>
      <c r="N194" s="402"/>
      <c r="O194" s="159"/>
      <c r="P194" s="403"/>
      <c r="Q194" s="577"/>
      <c r="R194" s="148"/>
      <c r="S194" s="242"/>
      <c r="T194" s="242"/>
      <c r="U194" s="242"/>
      <c r="V194" s="242"/>
      <c r="W194" s="242"/>
      <c r="X194" s="242"/>
      <c r="Y194" s="148"/>
      <c r="Z194" s="148"/>
    </row>
    <row r="195">
      <c r="A195" s="148"/>
      <c r="B195" s="148"/>
      <c r="C195" s="148"/>
      <c r="D195" s="245"/>
      <c r="E195" s="585"/>
      <c r="F195" s="586"/>
      <c r="G195" s="148"/>
      <c r="H195" s="148"/>
      <c r="I195" s="251"/>
      <c r="J195" s="243"/>
      <c r="K195" s="148"/>
      <c r="L195" s="277"/>
      <c r="M195" s="252"/>
      <c r="N195" s="250"/>
      <c r="O195" s="253"/>
      <c r="P195" s="240"/>
      <c r="Q195" s="148"/>
      <c r="R195" s="148"/>
      <c r="S195" s="242"/>
      <c r="T195" s="242"/>
      <c r="U195" s="242"/>
      <c r="V195" s="242"/>
      <c r="W195" s="242"/>
      <c r="X195" s="242"/>
      <c r="Y195" s="148"/>
      <c r="Z195" s="148"/>
    </row>
    <row r="196">
      <c r="A196" s="169" t="s">
        <v>79</v>
      </c>
      <c r="B196" s="539"/>
      <c r="C196" s="540"/>
      <c r="D196" s="405"/>
      <c r="E196" s="541"/>
      <c r="F196" s="542"/>
      <c r="G196" s="467" t="s">
        <v>333</v>
      </c>
      <c r="H196" s="361"/>
      <c r="I196" s="57"/>
      <c r="J196" s="105"/>
      <c r="K196" s="57"/>
      <c r="L196" s="150"/>
      <c r="M196" s="239"/>
      <c r="N196" s="239"/>
      <c r="O196" s="57"/>
      <c r="P196" s="157"/>
      <c r="Q196" s="404"/>
      <c r="R196" s="148"/>
      <c r="S196" s="242"/>
      <c r="T196" s="242"/>
      <c r="U196" s="242"/>
      <c r="V196" s="242"/>
      <c r="W196" s="242"/>
      <c r="X196" s="242"/>
      <c r="Y196" s="148"/>
      <c r="Z196" s="148"/>
    </row>
    <row r="197">
      <c r="A197" s="468"/>
      <c r="B197" s="157"/>
      <c r="C197" s="466"/>
      <c r="D197" s="405"/>
      <c r="E197" s="543" t="s">
        <v>335</v>
      </c>
      <c r="F197" s="544" t="s">
        <v>237</v>
      </c>
      <c r="G197" s="412" t="s">
        <v>336</v>
      </c>
      <c r="H197" s="413" t="s">
        <v>337</v>
      </c>
      <c r="I197" s="239"/>
      <c r="J197" s="145" t="s">
        <v>60</v>
      </c>
      <c r="K197" s="57"/>
      <c r="L197" s="150"/>
      <c r="M197" s="414"/>
      <c r="N197" s="414"/>
      <c r="O197" s="57" t="s">
        <v>334</v>
      </c>
      <c r="P197" s="157"/>
      <c r="Q197" s="404"/>
      <c r="R197" s="148"/>
      <c r="S197" s="242"/>
      <c r="T197" s="242"/>
      <c r="U197" s="242"/>
      <c r="V197" s="242"/>
      <c r="W197" s="242"/>
      <c r="X197" s="242"/>
      <c r="Y197" s="148"/>
      <c r="Z197" s="148"/>
    </row>
    <row r="198">
      <c r="A198" s="470" t="s">
        <v>179</v>
      </c>
      <c r="C198" s="416">
        <f>SUM(F198:F232)</f>
        <v>6738</v>
      </c>
      <c r="D198" s="405"/>
      <c r="E198" s="545" t="s">
        <v>690</v>
      </c>
      <c r="F198" s="546"/>
      <c r="G198" s="419"/>
      <c r="H198" s="419"/>
      <c r="I198" s="57"/>
      <c r="K198" s="57"/>
      <c r="L198" s="150"/>
      <c r="M198" s="377" t="s">
        <v>366</v>
      </c>
      <c r="P198" s="157"/>
      <c r="Q198" s="404"/>
      <c r="R198" s="148"/>
      <c r="S198" s="242"/>
      <c r="T198" s="242"/>
      <c r="U198" s="242"/>
      <c r="V198" s="242"/>
      <c r="W198" s="242"/>
      <c r="X198" s="242"/>
      <c r="Y198" s="148"/>
      <c r="Z198" s="148"/>
    </row>
    <row r="199">
      <c r="A199" s="421" t="s">
        <v>343</v>
      </c>
      <c r="B199" s="422" t="s">
        <v>321</v>
      </c>
      <c r="C199" s="416">
        <f>SUM(P199:P232)</f>
        <v>2188</v>
      </c>
      <c r="D199" s="157"/>
      <c r="E199" s="545" t="s">
        <v>691</v>
      </c>
      <c r="F199" s="546">
        <v>100.0</v>
      </c>
      <c r="G199" s="419"/>
      <c r="H199" s="419"/>
      <c r="I199" s="239"/>
      <c r="J199" s="471" t="s">
        <v>341</v>
      </c>
      <c r="K199" s="420"/>
      <c r="L199" s="150"/>
      <c r="M199" s="374"/>
      <c r="O199" s="426" t="s">
        <v>831</v>
      </c>
      <c r="P199" s="423">
        <v>208.0</v>
      </c>
      <c r="Q199" s="404"/>
      <c r="R199" s="148"/>
      <c r="S199" s="242"/>
      <c r="T199" s="242"/>
      <c r="U199" s="242"/>
      <c r="V199" s="242"/>
      <c r="W199" s="242"/>
      <c r="X199" s="242"/>
      <c r="Y199" s="148"/>
      <c r="Z199" s="148"/>
    </row>
    <row r="200">
      <c r="A200" s="427" t="s">
        <v>201</v>
      </c>
      <c r="C200" s="204">
        <f>SUM(L199:L232)</f>
        <v>4782</v>
      </c>
      <c r="D200" s="157"/>
      <c r="E200" s="545" t="s">
        <v>832</v>
      </c>
      <c r="F200" s="546">
        <v>500.0</v>
      </c>
      <c r="G200" s="419"/>
      <c r="H200" s="419"/>
      <c r="I200" s="239"/>
      <c r="J200" s="472" t="s">
        <v>345</v>
      </c>
      <c r="K200" s="420"/>
      <c r="L200" s="150"/>
      <c r="M200" s="374"/>
      <c r="O200" s="426" t="s">
        <v>833</v>
      </c>
      <c r="P200" s="423">
        <v>80.0</v>
      </c>
      <c r="Q200" s="404"/>
      <c r="R200" s="148"/>
      <c r="S200" s="242"/>
      <c r="T200" s="242"/>
      <c r="U200" s="242"/>
      <c r="V200" s="242"/>
      <c r="W200" s="242"/>
      <c r="X200" s="242"/>
      <c r="Y200" s="148"/>
      <c r="Z200" s="148"/>
    </row>
    <row r="201">
      <c r="A201" s="548" t="s">
        <v>761</v>
      </c>
      <c r="B201" s="549">
        <v>0.4</v>
      </c>
      <c r="C201" s="191">
        <v>875.0</v>
      </c>
      <c r="D201" s="157"/>
      <c r="E201" s="550" t="s">
        <v>695</v>
      </c>
      <c r="F201" s="546">
        <v>1170.0</v>
      </c>
      <c r="G201" s="587"/>
      <c r="H201" s="419"/>
      <c r="I201" s="239"/>
      <c r="J201" s="433" t="s">
        <v>656</v>
      </c>
      <c r="K201" s="420"/>
      <c r="L201" s="193">
        <v>275.0</v>
      </c>
      <c r="M201" s="377" t="s">
        <v>443</v>
      </c>
      <c r="O201" s="426" t="s">
        <v>834</v>
      </c>
      <c r="P201" s="423">
        <v>400.0</v>
      </c>
      <c r="Q201" s="404"/>
      <c r="R201" s="148"/>
      <c r="S201" s="242"/>
      <c r="T201" s="242"/>
      <c r="U201" s="242"/>
      <c r="V201" s="242"/>
      <c r="W201" s="242"/>
      <c r="X201" s="242"/>
      <c r="Y201" s="148"/>
      <c r="Z201" s="148"/>
    </row>
    <row r="202">
      <c r="A202" s="434" t="s">
        <v>350</v>
      </c>
      <c r="C202" s="551">
        <f>C198-C200-C201</f>
        <v>1081</v>
      </c>
      <c r="D202" s="157"/>
      <c r="E202" s="552" t="s">
        <v>835</v>
      </c>
      <c r="F202" s="590">
        <v>50.0</v>
      </c>
      <c r="G202" s="455"/>
      <c r="H202" s="419"/>
      <c r="I202" s="57"/>
      <c r="J202" s="444" t="s">
        <v>658</v>
      </c>
      <c r="K202" s="420"/>
      <c r="L202" s="193">
        <v>49.0</v>
      </c>
      <c r="M202" s="377"/>
      <c r="O202" s="426" t="s">
        <v>836</v>
      </c>
      <c r="P202" s="423">
        <v>1500.0</v>
      </c>
      <c r="Q202" s="404"/>
      <c r="R202" s="148"/>
      <c r="S202" s="242"/>
      <c r="T202" s="242"/>
      <c r="U202" s="242"/>
      <c r="V202" s="242"/>
      <c r="W202" s="242"/>
      <c r="X202" s="242"/>
      <c r="Y202" s="148"/>
      <c r="Z202" s="148"/>
    </row>
    <row r="203">
      <c r="A203" s="554"/>
      <c r="B203" s="555"/>
      <c r="C203" s="447"/>
      <c r="D203" s="157"/>
      <c r="E203" s="192" t="s">
        <v>837</v>
      </c>
      <c r="F203" s="546">
        <v>208.0</v>
      </c>
      <c r="G203" s="558" t="s">
        <v>426</v>
      </c>
      <c r="H203" s="419"/>
      <c r="I203" s="57"/>
      <c r="J203" s="444" t="s">
        <v>660</v>
      </c>
      <c r="K203" s="420"/>
      <c r="L203" s="193"/>
      <c r="M203" s="377"/>
      <c r="O203" s="431"/>
      <c r="P203" s="157"/>
      <c r="Q203" s="404"/>
      <c r="R203" s="148"/>
      <c r="S203" s="242"/>
      <c r="T203" s="242"/>
      <c r="U203" s="242"/>
      <c r="V203" s="242"/>
      <c r="W203" s="242"/>
      <c r="X203" s="242"/>
      <c r="Y203" s="148"/>
      <c r="Z203" s="148"/>
    </row>
    <row r="204">
      <c r="A204" s="556"/>
      <c r="C204" s="395"/>
      <c r="D204" s="157"/>
      <c r="E204" s="192" t="s">
        <v>617</v>
      </c>
      <c r="F204" s="546">
        <v>250.0</v>
      </c>
      <c r="G204" s="455"/>
      <c r="H204" s="419"/>
      <c r="I204" s="239"/>
      <c r="J204" s="370" t="s">
        <v>662</v>
      </c>
      <c r="K204" s="420"/>
      <c r="L204" s="193">
        <v>67.0</v>
      </c>
      <c r="M204" s="377" t="s">
        <v>838</v>
      </c>
      <c r="O204" s="431"/>
      <c r="P204" s="157"/>
      <c r="Q204" s="404"/>
      <c r="R204" s="148"/>
      <c r="S204" s="242"/>
      <c r="T204" s="242"/>
      <c r="U204" s="242"/>
      <c r="V204" s="242"/>
      <c r="W204" s="242"/>
      <c r="X204" s="242"/>
      <c r="Y204" s="148"/>
      <c r="Z204" s="148"/>
    </row>
    <row r="205">
      <c r="A205" s="557"/>
      <c r="B205" s="109"/>
      <c r="C205" s="395"/>
      <c r="D205" s="373"/>
      <c r="E205" s="192" t="s">
        <v>564</v>
      </c>
      <c r="F205" s="546">
        <v>720.0</v>
      </c>
      <c r="G205" s="419"/>
      <c r="H205" s="419"/>
      <c r="I205" s="239"/>
      <c r="J205" s="433" t="s">
        <v>666</v>
      </c>
      <c r="K205" s="420"/>
      <c r="L205" s="150"/>
      <c r="M205" s="374"/>
      <c r="O205" s="431"/>
      <c r="P205" s="157"/>
      <c r="Q205" s="404"/>
      <c r="R205" s="148"/>
      <c r="S205" s="242"/>
      <c r="T205" s="242"/>
      <c r="U205" s="242"/>
      <c r="V205" s="242"/>
      <c r="W205" s="242"/>
      <c r="X205" s="242"/>
      <c r="Y205" s="148"/>
      <c r="Z205" s="148"/>
    </row>
    <row r="206">
      <c r="A206" s="559" t="s">
        <v>765</v>
      </c>
      <c r="B206" s="560">
        <f>SUM(D206:D232)</f>
        <v>2013</v>
      </c>
      <c r="C206" s="477" t="s">
        <v>366</v>
      </c>
      <c r="D206" s="157"/>
      <c r="E206" s="192" t="s">
        <v>795</v>
      </c>
      <c r="F206" s="546">
        <v>190.0</v>
      </c>
      <c r="G206" s="419"/>
      <c r="H206" s="419"/>
      <c r="I206" s="239"/>
      <c r="J206" s="433" t="s">
        <v>668</v>
      </c>
      <c r="K206" s="420"/>
      <c r="L206" s="150"/>
      <c r="M206" s="377"/>
      <c r="O206" s="431"/>
      <c r="P206" s="157"/>
      <c r="Q206" s="404"/>
      <c r="R206" s="148"/>
      <c r="S206" s="242"/>
      <c r="T206" s="242"/>
      <c r="U206" s="242"/>
      <c r="V206" s="242"/>
      <c r="W206" s="242"/>
      <c r="X206" s="242"/>
      <c r="Y206" s="148"/>
      <c r="Z206" s="148"/>
    </row>
    <row r="207">
      <c r="A207" s="453" t="s">
        <v>369</v>
      </c>
      <c r="C207" s="561" t="s">
        <v>766</v>
      </c>
      <c r="D207" s="423">
        <v>397.0</v>
      </c>
      <c r="E207" s="192" t="s">
        <v>839</v>
      </c>
      <c r="F207" s="546">
        <v>230.0</v>
      </c>
      <c r="G207" s="419"/>
      <c r="H207" s="419"/>
      <c r="I207" s="239"/>
      <c r="J207" s="433" t="s">
        <v>670</v>
      </c>
      <c r="K207" s="458"/>
      <c r="L207" s="193">
        <v>1250.0</v>
      </c>
      <c r="M207" s="377"/>
      <c r="O207" s="431"/>
      <c r="P207" s="157"/>
      <c r="Q207" s="404"/>
      <c r="R207" s="148"/>
      <c r="S207" s="242"/>
      <c r="T207" s="242"/>
      <c r="U207" s="242"/>
      <c r="V207" s="242"/>
      <c r="W207" s="242"/>
      <c r="X207" s="242"/>
      <c r="Y207" s="148"/>
      <c r="Z207" s="148"/>
    </row>
    <row r="208">
      <c r="C208" s="561" t="s">
        <v>767</v>
      </c>
      <c r="D208" s="157"/>
      <c r="E208" s="192" t="s">
        <v>840</v>
      </c>
      <c r="F208" s="546">
        <v>150.0</v>
      </c>
      <c r="G208" s="419"/>
      <c r="H208" s="419"/>
      <c r="I208" s="239"/>
      <c r="J208" s="433" t="s">
        <v>217</v>
      </c>
      <c r="K208" s="458"/>
      <c r="L208" s="150"/>
      <c r="M208" s="377"/>
      <c r="O208" s="431"/>
      <c r="P208" s="157"/>
      <c r="Q208" s="404"/>
      <c r="R208" s="148"/>
      <c r="S208" s="242"/>
      <c r="T208" s="242"/>
      <c r="U208" s="242"/>
      <c r="V208" s="242"/>
      <c r="W208" s="242"/>
      <c r="X208" s="242"/>
      <c r="Y208" s="148"/>
      <c r="Z208" s="148"/>
    </row>
    <row r="209">
      <c r="A209" s="57"/>
      <c r="B209" s="57"/>
      <c r="C209" s="561" t="s">
        <v>768</v>
      </c>
      <c r="D209" s="423"/>
      <c r="E209" s="192" t="s">
        <v>601</v>
      </c>
      <c r="F209" s="546">
        <v>100.0</v>
      </c>
      <c r="G209" s="419"/>
      <c r="H209" s="419"/>
      <c r="I209" s="239"/>
      <c r="J209" s="109"/>
      <c r="K209" s="420"/>
      <c r="L209" s="193"/>
      <c r="M209" s="374"/>
      <c r="O209" s="431"/>
      <c r="P209" s="157"/>
      <c r="Q209" s="404"/>
      <c r="R209" s="148"/>
      <c r="S209" s="242"/>
      <c r="T209" s="242"/>
      <c r="U209" s="242"/>
      <c r="V209" s="242"/>
      <c r="W209" s="242"/>
      <c r="X209" s="242"/>
      <c r="Y209" s="148"/>
      <c r="Z209" s="148"/>
    </row>
    <row r="210">
      <c r="A210" s="57"/>
      <c r="B210" s="57"/>
      <c r="C210" s="561" t="s">
        <v>769</v>
      </c>
      <c r="D210" s="157"/>
      <c r="E210" s="192" t="s">
        <v>808</v>
      </c>
      <c r="F210" s="546">
        <v>400.0</v>
      </c>
      <c r="G210" s="558" t="s">
        <v>426</v>
      </c>
      <c r="H210" s="419"/>
      <c r="I210" s="239"/>
      <c r="J210" s="456" t="s">
        <v>672</v>
      </c>
      <c r="K210" s="420"/>
      <c r="L210" s="150"/>
      <c r="M210" s="377"/>
      <c r="O210" s="431"/>
      <c r="P210" s="157"/>
      <c r="Q210" s="404"/>
      <c r="R210" s="148"/>
      <c r="S210" s="242"/>
      <c r="T210" s="242"/>
      <c r="U210" s="242"/>
      <c r="V210" s="242"/>
      <c r="W210" s="242"/>
      <c r="X210" s="242"/>
      <c r="Y210" s="148"/>
      <c r="Z210" s="148"/>
    </row>
    <row r="211">
      <c r="A211" s="57"/>
      <c r="B211" s="57"/>
      <c r="C211" s="561" t="s">
        <v>770</v>
      </c>
      <c r="D211" s="423"/>
      <c r="E211" s="192" t="s">
        <v>841</v>
      </c>
      <c r="F211" s="546">
        <v>80.0</v>
      </c>
      <c r="G211" s="558" t="s">
        <v>426</v>
      </c>
      <c r="H211" s="419"/>
      <c r="I211" s="57"/>
      <c r="J211" s="456" t="s">
        <v>675</v>
      </c>
      <c r="K211" s="420"/>
      <c r="L211" s="150"/>
      <c r="M211" s="382"/>
      <c r="O211" s="431"/>
      <c r="P211" s="157"/>
      <c r="Q211" s="404"/>
      <c r="R211" s="148"/>
      <c r="S211" s="242"/>
      <c r="T211" s="242"/>
      <c r="U211" s="242"/>
      <c r="V211" s="242"/>
      <c r="W211" s="242"/>
      <c r="X211" s="242"/>
      <c r="Y211" s="148"/>
      <c r="Z211" s="148"/>
    </row>
    <row r="212">
      <c r="A212" s="57"/>
      <c r="B212" s="57"/>
      <c r="C212" s="561" t="s">
        <v>793</v>
      </c>
      <c r="D212" s="423">
        <v>230.0</v>
      </c>
      <c r="E212" s="192" t="s">
        <v>591</v>
      </c>
      <c r="F212" s="546">
        <v>1500.0</v>
      </c>
      <c r="G212" s="558" t="s">
        <v>426</v>
      </c>
      <c r="H212" s="419"/>
      <c r="I212" s="57"/>
      <c r="J212" s="456"/>
      <c r="K212" s="420"/>
      <c r="L212" s="150"/>
      <c r="M212" s="425"/>
      <c r="O212" s="431"/>
      <c r="P212" s="157"/>
      <c r="Q212" s="404"/>
      <c r="R212" s="148"/>
      <c r="S212" s="242"/>
      <c r="T212" s="242"/>
      <c r="U212" s="242"/>
      <c r="V212" s="242"/>
      <c r="W212" s="242"/>
      <c r="X212" s="242"/>
      <c r="Y212" s="148"/>
      <c r="Z212" s="148"/>
    </row>
    <row r="213">
      <c r="A213" s="239"/>
      <c r="B213" s="57"/>
      <c r="C213" s="561" t="s">
        <v>794</v>
      </c>
      <c r="D213" s="423">
        <v>10.0</v>
      </c>
      <c r="E213" s="192" t="s">
        <v>562</v>
      </c>
      <c r="F213" s="546">
        <v>40.0</v>
      </c>
      <c r="G213" s="419"/>
      <c r="H213" s="419"/>
      <c r="I213" s="57"/>
      <c r="J213" s="375"/>
      <c r="K213" s="420"/>
      <c r="L213" s="150"/>
      <c r="M213" s="425"/>
      <c r="O213" s="431"/>
      <c r="P213" s="157"/>
      <c r="Q213" s="404"/>
      <c r="R213" s="148"/>
      <c r="S213" s="242"/>
      <c r="T213" s="242"/>
      <c r="U213" s="242"/>
      <c r="V213" s="242"/>
      <c r="W213" s="242"/>
      <c r="X213" s="242"/>
      <c r="Y213" s="148"/>
      <c r="Z213" s="148"/>
    </row>
    <row r="214">
      <c r="A214" s="239"/>
      <c r="B214" s="57"/>
      <c r="C214" s="561" t="s">
        <v>18</v>
      </c>
      <c r="D214" s="157"/>
      <c r="E214" s="192" t="s">
        <v>809</v>
      </c>
      <c r="F214" s="546">
        <v>60.0</v>
      </c>
      <c r="G214" s="419"/>
      <c r="H214" s="419"/>
      <c r="I214" s="57"/>
      <c r="J214" s="375"/>
      <c r="K214" s="420"/>
      <c r="L214" s="193"/>
      <c r="M214" s="382"/>
      <c r="O214" s="431"/>
      <c r="P214" s="157"/>
      <c r="Q214" s="404"/>
      <c r="R214" s="148"/>
      <c r="S214" s="242"/>
      <c r="T214" s="242"/>
      <c r="U214" s="242"/>
      <c r="V214" s="242"/>
      <c r="W214" s="242"/>
      <c r="X214" s="242"/>
      <c r="Y214" s="148"/>
      <c r="Z214" s="148"/>
    </row>
    <row r="215">
      <c r="A215" s="239"/>
      <c r="B215" s="57"/>
      <c r="C215" s="561" t="s">
        <v>773</v>
      </c>
      <c r="D215" s="423">
        <v>330.0</v>
      </c>
      <c r="E215" s="192" t="s">
        <v>413</v>
      </c>
      <c r="F215" s="546">
        <v>90.0</v>
      </c>
      <c r="G215" s="455"/>
      <c r="H215" s="419"/>
      <c r="I215" s="57"/>
      <c r="J215" s="452"/>
      <c r="K215" s="420"/>
      <c r="L215" s="150"/>
      <c r="M215" s="425"/>
      <c r="O215" s="431"/>
      <c r="P215" s="157"/>
      <c r="Q215" s="404"/>
      <c r="R215" s="148"/>
      <c r="S215" s="242"/>
      <c r="T215" s="242"/>
      <c r="U215" s="242"/>
      <c r="V215" s="242"/>
      <c r="W215" s="242"/>
      <c r="X215" s="242"/>
      <c r="Y215" s="148"/>
      <c r="Z215" s="148"/>
    </row>
    <row r="216">
      <c r="A216" s="57"/>
      <c r="B216" s="57"/>
      <c r="C216" s="561" t="s">
        <v>774</v>
      </c>
      <c r="D216" s="423">
        <v>214.0</v>
      </c>
      <c r="E216" s="192" t="s">
        <v>833</v>
      </c>
      <c r="F216" s="546">
        <v>400.0</v>
      </c>
      <c r="G216" s="419"/>
      <c r="H216" s="419"/>
      <c r="I216" s="57"/>
      <c r="J216" s="105"/>
      <c r="K216" s="420"/>
      <c r="L216" s="150"/>
      <c r="M216" s="425"/>
      <c r="O216" s="431"/>
      <c r="P216" s="157"/>
      <c r="Q216" s="404"/>
      <c r="R216" s="148"/>
      <c r="S216" s="242"/>
      <c r="T216" s="242"/>
      <c r="U216" s="242"/>
      <c r="V216" s="242"/>
      <c r="W216" s="242"/>
      <c r="X216" s="242"/>
      <c r="Y216" s="148"/>
      <c r="Z216" s="148"/>
    </row>
    <row r="217">
      <c r="A217" s="239"/>
      <c r="B217" s="239"/>
      <c r="C217" s="561" t="s">
        <v>775</v>
      </c>
      <c r="D217" s="423">
        <v>592.0</v>
      </c>
      <c r="E217" s="192" t="s">
        <v>842</v>
      </c>
      <c r="F217" s="546">
        <v>500.0</v>
      </c>
      <c r="G217" s="419"/>
      <c r="H217" s="419"/>
      <c r="I217" s="57"/>
      <c r="J217" s="378" t="s">
        <v>682</v>
      </c>
      <c r="K217" s="420"/>
      <c r="L217" s="193">
        <v>89.0</v>
      </c>
      <c r="M217" s="377" t="s">
        <v>843</v>
      </c>
      <c r="O217" s="431"/>
      <c r="P217" s="157"/>
      <c r="Q217" s="404"/>
      <c r="R217" s="148"/>
      <c r="S217" s="242"/>
      <c r="T217" s="242"/>
      <c r="U217" s="242"/>
      <c r="V217" s="242"/>
      <c r="W217" s="242"/>
      <c r="X217" s="242"/>
      <c r="Y217" s="148"/>
      <c r="Z217" s="148"/>
    </row>
    <row r="218">
      <c r="A218" s="239"/>
      <c r="B218" s="239"/>
      <c r="C218" s="561" t="s">
        <v>10</v>
      </c>
      <c r="D218" s="157"/>
      <c r="E218" s="192"/>
      <c r="F218" s="580"/>
      <c r="G218" s="478"/>
      <c r="H218" s="419"/>
      <c r="I218" s="57"/>
      <c r="J218" s="461" t="s">
        <v>684</v>
      </c>
      <c r="K218" s="420"/>
      <c r="L218" s="193"/>
      <c r="M218" s="377"/>
      <c r="O218" s="431"/>
      <c r="P218" s="157"/>
      <c r="Q218" s="404"/>
      <c r="R218" s="148"/>
      <c r="S218" s="242"/>
      <c r="T218" s="242"/>
      <c r="U218" s="242"/>
      <c r="V218" s="242"/>
      <c r="W218" s="242"/>
      <c r="X218" s="242"/>
      <c r="Y218" s="148"/>
      <c r="Z218" s="148"/>
    </row>
    <row r="219">
      <c r="A219" s="239"/>
      <c r="B219" s="239"/>
      <c r="C219" s="561" t="s">
        <v>6</v>
      </c>
      <c r="D219" s="423">
        <v>100.0</v>
      </c>
      <c r="E219" s="206"/>
      <c r="F219" s="546"/>
      <c r="G219" s="455"/>
      <c r="H219" s="455"/>
      <c r="I219" s="57"/>
      <c r="J219" s="461" t="s">
        <v>686</v>
      </c>
      <c r="K219" s="420"/>
      <c r="L219" s="150"/>
      <c r="M219" s="374"/>
      <c r="O219" s="463"/>
      <c r="P219" s="157"/>
      <c r="Q219" s="404"/>
      <c r="R219" s="148"/>
      <c r="S219" s="242"/>
      <c r="T219" s="242"/>
      <c r="U219" s="242"/>
      <c r="V219" s="242"/>
      <c r="W219" s="242"/>
      <c r="X219" s="242"/>
      <c r="Y219" s="148"/>
      <c r="Z219" s="148"/>
    </row>
    <row r="220">
      <c r="A220" s="57"/>
      <c r="B220" s="57"/>
      <c r="C220" s="561" t="s">
        <v>779</v>
      </c>
      <c r="D220" s="423"/>
      <c r="E220" s="228"/>
      <c r="F220" s="546"/>
      <c r="G220" s="455"/>
      <c r="H220" s="455"/>
      <c r="I220" s="239"/>
      <c r="J220" s="460" t="s">
        <v>202</v>
      </c>
      <c r="K220" s="420"/>
      <c r="L220" s="193">
        <v>274.0</v>
      </c>
      <c r="M220" s="377"/>
      <c r="O220" s="463"/>
      <c r="P220" s="157"/>
      <c r="Q220" s="404"/>
      <c r="R220" s="148"/>
      <c r="S220" s="242"/>
      <c r="T220" s="242"/>
      <c r="U220" s="242"/>
      <c r="V220" s="242"/>
      <c r="W220" s="242"/>
      <c r="X220" s="242"/>
      <c r="Y220" s="148"/>
      <c r="Z220" s="148"/>
    </row>
    <row r="221">
      <c r="A221" s="239"/>
      <c r="B221" s="239"/>
      <c r="C221" s="561" t="s">
        <v>780</v>
      </c>
      <c r="D221" s="423">
        <v>50.0</v>
      </c>
      <c r="E221" s="228"/>
      <c r="F221" s="546"/>
      <c r="G221" s="455"/>
      <c r="H221" s="455"/>
      <c r="I221" s="57"/>
      <c r="J221" s="460" t="s">
        <v>274</v>
      </c>
      <c r="K221" s="420"/>
      <c r="L221" s="193">
        <v>213.0</v>
      </c>
      <c r="M221" s="374"/>
      <c r="O221" s="463"/>
      <c r="P221" s="157"/>
      <c r="Q221" s="404"/>
      <c r="R221" s="148"/>
      <c r="S221" s="242"/>
      <c r="T221" s="242"/>
      <c r="U221" s="242"/>
      <c r="V221" s="242"/>
      <c r="W221" s="242"/>
      <c r="X221" s="242"/>
      <c r="Y221" s="148"/>
      <c r="Z221" s="148"/>
    </row>
    <row r="222">
      <c r="A222" s="239"/>
      <c r="B222" s="239"/>
      <c r="C222" s="561" t="s">
        <v>781</v>
      </c>
      <c r="D222" s="423">
        <v>90.0</v>
      </c>
      <c r="E222" s="228"/>
      <c r="F222" s="547"/>
      <c r="G222" s="455"/>
      <c r="H222" s="419"/>
      <c r="I222" s="239"/>
      <c r="J222" s="568"/>
      <c r="K222" s="420"/>
      <c r="L222" s="150"/>
      <c r="M222" s="374"/>
      <c r="O222" s="431"/>
      <c r="P222" s="157"/>
      <c r="Q222" s="404"/>
      <c r="R222" s="148"/>
      <c r="S222" s="242"/>
      <c r="T222" s="242"/>
      <c r="U222" s="242"/>
      <c r="V222" s="242"/>
      <c r="W222" s="242"/>
      <c r="X222" s="242"/>
      <c r="Y222" s="148"/>
      <c r="Z222" s="148"/>
    </row>
    <row r="223">
      <c r="A223" s="239"/>
      <c r="B223" s="157"/>
      <c r="C223" s="561"/>
      <c r="D223" s="157"/>
      <c r="E223" s="569"/>
      <c r="F223" s="547"/>
      <c r="G223" s="419"/>
      <c r="H223" s="419"/>
      <c r="I223" s="57"/>
      <c r="J223" s="462" t="s">
        <v>381</v>
      </c>
      <c r="K223" s="420"/>
      <c r="L223" s="193">
        <v>1195.0</v>
      </c>
      <c r="M223" s="377"/>
      <c r="O223" s="431"/>
      <c r="P223" s="157"/>
      <c r="Q223" s="404"/>
      <c r="R223" s="148"/>
      <c r="S223" s="242"/>
      <c r="T223" s="242"/>
      <c r="U223" s="242"/>
      <c r="V223" s="242"/>
      <c r="W223" s="242"/>
      <c r="X223" s="242"/>
      <c r="Y223" s="148"/>
      <c r="Z223" s="148"/>
    </row>
    <row r="224">
      <c r="A224" s="239"/>
      <c r="B224" s="157"/>
      <c r="C224" s="561"/>
      <c r="D224" s="157"/>
      <c r="E224" s="228"/>
      <c r="F224" s="547"/>
      <c r="G224" s="419"/>
      <c r="H224" s="419"/>
      <c r="I224" s="239"/>
      <c r="J224" s="479" t="s">
        <v>383</v>
      </c>
      <c r="K224" s="420"/>
      <c r="L224" s="193">
        <v>1070.0</v>
      </c>
      <c r="M224" s="377"/>
      <c r="O224" s="431"/>
      <c r="P224" s="157"/>
      <c r="Q224" s="404"/>
      <c r="R224" s="148"/>
      <c r="S224" s="242"/>
      <c r="T224" s="242"/>
      <c r="U224" s="242"/>
      <c r="V224" s="242"/>
      <c r="W224" s="242"/>
      <c r="X224" s="242"/>
      <c r="Y224" s="148"/>
      <c r="Z224" s="148"/>
    </row>
    <row r="225">
      <c r="A225" s="239"/>
      <c r="B225" s="157"/>
      <c r="C225" s="561"/>
      <c r="D225" s="157"/>
      <c r="E225" s="570"/>
      <c r="F225" s="547"/>
      <c r="G225" s="419"/>
      <c r="H225" s="419"/>
      <c r="I225" s="239"/>
      <c r="J225" s="568"/>
      <c r="K225" s="420"/>
      <c r="L225" s="193"/>
      <c r="M225" s="374"/>
      <c r="O225" s="431"/>
      <c r="P225" s="157"/>
      <c r="Q225" s="404"/>
      <c r="R225" s="148"/>
      <c r="S225" s="242"/>
      <c r="T225" s="242"/>
      <c r="U225" s="242"/>
      <c r="V225" s="242"/>
      <c r="W225" s="242"/>
      <c r="X225" s="242"/>
      <c r="Y225" s="148"/>
      <c r="Z225" s="148"/>
    </row>
    <row r="226">
      <c r="C226" s="571"/>
      <c r="D226" s="157"/>
      <c r="E226" s="570"/>
      <c r="F226" s="547"/>
      <c r="G226" s="419"/>
      <c r="H226" s="419"/>
      <c r="I226" s="239"/>
      <c r="J226" s="464" t="s">
        <v>692</v>
      </c>
      <c r="K226" s="420"/>
      <c r="L226" s="193">
        <v>300.0</v>
      </c>
      <c r="M226" s="377" t="s">
        <v>844</v>
      </c>
      <c r="O226" s="431"/>
      <c r="P226" s="157"/>
      <c r="Q226" s="404"/>
      <c r="R226" s="148"/>
      <c r="S226" s="242"/>
      <c r="T226" s="242"/>
      <c r="U226" s="242"/>
      <c r="V226" s="242"/>
      <c r="W226" s="242"/>
      <c r="X226" s="242"/>
      <c r="Y226" s="148"/>
      <c r="Z226" s="148"/>
    </row>
    <row r="227">
      <c r="C227" s="571"/>
      <c r="D227" s="157"/>
      <c r="E227" s="570"/>
      <c r="F227" s="547"/>
      <c r="G227" s="419"/>
      <c r="H227" s="419"/>
      <c r="I227" s="239"/>
      <c r="J227" s="464" t="s">
        <v>694</v>
      </c>
      <c r="K227" s="420"/>
      <c r="L227" s="150"/>
      <c r="M227" s="377" t="s">
        <v>845</v>
      </c>
      <c r="O227" s="431"/>
      <c r="P227" s="157"/>
      <c r="Q227" s="404"/>
      <c r="R227" s="148"/>
      <c r="S227" s="242"/>
      <c r="T227" s="242"/>
      <c r="U227" s="242"/>
      <c r="V227" s="242"/>
      <c r="W227" s="242"/>
      <c r="X227" s="242"/>
      <c r="Y227" s="148"/>
      <c r="Z227" s="148"/>
    </row>
    <row r="228">
      <c r="C228" s="571"/>
      <c r="D228" s="423"/>
      <c r="E228" s="570"/>
      <c r="F228" s="546"/>
      <c r="G228" s="419"/>
      <c r="H228" s="419"/>
      <c r="I228" s="57"/>
      <c r="J228" s="105"/>
      <c r="K228" s="57"/>
      <c r="L228" s="150"/>
      <c r="M228" s="57"/>
      <c r="N228" s="57"/>
      <c r="O228" s="57"/>
      <c r="P228" s="157"/>
      <c r="Q228" s="404"/>
      <c r="R228" s="148"/>
      <c r="S228" s="242"/>
      <c r="T228" s="242"/>
      <c r="U228" s="242"/>
      <c r="V228" s="242"/>
      <c r="W228" s="242"/>
      <c r="X228" s="242"/>
      <c r="Y228" s="148"/>
      <c r="Z228" s="148"/>
    </row>
    <row r="229">
      <c r="A229" s="125" t="s">
        <v>798</v>
      </c>
      <c r="B229" s="572">
        <f>C202-B206</f>
        <v>-932</v>
      </c>
      <c r="D229" s="157"/>
      <c r="E229" s="570"/>
      <c r="F229" s="573"/>
      <c r="G229" s="478"/>
      <c r="H229" s="419"/>
      <c r="I229" s="239"/>
      <c r="J229" s="568"/>
      <c r="K229" s="57"/>
      <c r="L229" s="150"/>
      <c r="M229" s="57"/>
      <c r="N229" s="57"/>
      <c r="O229" s="57"/>
      <c r="P229" s="157"/>
      <c r="Q229" s="404"/>
      <c r="R229" s="148"/>
      <c r="S229" s="242"/>
      <c r="T229" s="242"/>
      <c r="U229" s="242"/>
      <c r="V229" s="242"/>
      <c r="W229" s="242"/>
      <c r="X229" s="242"/>
      <c r="Y229" s="148"/>
      <c r="Z229" s="148"/>
    </row>
    <row r="230">
      <c r="A230" s="274" t="s">
        <v>783</v>
      </c>
      <c r="B230" s="109">
        <v>250.0</v>
      </c>
      <c r="C230" s="395"/>
      <c r="D230" s="157"/>
      <c r="E230" s="570"/>
      <c r="F230" s="573"/>
      <c r="G230" s="478"/>
      <c r="H230" s="419"/>
      <c r="I230" s="239"/>
      <c r="J230" s="568"/>
      <c r="K230" s="57"/>
      <c r="L230" s="150"/>
      <c r="M230" s="57"/>
      <c r="N230" s="57"/>
      <c r="O230" s="57"/>
      <c r="P230" s="157"/>
      <c r="Q230" s="404"/>
      <c r="R230" s="148"/>
      <c r="S230" s="242"/>
      <c r="T230" s="242"/>
      <c r="U230" s="242"/>
      <c r="V230" s="242"/>
      <c r="W230" s="242"/>
      <c r="X230" s="242"/>
      <c r="Y230" s="148"/>
      <c r="Z230" s="148"/>
    </row>
    <row r="231">
      <c r="A231" s="274" t="s">
        <v>784</v>
      </c>
      <c r="B231" s="109">
        <v>10050.0</v>
      </c>
      <c r="C231" s="109"/>
      <c r="D231" s="157"/>
      <c r="E231" s="570"/>
      <c r="F231" s="573"/>
      <c r="G231" s="478"/>
      <c r="H231" s="419"/>
      <c r="I231" s="239"/>
      <c r="J231" s="568"/>
      <c r="K231" s="57"/>
      <c r="L231" s="150"/>
      <c r="M231" s="57"/>
      <c r="N231" s="57"/>
      <c r="O231" s="57"/>
      <c r="P231" s="157"/>
      <c r="Q231" s="404"/>
      <c r="R231" s="148"/>
      <c r="S231" s="242"/>
      <c r="T231" s="242"/>
      <c r="U231" s="242"/>
      <c r="V231" s="242"/>
      <c r="W231" s="242"/>
      <c r="X231" s="242"/>
      <c r="Y231" s="148"/>
      <c r="Z231" s="148"/>
    </row>
    <row r="232">
      <c r="A232" s="274" t="s">
        <v>785</v>
      </c>
      <c r="B232" s="109"/>
      <c r="C232" s="395"/>
      <c r="D232" s="157"/>
      <c r="E232" s="570"/>
      <c r="F232" s="573"/>
      <c r="G232" s="478"/>
      <c r="H232" s="419"/>
      <c r="I232" s="239"/>
      <c r="J232" s="568"/>
      <c r="K232" s="57"/>
      <c r="L232" s="150"/>
      <c r="M232" s="57"/>
      <c r="N232" s="57"/>
      <c r="O232" s="57"/>
      <c r="P232" s="157"/>
      <c r="Q232" s="404"/>
      <c r="R232" s="148"/>
      <c r="S232" s="242"/>
      <c r="T232" s="242"/>
      <c r="U232" s="242"/>
      <c r="V232" s="242"/>
      <c r="W232" s="242"/>
      <c r="X232" s="242"/>
      <c r="Y232" s="148"/>
      <c r="Z232" s="148"/>
    </row>
    <row r="233">
      <c r="A233" s="402"/>
      <c r="B233" s="403"/>
      <c r="C233" s="403"/>
      <c r="D233" s="403"/>
      <c r="E233" s="574"/>
      <c r="F233" s="575"/>
      <c r="G233" s="159"/>
      <c r="H233" s="159"/>
      <c r="I233" s="159"/>
      <c r="J233" s="576"/>
      <c r="K233" s="159"/>
      <c r="L233" s="162"/>
      <c r="M233" s="402"/>
      <c r="N233" s="402"/>
      <c r="O233" s="159"/>
      <c r="P233" s="403"/>
      <c r="Q233" s="577"/>
      <c r="R233" s="148"/>
      <c r="S233" s="242"/>
      <c r="T233" s="242"/>
      <c r="U233" s="242"/>
      <c r="V233" s="242"/>
      <c r="W233" s="242"/>
      <c r="X233" s="242"/>
      <c r="Y233" s="148"/>
      <c r="Z233" s="148"/>
    </row>
    <row r="234">
      <c r="A234" s="148"/>
      <c r="B234" s="148"/>
      <c r="C234" s="148"/>
      <c r="D234" s="245"/>
      <c r="E234" s="585"/>
      <c r="F234" s="586"/>
      <c r="G234" s="148"/>
      <c r="H234" s="148"/>
      <c r="I234" s="251"/>
      <c r="J234" s="243"/>
      <c r="K234" s="148"/>
      <c r="L234" s="277"/>
      <c r="M234" s="252"/>
      <c r="N234" s="250"/>
      <c r="O234" s="253"/>
      <c r="P234" s="240"/>
      <c r="Q234" s="148"/>
      <c r="R234" s="148"/>
      <c r="S234" s="242"/>
      <c r="T234" s="242"/>
      <c r="U234" s="242"/>
      <c r="V234" s="242"/>
      <c r="W234" s="242"/>
      <c r="X234" s="242"/>
      <c r="Y234" s="148"/>
      <c r="Z234" s="148"/>
    </row>
    <row r="235">
      <c r="A235" s="169" t="s">
        <v>85</v>
      </c>
      <c r="B235" s="539"/>
      <c r="C235" s="540"/>
      <c r="D235" s="405"/>
      <c r="E235" s="541"/>
      <c r="F235" s="542"/>
      <c r="G235" s="467" t="s">
        <v>333</v>
      </c>
      <c r="H235" s="361"/>
      <c r="I235" s="57"/>
      <c r="J235" s="105"/>
      <c r="K235" s="57"/>
      <c r="L235" s="150"/>
      <c r="M235" s="239"/>
      <c r="N235" s="239"/>
      <c r="O235" s="57"/>
      <c r="P235" s="157"/>
      <c r="Q235" s="404"/>
      <c r="R235" s="148"/>
      <c r="S235" s="242"/>
      <c r="T235" s="242"/>
      <c r="U235" s="242"/>
      <c r="V235" s="242"/>
      <c r="W235" s="242"/>
      <c r="X235" s="242"/>
      <c r="Y235" s="148"/>
      <c r="Z235" s="148"/>
    </row>
    <row r="236">
      <c r="A236" s="468"/>
      <c r="B236" s="157"/>
      <c r="C236" s="466"/>
      <c r="D236" s="405"/>
      <c r="E236" s="543" t="s">
        <v>335</v>
      </c>
      <c r="F236" s="544" t="s">
        <v>237</v>
      </c>
      <c r="G236" s="412" t="s">
        <v>336</v>
      </c>
      <c r="H236" s="413" t="s">
        <v>337</v>
      </c>
      <c r="I236" s="239"/>
      <c r="J236" s="145" t="s">
        <v>60</v>
      </c>
      <c r="K236" s="57"/>
      <c r="L236" s="150"/>
      <c r="M236" s="414"/>
      <c r="N236" s="414"/>
      <c r="O236" s="57" t="s">
        <v>334</v>
      </c>
      <c r="P236" s="157"/>
      <c r="Q236" s="404"/>
      <c r="R236" s="148"/>
      <c r="S236" s="242"/>
      <c r="T236" s="242"/>
      <c r="U236" s="242"/>
      <c r="V236" s="242"/>
      <c r="W236" s="242"/>
      <c r="X236" s="242"/>
      <c r="Y236" s="148"/>
      <c r="Z236" s="148"/>
    </row>
    <row r="237">
      <c r="A237" s="470" t="s">
        <v>179</v>
      </c>
      <c r="C237" s="416">
        <f>SUM(F237:F271)</f>
        <v>7485</v>
      </c>
      <c r="D237" s="405"/>
      <c r="E237" s="545" t="s">
        <v>690</v>
      </c>
      <c r="F237" s="546"/>
      <c r="G237" s="578"/>
      <c r="H237" s="419"/>
      <c r="I237" s="57"/>
      <c r="K237" s="57"/>
      <c r="L237" s="150"/>
      <c r="M237" s="377" t="s">
        <v>366</v>
      </c>
      <c r="P237" s="157"/>
      <c r="Q237" s="404"/>
      <c r="R237" s="148"/>
      <c r="S237" s="242"/>
      <c r="T237" s="242"/>
      <c r="U237" s="242"/>
      <c r="V237" s="242"/>
      <c r="W237" s="242"/>
      <c r="X237" s="242"/>
      <c r="Y237" s="148"/>
      <c r="Z237" s="148"/>
    </row>
    <row r="238">
      <c r="A238" s="421" t="s">
        <v>343</v>
      </c>
      <c r="B238" s="422" t="s">
        <v>321</v>
      </c>
      <c r="C238" s="416">
        <f>SUM(P238:P271)</f>
        <v>1540</v>
      </c>
      <c r="D238" s="157"/>
      <c r="E238" s="545" t="s">
        <v>691</v>
      </c>
      <c r="F238" s="546">
        <v>100.0</v>
      </c>
      <c r="G238" s="578"/>
      <c r="H238" s="419"/>
      <c r="I238" s="239"/>
      <c r="J238" s="471" t="s">
        <v>341</v>
      </c>
      <c r="K238" s="420"/>
      <c r="L238" s="150"/>
      <c r="M238" s="374"/>
      <c r="O238" s="426" t="s">
        <v>846</v>
      </c>
      <c r="P238" s="423">
        <v>100.0</v>
      </c>
      <c r="Q238" s="404"/>
      <c r="R238" s="148"/>
      <c r="S238" s="242"/>
      <c r="T238" s="242"/>
      <c r="U238" s="242"/>
      <c r="V238" s="242"/>
      <c r="W238" s="242"/>
      <c r="X238" s="242"/>
      <c r="Y238" s="148"/>
      <c r="Z238" s="148"/>
    </row>
    <row r="239">
      <c r="A239" s="427" t="s">
        <v>201</v>
      </c>
      <c r="C239" s="204">
        <f>SUM(L238:L271)</f>
        <v>3814</v>
      </c>
      <c r="D239" s="157"/>
      <c r="E239" s="545" t="s">
        <v>832</v>
      </c>
      <c r="F239" s="546">
        <v>500.0</v>
      </c>
      <c r="G239" s="578"/>
      <c r="H239" s="419"/>
      <c r="I239" s="239"/>
      <c r="J239" s="472" t="s">
        <v>345</v>
      </c>
      <c r="K239" s="420"/>
      <c r="L239" s="150"/>
      <c r="M239" s="374"/>
      <c r="O239" s="426" t="s">
        <v>613</v>
      </c>
      <c r="P239" s="423">
        <v>1440.0</v>
      </c>
      <c r="Q239" s="404"/>
      <c r="R239" s="148"/>
      <c r="S239" s="242"/>
      <c r="T239" s="242"/>
      <c r="U239" s="242"/>
      <c r="V239" s="242"/>
      <c r="W239" s="242"/>
      <c r="X239" s="242"/>
      <c r="Y239" s="148"/>
      <c r="Z239" s="148"/>
    </row>
    <row r="240">
      <c r="A240" s="548" t="s">
        <v>761</v>
      </c>
      <c r="B240" s="549">
        <v>0.4</v>
      </c>
      <c r="C240" s="191">
        <v>580.0</v>
      </c>
      <c r="D240" s="157"/>
      <c r="E240" s="550" t="s">
        <v>695</v>
      </c>
      <c r="F240" s="546">
        <v>655.0</v>
      </c>
      <c r="G240" s="562"/>
      <c r="H240" s="419"/>
      <c r="I240" s="239"/>
      <c r="J240" s="433" t="s">
        <v>656</v>
      </c>
      <c r="K240" s="420"/>
      <c r="L240" s="193"/>
      <c r="M240" s="374"/>
      <c r="O240" s="426"/>
      <c r="P240" s="423"/>
      <c r="Q240" s="404"/>
      <c r="R240" s="148"/>
      <c r="S240" s="242"/>
      <c r="T240" s="242"/>
      <c r="U240" s="242"/>
      <c r="V240" s="242"/>
      <c r="W240" s="242"/>
      <c r="X240" s="242"/>
      <c r="Y240" s="148"/>
      <c r="Z240" s="148"/>
    </row>
    <row r="241">
      <c r="A241" s="434" t="s">
        <v>350</v>
      </c>
      <c r="C241" s="551">
        <f>C237-C239-C240</f>
        <v>3091</v>
      </c>
      <c r="D241" s="157"/>
      <c r="E241" s="192" t="s">
        <v>847</v>
      </c>
      <c r="F241" s="546">
        <v>840.0</v>
      </c>
      <c r="G241" s="579"/>
      <c r="H241" s="419"/>
      <c r="I241" s="57"/>
      <c r="J241" s="444" t="s">
        <v>658</v>
      </c>
      <c r="K241" s="420"/>
      <c r="L241" s="193">
        <v>42.0</v>
      </c>
      <c r="M241" s="377"/>
      <c r="O241" s="431"/>
      <c r="P241" s="423"/>
      <c r="Q241" s="404"/>
      <c r="R241" s="148"/>
      <c r="S241" s="242"/>
      <c r="T241" s="242"/>
      <c r="U241" s="242"/>
      <c r="V241" s="242"/>
      <c r="W241" s="242"/>
      <c r="X241" s="242"/>
      <c r="Y241" s="148"/>
      <c r="Z241" s="148"/>
    </row>
    <row r="242">
      <c r="A242" s="554"/>
      <c r="B242" s="555"/>
      <c r="C242" s="447"/>
      <c r="D242" s="157"/>
      <c r="E242" s="192" t="s">
        <v>848</v>
      </c>
      <c r="F242" s="546">
        <v>300.0</v>
      </c>
      <c r="G242" s="562"/>
      <c r="H242" s="419"/>
      <c r="I242" s="57"/>
      <c r="J242" s="444" t="s">
        <v>660</v>
      </c>
      <c r="K242" s="420"/>
      <c r="L242" s="193"/>
      <c r="M242" s="377"/>
      <c r="O242" s="431"/>
      <c r="P242" s="423"/>
      <c r="Q242" s="404"/>
      <c r="R242" s="148"/>
      <c r="S242" s="242"/>
      <c r="T242" s="242"/>
      <c r="U242" s="242"/>
      <c r="V242" s="242"/>
      <c r="W242" s="242"/>
      <c r="X242" s="242"/>
      <c r="Y242" s="148"/>
      <c r="Z242" s="148"/>
    </row>
    <row r="243">
      <c r="A243" s="556"/>
      <c r="C243" s="395"/>
      <c r="D243" s="157"/>
      <c r="E243" s="192" t="s">
        <v>849</v>
      </c>
      <c r="F243" s="546">
        <v>600.0</v>
      </c>
      <c r="G243" s="562"/>
      <c r="H243" s="419"/>
      <c r="I243" s="239"/>
      <c r="J243" s="370" t="s">
        <v>662</v>
      </c>
      <c r="K243" s="420"/>
      <c r="L243" s="193"/>
      <c r="M243" s="374"/>
      <c r="O243" s="431"/>
      <c r="P243" s="423"/>
      <c r="Q243" s="404"/>
      <c r="R243" s="148"/>
      <c r="S243" s="242"/>
      <c r="T243" s="242"/>
      <c r="U243" s="242"/>
      <c r="V243" s="242"/>
      <c r="W243" s="242"/>
      <c r="X243" s="242"/>
      <c r="Y243" s="148"/>
      <c r="Z243" s="148"/>
    </row>
    <row r="244">
      <c r="A244" s="557"/>
      <c r="B244" s="109"/>
      <c r="C244" s="395"/>
      <c r="D244" s="373"/>
      <c r="E244" s="192" t="s">
        <v>518</v>
      </c>
      <c r="F244" s="546">
        <v>190.0</v>
      </c>
      <c r="G244" s="578"/>
      <c r="H244" s="419"/>
      <c r="I244" s="239"/>
      <c r="J244" s="433" t="s">
        <v>666</v>
      </c>
      <c r="K244" s="420"/>
      <c r="L244" s="193">
        <v>70.0</v>
      </c>
      <c r="M244" s="377" t="s">
        <v>850</v>
      </c>
      <c r="O244" s="431"/>
      <c r="P244" s="423"/>
      <c r="Q244" s="404"/>
      <c r="R244" s="148"/>
      <c r="S244" s="242"/>
      <c r="T244" s="242"/>
      <c r="U244" s="242"/>
      <c r="V244" s="242"/>
      <c r="W244" s="242"/>
      <c r="X244" s="242"/>
      <c r="Y244" s="148"/>
      <c r="Z244" s="148"/>
    </row>
    <row r="245">
      <c r="A245" s="559" t="s">
        <v>765</v>
      </c>
      <c r="B245" s="560">
        <f>SUM(D245:D271)</f>
        <v>2002.35</v>
      </c>
      <c r="C245" s="477" t="s">
        <v>366</v>
      </c>
      <c r="D245" s="157"/>
      <c r="E245" s="192" t="s">
        <v>613</v>
      </c>
      <c r="F245" s="546">
        <v>1440.0</v>
      </c>
      <c r="G245" s="558" t="s">
        <v>426</v>
      </c>
      <c r="H245" s="419"/>
      <c r="I245" s="239"/>
      <c r="J245" s="433" t="s">
        <v>668</v>
      </c>
      <c r="K245" s="420"/>
      <c r="L245" s="193">
        <v>788.0</v>
      </c>
      <c r="M245" s="377" t="s">
        <v>851</v>
      </c>
      <c r="O245" s="431"/>
      <c r="P245" s="423"/>
      <c r="Q245" s="404"/>
      <c r="R245" s="148"/>
      <c r="S245" s="242"/>
      <c r="T245" s="242"/>
      <c r="U245" s="242"/>
      <c r="V245" s="242"/>
      <c r="W245" s="242"/>
      <c r="X245" s="242"/>
      <c r="Y245" s="148"/>
      <c r="Z245" s="148"/>
    </row>
    <row r="246">
      <c r="A246" s="453" t="s">
        <v>369</v>
      </c>
      <c r="C246" s="561" t="s">
        <v>766</v>
      </c>
      <c r="D246" s="423">
        <v>388.0</v>
      </c>
      <c r="E246" s="192" t="s">
        <v>417</v>
      </c>
      <c r="F246" s="546">
        <v>500.0</v>
      </c>
      <c r="G246" s="562"/>
      <c r="H246" s="419"/>
      <c r="I246" s="239"/>
      <c r="J246" s="433" t="s">
        <v>670</v>
      </c>
      <c r="K246" s="458"/>
      <c r="L246" s="193">
        <v>1400.0</v>
      </c>
      <c r="M246" s="377" t="s">
        <v>852</v>
      </c>
      <c r="O246" s="431"/>
      <c r="P246" s="423"/>
      <c r="Q246" s="404"/>
      <c r="R246" s="148"/>
      <c r="S246" s="242"/>
      <c r="T246" s="242"/>
      <c r="U246" s="242"/>
      <c r="V246" s="242"/>
      <c r="W246" s="242"/>
      <c r="X246" s="242"/>
      <c r="Y246" s="148"/>
      <c r="Z246" s="148"/>
    </row>
    <row r="247">
      <c r="C247" s="561" t="s">
        <v>767</v>
      </c>
      <c r="D247" s="423">
        <v>79.35</v>
      </c>
      <c r="E247" s="192" t="s">
        <v>795</v>
      </c>
      <c r="F247" s="546">
        <v>360.0</v>
      </c>
      <c r="G247" s="578"/>
      <c r="H247" s="419"/>
      <c r="I247" s="239"/>
      <c r="J247" s="433" t="s">
        <v>217</v>
      </c>
      <c r="K247" s="458"/>
      <c r="L247" s="150"/>
      <c r="M247" s="377"/>
      <c r="O247" s="431"/>
      <c r="P247" s="157"/>
      <c r="Q247" s="404"/>
      <c r="R247" s="148"/>
      <c r="S247" s="242"/>
      <c r="T247" s="242"/>
      <c r="U247" s="242"/>
      <c r="V247" s="242"/>
      <c r="W247" s="242"/>
      <c r="X247" s="242"/>
      <c r="Y247" s="148"/>
      <c r="Z247" s="148"/>
    </row>
    <row r="248">
      <c r="A248" s="57"/>
      <c r="B248" s="57"/>
      <c r="C248" s="561" t="s">
        <v>768</v>
      </c>
      <c r="D248" s="423"/>
      <c r="E248" s="192" t="s">
        <v>402</v>
      </c>
      <c r="F248" s="546">
        <v>750.0</v>
      </c>
      <c r="G248" s="562"/>
      <c r="H248" s="419"/>
      <c r="I248" s="239"/>
      <c r="J248" s="109"/>
      <c r="K248" s="420"/>
      <c r="L248" s="193"/>
      <c r="M248" s="374"/>
      <c r="O248" s="431"/>
      <c r="P248" s="157"/>
      <c r="Q248" s="404"/>
      <c r="R248" s="148"/>
      <c r="S248" s="242"/>
      <c r="T248" s="242"/>
      <c r="U248" s="242"/>
      <c r="V248" s="242"/>
      <c r="W248" s="242"/>
      <c r="X248" s="242"/>
      <c r="Y248" s="148"/>
      <c r="Z248" s="148"/>
    </row>
    <row r="249">
      <c r="A249" s="57"/>
      <c r="B249" s="57"/>
      <c r="C249" s="561" t="s">
        <v>769</v>
      </c>
      <c r="D249" s="157"/>
      <c r="E249" s="192" t="s">
        <v>853</v>
      </c>
      <c r="F249" s="546">
        <v>80.0</v>
      </c>
      <c r="G249" s="562" t="s">
        <v>426</v>
      </c>
      <c r="H249" s="419"/>
      <c r="I249" s="239"/>
      <c r="J249" s="456" t="s">
        <v>672</v>
      </c>
      <c r="K249" s="420"/>
      <c r="L249" s="150"/>
      <c r="M249" s="377"/>
      <c r="O249" s="431"/>
      <c r="P249" s="157"/>
      <c r="Q249" s="404"/>
      <c r="R249" s="148"/>
      <c r="S249" s="242"/>
      <c r="T249" s="242"/>
      <c r="U249" s="242"/>
      <c r="V249" s="242"/>
      <c r="W249" s="242"/>
      <c r="X249" s="242"/>
      <c r="Y249" s="148"/>
      <c r="Z249" s="148"/>
    </row>
    <row r="250">
      <c r="A250" s="57"/>
      <c r="B250" s="57"/>
      <c r="C250" s="561" t="s">
        <v>770</v>
      </c>
      <c r="D250" s="423"/>
      <c r="E250" s="192" t="s">
        <v>433</v>
      </c>
      <c r="F250" s="546">
        <v>150.0</v>
      </c>
      <c r="G250" s="578"/>
      <c r="H250" s="419"/>
      <c r="I250" s="57"/>
      <c r="J250" s="456" t="s">
        <v>675</v>
      </c>
      <c r="K250" s="420"/>
      <c r="L250" s="150"/>
      <c r="M250" s="382"/>
      <c r="O250" s="431"/>
      <c r="P250" s="157"/>
      <c r="Q250" s="404"/>
      <c r="R250" s="148"/>
      <c r="S250" s="242"/>
      <c r="T250" s="242"/>
      <c r="U250" s="242"/>
      <c r="V250" s="242"/>
      <c r="W250" s="242"/>
      <c r="X250" s="242"/>
      <c r="Y250" s="148"/>
      <c r="Z250" s="148"/>
    </row>
    <row r="251">
      <c r="A251" s="57"/>
      <c r="B251" s="57"/>
      <c r="C251" s="561" t="s">
        <v>793</v>
      </c>
      <c r="D251" s="423">
        <v>280.0</v>
      </c>
      <c r="E251" s="192" t="s">
        <v>854</v>
      </c>
      <c r="F251" s="546">
        <v>80.0</v>
      </c>
      <c r="G251" s="562" t="s">
        <v>426</v>
      </c>
      <c r="H251" s="419"/>
      <c r="I251" s="57"/>
      <c r="J251" s="456"/>
      <c r="K251" s="420"/>
      <c r="L251" s="150"/>
      <c r="M251" s="425"/>
      <c r="O251" s="431"/>
      <c r="P251" s="157"/>
      <c r="Q251" s="404"/>
      <c r="R251" s="148"/>
      <c r="S251" s="242"/>
      <c r="T251" s="242"/>
      <c r="U251" s="242"/>
      <c r="V251" s="242"/>
      <c r="W251" s="242"/>
      <c r="X251" s="242"/>
      <c r="Y251" s="148"/>
      <c r="Z251" s="148"/>
    </row>
    <row r="252">
      <c r="A252" s="239"/>
      <c r="B252" s="57"/>
      <c r="C252" s="561" t="s">
        <v>794</v>
      </c>
      <c r="D252" s="423">
        <v>30.0</v>
      </c>
      <c r="E252" s="192" t="s">
        <v>855</v>
      </c>
      <c r="F252" s="546">
        <v>100.0</v>
      </c>
      <c r="G252" s="558" t="s">
        <v>426</v>
      </c>
      <c r="H252" s="419"/>
      <c r="I252" s="57"/>
      <c r="J252" s="375"/>
      <c r="K252" s="420"/>
      <c r="L252" s="150"/>
      <c r="M252" s="425"/>
      <c r="O252" s="431"/>
      <c r="P252" s="157"/>
      <c r="Q252" s="404"/>
      <c r="R252" s="148"/>
      <c r="S252" s="242"/>
      <c r="T252" s="242"/>
      <c r="U252" s="242"/>
      <c r="V252" s="242"/>
      <c r="W252" s="242"/>
      <c r="X252" s="242"/>
      <c r="Y252" s="148"/>
      <c r="Z252" s="148"/>
    </row>
    <row r="253">
      <c r="A253" s="238"/>
      <c r="B253" s="57"/>
      <c r="C253" s="561" t="s">
        <v>18</v>
      </c>
      <c r="D253" s="157"/>
      <c r="E253" s="192" t="s">
        <v>425</v>
      </c>
      <c r="F253" s="546">
        <v>350.0</v>
      </c>
      <c r="G253" s="562"/>
      <c r="H253" s="419"/>
      <c r="I253" s="57"/>
      <c r="J253" s="375"/>
      <c r="K253" s="420"/>
      <c r="L253" s="193"/>
      <c r="M253" s="382"/>
      <c r="O253" s="431"/>
      <c r="P253" s="157"/>
      <c r="Q253" s="404"/>
      <c r="R253" s="148"/>
      <c r="S253" s="242"/>
      <c r="T253" s="242"/>
      <c r="U253" s="242"/>
      <c r="V253" s="242"/>
      <c r="W253" s="242"/>
      <c r="X253" s="242"/>
      <c r="Y253" s="148"/>
      <c r="Z253" s="148"/>
    </row>
    <row r="254">
      <c r="A254" s="238"/>
      <c r="B254" s="57"/>
      <c r="C254" s="561" t="s">
        <v>773</v>
      </c>
      <c r="D254" s="157"/>
      <c r="E254" s="192" t="s">
        <v>790</v>
      </c>
      <c r="F254" s="546">
        <v>250.0</v>
      </c>
      <c r="G254" s="579"/>
      <c r="H254" s="419"/>
      <c r="I254" s="57"/>
      <c r="J254" s="452"/>
      <c r="K254" s="420"/>
      <c r="L254" s="150"/>
      <c r="M254" s="425"/>
      <c r="O254" s="431"/>
      <c r="P254" s="157"/>
      <c r="Q254" s="404"/>
      <c r="R254" s="148"/>
      <c r="S254" s="242"/>
      <c r="T254" s="242"/>
      <c r="U254" s="242"/>
      <c r="V254" s="242"/>
      <c r="W254" s="242"/>
      <c r="X254" s="242"/>
      <c r="Y254" s="148"/>
      <c r="Z254" s="148"/>
    </row>
    <row r="255">
      <c r="A255" s="57"/>
      <c r="B255" s="57"/>
      <c r="C255" s="561" t="s">
        <v>774</v>
      </c>
      <c r="D255" s="423">
        <v>585.0</v>
      </c>
      <c r="E255" s="192" t="s">
        <v>856</v>
      </c>
      <c r="F255" s="546">
        <v>240.0</v>
      </c>
      <c r="G255" s="578"/>
      <c r="H255" s="419"/>
      <c r="I255" s="57"/>
      <c r="J255" s="105"/>
      <c r="K255" s="420"/>
      <c r="L255" s="150"/>
      <c r="M255" s="425"/>
      <c r="O255" s="431"/>
      <c r="P255" s="157"/>
      <c r="Q255" s="404"/>
      <c r="R255" s="148"/>
      <c r="S255" s="242"/>
      <c r="T255" s="242"/>
      <c r="U255" s="242"/>
      <c r="V255" s="242"/>
      <c r="W255" s="242"/>
      <c r="X255" s="242"/>
      <c r="Y255" s="148"/>
      <c r="Z255" s="148"/>
    </row>
    <row r="256">
      <c r="A256" s="239"/>
      <c r="B256" s="239"/>
      <c r="C256" s="561" t="s">
        <v>775</v>
      </c>
      <c r="D256" s="423">
        <v>220.0</v>
      </c>
      <c r="E256" s="228"/>
      <c r="F256" s="547"/>
      <c r="G256" s="578"/>
      <c r="H256" s="419"/>
      <c r="I256" s="57"/>
      <c r="J256" s="378" t="s">
        <v>682</v>
      </c>
      <c r="K256" s="420"/>
      <c r="L256" s="193">
        <v>59.0</v>
      </c>
      <c r="M256" s="377" t="s">
        <v>796</v>
      </c>
      <c r="O256" s="431"/>
      <c r="P256" s="157"/>
      <c r="Q256" s="404"/>
      <c r="R256" s="148"/>
      <c r="S256" s="242"/>
      <c r="T256" s="242"/>
      <c r="U256" s="242"/>
      <c r="V256" s="242"/>
      <c r="W256" s="242"/>
      <c r="X256" s="242"/>
      <c r="Y256" s="148"/>
      <c r="Z256" s="148"/>
    </row>
    <row r="257">
      <c r="A257" s="239"/>
      <c r="B257" s="239"/>
      <c r="C257" s="561" t="s">
        <v>10</v>
      </c>
      <c r="D257" s="157"/>
      <c r="E257" s="206"/>
      <c r="F257" s="564"/>
      <c r="G257" s="581"/>
      <c r="H257" s="419"/>
      <c r="I257" s="57"/>
      <c r="J257" s="461" t="s">
        <v>684</v>
      </c>
      <c r="K257" s="420"/>
      <c r="L257" s="193"/>
      <c r="M257" s="377"/>
      <c r="O257" s="431"/>
      <c r="P257" s="157"/>
      <c r="Q257" s="404"/>
      <c r="R257" s="148"/>
      <c r="S257" s="242"/>
      <c r="T257" s="242"/>
      <c r="U257" s="242"/>
      <c r="V257" s="242"/>
      <c r="W257" s="242"/>
      <c r="X257" s="242"/>
      <c r="Y257" s="148"/>
      <c r="Z257" s="148"/>
    </row>
    <row r="258">
      <c r="A258" s="239"/>
      <c r="B258" s="239"/>
      <c r="C258" s="561" t="s">
        <v>6</v>
      </c>
      <c r="D258" s="423">
        <v>380.0</v>
      </c>
      <c r="E258" s="206"/>
      <c r="F258" s="547"/>
      <c r="G258" s="579"/>
      <c r="H258" s="455"/>
      <c r="I258" s="57"/>
      <c r="J258" s="461" t="s">
        <v>686</v>
      </c>
      <c r="K258" s="420"/>
      <c r="L258" s="150"/>
      <c r="M258" s="374"/>
      <c r="O258" s="463"/>
      <c r="P258" s="157"/>
      <c r="Q258" s="404"/>
      <c r="R258" s="148"/>
      <c r="S258" s="242"/>
      <c r="T258" s="242"/>
      <c r="U258" s="242"/>
      <c r="V258" s="242"/>
      <c r="W258" s="242"/>
      <c r="X258" s="242"/>
      <c r="Y258" s="148"/>
      <c r="Z258" s="148"/>
    </row>
    <row r="259">
      <c r="A259" s="57"/>
      <c r="B259" s="57"/>
      <c r="C259" s="561" t="s">
        <v>779</v>
      </c>
      <c r="D259" s="157"/>
      <c r="E259" s="228"/>
      <c r="F259" s="547"/>
      <c r="G259" s="579"/>
      <c r="H259" s="455"/>
      <c r="I259" s="239"/>
      <c r="J259" s="460" t="s">
        <v>202</v>
      </c>
      <c r="K259" s="420"/>
      <c r="L259" s="193"/>
      <c r="M259" s="377"/>
      <c r="O259" s="463"/>
      <c r="P259" s="157"/>
      <c r="Q259" s="404"/>
      <c r="R259" s="148"/>
      <c r="S259" s="242"/>
      <c r="T259" s="242"/>
      <c r="U259" s="242"/>
      <c r="V259" s="242"/>
      <c r="W259" s="242"/>
      <c r="X259" s="242"/>
      <c r="Y259" s="148"/>
      <c r="Z259" s="148"/>
    </row>
    <row r="260">
      <c r="A260" s="239"/>
      <c r="B260" s="239"/>
      <c r="C260" s="561" t="s">
        <v>780</v>
      </c>
      <c r="D260" s="157"/>
      <c r="E260" s="228"/>
      <c r="F260" s="547"/>
      <c r="G260" s="579"/>
      <c r="H260" s="455"/>
      <c r="I260" s="57"/>
      <c r="J260" s="460" t="s">
        <v>274</v>
      </c>
      <c r="K260" s="420"/>
      <c r="L260" s="193"/>
      <c r="M260" s="377"/>
      <c r="O260" s="463"/>
      <c r="P260" s="157"/>
      <c r="Q260" s="404"/>
      <c r="R260" s="148"/>
      <c r="S260" s="242"/>
      <c r="T260" s="242"/>
      <c r="U260" s="242"/>
      <c r="V260" s="242"/>
      <c r="W260" s="242"/>
      <c r="X260" s="242"/>
      <c r="Y260" s="148"/>
      <c r="Z260" s="148"/>
    </row>
    <row r="261">
      <c r="A261" s="239"/>
      <c r="B261" s="239"/>
      <c r="C261" s="561" t="s">
        <v>781</v>
      </c>
      <c r="D261" s="423">
        <v>40.0</v>
      </c>
      <c r="E261" s="228"/>
      <c r="F261" s="547"/>
      <c r="G261" s="579"/>
      <c r="H261" s="419"/>
      <c r="I261" s="239"/>
      <c r="J261" s="568"/>
      <c r="K261" s="420"/>
      <c r="L261" s="150"/>
      <c r="M261" s="374"/>
      <c r="O261" s="431"/>
      <c r="P261" s="157"/>
      <c r="Q261" s="404"/>
      <c r="R261" s="148"/>
      <c r="S261" s="242"/>
      <c r="T261" s="242"/>
      <c r="U261" s="242"/>
      <c r="V261" s="242"/>
      <c r="W261" s="242"/>
      <c r="X261" s="242"/>
      <c r="Y261" s="148"/>
      <c r="Z261" s="148"/>
    </row>
    <row r="262">
      <c r="A262" s="239"/>
      <c r="B262" s="157"/>
      <c r="C262" s="561"/>
      <c r="D262" s="157"/>
      <c r="E262" s="569"/>
      <c r="F262" s="547"/>
      <c r="G262" s="578"/>
      <c r="H262" s="419"/>
      <c r="I262" s="57"/>
      <c r="J262" s="462" t="s">
        <v>381</v>
      </c>
      <c r="K262" s="420"/>
      <c r="L262" s="193">
        <v>995.0</v>
      </c>
      <c r="M262" s="377"/>
      <c r="O262" s="431"/>
      <c r="P262" s="157"/>
      <c r="Q262" s="404"/>
      <c r="R262" s="148"/>
      <c r="S262" s="242"/>
      <c r="T262" s="242"/>
      <c r="U262" s="242"/>
      <c r="V262" s="242"/>
      <c r="W262" s="242"/>
      <c r="X262" s="242"/>
      <c r="Y262" s="148"/>
      <c r="Z262" s="148"/>
    </row>
    <row r="263">
      <c r="A263" s="239"/>
      <c r="B263" s="157"/>
      <c r="C263" s="561"/>
      <c r="D263" s="157"/>
      <c r="E263" s="228"/>
      <c r="F263" s="547"/>
      <c r="G263" s="578"/>
      <c r="H263" s="419"/>
      <c r="I263" s="239"/>
      <c r="J263" s="479" t="s">
        <v>383</v>
      </c>
      <c r="K263" s="420"/>
      <c r="L263" s="193">
        <v>460.0</v>
      </c>
      <c r="M263" s="377"/>
      <c r="O263" s="431"/>
      <c r="P263" s="157"/>
      <c r="Q263" s="404"/>
      <c r="R263" s="148"/>
      <c r="S263" s="242"/>
      <c r="T263" s="242"/>
      <c r="U263" s="242"/>
      <c r="V263" s="242"/>
      <c r="W263" s="242"/>
      <c r="X263" s="242"/>
      <c r="Y263" s="148"/>
      <c r="Z263" s="148"/>
    </row>
    <row r="264">
      <c r="A264" s="239"/>
      <c r="B264" s="157"/>
      <c r="C264" s="561"/>
      <c r="D264" s="157"/>
      <c r="E264" s="570"/>
      <c r="F264" s="547"/>
      <c r="G264" s="578"/>
      <c r="H264" s="419"/>
      <c r="I264" s="239"/>
      <c r="J264" s="568"/>
      <c r="K264" s="420"/>
      <c r="L264" s="193"/>
      <c r="M264" s="374"/>
      <c r="O264" s="431"/>
      <c r="P264" s="157"/>
      <c r="Q264" s="404"/>
      <c r="R264" s="148"/>
      <c r="S264" s="242"/>
      <c r="T264" s="242"/>
      <c r="U264" s="242"/>
      <c r="V264" s="242"/>
      <c r="W264" s="242"/>
      <c r="X264" s="242"/>
      <c r="Y264" s="148"/>
      <c r="Z264" s="148"/>
    </row>
    <row r="265">
      <c r="C265" s="571"/>
      <c r="D265" s="157"/>
      <c r="E265" s="570"/>
      <c r="F265" s="547"/>
      <c r="G265" s="578"/>
      <c r="H265" s="419"/>
      <c r="I265" s="239"/>
      <c r="J265" s="464" t="s">
        <v>692</v>
      </c>
      <c r="K265" s="420"/>
      <c r="L265" s="150"/>
      <c r="M265" s="377"/>
      <c r="O265" s="431"/>
      <c r="P265" s="157"/>
      <c r="Q265" s="404"/>
      <c r="R265" s="148"/>
      <c r="S265" s="242"/>
      <c r="T265" s="242"/>
      <c r="U265" s="242"/>
      <c r="V265" s="242"/>
      <c r="W265" s="242"/>
      <c r="X265" s="242"/>
      <c r="Y265" s="148"/>
      <c r="Z265" s="148"/>
    </row>
    <row r="266">
      <c r="C266" s="571"/>
      <c r="D266" s="157"/>
      <c r="E266" s="570"/>
      <c r="F266" s="547"/>
      <c r="G266" s="578"/>
      <c r="H266" s="419"/>
      <c r="I266" s="239"/>
      <c r="J266" s="464" t="s">
        <v>694</v>
      </c>
      <c r="K266" s="420"/>
      <c r="L266" s="150"/>
      <c r="M266" s="374"/>
      <c r="O266" s="431"/>
      <c r="P266" s="157"/>
      <c r="Q266" s="404"/>
      <c r="R266" s="148"/>
      <c r="S266" s="242"/>
      <c r="T266" s="242"/>
      <c r="U266" s="242"/>
      <c r="V266" s="242"/>
      <c r="W266" s="242"/>
      <c r="X266" s="242"/>
      <c r="Y266" s="148"/>
      <c r="Z266" s="148"/>
    </row>
    <row r="267">
      <c r="C267" s="571"/>
      <c r="D267" s="423"/>
      <c r="E267" s="570"/>
      <c r="F267" s="546"/>
      <c r="G267" s="578"/>
      <c r="H267" s="419"/>
      <c r="I267" s="57"/>
      <c r="J267" s="105"/>
      <c r="K267" s="57"/>
      <c r="L267" s="150"/>
      <c r="M267" s="57"/>
      <c r="N267" s="57"/>
      <c r="O267" s="57"/>
      <c r="P267" s="157"/>
      <c r="Q267" s="404"/>
      <c r="R267" s="148"/>
      <c r="S267" s="242"/>
      <c r="T267" s="242"/>
      <c r="U267" s="242"/>
      <c r="V267" s="242"/>
      <c r="W267" s="242"/>
      <c r="X267" s="242"/>
      <c r="Y267" s="148"/>
      <c r="Z267" s="148"/>
    </row>
    <row r="268">
      <c r="A268" s="125" t="s">
        <v>798</v>
      </c>
      <c r="B268" s="572">
        <f>C241-B245</f>
        <v>1088.65</v>
      </c>
      <c r="D268" s="157"/>
      <c r="E268" s="570"/>
      <c r="F268" s="573"/>
      <c r="G268" s="581"/>
      <c r="H268" s="419"/>
      <c r="I268" s="239"/>
      <c r="J268" s="568"/>
      <c r="K268" s="57"/>
      <c r="L268" s="150"/>
      <c r="M268" s="57"/>
      <c r="N268" s="57"/>
      <c r="O268" s="57"/>
      <c r="P268" s="157"/>
      <c r="Q268" s="404"/>
      <c r="R268" s="148"/>
      <c r="S268" s="242"/>
      <c r="T268" s="242"/>
      <c r="U268" s="242"/>
      <c r="V268" s="242"/>
      <c r="W268" s="242"/>
      <c r="X268" s="242"/>
      <c r="Y268" s="148"/>
      <c r="Z268" s="148"/>
    </row>
    <row r="269">
      <c r="A269" s="274" t="s">
        <v>783</v>
      </c>
      <c r="B269" s="109">
        <v>1500.0</v>
      </c>
      <c r="C269" s="395"/>
      <c r="D269" s="157"/>
      <c r="E269" s="570"/>
      <c r="F269" s="573"/>
      <c r="G269" s="478"/>
      <c r="H269" s="419"/>
      <c r="I269" s="239"/>
      <c r="J269" s="568"/>
      <c r="K269" s="57"/>
      <c r="L269" s="150"/>
      <c r="M269" s="57"/>
      <c r="N269" s="57"/>
      <c r="O269" s="57"/>
      <c r="P269" s="157"/>
      <c r="Q269" s="404"/>
      <c r="R269" s="148"/>
      <c r="S269" s="242"/>
      <c r="T269" s="242"/>
      <c r="U269" s="242"/>
      <c r="V269" s="242"/>
      <c r="W269" s="242"/>
      <c r="X269" s="242"/>
      <c r="Y269" s="148"/>
      <c r="Z269" s="148"/>
    </row>
    <row r="270">
      <c r="A270" s="274" t="s">
        <v>784</v>
      </c>
      <c r="B270" s="109">
        <v>8050.0</v>
      </c>
      <c r="C270" s="395"/>
      <c r="D270" s="157"/>
      <c r="E270" s="570"/>
      <c r="F270" s="573"/>
      <c r="G270" s="478"/>
      <c r="H270" s="419"/>
      <c r="I270" s="239"/>
      <c r="J270" s="568"/>
      <c r="K270" s="57"/>
      <c r="L270" s="150"/>
      <c r="M270" s="57"/>
      <c r="N270" s="57"/>
      <c r="O270" s="57"/>
      <c r="P270" s="157"/>
      <c r="Q270" s="404"/>
      <c r="R270" s="148"/>
      <c r="S270" s="242"/>
      <c r="T270" s="242"/>
      <c r="U270" s="242"/>
      <c r="V270" s="242"/>
      <c r="W270" s="242"/>
      <c r="X270" s="242"/>
      <c r="Y270" s="148"/>
      <c r="Z270" s="148"/>
    </row>
    <row r="271">
      <c r="A271" s="274" t="s">
        <v>785</v>
      </c>
      <c r="B271" s="109"/>
      <c r="C271" s="395"/>
      <c r="D271" s="157"/>
      <c r="E271" s="570"/>
      <c r="F271" s="573"/>
      <c r="G271" s="478"/>
      <c r="H271" s="419"/>
      <c r="I271" s="239"/>
      <c r="J271" s="568"/>
      <c r="K271" s="57"/>
      <c r="L271" s="150"/>
      <c r="M271" s="57"/>
      <c r="N271" s="57"/>
      <c r="O271" s="57"/>
      <c r="P271" s="157"/>
      <c r="Q271" s="404"/>
      <c r="R271" s="148"/>
      <c r="S271" s="242"/>
      <c r="T271" s="242"/>
      <c r="U271" s="242"/>
      <c r="V271" s="242"/>
      <c r="W271" s="242"/>
      <c r="X271" s="242"/>
      <c r="Y271" s="148"/>
      <c r="Z271" s="148"/>
    </row>
    <row r="272">
      <c r="A272" s="402"/>
      <c r="B272" s="403"/>
      <c r="C272" s="403"/>
      <c r="D272" s="403"/>
      <c r="E272" s="574"/>
      <c r="F272" s="575"/>
      <c r="G272" s="159"/>
      <c r="H272" s="159"/>
      <c r="I272" s="159"/>
      <c r="J272" s="576"/>
      <c r="K272" s="159"/>
      <c r="L272" s="162"/>
      <c r="M272" s="402"/>
      <c r="N272" s="402"/>
      <c r="O272" s="159"/>
      <c r="P272" s="403"/>
      <c r="Q272" s="577"/>
      <c r="R272" s="148"/>
      <c r="S272" s="242"/>
      <c r="T272" s="242"/>
      <c r="U272" s="242"/>
      <c r="V272" s="242"/>
      <c r="W272" s="242"/>
      <c r="X272" s="242"/>
      <c r="Y272" s="148"/>
      <c r="Z272" s="148"/>
    </row>
    <row r="273">
      <c r="A273" s="148"/>
      <c r="B273" s="148"/>
      <c r="C273" s="148"/>
      <c r="D273" s="245"/>
      <c r="E273" s="585"/>
      <c r="F273" s="586"/>
      <c r="G273" s="148"/>
      <c r="H273" s="148"/>
      <c r="I273" s="251"/>
      <c r="J273" s="243"/>
      <c r="K273" s="148"/>
      <c r="L273" s="277"/>
      <c r="M273" s="252"/>
      <c r="N273" s="250"/>
      <c r="O273" s="253"/>
      <c r="P273" s="240"/>
      <c r="Q273" s="148"/>
      <c r="R273" s="148"/>
      <c r="S273" s="242"/>
      <c r="T273" s="242"/>
      <c r="U273" s="242"/>
      <c r="V273" s="242"/>
      <c r="W273" s="242"/>
      <c r="X273" s="242"/>
      <c r="Y273" s="148"/>
      <c r="Z273" s="148"/>
    </row>
    <row r="274">
      <c r="A274" s="169" t="s">
        <v>857</v>
      </c>
      <c r="B274" s="539"/>
      <c r="C274" s="540"/>
      <c r="D274" s="405"/>
      <c r="E274" s="541"/>
      <c r="F274" s="542"/>
      <c r="G274" s="467" t="s">
        <v>333</v>
      </c>
      <c r="H274" s="361"/>
      <c r="I274" s="57"/>
      <c r="J274" s="105"/>
      <c r="K274" s="57"/>
      <c r="L274" s="150"/>
      <c r="M274" s="239"/>
      <c r="N274" s="239"/>
      <c r="O274" s="57"/>
      <c r="P274" s="157"/>
      <c r="Q274" s="404"/>
      <c r="R274" s="148"/>
      <c r="S274" s="242"/>
      <c r="T274" s="242"/>
      <c r="U274" s="242"/>
      <c r="V274" s="242"/>
      <c r="W274" s="242"/>
      <c r="X274" s="242"/>
      <c r="Y274" s="148"/>
      <c r="Z274" s="148"/>
    </row>
    <row r="275">
      <c r="A275" s="468"/>
      <c r="B275" s="157"/>
      <c r="C275" s="466"/>
      <c r="D275" s="405"/>
      <c r="E275" s="543" t="s">
        <v>335</v>
      </c>
      <c r="F275" s="544" t="s">
        <v>237</v>
      </c>
      <c r="G275" s="412" t="s">
        <v>336</v>
      </c>
      <c r="H275" s="413" t="s">
        <v>337</v>
      </c>
      <c r="I275" s="239"/>
      <c r="J275" s="145" t="s">
        <v>60</v>
      </c>
      <c r="K275" s="57"/>
      <c r="L275" s="150"/>
      <c r="M275" s="414"/>
      <c r="N275" s="414"/>
      <c r="O275" s="57" t="s">
        <v>334</v>
      </c>
      <c r="P275" s="157"/>
      <c r="Q275" s="404"/>
      <c r="R275" s="148"/>
      <c r="S275" s="242"/>
      <c r="T275" s="242"/>
      <c r="U275" s="242"/>
      <c r="V275" s="242"/>
      <c r="W275" s="242"/>
      <c r="X275" s="242"/>
      <c r="Y275" s="148"/>
      <c r="Z275" s="148"/>
    </row>
    <row r="276">
      <c r="A276" s="470" t="s">
        <v>179</v>
      </c>
      <c r="C276" s="416">
        <f>SUM(F276:F310)</f>
        <v>0</v>
      </c>
      <c r="D276" s="405"/>
      <c r="E276" s="545" t="s">
        <v>690</v>
      </c>
      <c r="F276" s="546"/>
      <c r="G276" s="419"/>
      <c r="H276" s="419"/>
      <c r="I276" s="57"/>
      <c r="K276" s="57"/>
      <c r="L276" s="150"/>
      <c r="M276" s="377" t="s">
        <v>366</v>
      </c>
      <c r="P276" s="157"/>
      <c r="Q276" s="404"/>
      <c r="R276" s="148"/>
      <c r="S276" s="242"/>
      <c r="T276" s="242"/>
      <c r="U276" s="242"/>
      <c r="V276" s="242"/>
      <c r="W276" s="242"/>
      <c r="X276" s="242"/>
      <c r="Y276" s="148"/>
      <c r="Z276" s="148"/>
    </row>
    <row r="277">
      <c r="A277" s="421" t="s">
        <v>343</v>
      </c>
      <c r="B277" s="422" t="s">
        <v>321</v>
      </c>
      <c r="C277" s="416">
        <f>SUM(P277:P310)</f>
        <v>0</v>
      </c>
      <c r="D277" s="157"/>
      <c r="E277" s="545" t="s">
        <v>691</v>
      </c>
      <c r="F277" s="546"/>
      <c r="G277" s="419"/>
      <c r="H277" s="419"/>
      <c r="I277" s="239"/>
      <c r="J277" s="471" t="s">
        <v>341</v>
      </c>
      <c r="K277" s="420"/>
      <c r="L277" s="150"/>
      <c r="M277" s="374"/>
      <c r="O277" s="431"/>
      <c r="P277" s="423"/>
      <c r="Q277" s="404"/>
      <c r="R277" s="148"/>
      <c r="S277" s="242"/>
      <c r="T277" s="242"/>
      <c r="U277" s="242"/>
      <c r="V277" s="242"/>
      <c r="W277" s="242"/>
      <c r="X277" s="242"/>
      <c r="Y277" s="148"/>
      <c r="Z277" s="148"/>
    </row>
    <row r="278">
      <c r="A278" s="427" t="s">
        <v>201</v>
      </c>
      <c r="C278" s="204">
        <f>SUM(L277:L310)</f>
        <v>4545.19</v>
      </c>
      <c r="D278" s="157"/>
      <c r="E278" s="545" t="s">
        <v>693</v>
      </c>
      <c r="F278" s="547"/>
      <c r="G278" s="419"/>
      <c r="H278" s="419"/>
      <c r="I278" s="239"/>
      <c r="J278" s="472" t="s">
        <v>345</v>
      </c>
      <c r="K278" s="420"/>
      <c r="L278" s="193">
        <v>42.0</v>
      </c>
      <c r="M278" s="377" t="s">
        <v>858</v>
      </c>
      <c r="O278" s="431"/>
      <c r="P278" s="423"/>
      <c r="Q278" s="404"/>
      <c r="R278" s="148"/>
      <c r="S278" s="242"/>
      <c r="T278" s="242"/>
      <c r="U278" s="242"/>
      <c r="V278" s="242"/>
      <c r="W278" s="242"/>
      <c r="X278" s="242"/>
      <c r="Y278" s="148"/>
      <c r="Z278" s="148"/>
    </row>
    <row r="279">
      <c r="A279" s="548" t="s">
        <v>761</v>
      </c>
      <c r="B279" s="549">
        <v>0.4</v>
      </c>
      <c r="C279" s="191"/>
      <c r="D279" s="157"/>
      <c r="E279" s="550" t="s">
        <v>695</v>
      </c>
      <c r="F279" s="546"/>
      <c r="G279" s="419"/>
      <c r="H279" s="419"/>
      <c r="I279" s="239"/>
      <c r="J279" s="433" t="s">
        <v>656</v>
      </c>
      <c r="K279" s="420"/>
      <c r="L279" s="193">
        <v>230.19</v>
      </c>
      <c r="M279" s="377" t="s">
        <v>723</v>
      </c>
      <c r="O279" s="431"/>
      <c r="P279" s="423"/>
      <c r="Q279" s="404"/>
      <c r="R279" s="148"/>
      <c r="S279" s="242"/>
      <c r="T279" s="242"/>
      <c r="U279" s="242"/>
      <c r="V279" s="242"/>
      <c r="W279" s="242"/>
      <c r="X279" s="242"/>
      <c r="Y279" s="148"/>
      <c r="Z279" s="148"/>
    </row>
    <row r="280">
      <c r="A280" s="434" t="s">
        <v>350</v>
      </c>
      <c r="C280" s="551">
        <f>C276-C278-C279</f>
        <v>-4545.19</v>
      </c>
      <c r="D280" s="157"/>
      <c r="E280" s="228"/>
      <c r="F280" s="547"/>
      <c r="G280" s="455"/>
      <c r="H280" s="419"/>
      <c r="I280" s="57"/>
      <c r="J280" s="444" t="s">
        <v>658</v>
      </c>
      <c r="K280" s="420"/>
      <c r="L280" s="193">
        <v>28.0</v>
      </c>
      <c r="M280" s="377"/>
      <c r="O280" s="431"/>
      <c r="P280" s="157"/>
      <c r="Q280" s="404"/>
      <c r="R280" s="148"/>
      <c r="S280" s="242"/>
      <c r="T280" s="242"/>
      <c r="U280" s="242"/>
      <c r="V280" s="242"/>
      <c r="W280" s="242"/>
      <c r="X280" s="242"/>
      <c r="Y280" s="148"/>
      <c r="Z280" s="148"/>
    </row>
    <row r="281">
      <c r="A281" s="554"/>
      <c r="B281" s="555"/>
      <c r="C281" s="447"/>
      <c r="D281" s="157"/>
      <c r="E281" s="228"/>
      <c r="F281" s="547"/>
      <c r="G281" s="419"/>
      <c r="H281" s="419"/>
      <c r="I281" s="57"/>
      <c r="J281" s="444" t="s">
        <v>660</v>
      </c>
      <c r="K281" s="420"/>
      <c r="L281" s="193">
        <v>50.0</v>
      </c>
      <c r="M281" s="377"/>
      <c r="O281" s="431"/>
      <c r="P281" s="157"/>
      <c r="Q281" s="404"/>
      <c r="R281" s="148"/>
      <c r="S281" s="242"/>
      <c r="T281" s="242"/>
      <c r="U281" s="242"/>
      <c r="V281" s="242"/>
      <c r="W281" s="242"/>
      <c r="X281" s="242"/>
      <c r="Y281" s="148"/>
      <c r="Z281" s="148"/>
    </row>
    <row r="282">
      <c r="A282" s="556"/>
      <c r="C282" s="395"/>
      <c r="D282" s="157"/>
      <c r="E282" s="228"/>
      <c r="F282" s="546"/>
      <c r="G282" s="455"/>
      <c r="H282" s="419"/>
      <c r="I282" s="239"/>
      <c r="J282" s="370" t="s">
        <v>662</v>
      </c>
      <c r="K282" s="420"/>
      <c r="L282" s="193"/>
      <c r="M282" s="374"/>
      <c r="O282" s="431"/>
      <c r="P282" s="157"/>
      <c r="Q282" s="404"/>
      <c r="R282" s="148"/>
      <c r="S282" s="242"/>
      <c r="T282" s="242"/>
      <c r="U282" s="242"/>
      <c r="V282" s="242"/>
      <c r="W282" s="242"/>
      <c r="X282" s="242"/>
      <c r="Y282" s="148"/>
      <c r="Z282" s="148"/>
    </row>
    <row r="283">
      <c r="A283" s="557"/>
      <c r="B283" s="109"/>
      <c r="C283" s="395"/>
      <c r="D283" s="373"/>
      <c r="E283" s="228"/>
      <c r="F283" s="547"/>
      <c r="G283" s="419"/>
      <c r="H283" s="419"/>
      <c r="I283" s="239"/>
      <c r="J283" s="433" t="s">
        <v>666</v>
      </c>
      <c r="K283" s="420"/>
      <c r="L283" s="150"/>
      <c r="M283" s="374"/>
      <c r="O283" s="431"/>
      <c r="P283" s="157"/>
      <c r="Q283" s="404"/>
      <c r="R283" s="148"/>
      <c r="S283" s="242"/>
      <c r="T283" s="242"/>
      <c r="U283" s="242"/>
      <c r="V283" s="242"/>
      <c r="W283" s="242"/>
      <c r="X283" s="242"/>
      <c r="Y283" s="148"/>
      <c r="Z283" s="148"/>
    </row>
    <row r="284">
      <c r="A284" s="559" t="s">
        <v>765</v>
      </c>
      <c r="B284" s="560">
        <f>SUM(D284:D310)</f>
        <v>1414</v>
      </c>
      <c r="C284" s="477" t="s">
        <v>366</v>
      </c>
      <c r="D284" s="157"/>
      <c r="E284" s="228"/>
      <c r="F284" s="547"/>
      <c r="G284" s="419"/>
      <c r="H284" s="419"/>
      <c r="I284" s="239"/>
      <c r="J284" s="433" t="s">
        <v>668</v>
      </c>
      <c r="K284" s="420"/>
      <c r="L284" s="150"/>
      <c r="M284" s="377"/>
      <c r="O284" s="431"/>
      <c r="P284" s="157"/>
      <c r="Q284" s="404"/>
      <c r="R284" s="148"/>
      <c r="S284" s="242"/>
      <c r="T284" s="242"/>
      <c r="U284" s="242"/>
      <c r="V284" s="242"/>
      <c r="W284" s="242"/>
      <c r="X284" s="242"/>
      <c r="Y284" s="148"/>
      <c r="Z284" s="148"/>
    </row>
    <row r="285">
      <c r="A285" s="453" t="s">
        <v>369</v>
      </c>
      <c r="C285" s="561" t="s">
        <v>766</v>
      </c>
      <c r="D285" s="423">
        <v>397.0</v>
      </c>
      <c r="E285" s="228"/>
      <c r="F285" s="547"/>
      <c r="G285" s="419"/>
      <c r="H285" s="419"/>
      <c r="I285" s="239"/>
      <c r="J285" s="433" t="s">
        <v>670</v>
      </c>
      <c r="K285" s="458"/>
      <c r="L285" s="193">
        <v>1250.0</v>
      </c>
      <c r="M285" s="377"/>
      <c r="O285" s="431"/>
      <c r="P285" s="157"/>
      <c r="Q285" s="404"/>
      <c r="R285" s="148"/>
      <c r="S285" s="242"/>
      <c r="T285" s="242"/>
      <c r="U285" s="242"/>
      <c r="V285" s="242"/>
      <c r="W285" s="242"/>
      <c r="X285" s="242"/>
      <c r="Y285" s="148"/>
      <c r="Z285" s="148"/>
    </row>
    <row r="286">
      <c r="C286" s="561" t="s">
        <v>767</v>
      </c>
      <c r="D286" s="157"/>
      <c r="E286" s="228"/>
      <c r="F286" s="547"/>
      <c r="G286" s="419"/>
      <c r="H286" s="419"/>
      <c r="I286" s="239"/>
      <c r="J286" s="433" t="s">
        <v>217</v>
      </c>
      <c r="K286" s="458"/>
      <c r="L286" s="150"/>
      <c r="M286" s="377"/>
      <c r="O286" s="431"/>
      <c r="P286" s="157"/>
      <c r="Q286" s="404"/>
      <c r="R286" s="148"/>
      <c r="S286" s="242"/>
      <c r="T286" s="242"/>
      <c r="U286" s="242"/>
      <c r="V286" s="242"/>
      <c r="W286" s="242"/>
      <c r="X286" s="242"/>
      <c r="Y286" s="148"/>
      <c r="Z286" s="148"/>
    </row>
    <row r="287">
      <c r="A287" s="57"/>
      <c r="B287" s="57"/>
      <c r="C287" s="561" t="s">
        <v>768</v>
      </c>
      <c r="D287" s="423">
        <v>20.0</v>
      </c>
      <c r="E287" s="228"/>
      <c r="F287" s="547"/>
      <c r="G287" s="419"/>
      <c r="H287" s="419"/>
      <c r="I287" s="239"/>
      <c r="J287" s="109"/>
      <c r="K287" s="420"/>
      <c r="L287" s="193"/>
      <c r="M287" s="374"/>
      <c r="O287" s="431"/>
      <c r="P287" s="157"/>
      <c r="Q287" s="404"/>
      <c r="R287" s="148"/>
      <c r="S287" s="242"/>
      <c r="T287" s="242"/>
      <c r="U287" s="242"/>
      <c r="V287" s="242"/>
      <c r="W287" s="242"/>
      <c r="X287" s="242"/>
      <c r="Y287" s="148"/>
      <c r="Z287" s="148"/>
    </row>
    <row r="288">
      <c r="A288" s="57"/>
      <c r="B288" s="57"/>
      <c r="C288" s="561" t="s">
        <v>769</v>
      </c>
      <c r="D288" s="157"/>
      <c r="E288" s="228"/>
      <c r="F288" s="547"/>
      <c r="G288" s="419"/>
      <c r="H288" s="419"/>
      <c r="I288" s="239"/>
      <c r="J288" s="456" t="s">
        <v>672</v>
      </c>
      <c r="K288" s="420"/>
      <c r="L288" s="150"/>
      <c r="M288" s="377"/>
      <c r="O288" s="431"/>
      <c r="P288" s="157"/>
      <c r="Q288" s="404"/>
      <c r="R288" s="148"/>
      <c r="S288" s="242"/>
      <c r="T288" s="242"/>
      <c r="U288" s="242"/>
      <c r="V288" s="242"/>
      <c r="W288" s="242"/>
      <c r="X288" s="242"/>
      <c r="Y288" s="148"/>
      <c r="Z288" s="148"/>
    </row>
    <row r="289">
      <c r="A289" s="57"/>
      <c r="B289" s="57"/>
      <c r="C289" s="561" t="s">
        <v>770</v>
      </c>
      <c r="D289" s="423"/>
      <c r="E289" s="228"/>
      <c r="F289" s="547"/>
      <c r="G289" s="419"/>
      <c r="H289" s="419"/>
      <c r="I289" s="57"/>
      <c r="J289" s="456" t="s">
        <v>675</v>
      </c>
      <c r="K289" s="420"/>
      <c r="L289" s="150"/>
      <c r="M289" s="382"/>
      <c r="O289" s="431"/>
      <c r="P289" s="157"/>
      <c r="Q289" s="404"/>
      <c r="R289" s="148"/>
      <c r="S289" s="242"/>
      <c r="T289" s="242"/>
      <c r="U289" s="242"/>
      <c r="V289" s="242"/>
      <c r="W289" s="242"/>
      <c r="X289" s="242"/>
      <c r="Y289" s="148"/>
      <c r="Z289" s="148"/>
    </row>
    <row r="290">
      <c r="A290" s="57"/>
      <c r="B290" s="57"/>
      <c r="C290" s="561" t="s">
        <v>793</v>
      </c>
      <c r="D290" s="423">
        <v>180.0</v>
      </c>
      <c r="E290" s="228"/>
      <c r="F290" s="547"/>
      <c r="G290" s="455"/>
      <c r="H290" s="419"/>
      <c r="I290" s="57"/>
      <c r="J290" s="456"/>
      <c r="K290" s="420"/>
      <c r="L290" s="150"/>
      <c r="M290" s="425"/>
      <c r="O290" s="431"/>
      <c r="P290" s="157"/>
      <c r="Q290" s="404"/>
      <c r="R290" s="148"/>
      <c r="S290" s="242"/>
      <c r="T290" s="242"/>
      <c r="U290" s="242"/>
      <c r="V290" s="242"/>
      <c r="W290" s="242"/>
      <c r="X290" s="242"/>
      <c r="Y290" s="148"/>
      <c r="Z290" s="148"/>
    </row>
    <row r="291">
      <c r="A291" s="239"/>
      <c r="B291" s="57"/>
      <c r="C291" s="561" t="s">
        <v>794</v>
      </c>
      <c r="D291" s="423">
        <v>35.0</v>
      </c>
      <c r="E291" s="228"/>
      <c r="F291" s="547"/>
      <c r="G291" s="419"/>
      <c r="H291" s="419"/>
      <c r="I291" s="57"/>
      <c r="J291" s="375"/>
      <c r="K291" s="420"/>
      <c r="L291" s="150"/>
      <c r="M291" s="425"/>
      <c r="O291" s="431"/>
      <c r="P291" s="157"/>
      <c r="Q291" s="404"/>
      <c r="R291" s="148"/>
      <c r="S291" s="242"/>
      <c r="T291" s="242"/>
      <c r="U291" s="242"/>
      <c r="V291" s="242"/>
      <c r="W291" s="242"/>
      <c r="X291" s="242"/>
      <c r="Y291" s="148"/>
      <c r="Z291" s="148"/>
    </row>
    <row r="292">
      <c r="A292" s="239"/>
      <c r="B292" s="57"/>
      <c r="C292" s="561" t="s">
        <v>18</v>
      </c>
      <c r="D292" s="423">
        <v>162.0</v>
      </c>
      <c r="E292" s="228"/>
      <c r="F292" s="547"/>
      <c r="G292" s="419"/>
      <c r="H292" s="419"/>
      <c r="I292" s="57"/>
      <c r="J292" s="375"/>
      <c r="K292" s="420"/>
      <c r="L292" s="193"/>
      <c r="M292" s="382"/>
      <c r="O292" s="431"/>
      <c r="P292" s="157"/>
      <c r="Q292" s="404"/>
      <c r="R292" s="148"/>
      <c r="S292" s="242"/>
      <c r="T292" s="242"/>
      <c r="U292" s="242"/>
      <c r="V292" s="242"/>
      <c r="W292" s="242"/>
      <c r="X292" s="242"/>
      <c r="Y292" s="148"/>
      <c r="Z292" s="148"/>
    </row>
    <row r="293">
      <c r="A293" s="239"/>
      <c r="B293" s="57"/>
      <c r="C293" s="561" t="s">
        <v>773</v>
      </c>
      <c r="D293" s="423"/>
      <c r="E293" s="228"/>
      <c r="F293" s="547"/>
      <c r="G293" s="455"/>
      <c r="H293" s="419"/>
      <c r="I293" s="57"/>
      <c r="J293" s="452"/>
      <c r="K293" s="420"/>
      <c r="L293" s="150"/>
      <c r="M293" s="425"/>
      <c r="O293" s="431"/>
      <c r="P293" s="157"/>
      <c r="Q293" s="404"/>
      <c r="R293" s="148"/>
      <c r="S293" s="242"/>
      <c r="T293" s="242"/>
      <c r="U293" s="242"/>
      <c r="V293" s="242"/>
      <c r="W293" s="242"/>
      <c r="X293" s="242"/>
      <c r="Y293" s="148"/>
      <c r="Z293" s="148"/>
    </row>
    <row r="294">
      <c r="A294" s="57"/>
      <c r="B294" s="57"/>
      <c r="C294" s="561" t="s">
        <v>774</v>
      </c>
      <c r="D294" s="423"/>
      <c r="E294" s="228"/>
      <c r="F294" s="547"/>
      <c r="G294" s="419"/>
      <c r="H294" s="419"/>
      <c r="I294" s="57"/>
      <c r="J294" s="105"/>
      <c r="K294" s="420"/>
      <c r="L294" s="193"/>
      <c r="M294" s="425"/>
      <c r="O294" s="431"/>
      <c r="P294" s="157"/>
      <c r="Q294" s="404"/>
      <c r="R294" s="148"/>
      <c r="S294" s="242"/>
      <c r="T294" s="242"/>
      <c r="U294" s="242"/>
      <c r="V294" s="242"/>
      <c r="W294" s="242"/>
      <c r="X294" s="242"/>
      <c r="Y294" s="148"/>
      <c r="Z294" s="148"/>
    </row>
    <row r="295">
      <c r="A295" s="239"/>
      <c r="B295" s="239"/>
      <c r="C295" s="561" t="s">
        <v>775</v>
      </c>
      <c r="D295" s="423">
        <v>560.0</v>
      </c>
      <c r="E295" s="228"/>
      <c r="F295" s="547"/>
      <c r="G295" s="419"/>
      <c r="H295" s="419"/>
      <c r="I295" s="57"/>
      <c r="J295" s="378" t="s">
        <v>682</v>
      </c>
      <c r="K295" s="420"/>
      <c r="L295" s="193">
        <v>132.0</v>
      </c>
      <c r="M295" s="377" t="s">
        <v>859</v>
      </c>
      <c r="O295" s="431"/>
      <c r="P295" s="157"/>
      <c r="Q295" s="404"/>
      <c r="R295" s="148"/>
      <c r="S295" s="242"/>
      <c r="T295" s="242"/>
      <c r="U295" s="242"/>
      <c r="V295" s="242"/>
      <c r="W295" s="242"/>
      <c r="X295" s="242"/>
      <c r="Y295" s="148"/>
      <c r="Z295" s="148"/>
    </row>
    <row r="296">
      <c r="A296" s="239"/>
      <c r="B296" s="239"/>
      <c r="C296" s="561" t="s">
        <v>10</v>
      </c>
      <c r="D296" s="157"/>
      <c r="E296" s="206"/>
      <c r="F296" s="564"/>
      <c r="G296" s="478"/>
      <c r="H296" s="419"/>
      <c r="I296" s="57"/>
      <c r="J296" s="461" t="s">
        <v>684</v>
      </c>
      <c r="K296" s="420"/>
      <c r="L296" s="193"/>
      <c r="M296" s="377"/>
      <c r="O296" s="431"/>
      <c r="P296" s="157"/>
      <c r="Q296" s="404"/>
      <c r="R296" s="148"/>
      <c r="S296" s="242"/>
      <c r="T296" s="242"/>
      <c r="U296" s="242"/>
      <c r="V296" s="242"/>
      <c r="W296" s="242"/>
      <c r="X296" s="242"/>
      <c r="Y296" s="148"/>
      <c r="Z296" s="148"/>
    </row>
    <row r="297">
      <c r="A297" s="239"/>
      <c r="B297" s="239"/>
      <c r="C297" s="561" t="s">
        <v>6</v>
      </c>
      <c r="D297" s="157"/>
      <c r="E297" s="206"/>
      <c r="F297" s="547"/>
      <c r="G297" s="455"/>
      <c r="H297" s="455"/>
      <c r="I297" s="57"/>
      <c r="J297" s="461" t="s">
        <v>686</v>
      </c>
      <c r="K297" s="420"/>
      <c r="L297" s="150"/>
      <c r="M297" s="374"/>
      <c r="O297" s="463"/>
      <c r="P297" s="157"/>
      <c r="Q297" s="404"/>
      <c r="R297" s="148"/>
      <c r="S297" s="242"/>
      <c r="T297" s="242"/>
      <c r="U297" s="242"/>
      <c r="V297" s="242"/>
      <c r="W297" s="242"/>
      <c r="X297" s="242"/>
      <c r="Y297" s="148"/>
      <c r="Z297" s="148"/>
    </row>
    <row r="298">
      <c r="A298" s="57"/>
      <c r="B298" s="57"/>
      <c r="C298" s="561" t="s">
        <v>779</v>
      </c>
      <c r="D298" s="157"/>
      <c r="E298" s="228"/>
      <c r="F298" s="547"/>
      <c r="G298" s="455"/>
      <c r="H298" s="455"/>
      <c r="I298" s="239"/>
      <c r="J298" s="460" t="s">
        <v>202</v>
      </c>
      <c r="K298" s="420"/>
      <c r="L298" s="193"/>
      <c r="M298" s="377"/>
      <c r="O298" s="463"/>
      <c r="P298" s="157"/>
      <c r="Q298" s="404"/>
      <c r="R298" s="148"/>
      <c r="S298" s="242"/>
      <c r="T298" s="242"/>
      <c r="U298" s="242"/>
      <c r="V298" s="242"/>
      <c r="W298" s="242"/>
      <c r="X298" s="242"/>
      <c r="Y298" s="148"/>
      <c r="Z298" s="148"/>
    </row>
    <row r="299">
      <c r="A299" s="239"/>
      <c r="B299" s="239"/>
      <c r="C299" s="561" t="s">
        <v>780</v>
      </c>
      <c r="D299" s="157"/>
      <c r="E299" s="228"/>
      <c r="F299" s="547"/>
      <c r="G299" s="455"/>
      <c r="H299" s="455"/>
      <c r="I299" s="57"/>
      <c r="J299" s="460" t="s">
        <v>274</v>
      </c>
      <c r="K299" s="420"/>
      <c r="L299" s="193">
        <v>213.0</v>
      </c>
      <c r="M299" s="374"/>
      <c r="O299" s="463"/>
      <c r="P299" s="157"/>
      <c r="Q299" s="404"/>
      <c r="R299" s="148"/>
      <c r="S299" s="242"/>
      <c r="T299" s="242"/>
      <c r="U299" s="242"/>
      <c r="V299" s="242"/>
      <c r="W299" s="242"/>
      <c r="X299" s="242"/>
      <c r="Y299" s="148"/>
      <c r="Z299" s="148"/>
    </row>
    <row r="300">
      <c r="A300" s="239"/>
      <c r="B300" s="239"/>
      <c r="C300" s="561" t="s">
        <v>781</v>
      </c>
      <c r="D300" s="423">
        <v>60.0</v>
      </c>
      <c r="E300" s="228"/>
      <c r="F300" s="547"/>
      <c r="G300" s="455"/>
      <c r="H300" s="419"/>
      <c r="I300" s="239"/>
      <c r="J300" s="568"/>
      <c r="K300" s="420"/>
      <c r="L300" s="150"/>
      <c r="M300" s="374"/>
      <c r="O300" s="431"/>
      <c r="P300" s="157"/>
      <c r="Q300" s="404"/>
      <c r="R300" s="148"/>
      <c r="S300" s="242"/>
      <c r="T300" s="242"/>
      <c r="U300" s="242"/>
      <c r="V300" s="242"/>
      <c r="W300" s="242"/>
      <c r="X300" s="242"/>
      <c r="Y300" s="148"/>
      <c r="Z300" s="148"/>
    </row>
    <row r="301">
      <c r="A301" s="239"/>
      <c r="B301" s="157"/>
      <c r="C301" s="561"/>
      <c r="D301" s="157"/>
      <c r="E301" s="569"/>
      <c r="F301" s="547"/>
      <c r="G301" s="419"/>
      <c r="H301" s="419"/>
      <c r="I301" s="57"/>
      <c r="J301" s="462" t="s">
        <v>381</v>
      </c>
      <c r="K301" s="420"/>
      <c r="L301" s="193"/>
      <c r="M301" s="374"/>
      <c r="O301" s="431"/>
      <c r="P301" s="157"/>
      <c r="Q301" s="404"/>
      <c r="R301" s="148"/>
      <c r="S301" s="242"/>
      <c r="T301" s="242"/>
      <c r="U301" s="242"/>
      <c r="V301" s="242"/>
      <c r="W301" s="242"/>
      <c r="X301" s="242"/>
      <c r="Y301" s="148"/>
      <c r="Z301" s="148"/>
    </row>
    <row r="302">
      <c r="A302" s="239"/>
      <c r="B302" s="157"/>
      <c r="C302" s="561"/>
      <c r="D302" s="157"/>
      <c r="E302" s="228"/>
      <c r="F302" s="547"/>
      <c r="G302" s="419"/>
      <c r="H302" s="419"/>
      <c r="I302" s="239"/>
      <c r="J302" s="479" t="s">
        <v>383</v>
      </c>
      <c r="K302" s="420"/>
      <c r="L302" s="193"/>
      <c r="M302" s="377"/>
      <c r="O302" s="431"/>
      <c r="P302" s="157"/>
      <c r="Q302" s="404"/>
      <c r="R302" s="148"/>
      <c r="S302" s="242"/>
      <c r="T302" s="242"/>
      <c r="U302" s="242"/>
      <c r="V302" s="242"/>
      <c r="W302" s="242"/>
      <c r="X302" s="242"/>
      <c r="Y302" s="148"/>
      <c r="Z302" s="148"/>
    </row>
    <row r="303">
      <c r="A303" s="239"/>
      <c r="B303" s="157"/>
      <c r="C303" s="561"/>
      <c r="D303" s="157"/>
      <c r="E303" s="570"/>
      <c r="F303" s="547"/>
      <c r="G303" s="419"/>
      <c r="H303" s="419"/>
      <c r="I303" s="239"/>
      <c r="J303" s="568"/>
      <c r="K303" s="420"/>
      <c r="L303" s="193"/>
      <c r="M303" s="374"/>
      <c r="O303" s="431"/>
      <c r="P303" s="157"/>
      <c r="Q303" s="404"/>
      <c r="R303" s="148"/>
      <c r="S303" s="242"/>
      <c r="T303" s="242"/>
      <c r="U303" s="242"/>
      <c r="V303" s="242"/>
      <c r="W303" s="242"/>
      <c r="X303" s="242"/>
      <c r="Y303" s="148"/>
      <c r="Z303" s="148"/>
    </row>
    <row r="304">
      <c r="C304" s="571"/>
      <c r="D304" s="157"/>
      <c r="E304" s="570"/>
      <c r="F304" s="547"/>
      <c r="G304" s="419"/>
      <c r="H304" s="419"/>
      <c r="I304" s="239"/>
      <c r="J304" s="464" t="s">
        <v>692</v>
      </c>
      <c r="K304" s="420"/>
      <c r="L304" s="150"/>
      <c r="M304" s="377"/>
      <c r="O304" s="431"/>
      <c r="P304" s="157"/>
      <c r="Q304" s="404"/>
      <c r="R304" s="148"/>
      <c r="S304" s="242"/>
      <c r="T304" s="242"/>
      <c r="U304" s="242"/>
      <c r="V304" s="242"/>
      <c r="W304" s="242"/>
      <c r="X304" s="242"/>
      <c r="Y304" s="148"/>
      <c r="Z304" s="148"/>
    </row>
    <row r="305">
      <c r="C305" s="571"/>
      <c r="D305" s="157"/>
      <c r="E305" s="570"/>
      <c r="F305" s="547"/>
      <c r="G305" s="419"/>
      <c r="H305" s="419"/>
      <c r="I305" s="239"/>
      <c r="J305" s="464" t="s">
        <v>694</v>
      </c>
      <c r="K305" s="420"/>
      <c r="L305" s="193">
        <v>2600.0</v>
      </c>
      <c r="M305" s="374"/>
      <c r="O305" s="431"/>
      <c r="P305" s="157"/>
      <c r="Q305" s="404"/>
      <c r="R305" s="148"/>
      <c r="S305" s="242"/>
      <c r="T305" s="242"/>
      <c r="U305" s="242"/>
      <c r="V305" s="242"/>
      <c r="W305" s="242"/>
      <c r="X305" s="242"/>
      <c r="Y305" s="148"/>
      <c r="Z305" s="148"/>
    </row>
    <row r="306">
      <c r="C306" s="571"/>
      <c r="D306" s="423"/>
      <c r="E306" s="570"/>
      <c r="F306" s="546"/>
      <c r="G306" s="419"/>
      <c r="H306" s="419"/>
      <c r="I306" s="57"/>
      <c r="J306" s="105"/>
      <c r="K306" s="57"/>
      <c r="L306" s="150"/>
      <c r="M306" s="57"/>
      <c r="N306" s="57"/>
      <c r="O306" s="57"/>
      <c r="P306" s="157"/>
      <c r="Q306" s="404"/>
      <c r="R306" s="148"/>
      <c r="S306" s="242"/>
      <c r="T306" s="242"/>
      <c r="U306" s="242"/>
      <c r="V306" s="242"/>
      <c r="W306" s="242"/>
      <c r="X306" s="242"/>
      <c r="Y306" s="148"/>
      <c r="Z306" s="148"/>
    </row>
    <row r="307">
      <c r="A307" s="125" t="s">
        <v>798</v>
      </c>
      <c r="B307" s="572">
        <f>C280-B284</f>
        <v>-5959.19</v>
      </c>
      <c r="D307" s="157"/>
      <c r="E307" s="570"/>
      <c r="F307" s="573"/>
      <c r="G307" s="478"/>
      <c r="H307" s="419"/>
      <c r="I307" s="239"/>
      <c r="J307" s="568"/>
      <c r="K307" s="57"/>
      <c r="L307" s="150"/>
      <c r="M307" s="57"/>
      <c r="N307" s="57"/>
      <c r="O307" s="57"/>
      <c r="P307" s="157"/>
      <c r="Q307" s="404"/>
      <c r="R307" s="148"/>
      <c r="S307" s="242"/>
      <c r="T307" s="242"/>
      <c r="U307" s="242"/>
      <c r="V307" s="242"/>
      <c r="W307" s="242"/>
      <c r="X307" s="242"/>
      <c r="Y307" s="148"/>
      <c r="Z307" s="148"/>
    </row>
    <row r="308">
      <c r="A308" s="274" t="s">
        <v>783</v>
      </c>
      <c r="B308" s="109">
        <v>3534.0</v>
      </c>
      <c r="C308" s="395"/>
      <c r="D308" s="157"/>
      <c r="E308" s="570"/>
      <c r="F308" s="573"/>
      <c r="G308" s="478"/>
      <c r="H308" s="419"/>
      <c r="I308" s="239"/>
      <c r="J308" s="568"/>
      <c r="K308" s="57"/>
      <c r="L308" s="150"/>
      <c r="M308" s="57"/>
      <c r="N308" s="57"/>
      <c r="O308" s="57"/>
      <c r="P308" s="157"/>
      <c r="Q308" s="404"/>
      <c r="R308" s="148"/>
      <c r="S308" s="242"/>
      <c r="T308" s="242"/>
      <c r="U308" s="242"/>
      <c r="V308" s="242"/>
      <c r="W308" s="242"/>
      <c r="X308" s="242"/>
      <c r="Y308" s="148"/>
      <c r="Z308" s="148"/>
    </row>
    <row r="309">
      <c r="A309" s="274" t="s">
        <v>784</v>
      </c>
      <c r="B309" s="109">
        <v>4050.0</v>
      </c>
      <c r="C309" s="395"/>
      <c r="D309" s="157"/>
      <c r="E309" s="570"/>
      <c r="F309" s="573"/>
      <c r="G309" s="478"/>
      <c r="H309" s="419"/>
      <c r="I309" s="239"/>
      <c r="J309" s="568"/>
      <c r="K309" s="57"/>
      <c r="L309" s="150"/>
      <c r="M309" s="57"/>
      <c r="N309" s="57"/>
      <c r="O309" s="57"/>
      <c r="P309" s="157"/>
      <c r="Q309" s="404"/>
      <c r="R309" s="148"/>
      <c r="S309" s="242"/>
      <c r="T309" s="242"/>
      <c r="U309" s="242"/>
      <c r="V309" s="242"/>
      <c r="W309" s="242"/>
      <c r="X309" s="242"/>
      <c r="Y309" s="148"/>
      <c r="Z309" s="148"/>
    </row>
    <row r="310">
      <c r="A310" s="274" t="s">
        <v>785</v>
      </c>
      <c r="B310" s="109"/>
      <c r="C310" s="395"/>
      <c r="D310" s="157"/>
      <c r="E310" s="570"/>
      <c r="F310" s="573"/>
      <c r="G310" s="478"/>
      <c r="H310" s="419"/>
      <c r="I310" s="239"/>
      <c r="J310" s="568"/>
      <c r="K310" s="57"/>
      <c r="L310" s="150"/>
      <c r="M310" s="57"/>
      <c r="N310" s="57"/>
      <c r="O310" s="57"/>
      <c r="P310" s="157"/>
      <c r="Q310" s="404"/>
      <c r="R310" s="148"/>
      <c r="S310" s="242"/>
      <c r="T310" s="242"/>
      <c r="U310" s="242"/>
      <c r="V310" s="242"/>
      <c r="W310" s="242"/>
      <c r="X310" s="242"/>
      <c r="Y310" s="148"/>
      <c r="Z310" s="148"/>
    </row>
    <row r="311">
      <c r="A311" s="402"/>
      <c r="B311" s="403"/>
      <c r="C311" s="403"/>
      <c r="D311" s="403"/>
      <c r="E311" s="574"/>
      <c r="F311" s="575"/>
      <c r="G311" s="159"/>
      <c r="H311" s="159"/>
      <c r="I311" s="159"/>
      <c r="J311" s="576"/>
      <c r="K311" s="159"/>
      <c r="L311" s="162"/>
      <c r="M311" s="402"/>
      <c r="N311" s="402"/>
      <c r="O311" s="159"/>
      <c r="P311" s="403"/>
      <c r="Q311" s="577"/>
      <c r="R311" s="148"/>
      <c r="S311" s="242"/>
      <c r="T311" s="242"/>
      <c r="U311" s="242"/>
      <c r="V311" s="242"/>
      <c r="W311" s="242"/>
      <c r="X311" s="242"/>
      <c r="Y311" s="148"/>
      <c r="Z311" s="148"/>
    </row>
    <row r="312">
      <c r="A312" s="148"/>
      <c r="B312" s="148"/>
      <c r="C312" s="148"/>
      <c r="D312" s="245"/>
      <c r="E312" s="585"/>
      <c r="F312" s="586"/>
      <c r="G312" s="148"/>
      <c r="H312" s="148"/>
      <c r="I312" s="251"/>
      <c r="J312" s="243"/>
      <c r="K312" s="148"/>
      <c r="L312" s="277"/>
      <c r="M312" s="252"/>
      <c r="N312" s="250"/>
      <c r="O312" s="253"/>
      <c r="P312" s="240"/>
      <c r="Q312" s="148"/>
      <c r="R312" s="148"/>
      <c r="S312" s="242"/>
      <c r="T312" s="242"/>
      <c r="U312" s="242"/>
      <c r="V312" s="242"/>
      <c r="W312" s="242"/>
      <c r="X312" s="242"/>
      <c r="Y312" s="148"/>
      <c r="Z312" s="148"/>
    </row>
    <row r="313">
      <c r="A313" s="169" t="s">
        <v>150</v>
      </c>
      <c r="B313" s="539"/>
      <c r="C313" s="540"/>
      <c r="D313" s="405"/>
      <c r="E313" s="541"/>
      <c r="F313" s="542"/>
      <c r="G313" s="467" t="s">
        <v>333</v>
      </c>
      <c r="H313" s="361"/>
      <c r="I313" s="57"/>
      <c r="J313" s="105"/>
      <c r="K313" s="57"/>
      <c r="L313" s="150"/>
      <c r="M313" s="239"/>
      <c r="N313" s="239"/>
      <c r="O313" s="57"/>
      <c r="P313" s="157"/>
      <c r="Q313" s="404"/>
      <c r="R313" s="148"/>
      <c r="S313" s="242"/>
      <c r="T313" s="242"/>
      <c r="U313" s="242"/>
      <c r="V313" s="242"/>
      <c r="W313" s="242"/>
      <c r="X313" s="242"/>
      <c r="Y313" s="148"/>
      <c r="Z313" s="148"/>
    </row>
    <row r="314">
      <c r="A314" s="468"/>
      <c r="B314" s="157"/>
      <c r="C314" s="466"/>
      <c r="D314" s="405"/>
      <c r="E314" s="543" t="s">
        <v>335</v>
      </c>
      <c r="F314" s="544" t="s">
        <v>237</v>
      </c>
      <c r="G314" s="412" t="s">
        <v>336</v>
      </c>
      <c r="H314" s="413" t="s">
        <v>337</v>
      </c>
      <c r="I314" s="239"/>
      <c r="J314" s="145" t="s">
        <v>60</v>
      </c>
      <c r="K314" s="57"/>
      <c r="L314" s="150"/>
      <c r="M314" s="414"/>
      <c r="N314" s="414"/>
      <c r="O314" s="57" t="s">
        <v>334</v>
      </c>
      <c r="P314" s="157"/>
      <c r="Q314" s="404"/>
      <c r="R314" s="148"/>
      <c r="S314" s="242"/>
      <c r="T314" s="242"/>
      <c r="U314" s="242"/>
      <c r="V314" s="242"/>
      <c r="W314" s="242"/>
      <c r="X314" s="242"/>
      <c r="Y314" s="148"/>
      <c r="Z314" s="148"/>
    </row>
    <row r="315">
      <c r="A315" s="470" t="s">
        <v>179</v>
      </c>
      <c r="C315" s="416">
        <f>SUM(F315:F349)</f>
        <v>6621</v>
      </c>
      <c r="D315" s="405"/>
      <c r="E315" s="545" t="s">
        <v>690</v>
      </c>
      <c r="F315" s="546"/>
      <c r="G315" s="419"/>
      <c r="H315" s="419"/>
      <c r="I315" s="57"/>
      <c r="K315" s="57"/>
      <c r="L315" s="150"/>
      <c r="M315" s="377" t="s">
        <v>366</v>
      </c>
      <c r="P315" s="157"/>
      <c r="Q315" s="404"/>
      <c r="R315" s="148"/>
      <c r="S315" s="242"/>
      <c r="T315" s="242"/>
      <c r="U315" s="242"/>
      <c r="V315" s="242"/>
      <c r="W315" s="242"/>
      <c r="X315" s="242"/>
      <c r="Y315" s="148"/>
      <c r="Z315" s="148"/>
    </row>
    <row r="316">
      <c r="A316" s="421" t="s">
        <v>343</v>
      </c>
      <c r="B316" s="422" t="s">
        <v>321</v>
      </c>
      <c r="C316" s="416">
        <f>SUM(P316:P349)</f>
        <v>751</v>
      </c>
      <c r="D316" s="157"/>
      <c r="E316" s="545" t="s">
        <v>691</v>
      </c>
      <c r="F316" s="546">
        <v>100.0</v>
      </c>
      <c r="G316" s="419"/>
      <c r="H316" s="419"/>
      <c r="I316" s="239"/>
      <c r="J316" s="471" t="s">
        <v>341</v>
      </c>
      <c r="K316" s="420"/>
      <c r="L316" s="150"/>
      <c r="M316" s="374"/>
      <c r="O316" s="591" t="s">
        <v>860</v>
      </c>
      <c r="P316" s="592">
        <v>65.0</v>
      </c>
      <c r="Q316" s="404"/>
      <c r="R316" s="148"/>
      <c r="S316" s="242"/>
      <c r="T316" s="242"/>
      <c r="U316" s="242"/>
      <c r="V316" s="242"/>
      <c r="W316" s="242"/>
      <c r="X316" s="242"/>
      <c r="Y316" s="148"/>
      <c r="Z316" s="148"/>
    </row>
    <row r="317">
      <c r="A317" s="427" t="s">
        <v>201</v>
      </c>
      <c r="C317" s="204">
        <f>SUM(L316:L349)</f>
        <v>5113.1</v>
      </c>
      <c r="D317" s="157"/>
      <c r="E317" s="545" t="s">
        <v>693</v>
      </c>
      <c r="F317" s="546">
        <v>90.0</v>
      </c>
      <c r="G317" s="419"/>
      <c r="H317" s="419"/>
      <c r="I317" s="239"/>
      <c r="J317" s="472" t="s">
        <v>345</v>
      </c>
      <c r="K317" s="420"/>
      <c r="L317" s="150"/>
      <c r="M317" s="374"/>
      <c r="O317" s="426" t="s">
        <v>861</v>
      </c>
      <c r="P317" s="423">
        <v>166.0</v>
      </c>
      <c r="Q317" s="404"/>
      <c r="R317" s="148"/>
      <c r="S317" s="242"/>
      <c r="T317" s="242"/>
      <c r="U317" s="242"/>
      <c r="V317" s="242"/>
      <c r="W317" s="242"/>
      <c r="X317" s="242"/>
      <c r="Y317" s="148"/>
      <c r="Z317" s="148"/>
    </row>
    <row r="318">
      <c r="A318" s="548" t="s">
        <v>761</v>
      </c>
      <c r="B318" s="549">
        <v>0.4</v>
      </c>
      <c r="C318" s="191">
        <v>300.0</v>
      </c>
      <c r="D318" s="157"/>
      <c r="E318" s="550" t="s">
        <v>695</v>
      </c>
      <c r="F318" s="546">
        <v>560.0</v>
      </c>
      <c r="G318" s="587"/>
      <c r="H318" s="419"/>
      <c r="I318" s="239"/>
      <c r="J318" s="433" t="s">
        <v>656</v>
      </c>
      <c r="K318" s="420"/>
      <c r="L318" s="193"/>
      <c r="M318" s="374"/>
      <c r="O318" s="426" t="s">
        <v>569</v>
      </c>
      <c r="P318" s="423">
        <v>520.0</v>
      </c>
      <c r="Q318" s="404"/>
      <c r="R318" s="148"/>
      <c r="S318" s="242"/>
      <c r="T318" s="242"/>
      <c r="U318" s="242"/>
      <c r="V318" s="242"/>
      <c r="W318" s="242"/>
      <c r="X318" s="242"/>
      <c r="Y318" s="148"/>
      <c r="Z318" s="148"/>
    </row>
    <row r="319">
      <c r="A319" s="434" t="s">
        <v>350</v>
      </c>
      <c r="C319" s="551">
        <f>C315-C317-C318</f>
        <v>1207.9</v>
      </c>
      <c r="D319" s="157"/>
      <c r="E319" s="192" t="s">
        <v>795</v>
      </c>
      <c r="F319" s="546">
        <v>150.0</v>
      </c>
      <c r="G319" s="455"/>
      <c r="H319" s="419"/>
      <c r="I319" s="57"/>
      <c r="J319" s="444" t="s">
        <v>658</v>
      </c>
      <c r="K319" s="420"/>
      <c r="L319" s="193">
        <v>48.0</v>
      </c>
      <c r="M319" s="377"/>
      <c r="O319" s="431"/>
      <c r="P319" s="157"/>
      <c r="Q319" s="404"/>
      <c r="R319" s="148"/>
      <c r="S319" s="242"/>
      <c r="T319" s="242"/>
      <c r="U319" s="242"/>
      <c r="V319" s="242"/>
      <c r="W319" s="242"/>
      <c r="X319" s="242"/>
      <c r="Y319" s="148"/>
      <c r="Z319" s="148"/>
    </row>
    <row r="320">
      <c r="A320" s="554"/>
      <c r="B320" s="555"/>
      <c r="C320" s="447"/>
      <c r="D320" s="157"/>
      <c r="E320" s="192" t="s">
        <v>862</v>
      </c>
      <c r="F320" s="546">
        <v>950.0</v>
      </c>
      <c r="G320" s="419"/>
      <c r="H320" s="419"/>
      <c r="I320" s="57"/>
      <c r="J320" s="444" t="s">
        <v>660</v>
      </c>
      <c r="K320" s="420"/>
      <c r="L320" s="193">
        <v>230.0</v>
      </c>
      <c r="M320" s="377"/>
      <c r="O320" s="431"/>
      <c r="P320" s="157"/>
      <c r="Q320" s="404"/>
      <c r="R320" s="148"/>
      <c r="S320" s="242"/>
      <c r="T320" s="242"/>
      <c r="U320" s="242"/>
      <c r="V320" s="242"/>
      <c r="W320" s="242"/>
      <c r="X320" s="242"/>
      <c r="Y320" s="148"/>
      <c r="Z320" s="148"/>
    </row>
    <row r="321">
      <c r="A321" s="556"/>
      <c r="C321" s="395"/>
      <c r="D321" s="157"/>
      <c r="E321" s="192" t="s">
        <v>863</v>
      </c>
      <c r="F321" s="546">
        <v>45.0</v>
      </c>
      <c r="G321" s="455"/>
      <c r="H321" s="419"/>
      <c r="I321" s="239"/>
      <c r="J321" s="370" t="s">
        <v>662</v>
      </c>
      <c r="K321" s="420"/>
      <c r="L321" s="193"/>
      <c r="M321" s="374"/>
      <c r="O321" s="431"/>
      <c r="P321" s="157"/>
      <c r="Q321" s="404"/>
      <c r="R321" s="148"/>
      <c r="S321" s="242"/>
      <c r="T321" s="242"/>
      <c r="U321" s="242"/>
      <c r="V321" s="242"/>
      <c r="W321" s="242"/>
      <c r="X321" s="242"/>
      <c r="Y321" s="148"/>
      <c r="Z321" s="148"/>
    </row>
    <row r="322">
      <c r="A322" s="557"/>
      <c r="B322" s="109"/>
      <c r="C322" s="395"/>
      <c r="D322" s="373"/>
      <c r="E322" s="192" t="s">
        <v>864</v>
      </c>
      <c r="F322" s="546">
        <v>90.0</v>
      </c>
      <c r="G322" s="419"/>
      <c r="H322" s="419"/>
      <c r="I322" s="239"/>
      <c r="J322" s="433" t="s">
        <v>666</v>
      </c>
      <c r="K322" s="420"/>
      <c r="L322" s="150"/>
      <c r="M322" s="374"/>
      <c r="O322" s="431"/>
      <c r="P322" s="157"/>
      <c r="Q322" s="404"/>
      <c r="R322" s="148"/>
      <c r="S322" s="242"/>
      <c r="T322" s="242"/>
      <c r="U322" s="242"/>
      <c r="V322" s="242"/>
      <c r="W322" s="242"/>
      <c r="X322" s="242"/>
      <c r="Y322" s="148"/>
      <c r="Z322" s="148"/>
    </row>
    <row r="323">
      <c r="A323" s="559" t="s">
        <v>765</v>
      </c>
      <c r="B323" s="560">
        <f>SUM(D323:D349)</f>
        <v>1747</v>
      </c>
      <c r="C323" s="477" t="s">
        <v>366</v>
      </c>
      <c r="D323" s="157"/>
      <c r="E323" s="192" t="s">
        <v>865</v>
      </c>
      <c r="F323" s="546">
        <v>940.0</v>
      </c>
      <c r="G323" s="419"/>
      <c r="H323" s="419"/>
      <c r="I323" s="239"/>
      <c r="J323" s="433" t="s">
        <v>668</v>
      </c>
      <c r="K323" s="420"/>
      <c r="L323" s="150"/>
      <c r="M323" s="377"/>
      <c r="O323" s="431"/>
      <c r="P323" s="157"/>
      <c r="Q323" s="404"/>
      <c r="R323" s="148"/>
      <c r="S323" s="242"/>
      <c r="T323" s="242"/>
      <c r="U323" s="242"/>
      <c r="V323" s="242"/>
      <c r="W323" s="242"/>
      <c r="X323" s="242"/>
      <c r="Y323" s="148"/>
      <c r="Z323" s="148"/>
    </row>
    <row r="324">
      <c r="A324" s="453" t="s">
        <v>369</v>
      </c>
      <c r="C324" s="561" t="s">
        <v>766</v>
      </c>
      <c r="D324" s="423">
        <v>397.0</v>
      </c>
      <c r="E324" s="192" t="s">
        <v>601</v>
      </c>
      <c r="F324" s="546">
        <v>80.0</v>
      </c>
      <c r="G324" s="419"/>
      <c r="H324" s="419"/>
      <c r="I324" s="239"/>
      <c r="J324" s="433" t="s">
        <v>670</v>
      </c>
      <c r="K324" s="458"/>
      <c r="L324" s="193">
        <v>1250.0</v>
      </c>
      <c r="M324" s="377"/>
      <c r="O324" s="431"/>
      <c r="P324" s="157"/>
      <c r="Q324" s="404"/>
      <c r="R324" s="148"/>
      <c r="S324" s="242"/>
      <c r="T324" s="242"/>
      <c r="U324" s="242"/>
      <c r="V324" s="242"/>
      <c r="W324" s="242"/>
      <c r="X324" s="242"/>
      <c r="Y324" s="148"/>
      <c r="Z324" s="148"/>
    </row>
    <row r="325">
      <c r="C325" s="561" t="s">
        <v>767</v>
      </c>
      <c r="D325" s="423">
        <v>164.0</v>
      </c>
      <c r="E325" s="192" t="s">
        <v>429</v>
      </c>
      <c r="F325" s="546">
        <v>1650.0</v>
      </c>
      <c r="G325" s="419"/>
      <c r="H325" s="419"/>
      <c r="I325" s="239"/>
      <c r="J325" s="433" t="s">
        <v>217</v>
      </c>
      <c r="K325" s="458"/>
      <c r="L325" s="150"/>
      <c r="M325" s="377"/>
      <c r="O325" s="431"/>
      <c r="P325" s="157"/>
      <c r="Q325" s="404"/>
      <c r="R325" s="148"/>
      <c r="S325" s="242"/>
      <c r="T325" s="242"/>
      <c r="U325" s="242"/>
      <c r="V325" s="242"/>
      <c r="W325" s="242"/>
      <c r="X325" s="242"/>
      <c r="Y325" s="148"/>
      <c r="Z325" s="148"/>
    </row>
    <row r="326">
      <c r="A326" s="57"/>
      <c r="B326" s="57"/>
      <c r="C326" s="561" t="s">
        <v>768</v>
      </c>
      <c r="D326" s="423">
        <v>82.0</v>
      </c>
      <c r="E326" s="192" t="s">
        <v>518</v>
      </c>
      <c r="F326" s="546">
        <v>200.0</v>
      </c>
      <c r="G326" s="419"/>
      <c r="H326" s="419"/>
      <c r="I326" s="239"/>
      <c r="J326" s="109"/>
      <c r="K326" s="420"/>
      <c r="L326" s="193"/>
      <c r="M326" s="374"/>
      <c r="O326" s="431"/>
      <c r="P326" s="157"/>
      <c r="Q326" s="404"/>
      <c r="R326" s="148"/>
      <c r="S326" s="242"/>
      <c r="T326" s="242"/>
      <c r="U326" s="242"/>
      <c r="V326" s="242"/>
      <c r="W326" s="242"/>
      <c r="X326" s="242"/>
      <c r="Y326" s="148"/>
      <c r="Z326" s="148"/>
    </row>
    <row r="327">
      <c r="A327" s="57"/>
      <c r="B327" s="57"/>
      <c r="C327" s="561" t="s">
        <v>769</v>
      </c>
      <c r="D327" s="157"/>
      <c r="E327" s="192" t="s">
        <v>866</v>
      </c>
      <c r="F327" s="546">
        <v>166.0</v>
      </c>
      <c r="G327" s="593" t="s">
        <v>426</v>
      </c>
      <c r="H327" s="419"/>
      <c r="I327" s="239"/>
      <c r="J327" s="456" t="s">
        <v>672</v>
      </c>
      <c r="K327" s="420"/>
      <c r="L327" s="594">
        <v>151.36</v>
      </c>
      <c r="M327" s="377"/>
      <c r="O327" s="431"/>
      <c r="P327" s="157"/>
      <c r="Q327" s="404"/>
      <c r="R327" s="148"/>
      <c r="S327" s="242"/>
      <c r="T327" s="242"/>
      <c r="U327" s="242"/>
      <c r="V327" s="242"/>
      <c r="W327" s="242"/>
      <c r="X327" s="242"/>
      <c r="Y327" s="148"/>
      <c r="Z327" s="148"/>
    </row>
    <row r="328">
      <c r="A328" s="57"/>
      <c r="B328" s="57"/>
      <c r="C328" s="561" t="s">
        <v>770</v>
      </c>
      <c r="D328" s="423"/>
      <c r="E328" s="192" t="s">
        <v>795</v>
      </c>
      <c r="F328" s="546">
        <v>150.0</v>
      </c>
      <c r="G328" s="419"/>
      <c r="H328" s="419"/>
      <c r="I328" s="57"/>
      <c r="J328" s="456" t="s">
        <v>675</v>
      </c>
      <c r="K328" s="420"/>
      <c r="L328" s="150"/>
      <c r="M328" s="382"/>
      <c r="O328" s="431"/>
      <c r="P328" s="157"/>
      <c r="Q328" s="404"/>
      <c r="R328" s="148"/>
      <c r="S328" s="242"/>
      <c r="T328" s="242"/>
      <c r="U328" s="242"/>
      <c r="V328" s="242"/>
      <c r="W328" s="242"/>
      <c r="X328" s="242"/>
      <c r="Y328" s="148"/>
      <c r="Z328" s="148"/>
    </row>
    <row r="329">
      <c r="A329" s="57"/>
      <c r="B329" s="57"/>
      <c r="C329" s="561" t="s">
        <v>793</v>
      </c>
      <c r="D329" s="423">
        <v>225.0</v>
      </c>
      <c r="E329" s="192" t="s">
        <v>569</v>
      </c>
      <c r="F329" s="546">
        <v>500.0</v>
      </c>
      <c r="G329" s="593" t="s">
        <v>426</v>
      </c>
      <c r="H329" s="419"/>
      <c r="I329" s="57"/>
      <c r="J329" s="456"/>
      <c r="K329" s="420"/>
      <c r="L329" s="150"/>
      <c r="M329" s="425"/>
      <c r="O329" s="431"/>
      <c r="P329" s="157"/>
      <c r="Q329" s="404"/>
      <c r="R329" s="148"/>
      <c r="S329" s="242"/>
      <c r="T329" s="242"/>
      <c r="U329" s="242"/>
      <c r="V329" s="242"/>
      <c r="W329" s="242"/>
      <c r="X329" s="242"/>
      <c r="Y329" s="148"/>
      <c r="Z329" s="148"/>
    </row>
    <row r="330">
      <c r="A330" s="239"/>
      <c r="B330" s="57"/>
      <c r="C330" s="561" t="s">
        <v>794</v>
      </c>
      <c r="D330" s="423">
        <v>34.0</v>
      </c>
      <c r="E330" s="192" t="s">
        <v>569</v>
      </c>
      <c r="F330" s="546">
        <v>500.0</v>
      </c>
      <c r="G330" s="419"/>
      <c r="H330" s="419"/>
      <c r="I330" s="57"/>
      <c r="J330" s="375"/>
      <c r="K330" s="420"/>
      <c r="L330" s="150"/>
      <c r="M330" s="425"/>
      <c r="O330" s="431"/>
      <c r="P330" s="157"/>
      <c r="Q330" s="404"/>
      <c r="R330" s="148"/>
      <c r="S330" s="242"/>
      <c r="T330" s="242"/>
      <c r="U330" s="242"/>
      <c r="V330" s="242"/>
      <c r="W330" s="242"/>
      <c r="X330" s="242"/>
      <c r="Y330" s="148"/>
      <c r="Z330" s="148"/>
    </row>
    <row r="331">
      <c r="A331" s="239"/>
      <c r="B331" s="57"/>
      <c r="C331" s="561" t="s">
        <v>18</v>
      </c>
      <c r="D331" s="423"/>
      <c r="E331" s="192" t="s">
        <v>348</v>
      </c>
      <c r="F331" s="546">
        <v>450.0</v>
      </c>
      <c r="G331" s="419"/>
      <c r="H331" s="419"/>
      <c r="I331" s="57"/>
      <c r="J331" s="375"/>
      <c r="K331" s="420"/>
      <c r="L331" s="193"/>
      <c r="M331" s="382"/>
      <c r="O331" s="431"/>
      <c r="P331" s="157"/>
      <c r="Q331" s="404"/>
      <c r="R331" s="148"/>
      <c r="S331" s="242"/>
      <c r="T331" s="242"/>
      <c r="U331" s="242"/>
      <c r="V331" s="242"/>
      <c r="W331" s="242"/>
      <c r="X331" s="242"/>
      <c r="Y331" s="148"/>
      <c r="Z331" s="148"/>
    </row>
    <row r="332">
      <c r="A332" s="239"/>
      <c r="B332" s="57"/>
      <c r="C332" s="561" t="s">
        <v>773</v>
      </c>
      <c r="D332" s="157"/>
      <c r="E332" s="228"/>
      <c r="F332" s="547"/>
      <c r="G332" s="455"/>
      <c r="H332" s="419"/>
      <c r="I332" s="57"/>
      <c r="J332" s="452"/>
      <c r="K332" s="420"/>
      <c r="L332" s="150"/>
      <c r="M332" s="425"/>
      <c r="O332" s="431"/>
      <c r="P332" s="157"/>
      <c r="Q332" s="404"/>
      <c r="R332" s="148"/>
      <c r="S332" s="242"/>
      <c r="T332" s="242"/>
      <c r="U332" s="242"/>
      <c r="V332" s="242"/>
      <c r="W332" s="242"/>
      <c r="X332" s="242"/>
      <c r="Y332" s="148"/>
      <c r="Z332" s="148"/>
    </row>
    <row r="333">
      <c r="A333" s="57"/>
      <c r="B333" s="57"/>
      <c r="C333" s="561" t="s">
        <v>774</v>
      </c>
      <c r="D333" s="423">
        <v>5.0</v>
      </c>
      <c r="E333" s="228"/>
      <c r="F333" s="547"/>
      <c r="G333" s="419"/>
      <c r="H333" s="419"/>
      <c r="I333" s="57"/>
      <c r="J333" s="105"/>
      <c r="K333" s="420"/>
      <c r="L333" s="193"/>
      <c r="M333" s="425"/>
      <c r="O333" s="431"/>
      <c r="P333" s="157"/>
      <c r="Q333" s="404"/>
      <c r="R333" s="148"/>
      <c r="S333" s="242"/>
      <c r="T333" s="242"/>
      <c r="U333" s="242"/>
      <c r="V333" s="242"/>
      <c r="W333" s="242"/>
      <c r="X333" s="242"/>
      <c r="Y333" s="148"/>
      <c r="Z333" s="148"/>
    </row>
    <row r="334">
      <c r="A334" s="239"/>
      <c r="B334" s="239"/>
      <c r="C334" s="561" t="s">
        <v>775</v>
      </c>
      <c r="D334" s="423">
        <v>360.0</v>
      </c>
      <c r="E334" s="228"/>
      <c r="F334" s="547"/>
      <c r="G334" s="419"/>
      <c r="H334" s="419"/>
      <c r="I334" s="57"/>
      <c r="J334" s="378" t="s">
        <v>682</v>
      </c>
      <c r="K334" s="420"/>
      <c r="L334" s="193">
        <v>175.0</v>
      </c>
      <c r="M334" s="377" t="s">
        <v>867</v>
      </c>
      <c r="O334" s="431"/>
      <c r="P334" s="157"/>
      <c r="Q334" s="404"/>
      <c r="R334" s="148"/>
      <c r="S334" s="242"/>
      <c r="T334" s="242"/>
      <c r="U334" s="242"/>
      <c r="V334" s="242"/>
      <c r="W334" s="242"/>
      <c r="X334" s="242"/>
      <c r="Y334" s="148"/>
      <c r="Z334" s="148"/>
    </row>
    <row r="335">
      <c r="A335" s="239"/>
      <c r="B335" s="239"/>
      <c r="C335" s="561" t="s">
        <v>10</v>
      </c>
      <c r="D335" s="157"/>
      <c r="E335" s="206"/>
      <c r="F335" s="564"/>
      <c r="G335" s="478"/>
      <c r="H335" s="419"/>
      <c r="I335" s="57"/>
      <c r="J335" s="461" t="s">
        <v>684</v>
      </c>
      <c r="K335" s="420"/>
      <c r="L335" s="193"/>
      <c r="M335" s="377"/>
      <c r="O335" s="431"/>
      <c r="P335" s="157"/>
      <c r="Q335" s="404"/>
      <c r="R335" s="148"/>
      <c r="S335" s="242"/>
      <c r="T335" s="242"/>
      <c r="U335" s="242"/>
      <c r="V335" s="242"/>
      <c r="W335" s="242"/>
      <c r="X335" s="242"/>
      <c r="Y335" s="148"/>
      <c r="Z335" s="148"/>
    </row>
    <row r="336">
      <c r="A336" s="239"/>
      <c r="B336" s="239"/>
      <c r="C336" s="561" t="s">
        <v>6</v>
      </c>
      <c r="D336" s="423">
        <v>380.0</v>
      </c>
      <c r="E336" s="595" t="s">
        <v>868</v>
      </c>
      <c r="F336" s="547"/>
      <c r="G336" s="455"/>
      <c r="H336" s="455"/>
      <c r="I336" s="57"/>
      <c r="J336" s="461" t="s">
        <v>686</v>
      </c>
      <c r="K336" s="420"/>
      <c r="L336" s="193"/>
      <c r="M336" s="377"/>
      <c r="O336" s="463"/>
      <c r="P336" s="157"/>
      <c r="Q336" s="404"/>
      <c r="R336" s="148"/>
      <c r="S336" s="242"/>
      <c r="T336" s="242"/>
      <c r="U336" s="242"/>
      <c r="V336" s="242"/>
      <c r="W336" s="242"/>
      <c r="X336" s="242"/>
      <c r="Y336" s="148"/>
      <c r="Z336" s="148"/>
    </row>
    <row r="337">
      <c r="A337" s="57"/>
      <c r="B337" s="57"/>
      <c r="C337" s="561" t="s">
        <v>779</v>
      </c>
      <c r="D337" s="157"/>
      <c r="E337" s="228"/>
      <c r="F337" s="547"/>
      <c r="G337" s="455"/>
      <c r="H337" s="455"/>
      <c r="I337" s="239"/>
      <c r="J337" s="460" t="s">
        <v>202</v>
      </c>
      <c r="K337" s="420"/>
      <c r="L337" s="193"/>
      <c r="M337" s="377"/>
      <c r="O337" s="463"/>
      <c r="P337" s="157"/>
      <c r="Q337" s="404"/>
      <c r="R337" s="148"/>
      <c r="S337" s="242"/>
      <c r="T337" s="242"/>
      <c r="U337" s="242"/>
      <c r="V337" s="242"/>
      <c r="W337" s="242"/>
      <c r="X337" s="242"/>
      <c r="Y337" s="148"/>
      <c r="Z337" s="148"/>
    </row>
    <row r="338">
      <c r="A338" s="239"/>
      <c r="B338" s="239"/>
      <c r="C338" s="561" t="s">
        <v>780</v>
      </c>
      <c r="D338" s="157"/>
      <c r="E338" s="228"/>
      <c r="F338" s="547"/>
      <c r="G338" s="455"/>
      <c r="H338" s="455"/>
      <c r="I338" s="57"/>
      <c r="J338" s="460" t="s">
        <v>274</v>
      </c>
      <c r="K338" s="420"/>
      <c r="L338" s="193">
        <v>213.74</v>
      </c>
      <c r="M338" s="374"/>
      <c r="O338" s="463"/>
      <c r="P338" s="157"/>
      <c r="Q338" s="404"/>
      <c r="R338" s="148"/>
      <c r="S338" s="242"/>
      <c r="T338" s="242"/>
      <c r="U338" s="242"/>
      <c r="V338" s="242"/>
      <c r="W338" s="242"/>
      <c r="X338" s="242"/>
      <c r="Y338" s="148"/>
      <c r="Z338" s="148"/>
    </row>
    <row r="339">
      <c r="A339" s="239"/>
      <c r="B339" s="239"/>
      <c r="C339" s="561" t="s">
        <v>781</v>
      </c>
      <c r="D339" s="423">
        <v>100.0</v>
      </c>
      <c r="E339" s="228"/>
      <c r="F339" s="547"/>
      <c r="G339" s="455"/>
      <c r="H339" s="419"/>
      <c r="I339" s="239"/>
      <c r="J339" s="568"/>
      <c r="K339" s="420"/>
      <c r="L339" s="150"/>
      <c r="M339" s="374"/>
      <c r="O339" s="431"/>
      <c r="P339" s="157"/>
      <c r="Q339" s="404"/>
      <c r="R339" s="148"/>
      <c r="S339" s="242"/>
      <c r="T339" s="242"/>
      <c r="U339" s="242"/>
      <c r="V339" s="242"/>
      <c r="W339" s="242"/>
      <c r="X339" s="242"/>
      <c r="Y339" s="148"/>
      <c r="Z339" s="148"/>
    </row>
    <row r="340">
      <c r="A340" s="239"/>
      <c r="B340" s="157"/>
      <c r="C340" s="561"/>
      <c r="D340" s="157"/>
      <c r="E340" s="569"/>
      <c r="F340" s="547"/>
      <c r="G340" s="419"/>
      <c r="H340" s="419"/>
      <c r="I340" s="57"/>
      <c r="J340" s="462" t="s">
        <v>381</v>
      </c>
      <c r="K340" s="420"/>
      <c r="L340" s="193">
        <v>590.0</v>
      </c>
      <c r="M340" s="377"/>
      <c r="O340" s="431"/>
      <c r="P340" s="157"/>
      <c r="Q340" s="404"/>
      <c r="R340" s="148"/>
      <c r="S340" s="242"/>
      <c r="T340" s="242"/>
      <c r="U340" s="242"/>
      <c r="V340" s="242"/>
      <c r="W340" s="242"/>
      <c r="X340" s="242"/>
      <c r="Y340" s="148"/>
      <c r="Z340" s="148"/>
    </row>
    <row r="341">
      <c r="A341" s="239"/>
      <c r="B341" s="157"/>
      <c r="C341" s="561"/>
      <c r="D341" s="157"/>
      <c r="E341" s="228"/>
      <c r="F341" s="547"/>
      <c r="G341" s="419"/>
      <c r="H341" s="419"/>
      <c r="I341" s="239"/>
      <c r="J341" s="596" t="s">
        <v>869</v>
      </c>
      <c r="K341" s="420"/>
      <c r="L341" s="193">
        <v>855.0</v>
      </c>
      <c r="M341" s="377"/>
      <c r="O341" s="431"/>
      <c r="P341" s="157"/>
      <c r="Q341" s="404"/>
      <c r="R341" s="148"/>
      <c r="S341" s="242"/>
      <c r="T341" s="242"/>
      <c r="U341" s="242"/>
      <c r="V341" s="242"/>
      <c r="W341" s="242"/>
      <c r="X341" s="242"/>
      <c r="Y341" s="148"/>
      <c r="Z341" s="148"/>
    </row>
    <row r="342">
      <c r="A342" s="239"/>
      <c r="B342" s="157"/>
      <c r="C342" s="561"/>
      <c r="D342" s="157"/>
      <c r="E342" s="570"/>
      <c r="F342" s="547"/>
      <c r="G342" s="419"/>
      <c r="H342" s="419"/>
      <c r="I342" s="239"/>
      <c r="J342" s="568"/>
      <c r="K342" s="420"/>
      <c r="L342" s="193"/>
      <c r="M342" s="374"/>
      <c r="O342" s="431"/>
      <c r="P342" s="157"/>
      <c r="Q342" s="404"/>
      <c r="R342" s="148"/>
      <c r="S342" s="242"/>
      <c r="T342" s="242"/>
      <c r="U342" s="242"/>
      <c r="V342" s="242"/>
      <c r="W342" s="242"/>
      <c r="X342" s="242"/>
      <c r="Y342" s="148"/>
      <c r="Z342" s="148"/>
    </row>
    <row r="343">
      <c r="C343" s="571"/>
      <c r="D343" s="157"/>
      <c r="E343" s="570"/>
      <c r="F343" s="547"/>
      <c r="G343" s="419"/>
      <c r="H343" s="419"/>
      <c r="I343" s="239"/>
      <c r="J343" s="464" t="s">
        <v>692</v>
      </c>
      <c r="K343" s="420"/>
      <c r="L343" s="193">
        <v>300.0</v>
      </c>
      <c r="M343" s="377" t="s">
        <v>870</v>
      </c>
      <c r="O343" s="431"/>
      <c r="P343" s="157"/>
      <c r="Q343" s="404"/>
      <c r="R343" s="148"/>
      <c r="S343" s="242"/>
      <c r="T343" s="242"/>
      <c r="U343" s="242"/>
      <c r="V343" s="242"/>
      <c r="W343" s="242"/>
      <c r="X343" s="242"/>
      <c r="Y343" s="148"/>
      <c r="Z343" s="148"/>
    </row>
    <row r="344">
      <c r="C344" s="571"/>
      <c r="D344" s="157"/>
      <c r="E344" s="570"/>
      <c r="F344" s="547"/>
      <c r="G344" s="419"/>
      <c r="H344" s="419"/>
      <c r="I344" s="239"/>
      <c r="J344" s="464" t="s">
        <v>694</v>
      </c>
      <c r="K344" s="420"/>
      <c r="L344" s="193">
        <v>1300.0</v>
      </c>
      <c r="M344" s="374"/>
      <c r="O344" s="431"/>
      <c r="P344" s="157"/>
      <c r="Q344" s="404"/>
      <c r="R344" s="148"/>
      <c r="S344" s="242"/>
      <c r="T344" s="242"/>
      <c r="U344" s="242"/>
      <c r="V344" s="242"/>
      <c r="W344" s="242"/>
      <c r="X344" s="242"/>
      <c r="Y344" s="148"/>
      <c r="Z344" s="148"/>
    </row>
    <row r="345">
      <c r="C345" s="571"/>
      <c r="D345" s="423"/>
      <c r="E345" s="570"/>
      <c r="F345" s="546"/>
      <c r="G345" s="419"/>
      <c r="H345" s="419"/>
      <c r="I345" s="57"/>
      <c r="J345" s="105"/>
      <c r="K345" s="57"/>
      <c r="L345" s="150"/>
      <c r="M345" s="57"/>
      <c r="N345" s="57"/>
      <c r="O345" s="57"/>
      <c r="P345" s="157"/>
      <c r="Q345" s="404"/>
      <c r="R345" s="148"/>
      <c r="S345" s="242"/>
      <c r="T345" s="242"/>
      <c r="U345" s="242"/>
      <c r="V345" s="242"/>
      <c r="W345" s="242"/>
      <c r="X345" s="242"/>
      <c r="Y345" s="148"/>
      <c r="Z345" s="148"/>
    </row>
    <row r="346">
      <c r="A346" s="125" t="s">
        <v>798</v>
      </c>
      <c r="B346" s="572">
        <f>C319-B323</f>
        <v>-539.1</v>
      </c>
      <c r="D346" s="157"/>
      <c r="E346" s="570"/>
      <c r="F346" s="573"/>
      <c r="G346" s="478"/>
      <c r="H346" s="419"/>
      <c r="I346" s="239"/>
      <c r="J346" s="568"/>
      <c r="K346" s="57"/>
      <c r="L346" s="150"/>
      <c r="M346" s="57"/>
      <c r="N346" s="57"/>
      <c r="O346" s="57"/>
      <c r="P346" s="157"/>
      <c r="Q346" s="404"/>
      <c r="R346" s="148"/>
      <c r="S346" s="242"/>
      <c r="T346" s="242"/>
      <c r="U346" s="242"/>
      <c r="V346" s="242"/>
      <c r="W346" s="242"/>
      <c r="X346" s="242"/>
      <c r="Y346" s="148"/>
      <c r="Z346" s="148"/>
    </row>
    <row r="347">
      <c r="A347" s="274" t="s">
        <v>783</v>
      </c>
      <c r="B347" s="109">
        <v>450.0</v>
      </c>
      <c r="C347" s="395"/>
      <c r="D347" s="157"/>
      <c r="E347" s="570"/>
      <c r="F347" s="573"/>
      <c r="G347" s="478"/>
      <c r="H347" s="419"/>
      <c r="I347" s="239"/>
      <c r="J347" s="568"/>
      <c r="K347" s="57"/>
      <c r="L347" s="150"/>
      <c r="M347" s="57"/>
      <c r="N347" s="57"/>
      <c r="O347" s="57"/>
      <c r="P347" s="157"/>
      <c r="Q347" s="404"/>
      <c r="R347" s="148"/>
      <c r="S347" s="242"/>
      <c r="T347" s="242"/>
      <c r="U347" s="242"/>
      <c r="V347" s="242"/>
      <c r="W347" s="242"/>
      <c r="X347" s="242"/>
      <c r="Y347" s="148"/>
      <c r="Z347" s="148"/>
    </row>
    <row r="348">
      <c r="A348" s="274" t="s">
        <v>784</v>
      </c>
      <c r="B348" s="109">
        <v>2500.0</v>
      </c>
      <c r="C348" s="395"/>
      <c r="D348" s="157"/>
      <c r="E348" s="570"/>
      <c r="F348" s="573"/>
      <c r="G348" s="478"/>
      <c r="H348" s="419"/>
      <c r="I348" s="239"/>
      <c r="J348" s="568"/>
      <c r="K348" s="57"/>
      <c r="L348" s="150"/>
      <c r="M348" s="57"/>
      <c r="N348" s="57"/>
      <c r="O348" s="57"/>
      <c r="P348" s="157"/>
      <c r="Q348" s="404"/>
      <c r="R348" s="148"/>
      <c r="S348" s="242"/>
      <c r="T348" s="242"/>
      <c r="U348" s="242"/>
      <c r="V348" s="242"/>
      <c r="W348" s="242"/>
      <c r="X348" s="242"/>
      <c r="Y348" s="148"/>
      <c r="Z348" s="148"/>
    </row>
    <row r="349">
      <c r="A349" s="274" t="s">
        <v>785</v>
      </c>
      <c r="B349" s="109"/>
      <c r="C349" s="395"/>
      <c r="D349" s="157"/>
      <c r="E349" s="570"/>
      <c r="F349" s="573"/>
      <c r="G349" s="478"/>
      <c r="H349" s="419"/>
      <c r="I349" s="239"/>
      <c r="J349" s="568"/>
      <c r="K349" s="57"/>
      <c r="L349" s="150"/>
      <c r="M349" s="57"/>
      <c r="N349" s="57"/>
      <c r="O349" s="57"/>
      <c r="P349" s="157"/>
      <c r="Q349" s="404"/>
      <c r="R349" s="148"/>
      <c r="S349" s="242"/>
      <c r="T349" s="242"/>
      <c r="U349" s="242"/>
      <c r="V349" s="242"/>
      <c r="W349" s="242"/>
      <c r="X349" s="242"/>
      <c r="Y349" s="148"/>
      <c r="Z349" s="148"/>
    </row>
    <row r="350">
      <c r="A350" s="402"/>
      <c r="B350" s="403"/>
      <c r="C350" s="403"/>
      <c r="D350" s="403"/>
      <c r="E350" s="574"/>
      <c r="F350" s="575"/>
      <c r="G350" s="159"/>
      <c r="H350" s="159"/>
      <c r="I350" s="159"/>
      <c r="J350" s="576"/>
      <c r="K350" s="159"/>
      <c r="L350" s="162"/>
      <c r="M350" s="402"/>
      <c r="N350" s="402"/>
      <c r="O350" s="159"/>
      <c r="P350" s="403"/>
      <c r="Q350" s="577"/>
      <c r="R350" s="148"/>
      <c r="S350" s="242"/>
      <c r="T350" s="242"/>
      <c r="U350" s="242"/>
      <c r="V350" s="242"/>
      <c r="W350" s="242"/>
      <c r="X350" s="242"/>
      <c r="Y350" s="148"/>
      <c r="Z350" s="148"/>
    </row>
    <row r="351">
      <c r="A351" s="148"/>
      <c r="B351" s="148"/>
      <c r="C351" s="148"/>
      <c r="D351" s="245"/>
      <c r="E351" s="585"/>
      <c r="F351" s="586"/>
      <c r="G351" s="148"/>
      <c r="H351" s="148"/>
      <c r="I351" s="251"/>
      <c r="J351" s="243"/>
      <c r="K351" s="148"/>
      <c r="L351" s="277"/>
      <c r="M351" s="252"/>
      <c r="N351" s="250"/>
      <c r="O351" s="253"/>
      <c r="P351" s="240"/>
      <c r="Q351" s="148"/>
      <c r="R351" s="148"/>
      <c r="S351" s="242"/>
      <c r="T351" s="242"/>
      <c r="U351" s="242"/>
      <c r="V351" s="242"/>
      <c r="W351" s="242"/>
      <c r="X351" s="242"/>
      <c r="Y351" s="148"/>
      <c r="Z351" s="148"/>
    </row>
    <row r="352">
      <c r="A352" s="169" t="s">
        <v>98</v>
      </c>
      <c r="B352" s="539"/>
      <c r="C352" s="540"/>
      <c r="D352" s="405"/>
      <c r="E352" s="541"/>
      <c r="F352" s="542"/>
      <c r="G352" s="467" t="s">
        <v>333</v>
      </c>
      <c r="H352" s="361"/>
      <c r="I352" s="57"/>
      <c r="J352" s="105"/>
      <c r="K352" s="57"/>
      <c r="L352" s="150"/>
      <c r="M352" s="239"/>
      <c r="N352" s="239"/>
      <c r="O352" s="57"/>
      <c r="P352" s="157"/>
      <c r="Q352" s="404"/>
      <c r="R352" s="148"/>
      <c r="S352" s="242"/>
      <c r="T352" s="242"/>
      <c r="U352" s="242"/>
      <c r="V352" s="242"/>
      <c r="W352" s="242"/>
      <c r="X352" s="242"/>
      <c r="Y352" s="148"/>
      <c r="Z352" s="148"/>
    </row>
    <row r="353">
      <c r="A353" s="468"/>
      <c r="B353" s="157"/>
      <c r="C353" s="466"/>
      <c r="D353" s="405"/>
      <c r="E353" s="543" t="s">
        <v>335</v>
      </c>
      <c r="F353" s="544" t="s">
        <v>237</v>
      </c>
      <c r="G353" s="412" t="s">
        <v>336</v>
      </c>
      <c r="H353" s="413" t="s">
        <v>337</v>
      </c>
      <c r="I353" s="239"/>
      <c r="J353" s="145" t="s">
        <v>60</v>
      </c>
      <c r="K353" s="57"/>
      <c r="L353" s="150"/>
      <c r="M353" s="414"/>
      <c r="N353" s="414"/>
      <c r="O353" s="57" t="s">
        <v>334</v>
      </c>
      <c r="P353" s="157"/>
      <c r="Q353" s="404"/>
      <c r="R353" s="148"/>
      <c r="S353" s="242"/>
      <c r="T353" s="242"/>
      <c r="U353" s="242"/>
      <c r="V353" s="242"/>
      <c r="W353" s="242"/>
      <c r="X353" s="242"/>
      <c r="Y353" s="148"/>
      <c r="Z353" s="148"/>
    </row>
    <row r="354">
      <c r="A354" s="470" t="s">
        <v>179</v>
      </c>
      <c r="C354" s="416">
        <f>SUM(F354:F388)</f>
        <v>6940</v>
      </c>
      <c r="D354" s="405"/>
      <c r="E354" s="545" t="s">
        <v>690</v>
      </c>
      <c r="F354" s="546"/>
      <c r="G354" s="419"/>
      <c r="H354" s="419"/>
      <c r="I354" s="57"/>
      <c r="K354" s="57"/>
      <c r="L354" s="150"/>
      <c r="M354" s="377" t="s">
        <v>366</v>
      </c>
      <c r="P354" s="157"/>
      <c r="Q354" s="404"/>
      <c r="R354" s="148"/>
      <c r="S354" s="242"/>
      <c r="T354" s="242"/>
      <c r="U354" s="242"/>
      <c r="V354" s="242"/>
      <c r="W354" s="242"/>
      <c r="X354" s="242"/>
      <c r="Y354" s="148"/>
      <c r="Z354" s="148"/>
    </row>
    <row r="355">
      <c r="A355" s="421" t="s">
        <v>343</v>
      </c>
      <c r="B355" s="422" t="s">
        <v>321</v>
      </c>
      <c r="C355" s="416">
        <f>SUM(P355:P388)</f>
        <v>535</v>
      </c>
      <c r="D355" s="157"/>
      <c r="E355" s="545" t="s">
        <v>691</v>
      </c>
      <c r="F355" s="546"/>
      <c r="G355" s="419"/>
      <c r="H355" s="419"/>
      <c r="I355" s="239"/>
      <c r="J355" s="471" t="s">
        <v>341</v>
      </c>
      <c r="K355" s="420"/>
      <c r="L355" s="150"/>
      <c r="M355" s="374"/>
      <c r="O355" s="426" t="s">
        <v>871</v>
      </c>
      <c r="P355" s="423">
        <v>455.0</v>
      </c>
      <c r="Q355" s="404"/>
      <c r="R355" s="148"/>
      <c r="S355" s="242"/>
      <c r="T355" s="242"/>
      <c r="U355" s="242"/>
      <c r="V355" s="242"/>
      <c r="W355" s="242"/>
      <c r="X355" s="242"/>
      <c r="Y355" s="148"/>
      <c r="Z355" s="148"/>
    </row>
    <row r="356">
      <c r="A356" s="427" t="s">
        <v>201</v>
      </c>
      <c r="C356" s="204">
        <f>SUM(L355:L388)</f>
        <v>5922</v>
      </c>
      <c r="D356" s="157"/>
      <c r="E356" s="545" t="s">
        <v>832</v>
      </c>
      <c r="F356" s="546">
        <v>400.0</v>
      </c>
      <c r="G356" s="419"/>
      <c r="H356" s="419"/>
      <c r="I356" s="239"/>
      <c r="J356" s="472" t="s">
        <v>345</v>
      </c>
      <c r="K356" s="420"/>
      <c r="L356" s="150"/>
      <c r="M356" s="374"/>
      <c r="O356" s="426" t="s">
        <v>872</v>
      </c>
      <c r="P356" s="423">
        <v>80.0</v>
      </c>
      <c r="Q356" s="404"/>
      <c r="R356" s="148"/>
      <c r="S356" s="242"/>
      <c r="T356" s="242"/>
      <c r="U356" s="242"/>
      <c r="V356" s="242"/>
      <c r="W356" s="242"/>
      <c r="X356" s="242"/>
      <c r="Y356" s="148"/>
      <c r="Z356" s="148"/>
    </row>
    <row r="357">
      <c r="A357" s="548" t="s">
        <v>761</v>
      </c>
      <c r="B357" s="549">
        <v>0.4</v>
      </c>
      <c r="C357" s="191">
        <v>214.0</v>
      </c>
      <c r="D357" s="157"/>
      <c r="E357" s="550" t="s">
        <v>695</v>
      </c>
      <c r="F357" s="546">
        <v>665.0</v>
      </c>
      <c r="G357" s="587"/>
      <c r="H357" s="419"/>
      <c r="I357" s="239"/>
      <c r="J357" s="433" t="s">
        <v>656</v>
      </c>
      <c r="K357" s="420"/>
      <c r="L357" s="193">
        <v>306.0</v>
      </c>
      <c r="M357" s="374"/>
      <c r="O357" s="426"/>
      <c r="P357" s="423"/>
      <c r="Q357" s="404"/>
      <c r="R357" s="148"/>
      <c r="S357" s="242"/>
      <c r="T357" s="242"/>
      <c r="U357" s="242"/>
      <c r="V357" s="242"/>
      <c r="W357" s="242"/>
      <c r="X357" s="242"/>
      <c r="Y357" s="148"/>
      <c r="Z357" s="148"/>
    </row>
    <row r="358">
      <c r="A358" s="434" t="s">
        <v>350</v>
      </c>
      <c r="C358" s="551">
        <f>C354-C356-C357</f>
        <v>804</v>
      </c>
      <c r="D358" s="157"/>
      <c r="E358" s="334" t="s">
        <v>873</v>
      </c>
      <c r="F358" s="546">
        <v>455.0</v>
      </c>
      <c r="G358" s="593" t="s">
        <v>426</v>
      </c>
      <c r="H358" s="419"/>
      <c r="I358" s="57"/>
      <c r="J358" s="444" t="s">
        <v>658</v>
      </c>
      <c r="K358" s="420"/>
      <c r="L358" s="193">
        <v>48.0</v>
      </c>
      <c r="M358" s="377"/>
      <c r="O358" s="431"/>
      <c r="P358" s="157"/>
      <c r="Q358" s="404"/>
      <c r="R358" s="148"/>
      <c r="S358" s="242"/>
      <c r="T358" s="242"/>
      <c r="U358" s="242"/>
      <c r="V358" s="242"/>
      <c r="W358" s="242"/>
      <c r="X358" s="242"/>
      <c r="Y358" s="148"/>
      <c r="Z358" s="148"/>
    </row>
    <row r="359">
      <c r="A359" s="554"/>
      <c r="B359" s="555"/>
      <c r="C359" s="447"/>
      <c r="D359" s="157"/>
      <c r="E359" s="192" t="s">
        <v>874</v>
      </c>
      <c r="F359" s="546">
        <v>450.0</v>
      </c>
      <c r="G359" s="419"/>
      <c r="H359" s="419"/>
      <c r="I359" s="57"/>
      <c r="J359" s="444" t="s">
        <v>660</v>
      </c>
      <c r="K359" s="420"/>
      <c r="L359" s="193">
        <v>160.0</v>
      </c>
      <c r="M359" s="377"/>
      <c r="O359" s="431"/>
      <c r="P359" s="157"/>
      <c r="Q359" s="404"/>
      <c r="R359" s="148"/>
      <c r="S359" s="242"/>
      <c r="T359" s="242"/>
      <c r="U359" s="242"/>
      <c r="V359" s="242"/>
      <c r="W359" s="242"/>
      <c r="X359" s="242"/>
      <c r="Y359" s="148"/>
      <c r="Z359" s="148"/>
    </row>
    <row r="360">
      <c r="A360" s="556"/>
      <c r="C360" s="395"/>
      <c r="D360" s="157"/>
      <c r="E360" s="192" t="s">
        <v>402</v>
      </c>
      <c r="F360" s="546">
        <v>500.0</v>
      </c>
      <c r="G360" s="455"/>
      <c r="H360" s="419"/>
      <c r="I360" s="239"/>
      <c r="J360" s="370" t="s">
        <v>662</v>
      </c>
      <c r="K360" s="420"/>
      <c r="L360" s="193">
        <v>33.0</v>
      </c>
      <c r="M360" s="377" t="s">
        <v>875</v>
      </c>
      <c r="O360" s="431"/>
      <c r="P360" s="157"/>
      <c r="Q360" s="404"/>
      <c r="R360" s="148"/>
      <c r="S360" s="242"/>
      <c r="T360" s="242"/>
      <c r="U360" s="242"/>
      <c r="V360" s="242"/>
      <c r="W360" s="242"/>
      <c r="X360" s="242"/>
      <c r="Y360" s="148"/>
      <c r="Z360" s="148"/>
    </row>
    <row r="361">
      <c r="A361" s="557"/>
      <c r="B361" s="109"/>
      <c r="C361" s="395"/>
      <c r="D361" s="373"/>
      <c r="E361" s="192" t="s">
        <v>789</v>
      </c>
      <c r="F361" s="546">
        <v>150.0</v>
      </c>
      <c r="G361" s="587"/>
      <c r="H361" s="419"/>
      <c r="I361" s="239"/>
      <c r="J361" s="433" t="s">
        <v>666</v>
      </c>
      <c r="K361" s="420"/>
      <c r="L361" s="193">
        <v>262.0</v>
      </c>
      <c r="M361" s="377" t="s">
        <v>876</v>
      </c>
      <c r="O361" s="431"/>
      <c r="P361" s="157"/>
      <c r="Q361" s="404"/>
      <c r="R361" s="148"/>
      <c r="S361" s="242"/>
      <c r="T361" s="242"/>
      <c r="U361" s="242"/>
      <c r="V361" s="242"/>
      <c r="W361" s="242"/>
      <c r="X361" s="242"/>
      <c r="Y361" s="148"/>
      <c r="Z361" s="148"/>
    </row>
    <row r="362">
      <c r="A362" s="559" t="s">
        <v>765</v>
      </c>
      <c r="B362" s="560">
        <f>SUM(D362:D388)</f>
        <v>1334</v>
      </c>
      <c r="C362" s="477" t="s">
        <v>366</v>
      </c>
      <c r="D362" s="157"/>
      <c r="E362" s="192" t="s">
        <v>669</v>
      </c>
      <c r="F362" s="546">
        <v>700.0</v>
      </c>
      <c r="G362" s="419"/>
      <c r="H362" s="419"/>
      <c r="I362" s="239"/>
      <c r="J362" s="433" t="s">
        <v>668</v>
      </c>
      <c r="K362" s="420"/>
      <c r="L362" s="150"/>
      <c r="M362" s="377"/>
      <c r="O362" s="431"/>
      <c r="P362" s="157"/>
      <c r="Q362" s="404"/>
      <c r="R362" s="148"/>
      <c r="S362" s="242"/>
      <c r="T362" s="242"/>
      <c r="U362" s="242"/>
      <c r="V362" s="242"/>
      <c r="W362" s="242"/>
      <c r="X362" s="242"/>
      <c r="Y362" s="148"/>
      <c r="Z362" s="148"/>
    </row>
    <row r="363">
      <c r="A363" s="453" t="s">
        <v>369</v>
      </c>
      <c r="C363" s="561" t="s">
        <v>766</v>
      </c>
      <c r="D363" s="423">
        <v>397.0</v>
      </c>
      <c r="E363" s="192" t="s">
        <v>812</v>
      </c>
      <c r="F363" s="546">
        <v>100.0</v>
      </c>
      <c r="G363" s="419"/>
      <c r="H363" s="419"/>
      <c r="I363" s="239"/>
      <c r="J363" s="433" t="s">
        <v>670</v>
      </c>
      <c r="K363" s="458"/>
      <c r="L363" s="193">
        <v>1250.0</v>
      </c>
      <c r="M363" s="377"/>
      <c r="O363" s="431"/>
      <c r="P363" s="157"/>
      <c r="Q363" s="404"/>
      <c r="R363" s="148"/>
      <c r="S363" s="242"/>
      <c r="T363" s="242"/>
      <c r="U363" s="242"/>
      <c r="V363" s="242"/>
      <c r="W363" s="242"/>
      <c r="X363" s="242"/>
      <c r="Y363" s="148"/>
      <c r="Z363" s="148"/>
    </row>
    <row r="364">
      <c r="C364" s="561" t="s">
        <v>767</v>
      </c>
      <c r="D364" s="157"/>
      <c r="E364" s="192" t="s">
        <v>877</v>
      </c>
      <c r="F364" s="546">
        <v>1960.0</v>
      </c>
      <c r="G364" s="419"/>
      <c r="H364" s="419"/>
      <c r="I364" s="239"/>
      <c r="J364" s="433" t="s">
        <v>217</v>
      </c>
      <c r="K364" s="458"/>
      <c r="L364" s="150"/>
      <c r="M364" s="377"/>
      <c r="O364" s="431"/>
      <c r="P364" s="157"/>
      <c r="Q364" s="404"/>
      <c r="R364" s="148"/>
      <c r="S364" s="242"/>
      <c r="T364" s="242"/>
      <c r="U364" s="242"/>
      <c r="V364" s="242"/>
      <c r="W364" s="242"/>
      <c r="X364" s="242"/>
      <c r="Y364" s="148"/>
      <c r="Z364" s="148"/>
    </row>
    <row r="365">
      <c r="A365" s="57"/>
      <c r="B365" s="57"/>
      <c r="C365" s="561" t="s">
        <v>768</v>
      </c>
      <c r="D365" s="423"/>
      <c r="E365" s="192" t="s">
        <v>878</v>
      </c>
      <c r="F365" s="546">
        <v>80.0</v>
      </c>
      <c r="G365" s="593" t="s">
        <v>426</v>
      </c>
      <c r="H365" s="419"/>
      <c r="I365" s="239"/>
      <c r="J365" s="109"/>
      <c r="K365" s="420"/>
      <c r="L365" s="193"/>
      <c r="M365" s="374"/>
      <c r="O365" s="431"/>
      <c r="P365" s="157"/>
      <c r="Q365" s="404"/>
      <c r="R365" s="148"/>
      <c r="S365" s="242"/>
      <c r="T365" s="242"/>
      <c r="U365" s="242"/>
      <c r="V365" s="242"/>
      <c r="W365" s="242"/>
      <c r="X365" s="242"/>
      <c r="Y365" s="148"/>
      <c r="Z365" s="148"/>
    </row>
    <row r="366">
      <c r="A366" s="57"/>
      <c r="B366" s="57"/>
      <c r="C366" s="561" t="s">
        <v>769</v>
      </c>
      <c r="D366" s="157"/>
      <c r="E366" s="192" t="s">
        <v>879</v>
      </c>
      <c r="F366" s="546">
        <v>40.0</v>
      </c>
      <c r="G366" s="419"/>
      <c r="H366" s="419"/>
      <c r="I366" s="239"/>
      <c r="J366" s="456" t="s">
        <v>672</v>
      </c>
      <c r="K366" s="420"/>
      <c r="L366" s="150"/>
      <c r="M366" s="377"/>
      <c r="O366" s="431"/>
      <c r="P366" s="157"/>
      <c r="Q366" s="404"/>
      <c r="R366" s="148"/>
      <c r="S366" s="242"/>
      <c r="T366" s="242"/>
      <c r="U366" s="242"/>
      <c r="V366" s="242"/>
      <c r="W366" s="242"/>
      <c r="X366" s="242"/>
      <c r="Y366" s="148"/>
      <c r="Z366" s="148"/>
    </row>
    <row r="367">
      <c r="A367" s="57"/>
      <c r="B367" s="57"/>
      <c r="C367" s="561" t="s">
        <v>770</v>
      </c>
      <c r="D367" s="423"/>
      <c r="E367" s="192" t="s">
        <v>828</v>
      </c>
      <c r="F367" s="546">
        <v>840.0</v>
      </c>
      <c r="G367" s="587"/>
      <c r="H367" s="419"/>
      <c r="I367" s="57"/>
      <c r="J367" s="456" t="s">
        <v>675</v>
      </c>
      <c r="K367" s="420"/>
      <c r="L367" s="150"/>
      <c r="M367" s="382"/>
      <c r="O367" s="431"/>
      <c r="P367" s="157"/>
      <c r="Q367" s="404"/>
      <c r="R367" s="148"/>
      <c r="S367" s="242"/>
      <c r="T367" s="242"/>
      <c r="U367" s="242"/>
      <c r="V367" s="242"/>
      <c r="W367" s="242"/>
      <c r="X367" s="242"/>
      <c r="Y367" s="148"/>
      <c r="Z367" s="148"/>
    </row>
    <row r="368">
      <c r="A368" s="57"/>
      <c r="B368" s="57"/>
      <c r="C368" s="561" t="s">
        <v>793</v>
      </c>
      <c r="D368" s="423">
        <v>160.0</v>
      </c>
      <c r="E368" s="192" t="s">
        <v>880</v>
      </c>
      <c r="F368" s="546">
        <v>600.0</v>
      </c>
      <c r="G368" s="455"/>
      <c r="H368" s="419"/>
      <c r="I368" s="57"/>
      <c r="J368" s="456"/>
      <c r="K368" s="420"/>
      <c r="L368" s="150"/>
      <c r="M368" s="425"/>
      <c r="O368" s="431"/>
      <c r="P368" s="157"/>
      <c r="Q368" s="404"/>
      <c r="R368" s="148"/>
      <c r="S368" s="242"/>
      <c r="T368" s="242"/>
      <c r="U368" s="242"/>
      <c r="V368" s="242"/>
      <c r="W368" s="242"/>
      <c r="X368" s="242"/>
      <c r="Y368" s="148"/>
      <c r="Z368" s="148"/>
    </row>
    <row r="369">
      <c r="A369" s="239"/>
      <c r="B369" s="57"/>
      <c r="C369" s="561" t="s">
        <v>794</v>
      </c>
      <c r="D369" s="423">
        <v>42.0</v>
      </c>
      <c r="E369" s="228"/>
      <c r="F369" s="547"/>
      <c r="G369" s="419"/>
      <c r="H369" s="419"/>
      <c r="I369" s="57"/>
      <c r="J369" s="375"/>
      <c r="K369" s="420"/>
      <c r="L369" s="150"/>
      <c r="M369" s="425"/>
      <c r="O369" s="431"/>
      <c r="P369" s="157"/>
      <c r="Q369" s="404"/>
      <c r="R369" s="148"/>
      <c r="S369" s="242"/>
      <c r="T369" s="242"/>
      <c r="U369" s="242"/>
      <c r="V369" s="242"/>
      <c r="W369" s="242"/>
      <c r="X369" s="242"/>
      <c r="Y369" s="148"/>
      <c r="Z369" s="148"/>
    </row>
    <row r="370">
      <c r="A370" s="239"/>
      <c r="B370" s="57"/>
      <c r="C370" s="561" t="s">
        <v>18</v>
      </c>
      <c r="D370" s="423">
        <v>50.0</v>
      </c>
      <c r="E370" s="228"/>
      <c r="F370" s="547"/>
      <c r="G370" s="419"/>
      <c r="H370" s="419"/>
      <c r="I370" s="57"/>
      <c r="J370" s="375"/>
      <c r="K370" s="420"/>
      <c r="L370" s="193"/>
      <c r="M370" s="382"/>
      <c r="O370" s="431"/>
      <c r="P370" s="157"/>
      <c r="Q370" s="404"/>
      <c r="R370" s="148"/>
      <c r="S370" s="242"/>
      <c r="T370" s="242"/>
      <c r="U370" s="242"/>
      <c r="V370" s="242"/>
      <c r="W370" s="242"/>
      <c r="X370" s="242"/>
      <c r="Y370" s="148"/>
      <c r="Z370" s="148"/>
    </row>
    <row r="371">
      <c r="A371" s="239"/>
      <c r="B371" s="57"/>
      <c r="C371" s="561" t="s">
        <v>773</v>
      </c>
      <c r="D371" s="157"/>
      <c r="E371" s="228"/>
      <c r="F371" s="547"/>
      <c r="G371" s="455"/>
      <c r="H371" s="419"/>
      <c r="I371" s="57"/>
      <c r="J371" s="452"/>
      <c r="K371" s="420"/>
      <c r="L371" s="150"/>
      <c r="M371" s="425"/>
      <c r="O371" s="431"/>
      <c r="P371" s="157"/>
      <c r="Q371" s="404"/>
      <c r="R371" s="148"/>
      <c r="S371" s="242"/>
      <c r="T371" s="242"/>
      <c r="U371" s="242"/>
      <c r="V371" s="242"/>
      <c r="W371" s="242"/>
      <c r="X371" s="242"/>
      <c r="Y371" s="148"/>
      <c r="Z371" s="148"/>
    </row>
    <row r="372">
      <c r="A372" s="57"/>
      <c r="B372" s="57"/>
      <c r="C372" s="561" t="s">
        <v>774</v>
      </c>
      <c r="D372" s="423">
        <v>175.0</v>
      </c>
      <c r="E372" s="228"/>
      <c r="F372" s="547"/>
      <c r="G372" s="419"/>
      <c r="H372" s="419"/>
      <c r="I372" s="57"/>
      <c r="J372" s="105"/>
      <c r="K372" s="420"/>
      <c r="L372" s="150"/>
      <c r="M372" s="425"/>
      <c r="O372" s="431"/>
      <c r="P372" s="157"/>
      <c r="Q372" s="404"/>
      <c r="R372" s="148"/>
      <c r="S372" s="242"/>
      <c r="T372" s="242"/>
      <c r="U372" s="242"/>
      <c r="V372" s="242"/>
      <c r="W372" s="242"/>
      <c r="X372" s="242"/>
      <c r="Y372" s="148"/>
      <c r="Z372" s="148"/>
    </row>
    <row r="373">
      <c r="A373" s="239"/>
      <c r="B373" s="239"/>
      <c r="C373" s="561" t="s">
        <v>775</v>
      </c>
      <c r="D373" s="423">
        <v>227.0</v>
      </c>
      <c r="E373" s="228"/>
      <c r="F373" s="547"/>
      <c r="G373" s="419"/>
      <c r="H373" s="419"/>
      <c r="I373" s="57"/>
      <c r="J373" s="378" t="s">
        <v>682</v>
      </c>
      <c r="K373" s="420"/>
      <c r="L373" s="193">
        <v>171.0</v>
      </c>
      <c r="M373" s="377" t="s">
        <v>881</v>
      </c>
      <c r="O373" s="431"/>
      <c r="P373" s="157"/>
      <c r="Q373" s="404"/>
      <c r="R373" s="148"/>
      <c r="S373" s="242"/>
      <c r="T373" s="242"/>
      <c r="U373" s="242"/>
      <c r="V373" s="242"/>
      <c r="W373" s="242"/>
      <c r="X373" s="242"/>
      <c r="Y373" s="148"/>
      <c r="Z373" s="148"/>
    </row>
    <row r="374">
      <c r="A374" s="239"/>
      <c r="B374" s="239"/>
      <c r="C374" s="561" t="s">
        <v>10</v>
      </c>
      <c r="D374" s="157"/>
      <c r="E374" s="206"/>
      <c r="F374" s="564"/>
      <c r="G374" s="478"/>
      <c r="H374" s="419"/>
      <c r="I374" s="57"/>
      <c r="J374" s="461" t="s">
        <v>684</v>
      </c>
      <c r="K374" s="420"/>
      <c r="L374" s="193"/>
      <c r="M374" s="377"/>
      <c r="O374" s="431"/>
      <c r="P374" s="157"/>
      <c r="Q374" s="404"/>
      <c r="R374" s="148"/>
      <c r="S374" s="242"/>
      <c r="T374" s="242"/>
      <c r="U374" s="242"/>
      <c r="V374" s="242"/>
      <c r="W374" s="242"/>
      <c r="X374" s="242"/>
      <c r="Y374" s="148"/>
      <c r="Z374" s="148"/>
    </row>
    <row r="375">
      <c r="A375" s="239"/>
      <c r="B375" s="239"/>
      <c r="C375" s="561" t="s">
        <v>6</v>
      </c>
      <c r="D375" s="423">
        <v>50.0</v>
      </c>
      <c r="E375" s="206"/>
      <c r="F375" s="547"/>
      <c r="G375" s="455"/>
      <c r="H375" s="455"/>
      <c r="I375" s="57"/>
      <c r="J375" s="461" t="s">
        <v>686</v>
      </c>
      <c r="K375" s="420"/>
      <c r="L375" s="193">
        <v>350.0</v>
      </c>
      <c r="M375" s="377" t="s">
        <v>882</v>
      </c>
      <c r="O375" s="463"/>
      <c r="P375" s="157"/>
      <c r="Q375" s="404"/>
      <c r="R375" s="148"/>
      <c r="S375" s="242"/>
      <c r="T375" s="242"/>
      <c r="U375" s="242"/>
      <c r="V375" s="242"/>
      <c r="W375" s="242"/>
      <c r="X375" s="242"/>
      <c r="Y375" s="148"/>
      <c r="Z375" s="148"/>
    </row>
    <row r="376">
      <c r="A376" s="57"/>
      <c r="B376" s="57"/>
      <c r="C376" s="561" t="s">
        <v>779</v>
      </c>
      <c r="D376" s="157"/>
      <c r="E376" s="228"/>
      <c r="F376" s="547"/>
      <c r="G376" s="455"/>
      <c r="H376" s="455"/>
      <c r="I376" s="239"/>
      <c r="J376" s="460" t="s">
        <v>202</v>
      </c>
      <c r="K376" s="420"/>
      <c r="L376" s="193">
        <v>274.0</v>
      </c>
      <c r="M376" s="377"/>
      <c r="O376" s="463"/>
      <c r="P376" s="157"/>
      <c r="Q376" s="404"/>
      <c r="R376" s="148"/>
      <c r="S376" s="242"/>
      <c r="T376" s="242"/>
      <c r="U376" s="242"/>
      <c r="V376" s="242"/>
      <c r="W376" s="242"/>
      <c r="X376" s="242"/>
      <c r="Y376" s="148"/>
      <c r="Z376" s="148"/>
    </row>
    <row r="377">
      <c r="A377" s="239"/>
      <c r="B377" s="239"/>
      <c r="C377" s="561" t="s">
        <v>780</v>
      </c>
      <c r="D377" s="157"/>
      <c r="E377" s="228"/>
      <c r="F377" s="547"/>
      <c r="G377" s="455"/>
      <c r="H377" s="455"/>
      <c r="I377" s="57"/>
      <c r="J377" s="460" t="s">
        <v>274</v>
      </c>
      <c r="K377" s="420"/>
      <c r="L377" s="193">
        <v>213.0</v>
      </c>
      <c r="M377" s="374"/>
      <c r="O377" s="463"/>
      <c r="P377" s="157"/>
      <c r="Q377" s="404"/>
      <c r="R377" s="148"/>
      <c r="S377" s="242"/>
      <c r="T377" s="242"/>
      <c r="U377" s="242"/>
      <c r="V377" s="242"/>
      <c r="W377" s="242"/>
      <c r="X377" s="242"/>
      <c r="Y377" s="148"/>
      <c r="Z377" s="148"/>
    </row>
    <row r="378">
      <c r="A378" s="239"/>
      <c r="B378" s="239"/>
      <c r="C378" s="561" t="s">
        <v>781</v>
      </c>
      <c r="D378" s="423">
        <v>233.0</v>
      </c>
      <c r="E378" s="228"/>
      <c r="F378" s="547"/>
      <c r="G378" s="455"/>
      <c r="H378" s="419"/>
      <c r="I378" s="239"/>
      <c r="J378" s="568"/>
      <c r="K378" s="420"/>
      <c r="L378" s="150"/>
      <c r="M378" s="374"/>
      <c r="O378" s="431"/>
      <c r="P378" s="157"/>
      <c r="Q378" s="404"/>
      <c r="R378" s="148"/>
      <c r="S378" s="242"/>
      <c r="T378" s="242"/>
      <c r="U378" s="242"/>
      <c r="V378" s="242"/>
      <c r="W378" s="242"/>
      <c r="X378" s="242"/>
      <c r="Y378" s="148"/>
      <c r="Z378" s="148"/>
    </row>
    <row r="379">
      <c r="A379" s="239"/>
      <c r="B379" s="157"/>
      <c r="C379" s="561"/>
      <c r="D379" s="157"/>
      <c r="E379" s="569"/>
      <c r="F379" s="547"/>
      <c r="G379" s="419"/>
      <c r="H379" s="419"/>
      <c r="I379" s="57"/>
      <c r="J379" s="462" t="s">
        <v>381</v>
      </c>
      <c r="K379" s="420"/>
      <c r="L379" s="193">
        <v>760.0</v>
      </c>
      <c r="M379" s="377"/>
      <c r="O379" s="431"/>
      <c r="P379" s="157"/>
      <c r="Q379" s="404"/>
      <c r="R379" s="148"/>
      <c r="S379" s="242"/>
      <c r="T379" s="242"/>
      <c r="U379" s="242"/>
      <c r="V379" s="242"/>
      <c r="W379" s="242"/>
      <c r="X379" s="242"/>
      <c r="Y379" s="148"/>
      <c r="Z379" s="148"/>
    </row>
    <row r="380">
      <c r="A380" s="239"/>
      <c r="B380" s="157"/>
      <c r="C380" s="561"/>
      <c r="D380" s="157"/>
      <c r="E380" s="228"/>
      <c r="F380" s="547"/>
      <c r="G380" s="419"/>
      <c r="H380" s="419"/>
      <c r="I380" s="239"/>
      <c r="J380" s="596" t="s">
        <v>869</v>
      </c>
      <c r="K380" s="420"/>
      <c r="L380" s="193">
        <v>695.0</v>
      </c>
      <c r="M380" s="377"/>
      <c r="O380" s="431"/>
      <c r="P380" s="157"/>
      <c r="Q380" s="404"/>
      <c r="R380" s="148"/>
      <c r="S380" s="242"/>
      <c r="T380" s="242"/>
      <c r="U380" s="242"/>
      <c r="V380" s="242"/>
      <c r="W380" s="242"/>
      <c r="X380" s="242"/>
      <c r="Y380" s="148"/>
      <c r="Z380" s="148"/>
    </row>
    <row r="381">
      <c r="A381" s="239"/>
      <c r="B381" s="157"/>
      <c r="C381" s="561"/>
      <c r="D381" s="157"/>
      <c r="E381" s="570"/>
      <c r="F381" s="547"/>
      <c r="G381" s="419"/>
      <c r="H381" s="419"/>
      <c r="I381" s="239"/>
      <c r="J381" s="568"/>
      <c r="K381" s="420"/>
      <c r="L381" s="193"/>
      <c r="M381" s="374"/>
      <c r="O381" s="431"/>
      <c r="P381" s="157"/>
      <c r="Q381" s="404"/>
      <c r="R381" s="148"/>
      <c r="S381" s="242"/>
      <c r="T381" s="242"/>
      <c r="U381" s="242"/>
      <c r="V381" s="242"/>
      <c r="W381" s="242"/>
      <c r="X381" s="242"/>
      <c r="Y381" s="148"/>
      <c r="Z381" s="148"/>
    </row>
    <row r="382">
      <c r="C382" s="571"/>
      <c r="D382" s="157"/>
      <c r="E382" s="570"/>
      <c r="F382" s="547"/>
      <c r="G382" s="419"/>
      <c r="H382" s="419"/>
      <c r="I382" s="239"/>
      <c r="J382" s="464" t="s">
        <v>692</v>
      </c>
      <c r="K382" s="420"/>
      <c r="L382" s="150"/>
      <c r="M382" s="377"/>
      <c r="O382" s="431"/>
      <c r="P382" s="157"/>
      <c r="Q382" s="404"/>
      <c r="R382" s="148"/>
      <c r="S382" s="242"/>
      <c r="T382" s="242"/>
      <c r="U382" s="242"/>
      <c r="V382" s="242"/>
      <c r="W382" s="242"/>
      <c r="X382" s="242"/>
      <c r="Y382" s="148"/>
      <c r="Z382" s="148"/>
    </row>
    <row r="383">
      <c r="C383" s="571"/>
      <c r="D383" s="157"/>
      <c r="E383" s="570"/>
      <c r="F383" s="547"/>
      <c r="G383" s="419"/>
      <c r="H383" s="419"/>
      <c r="I383" s="239"/>
      <c r="J383" s="464" t="s">
        <v>694</v>
      </c>
      <c r="K383" s="420"/>
      <c r="L383" s="193">
        <v>1400.0</v>
      </c>
      <c r="M383" s="377" t="s">
        <v>883</v>
      </c>
      <c r="O383" s="431"/>
      <c r="P383" s="157"/>
      <c r="Q383" s="404"/>
      <c r="R383" s="148"/>
      <c r="S383" s="242"/>
      <c r="T383" s="242"/>
      <c r="U383" s="242"/>
      <c r="V383" s="242"/>
      <c r="W383" s="242"/>
      <c r="X383" s="242"/>
      <c r="Y383" s="148"/>
      <c r="Z383" s="148"/>
    </row>
    <row r="384">
      <c r="C384" s="571"/>
      <c r="D384" s="423"/>
      <c r="E384" s="570"/>
      <c r="F384" s="546"/>
      <c r="G384" s="419"/>
      <c r="H384" s="419"/>
      <c r="I384" s="57"/>
      <c r="J384" s="105"/>
      <c r="K384" s="57"/>
      <c r="L384" s="150"/>
      <c r="M384" s="57"/>
      <c r="N384" s="57"/>
      <c r="O384" s="57"/>
      <c r="P384" s="157"/>
      <c r="Q384" s="404"/>
      <c r="R384" s="148"/>
      <c r="S384" s="242"/>
      <c r="T384" s="242"/>
      <c r="U384" s="242"/>
      <c r="V384" s="242"/>
      <c r="W384" s="242"/>
      <c r="X384" s="242"/>
      <c r="Y384" s="148"/>
      <c r="Z384" s="148"/>
    </row>
    <row r="385">
      <c r="A385" s="125" t="s">
        <v>798</v>
      </c>
      <c r="B385" s="572">
        <f>C358-B362</f>
        <v>-530</v>
      </c>
      <c r="D385" s="157"/>
      <c r="E385" s="570"/>
      <c r="F385" s="573"/>
      <c r="G385" s="478"/>
      <c r="H385" s="419"/>
      <c r="I385" s="239"/>
      <c r="J385" s="568"/>
      <c r="K385" s="57"/>
      <c r="L385" s="150"/>
      <c r="M385" s="57"/>
      <c r="N385" s="57"/>
      <c r="O385" s="57"/>
      <c r="P385" s="157"/>
      <c r="Q385" s="404"/>
      <c r="R385" s="148"/>
      <c r="S385" s="242"/>
      <c r="T385" s="242"/>
      <c r="U385" s="242"/>
      <c r="V385" s="242"/>
      <c r="W385" s="242"/>
      <c r="X385" s="242"/>
      <c r="Y385" s="148"/>
      <c r="Z385" s="148"/>
    </row>
    <row r="386">
      <c r="A386" s="274" t="s">
        <v>783</v>
      </c>
      <c r="B386" s="109">
        <v>440.0</v>
      </c>
      <c r="C386" s="395"/>
      <c r="D386" s="157"/>
      <c r="E386" s="570"/>
      <c r="F386" s="573"/>
      <c r="G386" s="478"/>
      <c r="H386" s="419"/>
      <c r="I386" s="239"/>
      <c r="J386" s="568"/>
      <c r="K386" s="57"/>
      <c r="L386" s="150"/>
      <c r="M386" s="57"/>
      <c r="N386" s="57"/>
      <c r="O386" s="57"/>
      <c r="P386" s="157"/>
      <c r="Q386" s="404"/>
      <c r="R386" s="148"/>
      <c r="S386" s="242"/>
      <c r="T386" s="242"/>
      <c r="U386" s="242"/>
      <c r="V386" s="242"/>
      <c r="W386" s="242"/>
      <c r="X386" s="242"/>
      <c r="Y386" s="148"/>
      <c r="Z386" s="148"/>
    </row>
    <row r="387">
      <c r="A387" s="274" t="s">
        <v>784</v>
      </c>
      <c r="B387" s="109">
        <v>3400.0</v>
      </c>
      <c r="C387" s="395"/>
      <c r="D387" s="157"/>
      <c r="E387" s="570"/>
      <c r="F387" s="573"/>
      <c r="G387" s="478"/>
      <c r="H387" s="419"/>
      <c r="I387" s="239"/>
      <c r="J387" s="568"/>
      <c r="K387" s="57"/>
      <c r="L387" s="150"/>
      <c r="M387" s="57"/>
      <c r="N387" s="57"/>
      <c r="O387" s="57"/>
      <c r="P387" s="157"/>
      <c r="Q387" s="404"/>
      <c r="R387" s="148"/>
      <c r="S387" s="242"/>
      <c r="T387" s="242"/>
      <c r="U387" s="242"/>
      <c r="V387" s="242"/>
      <c r="W387" s="242"/>
      <c r="X387" s="242"/>
      <c r="Y387" s="148"/>
      <c r="Z387" s="148"/>
    </row>
    <row r="388">
      <c r="A388" s="274" t="s">
        <v>785</v>
      </c>
      <c r="B388" s="109"/>
      <c r="C388" s="395"/>
      <c r="D388" s="157"/>
      <c r="E388" s="570"/>
      <c r="F388" s="573"/>
      <c r="G388" s="478"/>
      <c r="H388" s="419"/>
      <c r="I388" s="239"/>
      <c r="J388" s="568"/>
      <c r="K388" s="57"/>
      <c r="L388" s="150"/>
      <c r="M388" s="57"/>
      <c r="N388" s="57"/>
      <c r="O388" s="57"/>
      <c r="P388" s="157"/>
      <c r="Q388" s="404"/>
      <c r="R388" s="148"/>
      <c r="S388" s="242"/>
      <c r="T388" s="242"/>
      <c r="U388" s="242"/>
      <c r="V388" s="242"/>
      <c r="W388" s="242"/>
      <c r="X388" s="242"/>
      <c r="Y388" s="148"/>
      <c r="Z388" s="148"/>
    </row>
    <row r="389">
      <c r="A389" s="402"/>
      <c r="B389" s="403"/>
      <c r="C389" s="403"/>
      <c r="D389" s="403"/>
      <c r="E389" s="574"/>
      <c r="F389" s="575"/>
      <c r="G389" s="159"/>
      <c r="H389" s="159"/>
      <c r="I389" s="159"/>
      <c r="J389" s="576"/>
      <c r="K389" s="159"/>
      <c r="L389" s="162"/>
      <c r="M389" s="402"/>
      <c r="N389" s="402"/>
      <c r="O389" s="159"/>
      <c r="P389" s="403"/>
      <c r="Q389" s="577"/>
      <c r="R389" s="148"/>
      <c r="S389" s="242"/>
      <c r="T389" s="242"/>
      <c r="U389" s="242"/>
      <c r="V389" s="242"/>
      <c r="W389" s="242"/>
      <c r="X389" s="242"/>
      <c r="Y389" s="148"/>
      <c r="Z389" s="148"/>
    </row>
    <row r="390">
      <c r="A390" s="148"/>
      <c r="B390" s="148"/>
      <c r="C390" s="148"/>
      <c r="D390" s="245"/>
      <c r="E390" s="585"/>
      <c r="F390" s="586"/>
      <c r="G390" s="148"/>
      <c r="H390" s="148"/>
      <c r="I390" s="251"/>
      <c r="J390" s="243"/>
      <c r="K390" s="148"/>
      <c r="L390" s="277"/>
      <c r="M390" s="252"/>
      <c r="N390" s="250"/>
      <c r="O390" s="253"/>
      <c r="P390" s="240"/>
      <c r="Q390" s="148"/>
      <c r="R390" s="148"/>
      <c r="S390" s="242"/>
      <c r="T390" s="242"/>
      <c r="U390" s="242"/>
      <c r="V390" s="242"/>
      <c r="W390" s="242"/>
      <c r="X390" s="242"/>
      <c r="Y390" s="148"/>
      <c r="Z390" s="148"/>
    </row>
    <row r="391">
      <c r="A391" s="169" t="s">
        <v>104</v>
      </c>
      <c r="B391" s="539"/>
      <c r="C391" s="540"/>
      <c r="D391" s="405"/>
      <c r="E391" s="541"/>
      <c r="F391" s="542"/>
      <c r="G391" s="467" t="s">
        <v>333</v>
      </c>
      <c r="H391" s="361"/>
      <c r="I391" s="57"/>
      <c r="J391" s="105"/>
      <c r="K391" s="57"/>
      <c r="L391" s="150"/>
      <c r="M391" s="239"/>
      <c r="N391" s="239"/>
      <c r="O391" s="57"/>
      <c r="P391" s="157"/>
      <c r="Q391" s="404"/>
      <c r="R391" s="148"/>
      <c r="S391" s="242"/>
      <c r="T391" s="242"/>
      <c r="U391" s="242"/>
      <c r="V391" s="242"/>
      <c r="W391" s="242"/>
      <c r="X391" s="242"/>
      <c r="Y391" s="148"/>
      <c r="Z391" s="148"/>
    </row>
    <row r="392">
      <c r="A392" s="468"/>
      <c r="B392" s="157"/>
      <c r="C392" s="466"/>
      <c r="D392" s="405"/>
      <c r="E392" s="543" t="s">
        <v>335</v>
      </c>
      <c r="F392" s="544" t="s">
        <v>237</v>
      </c>
      <c r="G392" s="412" t="s">
        <v>336</v>
      </c>
      <c r="H392" s="413" t="s">
        <v>337</v>
      </c>
      <c r="I392" s="239"/>
      <c r="J392" s="145" t="s">
        <v>60</v>
      </c>
      <c r="K392" s="57"/>
      <c r="L392" s="150"/>
      <c r="M392" s="414"/>
      <c r="N392" s="414"/>
      <c r="O392" s="57" t="s">
        <v>334</v>
      </c>
      <c r="P392" s="157"/>
      <c r="Q392" s="404"/>
      <c r="R392" s="148"/>
      <c r="S392" s="242"/>
      <c r="T392" s="242"/>
      <c r="U392" s="242"/>
      <c r="V392" s="242"/>
      <c r="W392" s="242"/>
      <c r="X392" s="242"/>
      <c r="Y392" s="148"/>
      <c r="Z392" s="148"/>
    </row>
    <row r="393">
      <c r="A393" s="470" t="s">
        <v>179</v>
      </c>
      <c r="C393" s="416">
        <f>SUM(F393:F427)</f>
        <v>6350</v>
      </c>
      <c r="D393" s="405"/>
      <c r="E393" s="545" t="s">
        <v>690</v>
      </c>
      <c r="F393" s="546"/>
      <c r="G393" s="419"/>
      <c r="H393" s="419"/>
      <c r="I393" s="57"/>
      <c r="K393" s="57"/>
      <c r="L393" s="150"/>
      <c r="M393" s="377" t="s">
        <v>366</v>
      </c>
      <c r="P393" s="157"/>
      <c r="Q393" s="404"/>
      <c r="R393" s="148"/>
      <c r="S393" s="242"/>
      <c r="T393" s="242"/>
      <c r="U393" s="242"/>
      <c r="V393" s="242"/>
      <c r="W393" s="242"/>
      <c r="X393" s="242"/>
      <c r="Y393" s="148"/>
      <c r="Z393" s="148"/>
    </row>
    <row r="394">
      <c r="A394" s="421" t="s">
        <v>343</v>
      </c>
      <c r="B394" s="422" t="s">
        <v>321</v>
      </c>
      <c r="C394" s="416">
        <f>SUM(P394:P427)</f>
        <v>1090</v>
      </c>
      <c r="D394" s="157"/>
      <c r="E394" s="545" t="s">
        <v>832</v>
      </c>
      <c r="F394" s="546"/>
      <c r="G394" s="419"/>
      <c r="H394" s="419"/>
      <c r="I394" s="239"/>
      <c r="J394" s="471" t="s">
        <v>341</v>
      </c>
      <c r="K394" s="420"/>
      <c r="L394" s="150"/>
      <c r="M394" s="374"/>
      <c r="O394" s="426" t="s">
        <v>808</v>
      </c>
      <c r="P394" s="423">
        <v>750.0</v>
      </c>
      <c r="Q394" s="404"/>
      <c r="R394" s="148"/>
      <c r="S394" s="242"/>
      <c r="T394" s="242"/>
      <c r="U394" s="242"/>
      <c r="V394" s="242"/>
      <c r="W394" s="242"/>
      <c r="X394" s="242"/>
      <c r="Y394" s="148"/>
      <c r="Z394" s="148"/>
    </row>
    <row r="395">
      <c r="A395" s="427" t="s">
        <v>201</v>
      </c>
      <c r="C395" s="204">
        <f>SUM(L394:L427)</f>
        <v>3095.5</v>
      </c>
      <c r="D395" s="157"/>
      <c r="E395" s="545" t="s">
        <v>693</v>
      </c>
      <c r="F395" s="546"/>
      <c r="G395" s="419"/>
      <c r="H395" s="419"/>
      <c r="I395" s="239"/>
      <c r="J395" s="472" t="s">
        <v>345</v>
      </c>
      <c r="K395" s="420"/>
      <c r="L395" s="150"/>
      <c r="M395" s="374"/>
      <c r="O395" s="426" t="s">
        <v>884</v>
      </c>
      <c r="P395" s="423">
        <v>80.0</v>
      </c>
      <c r="Q395" s="404"/>
      <c r="R395" s="148"/>
      <c r="S395" s="242"/>
      <c r="T395" s="242"/>
      <c r="U395" s="242"/>
      <c r="V395" s="242"/>
      <c r="W395" s="242"/>
      <c r="X395" s="242"/>
      <c r="Y395" s="148"/>
      <c r="Z395" s="148"/>
    </row>
    <row r="396">
      <c r="A396" s="548" t="s">
        <v>761</v>
      </c>
      <c r="B396" s="549">
        <v>0.4</v>
      </c>
      <c r="C396" s="191">
        <v>436.0</v>
      </c>
      <c r="D396" s="157"/>
      <c r="E396" s="550" t="s">
        <v>695</v>
      </c>
      <c r="F396" s="546">
        <v>690.0</v>
      </c>
      <c r="G396" s="419"/>
      <c r="H396" s="419"/>
      <c r="I396" s="239"/>
      <c r="J396" s="433" t="s">
        <v>656</v>
      </c>
      <c r="K396" s="420"/>
      <c r="L396" s="193">
        <v>83.5</v>
      </c>
      <c r="M396" s="377" t="s">
        <v>723</v>
      </c>
      <c r="O396" s="426" t="s">
        <v>873</v>
      </c>
      <c r="P396" s="423">
        <v>260.0</v>
      </c>
      <c r="Q396" s="404"/>
      <c r="R396" s="148"/>
      <c r="S396" s="242"/>
      <c r="T396" s="242"/>
      <c r="U396" s="242"/>
      <c r="V396" s="242"/>
      <c r="W396" s="242"/>
      <c r="X396" s="242"/>
      <c r="Y396" s="148"/>
      <c r="Z396" s="148"/>
    </row>
    <row r="397">
      <c r="A397" s="434" t="s">
        <v>350</v>
      </c>
      <c r="C397" s="551">
        <f>C393-C395-C396</f>
        <v>2818.5</v>
      </c>
      <c r="D397" s="157"/>
      <c r="E397" s="192" t="s">
        <v>862</v>
      </c>
      <c r="F397" s="546">
        <v>450.0</v>
      </c>
      <c r="G397" s="455"/>
      <c r="H397" s="419"/>
      <c r="I397" s="57"/>
      <c r="J397" s="444" t="s">
        <v>658</v>
      </c>
      <c r="K397" s="420"/>
      <c r="L397" s="193">
        <v>48.0</v>
      </c>
      <c r="M397" s="377"/>
      <c r="O397" s="426"/>
      <c r="P397" s="423"/>
      <c r="Q397" s="404"/>
      <c r="R397" s="148"/>
      <c r="S397" s="242"/>
      <c r="T397" s="242"/>
      <c r="U397" s="242"/>
      <c r="V397" s="242"/>
      <c r="W397" s="242"/>
      <c r="X397" s="242"/>
      <c r="Y397" s="148"/>
      <c r="Z397" s="148"/>
    </row>
    <row r="398">
      <c r="A398" s="554"/>
      <c r="B398" s="555"/>
      <c r="C398" s="447"/>
      <c r="D398" s="157"/>
      <c r="E398" s="192" t="s">
        <v>885</v>
      </c>
      <c r="F398" s="546">
        <v>80.0</v>
      </c>
      <c r="G398" s="587"/>
      <c r="H398" s="419"/>
      <c r="I398" s="57"/>
      <c r="J398" s="444" t="s">
        <v>660</v>
      </c>
      <c r="K398" s="420"/>
      <c r="L398" s="193">
        <v>120.0</v>
      </c>
      <c r="M398" s="377"/>
      <c r="O398" s="431"/>
      <c r="P398" s="157"/>
      <c r="Q398" s="404"/>
      <c r="R398" s="148"/>
      <c r="S398" s="242"/>
      <c r="T398" s="242"/>
      <c r="U398" s="242"/>
      <c r="V398" s="242"/>
      <c r="W398" s="242"/>
      <c r="X398" s="242"/>
      <c r="Y398" s="148"/>
      <c r="Z398" s="148"/>
    </row>
    <row r="399">
      <c r="A399" s="556"/>
      <c r="C399" s="395"/>
      <c r="D399" s="157"/>
      <c r="E399" s="192" t="s">
        <v>880</v>
      </c>
      <c r="F399" s="546">
        <v>400.0</v>
      </c>
      <c r="G399" s="455"/>
      <c r="H399" s="419"/>
      <c r="I399" s="239"/>
      <c r="J399" s="370" t="s">
        <v>662</v>
      </c>
      <c r="K399" s="420"/>
      <c r="L399" s="193">
        <v>28.0</v>
      </c>
      <c r="M399" s="374"/>
      <c r="O399" s="431"/>
      <c r="P399" s="157"/>
      <c r="Q399" s="404"/>
      <c r="R399" s="148"/>
      <c r="S399" s="242"/>
      <c r="T399" s="242"/>
      <c r="U399" s="242"/>
      <c r="V399" s="242"/>
      <c r="W399" s="242"/>
      <c r="X399" s="242"/>
      <c r="Y399" s="148"/>
      <c r="Z399" s="148"/>
    </row>
    <row r="400">
      <c r="A400" s="557"/>
      <c r="B400" s="109"/>
      <c r="C400" s="395"/>
      <c r="D400" s="373"/>
      <c r="E400" s="192" t="s">
        <v>809</v>
      </c>
      <c r="F400" s="546">
        <v>60.0</v>
      </c>
      <c r="G400" s="419"/>
      <c r="H400" s="419"/>
      <c r="I400" s="239"/>
      <c r="J400" s="433" t="s">
        <v>666</v>
      </c>
      <c r="K400" s="420"/>
      <c r="L400" s="150"/>
      <c r="M400" s="374"/>
      <c r="O400" s="431"/>
      <c r="P400" s="157"/>
      <c r="Q400" s="404"/>
      <c r="R400" s="148"/>
      <c r="S400" s="242"/>
      <c r="T400" s="242"/>
      <c r="U400" s="242"/>
      <c r="V400" s="242"/>
      <c r="W400" s="242"/>
      <c r="X400" s="242"/>
      <c r="Y400" s="148"/>
      <c r="Z400" s="148"/>
    </row>
    <row r="401">
      <c r="A401" s="559" t="s">
        <v>765</v>
      </c>
      <c r="B401" s="560">
        <f>SUM(D401:D427)</f>
        <v>1151</v>
      </c>
      <c r="C401" s="477" t="s">
        <v>366</v>
      </c>
      <c r="D401" s="157"/>
      <c r="E401" s="192" t="s">
        <v>886</v>
      </c>
      <c r="F401" s="546">
        <v>600.0</v>
      </c>
      <c r="G401" s="419"/>
      <c r="H401" s="419"/>
      <c r="I401" s="239"/>
      <c r="J401" s="433" t="s">
        <v>668</v>
      </c>
      <c r="K401" s="420"/>
      <c r="L401" s="150"/>
      <c r="M401" s="377"/>
      <c r="O401" s="431"/>
      <c r="P401" s="157"/>
      <c r="Q401" s="404"/>
      <c r="R401" s="148"/>
      <c r="S401" s="242"/>
      <c r="T401" s="242"/>
      <c r="U401" s="242"/>
      <c r="V401" s="242"/>
      <c r="W401" s="242"/>
      <c r="X401" s="242"/>
      <c r="Y401" s="148"/>
      <c r="Z401" s="148"/>
    </row>
    <row r="402">
      <c r="A402" s="453" t="s">
        <v>369</v>
      </c>
      <c r="C402" s="561" t="s">
        <v>766</v>
      </c>
      <c r="D402" s="423">
        <v>397.0</v>
      </c>
      <c r="E402" s="192" t="s">
        <v>887</v>
      </c>
      <c r="F402" s="546">
        <v>300.0</v>
      </c>
      <c r="G402" s="419"/>
      <c r="H402" s="419"/>
      <c r="I402" s="239"/>
      <c r="J402" s="433" t="s">
        <v>670</v>
      </c>
      <c r="K402" s="458"/>
      <c r="L402" s="193">
        <v>1250.0</v>
      </c>
      <c r="M402" s="377"/>
      <c r="O402" s="431"/>
      <c r="P402" s="157"/>
      <c r="Q402" s="404"/>
      <c r="R402" s="148"/>
      <c r="S402" s="242"/>
      <c r="T402" s="242"/>
      <c r="U402" s="242"/>
      <c r="V402" s="242"/>
      <c r="W402" s="242"/>
      <c r="X402" s="242"/>
      <c r="Y402" s="148"/>
      <c r="Z402" s="148"/>
    </row>
    <row r="403">
      <c r="C403" s="561" t="s">
        <v>767</v>
      </c>
      <c r="D403" s="423">
        <v>83.5</v>
      </c>
      <c r="E403" s="192" t="s">
        <v>888</v>
      </c>
      <c r="F403" s="546">
        <v>900.0</v>
      </c>
      <c r="G403" s="419"/>
      <c r="H403" s="419"/>
      <c r="I403" s="239"/>
      <c r="J403" s="433" t="s">
        <v>217</v>
      </c>
      <c r="K403" s="458"/>
      <c r="L403" s="150"/>
      <c r="M403" s="377"/>
      <c r="O403" s="431"/>
      <c r="P403" s="157"/>
      <c r="Q403" s="404"/>
      <c r="R403" s="148"/>
      <c r="S403" s="242"/>
      <c r="T403" s="242"/>
      <c r="U403" s="242"/>
      <c r="V403" s="242"/>
      <c r="W403" s="242"/>
      <c r="X403" s="242"/>
      <c r="Y403" s="148"/>
      <c r="Z403" s="148"/>
    </row>
    <row r="404">
      <c r="A404" s="57"/>
      <c r="B404" s="272" t="s">
        <v>889</v>
      </c>
      <c r="C404" s="561" t="s">
        <v>768</v>
      </c>
      <c r="D404" s="423">
        <v>20.5</v>
      </c>
      <c r="E404" s="192" t="s">
        <v>795</v>
      </c>
      <c r="F404" s="546">
        <v>150.0</v>
      </c>
      <c r="G404" s="419"/>
      <c r="H404" s="419"/>
      <c r="I404" s="239"/>
      <c r="J404" s="109"/>
      <c r="K404" s="420"/>
      <c r="L404" s="193"/>
      <c r="M404" s="374"/>
      <c r="O404" s="431"/>
      <c r="P404" s="157"/>
      <c r="Q404" s="404"/>
      <c r="R404" s="148"/>
      <c r="S404" s="242"/>
      <c r="T404" s="242"/>
      <c r="U404" s="242"/>
      <c r="V404" s="242"/>
      <c r="W404" s="242"/>
      <c r="X404" s="242"/>
      <c r="Y404" s="148"/>
      <c r="Z404" s="148"/>
    </row>
    <row r="405">
      <c r="A405" s="57"/>
      <c r="B405" s="57"/>
      <c r="C405" s="561" t="s">
        <v>769</v>
      </c>
      <c r="D405" s="157"/>
      <c r="E405" s="192" t="s">
        <v>827</v>
      </c>
      <c r="F405" s="546">
        <v>90.0</v>
      </c>
      <c r="G405" s="419"/>
      <c r="H405" s="419"/>
      <c r="I405" s="239"/>
      <c r="J405" s="456" t="s">
        <v>672</v>
      </c>
      <c r="K405" s="420"/>
      <c r="L405" s="150"/>
      <c r="M405" s="377"/>
      <c r="O405" s="431"/>
      <c r="P405" s="157"/>
      <c r="Q405" s="404"/>
      <c r="R405" s="148"/>
      <c r="S405" s="242"/>
      <c r="T405" s="242"/>
      <c r="U405" s="242"/>
      <c r="V405" s="242"/>
      <c r="W405" s="242"/>
      <c r="X405" s="242"/>
      <c r="Y405" s="148"/>
      <c r="Z405" s="148"/>
    </row>
    <row r="406">
      <c r="A406" s="597" t="s">
        <v>890</v>
      </c>
      <c r="C406" s="561" t="s">
        <v>770</v>
      </c>
      <c r="D406" s="423">
        <v>70.0</v>
      </c>
      <c r="E406" s="192" t="s">
        <v>891</v>
      </c>
      <c r="F406" s="546">
        <v>1300.0</v>
      </c>
      <c r="G406" s="419"/>
      <c r="H406" s="419"/>
      <c r="I406" s="57"/>
      <c r="J406" s="456" t="s">
        <v>675</v>
      </c>
      <c r="K406" s="420"/>
      <c r="L406" s="150"/>
      <c r="M406" s="382"/>
      <c r="O406" s="431"/>
      <c r="P406" s="157"/>
      <c r="Q406" s="404"/>
      <c r="R406" s="148"/>
      <c r="S406" s="242"/>
      <c r="T406" s="242"/>
      <c r="U406" s="242"/>
      <c r="V406" s="242"/>
      <c r="W406" s="242"/>
      <c r="X406" s="242"/>
      <c r="Y406" s="148"/>
      <c r="Z406" s="148"/>
    </row>
    <row r="407">
      <c r="A407" s="57"/>
      <c r="B407" s="57"/>
      <c r="C407" s="561" t="s">
        <v>793</v>
      </c>
      <c r="D407" s="423">
        <v>200.0</v>
      </c>
      <c r="E407" s="192" t="s">
        <v>892</v>
      </c>
      <c r="F407" s="546">
        <v>80.0</v>
      </c>
      <c r="G407" s="593" t="s">
        <v>426</v>
      </c>
      <c r="H407" s="419"/>
      <c r="I407" s="57"/>
      <c r="J407" s="456"/>
      <c r="K407" s="420"/>
      <c r="L407" s="150"/>
      <c r="M407" s="425"/>
      <c r="O407" s="431"/>
      <c r="P407" s="157"/>
      <c r="Q407" s="404"/>
      <c r="R407" s="148"/>
      <c r="S407" s="242"/>
      <c r="T407" s="242"/>
      <c r="U407" s="242"/>
      <c r="V407" s="242"/>
      <c r="W407" s="242"/>
      <c r="X407" s="242"/>
      <c r="Y407" s="148"/>
      <c r="Z407" s="148"/>
    </row>
    <row r="408">
      <c r="A408" s="239"/>
      <c r="B408" s="57"/>
      <c r="C408" s="561" t="s">
        <v>794</v>
      </c>
      <c r="D408" s="157"/>
      <c r="E408" s="192" t="s">
        <v>893</v>
      </c>
      <c r="F408" s="546">
        <v>740.0</v>
      </c>
      <c r="G408" s="593" t="s">
        <v>426</v>
      </c>
      <c r="H408" s="419"/>
      <c r="I408" s="57"/>
      <c r="J408" s="375"/>
      <c r="K408" s="420"/>
      <c r="L408" s="150"/>
      <c r="M408" s="425"/>
      <c r="O408" s="431"/>
      <c r="P408" s="157"/>
      <c r="Q408" s="404"/>
      <c r="R408" s="148"/>
      <c r="S408" s="242"/>
      <c r="T408" s="242"/>
      <c r="U408" s="242"/>
      <c r="V408" s="242"/>
      <c r="W408" s="242"/>
      <c r="X408" s="242"/>
      <c r="Y408" s="148"/>
      <c r="Z408" s="148"/>
    </row>
    <row r="409">
      <c r="A409" s="239"/>
      <c r="B409" s="57"/>
      <c r="C409" s="561" t="s">
        <v>18</v>
      </c>
      <c r="D409" s="157"/>
      <c r="E409" s="192" t="s">
        <v>795</v>
      </c>
      <c r="F409" s="546">
        <v>100.0</v>
      </c>
      <c r="G409" s="419"/>
      <c r="H409" s="419"/>
      <c r="I409" s="57"/>
      <c r="J409" s="375"/>
      <c r="K409" s="420"/>
      <c r="L409" s="193"/>
      <c r="M409" s="382"/>
      <c r="O409" s="431"/>
      <c r="P409" s="157"/>
      <c r="Q409" s="404"/>
      <c r="R409" s="148"/>
      <c r="S409" s="242"/>
      <c r="T409" s="242"/>
      <c r="U409" s="242"/>
      <c r="V409" s="242"/>
      <c r="W409" s="242"/>
      <c r="X409" s="242"/>
      <c r="Y409" s="148"/>
      <c r="Z409" s="148"/>
    </row>
    <row r="410">
      <c r="A410" s="239"/>
      <c r="B410" s="57"/>
      <c r="C410" s="561" t="s">
        <v>773</v>
      </c>
      <c r="D410" s="157"/>
      <c r="E410" s="192" t="s">
        <v>873</v>
      </c>
      <c r="F410" s="546">
        <v>260.0</v>
      </c>
      <c r="G410" s="593" t="s">
        <v>426</v>
      </c>
      <c r="H410" s="419"/>
      <c r="I410" s="57"/>
      <c r="J410" s="452"/>
      <c r="K410" s="420"/>
      <c r="L410" s="150"/>
      <c r="M410" s="425"/>
      <c r="O410" s="431"/>
      <c r="P410" s="157"/>
      <c r="Q410" s="404"/>
      <c r="R410" s="148"/>
      <c r="S410" s="242"/>
      <c r="T410" s="242"/>
      <c r="U410" s="242"/>
      <c r="V410" s="242"/>
      <c r="W410" s="242"/>
      <c r="X410" s="242"/>
      <c r="Y410" s="148"/>
      <c r="Z410" s="148"/>
    </row>
    <row r="411">
      <c r="A411" s="57"/>
      <c r="B411" s="57"/>
      <c r="C411" s="561" t="s">
        <v>774</v>
      </c>
      <c r="D411" s="423">
        <v>30.0</v>
      </c>
      <c r="E411" s="192" t="s">
        <v>348</v>
      </c>
      <c r="F411" s="546">
        <v>150.0</v>
      </c>
      <c r="G411" s="587" t="s">
        <v>426</v>
      </c>
      <c r="H411" s="419"/>
      <c r="I411" s="57"/>
      <c r="J411" s="105"/>
      <c r="K411" s="420"/>
      <c r="L411" s="150"/>
      <c r="M411" s="425"/>
      <c r="O411" s="431"/>
      <c r="P411" s="157"/>
      <c r="Q411" s="404"/>
      <c r="R411" s="148"/>
      <c r="S411" s="242"/>
      <c r="T411" s="242"/>
      <c r="U411" s="242"/>
      <c r="V411" s="242"/>
      <c r="W411" s="242"/>
      <c r="X411" s="242"/>
      <c r="Y411" s="148"/>
      <c r="Z411" s="148"/>
    </row>
    <row r="412">
      <c r="A412" s="239"/>
      <c r="B412" s="239"/>
      <c r="C412" s="561" t="s">
        <v>775</v>
      </c>
      <c r="D412" s="423">
        <v>200.0</v>
      </c>
      <c r="E412" s="228"/>
      <c r="F412" s="547"/>
      <c r="G412" s="419"/>
      <c r="H412" s="419"/>
      <c r="I412" s="57"/>
      <c r="J412" s="378" t="s">
        <v>682</v>
      </c>
      <c r="K412" s="420"/>
      <c r="L412" s="193">
        <v>69.0</v>
      </c>
      <c r="M412" s="377" t="s">
        <v>894</v>
      </c>
      <c r="O412" s="431"/>
      <c r="P412" s="157"/>
      <c r="Q412" s="404"/>
      <c r="R412" s="148"/>
      <c r="S412" s="242"/>
      <c r="T412" s="242"/>
      <c r="U412" s="242"/>
      <c r="V412" s="242"/>
      <c r="W412" s="242"/>
      <c r="X412" s="242"/>
      <c r="Y412" s="148"/>
      <c r="Z412" s="148"/>
    </row>
    <row r="413">
      <c r="A413" s="239"/>
      <c r="B413" s="239"/>
      <c r="C413" s="561" t="s">
        <v>10</v>
      </c>
      <c r="D413" s="157"/>
      <c r="E413" s="206"/>
      <c r="F413" s="564"/>
      <c r="G413" s="478"/>
      <c r="H413" s="419"/>
      <c r="I413" s="57"/>
      <c r="J413" s="461" t="s">
        <v>684</v>
      </c>
      <c r="K413" s="420"/>
      <c r="L413" s="193">
        <v>69.0</v>
      </c>
      <c r="M413" s="377" t="s">
        <v>895</v>
      </c>
      <c r="O413" s="431"/>
      <c r="P413" s="157"/>
      <c r="Q413" s="404"/>
      <c r="R413" s="148"/>
      <c r="S413" s="242"/>
      <c r="T413" s="242"/>
      <c r="U413" s="242"/>
      <c r="V413" s="242"/>
      <c r="W413" s="242"/>
      <c r="X413" s="242"/>
      <c r="Y413" s="148"/>
      <c r="Z413" s="148"/>
    </row>
    <row r="414">
      <c r="A414" s="239"/>
      <c r="B414" s="239"/>
      <c r="C414" s="561" t="s">
        <v>6</v>
      </c>
      <c r="D414" s="157"/>
      <c r="E414" s="206"/>
      <c r="F414" s="547"/>
      <c r="G414" s="455"/>
      <c r="H414" s="455"/>
      <c r="I414" s="57"/>
      <c r="J414" s="461" t="s">
        <v>686</v>
      </c>
      <c r="K414" s="420"/>
      <c r="L414" s="150"/>
      <c r="M414" s="374"/>
      <c r="O414" s="463"/>
      <c r="P414" s="157"/>
      <c r="Q414" s="404"/>
      <c r="R414" s="148"/>
      <c r="S414" s="242"/>
      <c r="T414" s="242"/>
      <c r="U414" s="242"/>
      <c r="V414" s="242"/>
      <c r="W414" s="242"/>
      <c r="X414" s="242"/>
      <c r="Y414" s="148"/>
      <c r="Z414" s="148"/>
    </row>
    <row r="415">
      <c r="A415" s="57"/>
      <c r="B415" s="57"/>
      <c r="C415" s="561" t="s">
        <v>779</v>
      </c>
      <c r="D415" s="157"/>
      <c r="E415" s="228"/>
      <c r="F415" s="547"/>
      <c r="G415" s="455"/>
      <c r="H415" s="455"/>
      <c r="I415" s="239"/>
      <c r="J415" s="460" t="s">
        <v>202</v>
      </c>
      <c r="K415" s="420"/>
      <c r="L415" s="193"/>
      <c r="M415" s="377"/>
      <c r="O415" s="463"/>
      <c r="P415" s="157"/>
      <c r="Q415" s="404"/>
      <c r="R415" s="148"/>
      <c r="S415" s="242"/>
      <c r="T415" s="242"/>
      <c r="U415" s="242"/>
      <c r="V415" s="242"/>
      <c r="W415" s="242"/>
      <c r="X415" s="242"/>
      <c r="Y415" s="148"/>
      <c r="Z415" s="148"/>
    </row>
    <row r="416">
      <c r="A416" s="239"/>
      <c r="B416" s="239"/>
      <c r="C416" s="561" t="s">
        <v>780</v>
      </c>
      <c r="D416" s="423">
        <v>100.0</v>
      </c>
      <c r="E416" s="228"/>
      <c r="F416" s="547"/>
      <c r="G416" s="455"/>
      <c r="H416" s="455"/>
      <c r="I416" s="57"/>
      <c r="J416" s="460" t="s">
        <v>274</v>
      </c>
      <c r="K416" s="420"/>
      <c r="L416" s="193">
        <v>213.0</v>
      </c>
      <c r="M416" s="374"/>
      <c r="O416" s="463"/>
      <c r="P416" s="157"/>
      <c r="Q416" s="404"/>
      <c r="R416" s="148"/>
      <c r="S416" s="242"/>
      <c r="T416" s="242"/>
      <c r="U416" s="242"/>
      <c r="V416" s="242"/>
      <c r="W416" s="242"/>
      <c r="X416" s="242"/>
      <c r="Y416" s="148"/>
      <c r="Z416" s="148"/>
    </row>
    <row r="417">
      <c r="A417" s="239"/>
      <c r="B417" s="239"/>
      <c r="C417" s="561" t="s">
        <v>781</v>
      </c>
      <c r="D417" s="423">
        <v>50.0</v>
      </c>
      <c r="E417" s="228"/>
      <c r="F417" s="547"/>
      <c r="G417" s="455"/>
      <c r="H417" s="419"/>
      <c r="I417" s="239"/>
      <c r="J417" s="568"/>
      <c r="K417" s="420"/>
      <c r="L417" s="150"/>
      <c r="M417" s="374"/>
      <c r="O417" s="431"/>
      <c r="P417" s="157"/>
      <c r="Q417" s="404"/>
      <c r="R417" s="148"/>
      <c r="S417" s="242"/>
      <c r="T417" s="242"/>
      <c r="U417" s="242"/>
      <c r="V417" s="242"/>
      <c r="W417" s="242"/>
      <c r="X417" s="242"/>
      <c r="Y417" s="148"/>
      <c r="Z417" s="148"/>
    </row>
    <row r="418">
      <c r="A418" s="239"/>
      <c r="B418" s="157"/>
      <c r="C418" s="561"/>
      <c r="D418" s="157"/>
      <c r="E418" s="569"/>
      <c r="F418" s="547"/>
      <c r="G418" s="419"/>
      <c r="H418" s="419"/>
      <c r="I418" s="57"/>
      <c r="J418" s="462" t="s">
        <v>381</v>
      </c>
      <c r="K418" s="420"/>
      <c r="L418" s="193">
        <v>780.0</v>
      </c>
      <c r="M418" s="377" t="s">
        <v>896</v>
      </c>
      <c r="O418" s="431"/>
      <c r="P418" s="157"/>
      <c r="Q418" s="404"/>
      <c r="R418" s="148"/>
      <c r="S418" s="242"/>
      <c r="T418" s="242"/>
      <c r="U418" s="242"/>
      <c r="V418" s="242"/>
      <c r="W418" s="242"/>
      <c r="X418" s="242"/>
      <c r="Y418" s="148"/>
      <c r="Z418" s="148"/>
    </row>
    <row r="419">
      <c r="A419" s="239"/>
      <c r="B419" s="157"/>
      <c r="C419" s="561"/>
      <c r="D419" s="157"/>
      <c r="E419" s="228"/>
      <c r="F419" s="547"/>
      <c r="G419" s="419"/>
      <c r="H419" s="419"/>
      <c r="I419" s="239"/>
      <c r="J419" s="596" t="s">
        <v>869</v>
      </c>
      <c r="K419" s="420"/>
      <c r="L419" s="193">
        <v>435.0</v>
      </c>
      <c r="M419" s="377"/>
      <c r="O419" s="431"/>
      <c r="P419" s="157"/>
      <c r="Q419" s="404"/>
      <c r="R419" s="148"/>
      <c r="S419" s="242"/>
      <c r="T419" s="242"/>
      <c r="U419" s="242"/>
      <c r="V419" s="242"/>
      <c r="W419" s="242"/>
      <c r="X419" s="242"/>
      <c r="Y419" s="148"/>
      <c r="Z419" s="148"/>
    </row>
    <row r="420">
      <c r="A420" s="239"/>
      <c r="B420" s="157"/>
      <c r="C420" s="561"/>
      <c r="D420" s="157"/>
      <c r="E420" s="570"/>
      <c r="F420" s="547"/>
      <c r="G420" s="419"/>
      <c r="H420" s="419"/>
      <c r="I420" s="239"/>
      <c r="J420" s="568"/>
      <c r="K420" s="420"/>
      <c r="L420" s="193"/>
      <c r="M420" s="374"/>
      <c r="O420" s="431"/>
      <c r="P420" s="157"/>
      <c r="Q420" s="404"/>
      <c r="R420" s="148"/>
      <c r="S420" s="242"/>
      <c r="T420" s="242"/>
      <c r="U420" s="242"/>
      <c r="V420" s="242"/>
      <c r="W420" s="242"/>
      <c r="X420" s="242"/>
      <c r="Y420" s="148"/>
      <c r="Z420" s="148"/>
    </row>
    <row r="421">
      <c r="C421" s="571"/>
      <c r="D421" s="157"/>
      <c r="E421" s="570"/>
      <c r="F421" s="547"/>
      <c r="G421" s="419"/>
      <c r="H421" s="419"/>
      <c r="I421" s="239"/>
      <c r="J421" s="464" t="s">
        <v>692</v>
      </c>
      <c r="K421" s="420"/>
      <c r="L421" s="150"/>
      <c r="M421" s="377"/>
      <c r="O421" s="431"/>
      <c r="P421" s="157"/>
      <c r="Q421" s="404"/>
      <c r="R421" s="148"/>
      <c r="S421" s="242"/>
      <c r="T421" s="242"/>
      <c r="U421" s="242"/>
      <c r="V421" s="242"/>
      <c r="W421" s="242"/>
      <c r="X421" s="242"/>
      <c r="Y421" s="148"/>
      <c r="Z421" s="148"/>
    </row>
    <row r="422">
      <c r="C422" s="571"/>
      <c r="D422" s="157"/>
      <c r="E422" s="570"/>
      <c r="F422" s="547"/>
      <c r="G422" s="419"/>
      <c r="H422" s="419"/>
      <c r="I422" s="239"/>
      <c r="J422" s="464" t="s">
        <v>694</v>
      </c>
      <c r="K422" s="420"/>
      <c r="L422" s="193"/>
      <c r="M422" s="374"/>
      <c r="O422" s="431"/>
      <c r="P422" s="157"/>
      <c r="Q422" s="404"/>
      <c r="R422" s="148"/>
      <c r="S422" s="242"/>
      <c r="T422" s="242"/>
      <c r="U422" s="242"/>
      <c r="V422" s="242"/>
      <c r="W422" s="242"/>
      <c r="X422" s="242"/>
      <c r="Y422" s="148"/>
      <c r="Z422" s="148"/>
    </row>
    <row r="423">
      <c r="C423" s="571"/>
      <c r="D423" s="423"/>
      <c r="E423" s="570"/>
      <c r="F423" s="546"/>
      <c r="G423" s="419"/>
      <c r="H423" s="419"/>
      <c r="I423" s="57"/>
      <c r="J423" s="105"/>
      <c r="K423" s="57"/>
      <c r="L423" s="150"/>
      <c r="M423" s="57"/>
      <c r="N423" s="57"/>
      <c r="O423" s="57"/>
      <c r="P423" s="157"/>
      <c r="Q423" s="404"/>
      <c r="R423" s="148"/>
      <c r="S423" s="242"/>
      <c r="T423" s="242"/>
      <c r="U423" s="242"/>
      <c r="V423" s="242"/>
      <c r="W423" s="242"/>
      <c r="X423" s="242"/>
      <c r="Y423" s="148"/>
      <c r="Z423" s="148"/>
    </row>
    <row r="424">
      <c r="A424" s="125" t="s">
        <v>798</v>
      </c>
      <c r="B424" s="572">
        <f>C397-B401</f>
        <v>1667.5</v>
      </c>
      <c r="D424" s="157"/>
      <c r="E424" s="570"/>
      <c r="F424" s="573"/>
      <c r="G424" s="478"/>
      <c r="H424" s="419"/>
      <c r="I424" s="239"/>
      <c r="J424" s="568"/>
      <c r="K424" s="57"/>
      <c r="L424" s="150"/>
      <c r="M424" s="57"/>
      <c r="N424" s="57"/>
      <c r="O424" s="57"/>
      <c r="P424" s="157"/>
      <c r="Q424" s="404"/>
      <c r="R424" s="148"/>
      <c r="S424" s="242"/>
      <c r="T424" s="242"/>
      <c r="U424" s="242"/>
      <c r="V424" s="242"/>
      <c r="W424" s="242"/>
      <c r="X424" s="242"/>
      <c r="Y424" s="148"/>
      <c r="Z424" s="148"/>
    </row>
    <row r="425">
      <c r="A425" s="274" t="s">
        <v>783</v>
      </c>
      <c r="B425" s="109">
        <v>1000.0</v>
      </c>
      <c r="C425" s="395"/>
      <c r="D425" s="157"/>
      <c r="E425" s="570"/>
      <c r="F425" s="573"/>
      <c r="G425" s="478"/>
      <c r="H425" s="419"/>
      <c r="I425" s="239"/>
      <c r="J425" s="568"/>
      <c r="K425" s="57"/>
      <c r="L425" s="150"/>
      <c r="M425" s="57"/>
      <c r="N425" s="57"/>
      <c r="O425" s="57"/>
      <c r="P425" s="157"/>
      <c r="Q425" s="404"/>
      <c r="R425" s="148"/>
      <c r="S425" s="242"/>
      <c r="T425" s="242"/>
      <c r="U425" s="242"/>
      <c r="V425" s="242"/>
      <c r="W425" s="242"/>
      <c r="X425" s="242"/>
      <c r="Y425" s="148"/>
      <c r="Z425" s="148"/>
    </row>
    <row r="426">
      <c r="A426" s="274" t="s">
        <v>784</v>
      </c>
      <c r="B426" s="109">
        <v>3150.0</v>
      </c>
      <c r="C426" s="395"/>
      <c r="D426" s="157"/>
      <c r="E426" s="570"/>
      <c r="F426" s="573"/>
      <c r="G426" s="478"/>
      <c r="H426" s="419"/>
      <c r="I426" s="239"/>
      <c r="J426" s="568"/>
      <c r="K426" s="57"/>
      <c r="L426" s="150"/>
      <c r="M426" s="57"/>
      <c r="N426" s="57"/>
      <c r="O426" s="57"/>
      <c r="P426" s="157"/>
      <c r="Q426" s="404"/>
      <c r="R426" s="148"/>
      <c r="S426" s="242"/>
      <c r="T426" s="242"/>
      <c r="U426" s="242"/>
      <c r="V426" s="242"/>
      <c r="W426" s="242"/>
      <c r="X426" s="242"/>
      <c r="Y426" s="148"/>
      <c r="Z426" s="148"/>
    </row>
    <row r="427">
      <c r="A427" s="274" t="s">
        <v>785</v>
      </c>
      <c r="B427" s="109"/>
      <c r="C427" s="395"/>
      <c r="D427" s="157"/>
      <c r="E427" s="570"/>
      <c r="F427" s="573"/>
      <c r="G427" s="478"/>
      <c r="H427" s="419"/>
      <c r="I427" s="239"/>
      <c r="J427" s="568"/>
      <c r="K427" s="57"/>
      <c r="L427" s="150"/>
      <c r="M427" s="57"/>
      <c r="N427" s="57"/>
      <c r="O427" s="57"/>
      <c r="P427" s="157"/>
      <c r="Q427" s="404"/>
      <c r="R427" s="148"/>
      <c r="S427" s="242"/>
      <c r="T427" s="242"/>
      <c r="U427" s="242"/>
      <c r="V427" s="242"/>
      <c r="W427" s="242"/>
      <c r="X427" s="242"/>
      <c r="Y427" s="148"/>
      <c r="Z427" s="148"/>
    </row>
    <row r="428">
      <c r="A428" s="402"/>
      <c r="B428" s="403"/>
      <c r="C428" s="403"/>
      <c r="D428" s="403"/>
      <c r="E428" s="574"/>
      <c r="F428" s="575"/>
      <c r="G428" s="159"/>
      <c r="H428" s="159"/>
      <c r="I428" s="159"/>
      <c r="J428" s="576"/>
      <c r="K428" s="159"/>
      <c r="L428" s="162"/>
      <c r="M428" s="402"/>
      <c r="N428" s="402"/>
      <c r="O428" s="159"/>
      <c r="P428" s="403"/>
      <c r="Q428" s="577"/>
      <c r="R428" s="148"/>
      <c r="S428" s="242"/>
      <c r="T428" s="242"/>
      <c r="U428" s="242"/>
      <c r="V428" s="242"/>
      <c r="W428" s="242"/>
      <c r="X428" s="242"/>
      <c r="Y428" s="148"/>
      <c r="Z428" s="148"/>
    </row>
    <row r="429">
      <c r="A429" s="148"/>
      <c r="B429" s="148"/>
      <c r="C429" s="148"/>
      <c r="D429" s="245"/>
      <c r="E429" s="585"/>
      <c r="F429" s="586"/>
      <c r="G429" s="148"/>
      <c r="H429" s="148"/>
      <c r="I429" s="251"/>
      <c r="J429" s="243"/>
      <c r="K429" s="148"/>
      <c r="L429" s="277"/>
      <c r="M429" s="252"/>
      <c r="N429" s="250"/>
      <c r="O429" s="253"/>
      <c r="P429" s="240"/>
      <c r="Q429" s="148"/>
      <c r="R429" s="148"/>
      <c r="S429" s="242"/>
      <c r="T429" s="242"/>
      <c r="U429" s="242"/>
      <c r="V429" s="242"/>
      <c r="W429" s="242"/>
      <c r="X429" s="242"/>
      <c r="Y429" s="148"/>
      <c r="Z429" s="148"/>
    </row>
    <row r="430">
      <c r="A430" s="169" t="s">
        <v>109</v>
      </c>
      <c r="B430" s="539"/>
      <c r="C430" s="540"/>
      <c r="D430" s="405"/>
      <c r="E430" s="541"/>
      <c r="F430" s="542"/>
      <c r="G430" s="467" t="s">
        <v>333</v>
      </c>
      <c r="H430" s="361"/>
      <c r="I430" s="57"/>
      <c r="J430" s="105"/>
      <c r="K430" s="57"/>
      <c r="L430" s="150"/>
      <c r="M430" s="239"/>
      <c r="N430" s="239"/>
      <c r="O430" s="57"/>
      <c r="P430" s="157"/>
      <c r="Q430" s="404"/>
      <c r="R430" s="148"/>
      <c r="S430" s="242"/>
      <c r="T430" s="242"/>
      <c r="U430" s="242"/>
      <c r="V430" s="242"/>
      <c r="W430" s="242"/>
      <c r="X430" s="242"/>
      <c r="Y430" s="148"/>
      <c r="Z430" s="148"/>
    </row>
    <row r="431">
      <c r="A431" s="468"/>
      <c r="B431" s="157"/>
      <c r="C431" s="466"/>
      <c r="D431" s="405"/>
      <c r="E431" s="543" t="s">
        <v>335</v>
      </c>
      <c r="F431" s="544" t="s">
        <v>237</v>
      </c>
      <c r="G431" s="412" t="s">
        <v>336</v>
      </c>
      <c r="H431" s="413" t="s">
        <v>337</v>
      </c>
      <c r="I431" s="239"/>
      <c r="J431" s="145" t="s">
        <v>60</v>
      </c>
      <c r="K431" s="57"/>
      <c r="L431" s="150"/>
      <c r="M431" s="414"/>
      <c r="N431" s="414"/>
      <c r="O431" s="57" t="s">
        <v>334</v>
      </c>
      <c r="P431" s="157"/>
      <c r="Q431" s="404"/>
      <c r="R431" s="148"/>
      <c r="S431" s="242"/>
      <c r="T431" s="242"/>
      <c r="U431" s="242"/>
      <c r="V431" s="242"/>
      <c r="W431" s="242"/>
      <c r="X431" s="242"/>
      <c r="Y431" s="148"/>
      <c r="Z431" s="148"/>
    </row>
    <row r="432">
      <c r="A432" s="470" t="s">
        <v>179</v>
      </c>
      <c r="C432" s="416">
        <f>SUM(F432:F466)</f>
        <v>6525</v>
      </c>
      <c r="D432" s="405"/>
      <c r="E432" s="545" t="s">
        <v>690</v>
      </c>
      <c r="F432" s="546"/>
      <c r="G432" s="578"/>
      <c r="H432" s="419"/>
      <c r="I432" s="57"/>
      <c r="K432" s="57"/>
      <c r="L432" s="150"/>
      <c r="M432" s="377" t="s">
        <v>366</v>
      </c>
      <c r="P432" s="157"/>
      <c r="Q432" s="404"/>
      <c r="R432" s="148"/>
      <c r="S432" s="242"/>
      <c r="T432" s="242"/>
      <c r="U432" s="242"/>
      <c r="V432" s="242"/>
      <c r="W432" s="242"/>
      <c r="X432" s="242"/>
      <c r="Y432" s="148"/>
      <c r="Z432" s="148"/>
    </row>
    <row r="433">
      <c r="A433" s="421" t="s">
        <v>343</v>
      </c>
      <c r="B433" s="422" t="s">
        <v>321</v>
      </c>
      <c r="C433" s="416">
        <f>SUM(P433:P466)</f>
        <v>3960</v>
      </c>
      <c r="D433" s="157"/>
      <c r="E433" s="545" t="s">
        <v>691</v>
      </c>
      <c r="F433" s="546"/>
      <c r="G433" s="578"/>
      <c r="H433" s="419"/>
      <c r="I433" s="239"/>
      <c r="J433" s="471" t="s">
        <v>341</v>
      </c>
      <c r="K433" s="420"/>
      <c r="L433" s="150"/>
      <c r="M433" s="374"/>
      <c r="O433" s="426" t="s">
        <v>340</v>
      </c>
      <c r="P433" s="423">
        <v>2400.0</v>
      </c>
      <c r="Q433" s="404"/>
      <c r="R433" s="148"/>
      <c r="S433" s="242"/>
      <c r="T433" s="242"/>
      <c r="U433" s="242"/>
      <c r="V433" s="242"/>
      <c r="W433" s="242"/>
      <c r="X433" s="242"/>
      <c r="Y433" s="148"/>
      <c r="Z433" s="148"/>
    </row>
    <row r="434">
      <c r="A434" s="427" t="s">
        <v>201</v>
      </c>
      <c r="C434" s="204">
        <f>SUM(L433:L466)</f>
        <v>3138.78</v>
      </c>
      <c r="D434" s="157"/>
      <c r="E434" s="545" t="s">
        <v>693</v>
      </c>
      <c r="F434" s="546"/>
      <c r="G434" s="578"/>
      <c r="H434" s="419"/>
      <c r="I434" s="239"/>
      <c r="J434" s="472" t="s">
        <v>345</v>
      </c>
      <c r="K434" s="420"/>
      <c r="L434" s="193">
        <v>63.58</v>
      </c>
      <c r="M434" s="377" t="s">
        <v>897</v>
      </c>
      <c r="O434" s="426" t="s">
        <v>898</v>
      </c>
      <c r="P434" s="423">
        <v>1400.0</v>
      </c>
      <c r="Q434" s="404"/>
      <c r="R434" s="148"/>
      <c r="S434" s="242"/>
      <c r="T434" s="242"/>
      <c r="U434" s="242"/>
      <c r="V434" s="242"/>
      <c r="W434" s="242"/>
      <c r="X434" s="242"/>
      <c r="Y434" s="148"/>
      <c r="Z434" s="148"/>
    </row>
    <row r="435">
      <c r="A435" s="548" t="s">
        <v>761</v>
      </c>
      <c r="B435" s="549">
        <v>0.4</v>
      </c>
      <c r="C435" s="191">
        <v>1584.0</v>
      </c>
      <c r="D435" s="157"/>
      <c r="E435" s="550" t="s">
        <v>695</v>
      </c>
      <c r="F435" s="546">
        <v>715.0</v>
      </c>
      <c r="G435" s="578"/>
      <c r="H435" s="419"/>
      <c r="I435" s="239"/>
      <c r="J435" s="433" t="s">
        <v>656</v>
      </c>
      <c r="K435" s="420"/>
      <c r="L435" s="598">
        <v>185.3</v>
      </c>
      <c r="M435" s="377" t="s">
        <v>899</v>
      </c>
      <c r="O435" s="426" t="s">
        <v>900</v>
      </c>
      <c r="P435" s="423">
        <v>160.0</v>
      </c>
      <c r="Q435" s="404"/>
      <c r="R435" s="148"/>
      <c r="S435" s="242"/>
      <c r="T435" s="242"/>
      <c r="U435" s="242"/>
      <c r="V435" s="242"/>
      <c r="W435" s="242"/>
      <c r="X435" s="242"/>
      <c r="Y435" s="148"/>
      <c r="Z435" s="148"/>
    </row>
    <row r="436">
      <c r="A436" s="434" t="s">
        <v>350</v>
      </c>
      <c r="C436" s="551">
        <f>C432-C434-C435</f>
        <v>1802.22</v>
      </c>
      <c r="D436" s="157"/>
      <c r="E436" s="192" t="s">
        <v>340</v>
      </c>
      <c r="F436" s="546">
        <v>2400.0</v>
      </c>
      <c r="G436" s="558" t="s">
        <v>426</v>
      </c>
      <c r="H436" s="419"/>
      <c r="I436" s="57"/>
      <c r="J436" s="444" t="s">
        <v>658</v>
      </c>
      <c r="K436" s="420"/>
      <c r="L436" s="193">
        <v>48.9</v>
      </c>
      <c r="M436" s="377"/>
      <c r="O436" s="431"/>
      <c r="P436" s="157"/>
      <c r="Q436" s="404"/>
      <c r="R436" s="148"/>
      <c r="S436" s="242"/>
      <c r="T436" s="242"/>
      <c r="U436" s="242"/>
      <c r="V436" s="242"/>
      <c r="W436" s="242"/>
      <c r="X436" s="242"/>
      <c r="Y436" s="148"/>
      <c r="Z436" s="148"/>
    </row>
    <row r="437">
      <c r="A437" s="554"/>
      <c r="B437" s="555"/>
      <c r="C437" s="447"/>
      <c r="D437" s="157"/>
      <c r="E437" s="192" t="s">
        <v>898</v>
      </c>
      <c r="F437" s="546">
        <v>1400.0</v>
      </c>
      <c r="G437" s="558" t="s">
        <v>426</v>
      </c>
      <c r="H437" s="419"/>
      <c r="I437" s="57"/>
      <c r="J437" s="444" t="s">
        <v>660</v>
      </c>
      <c r="K437" s="420"/>
      <c r="L437" s="193">
        <v>130.0</v>
      </c>
      <c r="M437" s="377" t="s">
        <v>901</v>
      </c>
      <c r="O437" s="431"/>
      <c r="P437" s="157"/>
      <c r="Q437" s="404"/>
      <c r="R437" s="148"/>
      <c r="S437" s="242"/>
      <c r="T437" s="242"/>
      <c r="U437" s="242"/>
      <c r="V437" s="242"/>
      <c r="W437" s="242"/>
      <c r="X437" s="242"/>
      <c r="Y437" s="148"/>
      <c r="Z437" s="148"/>
    </row>
    <row r="438">
      <c r="A438" s="556"/>
      <c r="C438" s="395"/>
      <c r="D438" s="157"/>
      <c r="E438" s="192" t="s">
        <v>902</v>
      </c>
      <c r="F438" s="546">
        <v>200.0</v>
      </c>
      <c r="G438" s="579"/>
      <c r="H438" s="419"/>
      <c r="I438" s="239"/>
      <c r="J438" s="370" t="s">
        <v>662</v>
      </c>
      <c r="K438" s="420"/>
      <c r="L438" s="193"/>
      <c r="M438" s="374"/>
      <c r="O438" s="431"/>
      <c r="P438" s="157"/>
      <c r="Q438" s="404"/>
      <c r="R438" s="148"/>
      <c r="S438" s="242"/>
      <c r="T438" s="242"/>
      <c r="U438" s="242"/>
      <c r="V438" s="242"/>
      <c r="W438" s="242"/>
      <c r="X438" s="242"/>
      <c r="Y438" s="148"/>
      <c r="Z438" s="148"/>
    </row>
    <row r="439">
      <c r="A439" s="557"/>
      <c r="B439" s="109"/>
      <c r="C439" s="395"/>
      <c r="D439" s="373"/>
      <c r="E439" s="192" t="s">
        <v>846</v>
      </c>
      <c r="F439" s="546">
        <v>160.0</v>
      </c>
      <c r="G439" s="558" t="s">
        <v>426</v>
      </c>
      <c r="H439" s="419"/>
      <c r="I439" s="239"/>
      <c r="J439" s="433" t="s">
        <v>666</v>
      </c>
      <c r="K439" s="420"/>
      <c r="L439" s="150"/>
      <c r="M439" s="374"/>
      <c r="O439" s="431"/>
      <c r="P439" s="157"/>
      <c r="Q439" s="404"/>
      <c r="R439" s="148"/>
      <c r="S439" s="242"/>
      <c r="T439" s="242"/>
      <c r="U439" s="242"/>
      <c r="V439" s="242"/>
      <c r="W439" s="242"/>
      <c r="X439" s="242"/>
      <c r="Y439" s="148"/>
      <c r="Z439" s="148"/>
    </row>
    <row r="440">
      <c r="A440" s="559" t="s">
        <v>765</v>
      </c>
      <c r="B440" s="560">
        <f>SUM(D440:D466)</f>
        <v>2248.5</v>
      </c>
      <c r="C440" s="477" t="s">
        <v>366</v>
      </c>
      <c r="D440" s="157"/>
      <c r="E440" s="192" t="s">
        <v>884</v>
      </c>
      <c r="F440" s="546">
        <v>1200.0</v>
      </c>
      <c r="G440" s="578"/>
      <c r="H440" s="419"/>
      <c r="I440" s="239"/>
      <c r="J440" s="433" t="s">
        <v>668</v>
      </c>
      <c r="K440" s="420"/>
      <c r="L440" s="150"/>
      <c r="M440" s="377"/>
      <c r="O440" s="431"/>
      <c r="P440" s="157"/>
      <c r="Q440" s="404"/>
      <c r="R440" s="148"/>
      <c r="S440" s="242"/>
      <c r="T440" s="242"/>
      <c r="U440" s="242"/>
      <c r="V440" s="242"/>
      <c r="W440" s="242"/>
      <c r="X440" s="242"/>
      <c r="Y440" s="148"/>
      <c r="Z440" s="148"/>
    </row>
    <row r="441">
      <c r="A441" s="453" t="s">
        <v>369</v>
      </c>
      <c r="C441" s="561" t="s">
        <v>766</v>
      </c>
      <c r="D441" s="423">
        <v>355.5</v>
      </c>
      <c r="E441" s="192" t="s">
        <v>402</v>
      </c>
      <c r="F441" s="546">
        <v>100.0</v>
      </c>
      <c r="G441" s="578"/>
      <c r="H441" s="419"/>
      <c r="I441" s="239"/>
      <c r="J441" s="433" t="s">
        <v>670</v>
      </c>
      <c r="K441" s="458"/>
      <c r="L441" s="193">
        <v>1250.0</v>
      </c>
      <c r="M441" s="377"/>
      <c r="O441" s="431"/>
      <c r="P441" s="157"/>
      <c r="Q441" s="404"/>
      <c r="R441" s="148"/>
      <c r="S441" s="242"/>
      <c r="T441" s="242"/>
      <c r="U441" s="242"/>
      <c r="V441" s="242"/>
      <c r="W441" s="242"/>
      <c r="X441" s="242"/>
      <c r="Y441" s="148"/>
      <c r="Z441" s="148"/>
    </row>
    <row r="442">
      <c r="C442" s="561" t="s">
        <v>767</v>
      </c>
      <c r="D442" s="423">
        <v>85.0</v>
      </c>
      <c r="E442" s="599" t="s">
        <v>903</v>
      </c>
      <c r="F442" s="600">
        <v>350.0</v>
      </c>
      <c r="G442" s="578"/>
      <c r="H442" s="419"/>
      <c r="I442" s="239"/>
      <c r="J442" s="433" t="s">
        <v>217</v>
      </c>
      <c r="K442" s="458"/>
      <c r="L442" s="150"/>
      <c r="M442" s="377"/>
      <c r="O442" s="431"/>
      <c r="P442" s="157"/>
      <c r="Q442" s="404"/>
      <c r="R442" s="148"/>
      <c r="S442" s="242"/>
      <c r="T442" s="242"/>
      <c r="U442" s="242"/>
      <c r="V442" s="242"/>
      <c r="W442" s="242"/>
      <c r="X442" s="242"/>
      <c r="Y442" s="148"/>
      <c r="Z442" s="148"/>
    </row>
    <row r="443">
      <c r="A443" s="57"/>
      <c r="B443" s="57"/>
      <c r="C443" s="561" t="s">
        <v>768</v>
      </c>
      <c r="D443" s="423"/>
      <c r="E443" s="228"/>
      <c r="F443" s="547"/>
      <c r="G443" s="578"/>
      <c r="H443" s="419"/>
      <c r="I443" s="239"/>
      <c r="J443" s="109"/>
      <c r="K443" s="420"/>
      <c r="L443" s="193"/>
      <c r="M443" s="374"/>
      <c r="O443" s="431"/>
      <c r="P443" s="157"/>
      <c r="Q443" s="404"/>
      <c r="R443" s="148"/>
      <c r="S443" s="242"/>
      <c r="T443" s="242"/>
      <c r="U443" s="242"/>
      <c r="V443" s="242"/>
      <c r="W443" s="242"/>
      <c r="X443" s="242"/>
      <c r="Y443" s="148"/>
      <c r="Z443" s="148"/>
    </row>
    <row r="444">
      <c r="A444" s="57"/>
      <c r="B444" s="57"/>
      <c r="C444" s="561" t="s">
        <v>769</v>
      </c>
      <c r="D444" s="157"/>
      <c r="E444" s="228"/>
      <c r="F444" s="547"/>
      <c r="G444" s="578"/>
      <c r="H444" s="419"/>
      <c r="I444" s="239"/>
      <c r="J444" s="456" t="s">
        <v>672</v>
      </c>
      <c r="K444" s="420"/>
      <c r="L444" s="150"/>
      <c r="M444" s="377"/>
      <c r="O444" s="431"/>
      <c r="P444" s="157"/>
      <c r="Q444" s="404"/>
      <c r="R444" s="148"/>
      <c r="S444" s="242"/>
      <c r="T444" s="242"/>
      <c r="U444" s="242"/>
      <c r="V444" s="242"/>
      <c r="W444" s="242"/>
      <c r="X444" s="242"/>
      <c r="Y444" s="148"/>
      <c r="Z444" s="148"/>
    </row>
    <row r="445">
      <c r="A445" s="57"/>
      <c r="B445" s="57"/>
      <c r="C445" s="561" t="s">
        <v>770</v>
      </c>
      <c r="D445" s="423"/>
      <c r="E445" s="228"/>
      <c r="F445" s="547"/>
      <c r="G445" s="578"/>
      <c r="H445" s="419"/>
      <c r="I445" s="57"/>
      <c r="J445" s="456" t="s">
        <v>675</v>
      </c>
      <c r="K445" s="420"/>
      <c r="L445" s="150"/>
      <c r="M445" s="382"/>
      <c r="O445" s="431"/>
      <c r="P445" s="157"/>
      <c r="Q445" s="404"/>
      <c r="R445" s="148"/>
      <c r="S445" s="242"/>
      <c r="T445" s="242"/>
      <c r="U445" s="242"/>
      <c r="V445" s="242"/>
      <c r="W445" s="242"/>
      <c r="X445" s="242"/>
      <c r="Y445" s="148"/>
      <c r="Z445" s="148"/>
    </row>
    <row r="446">
      <c r="A446" s="57"/>
      <c r="B446" s="57"/>
      <c r="C446" s="561" t="s">
        <v>793</v>
      </c>
      <c r="D446" s="423">
        <v>130.0</v>
      </c>
      <c r="E446" s="228"/>
      <c r="F446" s="547"/>
      <c r="G446" s="579"/>
      <c r="H446" s="419"/>
      <c r="I446" s="57"/>
      <c r="J446" s="456"/>
      <c r="K446" s="420"/>
      <c r="L446" s="150"/>
      <c r="M446" s="425"/>
      <c r="O446" s="431"/>
      <c r="P446" s="157"/>
      <c r="Q446" s="404"/>
      <c r="R446" s="148"/>
      <c r="S446" s="242"/>
      <c r="T446" s="242"/>
      <c r="U446" s="242"/>
      <c r="V446" s="242"/>
      <c r="W446" s="242"/>
      <c r="X446" s="242"/>
      <c r="Y446" s="148"/>
      <c r="Z446" s="148"/>
    </row>
    <row r="447">
      <c r="A447" s="239"/>
      <c r="B447" s="57"/>
      <c r="C447" s="561" t="s">
        <v>794</v>
      </c>
      <c r="D447" s="157"/>
      <c r="E447" s="228"/>
      <c r="F447" s="547"/>
      <c r="G447" s="578"/>
      <c r="H447" s="419"/>
      <c r="I447" s="57"/>
      <c r="J447" s="375"/>
      <c r="K447" s="420"/>
      <c r="L447" s="150"/>
      <c r="M447" s="425"/>
      <c r="O447" s="431"/>
      <c r="P447" s="157"/>
      <c r="Q447" s="404"/>
      <c r="R447" s="148"/>
      <c r="S447" s="242"/>
      <c r="T447" s="242"/>
      <c r="U447" s="242"/>
      <c r="V447" s="242"/>
      <c r="W447" s="242"/>
      <c r="X447" s="242"/>
      <c r="Y447" s="148"/>
      <c r="Z447" s="148"/>
    </row>
    <row r="448">
      <c r="A448" s="238" t="s">
        <v>904</v>
      </c>
      <c r="B448" s="57"/>
      <c r="C448" s="561" t="s">
        <v>18</v>
      </c>
      <c r="D448" s="423">
        <v>80.0</v>
      </c>
      <c r="E448" s="228"/>
      <c r="F448" s="547"/>
      <c r="G448" s="578"/>
      <c r="H448" s="419"/>
      <c r="I448" s="57"/>
      <c r="J448" s="375"/>
      <c r="K448" s="420"/>
      <c r="L448" s="193"/>
      <c r="M448" s="382"/>
      <c r="O448" s="431"/>
      <c r="P448" s="157"/>
      <c r="Q448" s="404"/>
      <c r="R448" s="148"/>
      <c r="S448" s="242"/>
      <c r="T448" s="242"/>
      <c r="U448" s="242"/>
      <c r="V448" s="242"/>
      <c r="W448" s="242"/>
      <c r="X448" s="242"/>
      <c r="Y448" s="148"/>
      <c r="Z448" s="148"/>
    </row>
    <row r="449">
      <c r="A449" s="239"/>
      <c r="B449" s="57"/>
      <c r="C449" s="561" t="s">
        <v>773</v>
      </c>
      <c r="D449" s="157"/>
      <c r="E449" s="228"/>
      <c r="F449" s="547"/>
      <c r="G449" s="579"/>
      <c r="H449" s="419"/>
      <c r="I449" s="57"/>
      <c r="J449" s="452"/>
      <c r="K449" s="420"/>
      <c r="L449" s="150"/>
      <c r="M449" s="425"/>
      <c r="O449" s="431"/>
      <c r="P449" s="157"/>
      <c r="Q449" s="404"/>
      <c r="R449" s="148"/>
      <c r="S449" s="242"/>
      <c r="T449" s="242"/>
      <c r="U449" s="242"/>
      <c r="V449" s="242"/>
      <c r="W449" s="242"/>
      <c r="X449" s="242"/>
      <c r="Y449" s="148"/>
      <c r="Z449" s="148"/>
    </row>
    <row r="450">
      <c r="A450" s="238" t="s">
        <v>905</v>
      </c>
      <c r="B450" s="57"/>
      <c r="C450" s="561" t="s">
        <v>774</v>
      </c>
      <c r="D450" s="423">
        <v>260.0</v>
      </c>
      <c r="E450" s="228"/>
      <c r="F450" s="547"/>
      <c r="G450" s="578"/>
      <c r="H450" s="419"/>
      <c r="I450" s="57"/>
      <c r="J450" s="105"/>
      <c r="K450" s="420"/>
      <c r="L450" s="150"/>
      <c r="M450" s="425"/>
      <c r="O450" s="431"/>
      <c r="P450" s="157"/>
      <c r="Q450" s="404"/>
      <c r="R450" s="148"/>
      <c r="S450" s="242"/>
      <c r="T450" s="242"/>
      <c r="U450" s="242"/>
      <c r="V450" s="242"/>
      <c r="W450" s="242"/>
      <c r="X450" s="242"/>
      <c r="Y450" s="148"/>
      <c r="Z450" s="148"/>
    </row>
    <row r="451">
      <c r="A451" s="238" t="s">
        <v>906</v>
      </c>
      <c r="B451" s="239"/>
      <c r="C451" s="561" t="s">
        <v>775</v>
      </c>
      <c r="D451" s="423">
        <v>702.0</v>
      </c>
      <c r="E451" s="192"/>
      <c r="F451" s="547"/>
      <c r="G451" s="578"/>
      <c r="H451" s="419"/>
      <c r="I451" s="57"/>
      <c r="J451" s="378" t="s">
        <v>682</v>
      </c>
      <c r="K451" s="420"/>
      <c r="L451" s="193">
        <v>167.0</v>
      </c>
      <c r="M451" s="377" t="s">
        <v>907</v>
      </c>
      <c r="O451" s="431"/>
      <c r="P451" s="157"/>
      <c r="Q451" s="404"/>
      <c r="R451" s="148"/>
      <c r="S451" s="242"/>
      <c r="T451" s="242"/>
      <c r="U451" s="242"/>
      <c r="V451" s="242"/>
      <c r="W451" s="242"/>
      <c r="X451" s="242"/>
      <c r="Y451" s="148"/>
      <c r="Z451" s="148"/>
    </row>
    <row r="452">
      <c r="A452" s="238" t="s">
        <v>908</v>
      </c>
      <c r="B452" s="239"/>
      <c r="C452" s="561" t="s">
        <v>10</v>
      </c>
      <c r="D452" s="423">
        <v>147.0</v>
      </c>
      <c r="E452" s="206"/>
      <c r="F452" s="564"/>
      <c r="G452" s="581"/>
      <c r="H452" s="419"/>
      <c r="I452" s="57"/>
      <c r="J452" s="461" t="s">
        <v>684</v>
      </c>
      <c r="K452" s="420"/>
      <c r="L452" s="193"/>
      <c r="M452" s="377"/>
      <c r="O452" s="431"/>
      <c r="P452" s="157"/>
      <c r="Q452" s="404"/>
      <c r="R452" s="148"/>
      <c r="S452" s="242"/>
      <c r="T452" s="242"/>
      <c r="U452" s="242"/>
      <c r="V452" s="242"/>
      <c r="W452" s="242"/>
      <c r="X452" s="242"/>
      <c r="Y452" s="148"/>
      <c r="Z452" s="148"/>
    </row>
    <row r="453">
      <c r="A453" s="238" t="s">
        <v>909</v>
      </c>
      <c r="B453" s="239"/>
      <c r="C453" s="561" t="s">
        <v>6</v>
      </c>
      <c r="D453" s="423">
        <v>172.0</v>
      </c>
      <c r="E453" s="206"/>
      <c r="F453" s="547"/>
      <c r="G453" s="579"/>
      <c r="H453" s="455"/>
      <c r="I453" s="57"/>
      <c r="J453" s="461" t="s">
        <v>686</v>
      </c>
      <c r="K453" s="420"/>
      <c r="L453" s="150"/>
      <c r="M453" s="374"/>
      <c r="O453" s="463"/>
      <c r="P453" s="157"/>
      <c r="Q453" s="404"/>
      <c r="R453" s="148"/>
      <c r="S453" s="242"/>
      <c r="T453" s="242"/>
      <c r="U453" s="242"/>
      <c r="V453" s="242"/>
      <c r="W453" s="242"/>
      <c r="X453" s="242"/>
      <c r="Y453" s="148"/>
      <c r="Z453" s="148"/>
    </row>
    <row r="454">
      <c r="A454" s="57"/>
      <c r="B454" s="57"/>
      <c r="C454" s="561" t="s">
        <v>779</v>
      </c>
      <c r="D454" s="157"/>
      <c r="E454" s="228"/>
      <c r="F454" s="547"/>
      <c r="G454" s="579"/>
      <c r="H454" s="455"/>
      <c r="I454" s="239"/>
      <c r="J454" s="460" t="s">
        <v>202</v>
      </c>
      <c r="K454" s="420"/>
      <c r="L454" s="193"/>
      <c r="M454" s="377"/>
      <c r="O454" s="463"/>
      <c r="P454" s="157"/>
      <c r="Q454" s="404"/>
      <c r="R454" s="148"/>
      <c r="S454" s="242"/>
      <c r="T454" s="242"/>
      <c r="U454" s="242"/>
      <c r="V454" s="242"/>
      <c r="W454" s="242"/>
      <c r="X454" s="242"/>
      <c r="Y454" s="148"/>
      <c r="Z454" s="148"/>
    </row>
    <row r="455">
      <c r="A455" s="239"/>
      <c r="B455" s="239"/>
      <c r="C455" s="561" t="s">
        <v>780</v>
      </c>
      <c r="D455" s="423">
        <v>100.0</v>
      </c>
      <c r="E455" s="228"/>
      <c r="F455" s="547"/>
      <c r="G455" s="579"/>
      <c r="H455" s="455"/>
      <c r="I455" s="57"/>
      <c r="J455" s="460" t="s">
        <v>274</v>
      </c>
      <c r="K455" s="420"/>
      <c r="L455" s="193">
        <v>213.0</v>
      </c>
      <c r="M455" s="374"/>
      <c r="O455" s="463"/>
      <c r="P455" s="157"/>
      <c r="Q455" s="404"/>
      <c r="R455" s="148"/>
      <c r="S455" s="242"/>
      <c r="T455" s="242"/>
      <c r="U455" s="242"/>
      <c r="V455" s="242"/>
      <c r="W455" s="242"/>
      <c r="X455" s="242"/>
      <c r="Y455" s="148"/>
      <c r="Z455" s="148"/>
    </row>
    <row r="456">
      <c r="A456" s="215" t="s">
        <v>910</v>
      </c>
      <c r="B456" s="239"/>
      <c r="C456" s="561" t="s">
        <v>781</v>
      </c>
      <c r="D456" s="423">
        <v>217.0</v>
      </c>
      <c r="E456" s="192"/>
      <c r="F456" s="547"/>
      <c r="G456" s="579"/>
      <c r="H456" s="419"/>
      <c r="I456" s="239"/>
      <c r="J456" s="568"/>
      <c r="K456" s="420"/>
      <c r="L456" s="150"/>
      <c r="M456" s="374"/>
      <c r="O456" s="431"/>
      <c r="P456" s="157"/>
      <c r="Q456" s="404"/>
      <c r="R456" s="148"/>
      <c r="S456" s="242"/>
      <c r="T456" s="242"/>
      <c r="U456" s="242"/>
      <c r="V456" s="242"/>
      <c r="W456" s="242"/>
      <c r="X456" s="242"/>
      <c r="Y456" s="148"/>
      <c r="Z456" s="148"/>
    </row>
    <row r="457">
      <c r="A457" s="239"/>
      <c r="B457" s="157"/>
      <c r="C457" s="561"/>
      <c r="D457" s="157"/>
      <c r="E457" s="569"/>
      <c r="F457" s="547"/>
      <c r="G457" s="578"/>
      <c r="H457" s="419"/>
      <c r="I457" s="57"/>
      <c r="J457" s="462" t="s">
        <v>381</v>
      </c>
      <c r="K457" s="420"/>
      <c r="L457" s="193">
        <v>520.0</v>
      </c>
      <c r="M457" s="377"/>
      <c r="O457" s="431"/>
      <c r="P457" s="157"/>
      <c r="Q457" s="404"/>
      <c r="R457" s="148"/>
      <c r="S457" s="242"/>
      <c r="T457" s="242"/>
      <c r="U457" s="242"/>
      <c r="V457" s="242"/>
      <c r="W457" s="242"/>
      <c r="X457" s="242"/>
      <c r="Y457" s="148"/>
      <c r="Z457" s="148"/>
    </row>
    <row r="458">
      <c r="A458" s="239"/>
      <c r="B458" s="157"/>
      <c r="C458" s="561"/>
      <c r="D458" s="157"/>
      <c r="E458" s="228"/>
      <c r="F458" s="547"/>
      <c r="G458" s="578"/>
      <c r="H458" s="419"/>
      <c r="I458" s="239"/>
      <c r="J458" s="596" t="s">
        <v>869</v>
      </c>
      <c r="K458" s="420"/>
      <c r="L458" s="193">
        <v>561.0</v>
      </c>
      <c r="M458" s="377"/>
      <c r="O458" s="431"/>
      <c r="P458" s="157"/>
      <c r="Q458" s="404"/>
      <c r="R458" s="148"/>
      <c r="S458" s="242"/>
      <c r="T458" s="242"/>
      <c r="U458" s="242"/>
      <c r="V458" s="242"/>
      <c r="W458" s="242"/>
      <c r="X458" s="242"/>
      <c r="Y458" s="148"/>
      <c r="Z458" s="148"/>
    </row>
    <row r="459">
      <c r="A459" s="239"/>
      <c r="B459" s="157"/>
      <c r="C459" s="561"/>
      <c r="D459" s="157"/>
      <c r="E459" s="570"/>
      <c r="F459" s="547"/>
      <c r="G459" s="578"/>
      <c r="H459" s="419"/>
      <c r="I459" s="239"/>
      <c r="J459" s="568"/>
      <c r="K459" s="420"/>
      <c r="L459" s="193"/>
      <c r="M459" s="374"/>
      <c r="O459" s="431"/>
      <c r="P459" s="157"/>
      <c r="Q459" s="404"/>
      <c r="R459" s="148"/>
      <c r="S459" s="242"/>
      <c r="T459" s="242"/>
      <c r="U459" s="242"/>
      <c r="V459" s="242"/>
      <c r="W459" s="242"/>
      <c r="X459" s="242"/>
      <c r="Y459" s="148"/>
      <c r="Z459" s="148"/>
    </row>
    <row r="460">
      <c r="C460" s="571"/>
      <c r="D460" s="157"/>
      <c r="E460" s="570"/>
      <c r="F460" s="547"/>
      <c r="G460" s="578"/>
      <c r="H460" s="419"/>
      <c r="I460" s="239"/>
      <c r="J460" s="464" t="s">
        <v>692</v>
      </c>
      <c r="K460" s="420"/>
      <c r="L460" s="150"/>
      <c r="M460" s="377"/>
      <c r="O460" s="431"/>
      <c r="P460" s="157"/>
      <c r="Q460" s="404"/>
      <c r="R460" s="148"/>
      <c r="S460" s="242"/>
      <c r="T460" s="242"/>
      <c r="U460" s="242"/>
      <c r="V460" s="242"/>
      <c r="W460" s="242"/>
      <c r="X460" s="242"/>
      <c r="Y460" s="148"/>
      <c r="Z460" s="148"/>
    </row>
    <row r="461">
      <c r="C461" s="571"/>
      <c r="D461" s="157"/>
      <c r="E461" s="570"/>
      <c r="F461" s="547"/>
      <c r="G461" s="578"/>
      <c r="H461" s="419"/>
      <c r="I461" s="239"/>
      <c r="J461" s="464" t="s">
        <v>694</v>
      </c>
      <c r="K461" s="420"/>
      <c r="L461" s="150"/>
      <c r="M461" s="374"/>
      <c r="O461" s="431"/>
      <c r="P461" s="157"/>
      <c r="Q461" s="404"/>
      <c r="R461" s="148"/>
      <c r="S461" s="242"/>
      <c r="T461" s="242"/>
      <c r="U461" s="242"/>
      <c r="V461" s="242"/>
      <c r="W461" s="242"/>
      <c r="X461" s="242"/>
      <c r="Y461" s="148"/>
      <c r="Z461" s="148"/>
    </row>
    <row r="462">
      <c r="C462" s="571"/>
      <c r="D462" s="423"/>
      <c r="E462" s="570"/>
      <c r="F462" s="546"/>
      <c r="G462" s="419"/>
      <c r="H462" s="419"/>
      <c r="I462" s="57"/>
      <c r="J462" s="105"/>
      <c r="K462" s="57"/>
      <c r="L462" s="150"/>
      <c r="M462" s="57"/>
      <c r="N462" s="57"/>
      <c r="O462" s="57"/>
      <c r="P462" s="157"/>
      <c r="Q462" s="404"/>
      <c r="R462" s="148"/>
      <c r="S462" s="242"/>
      <c r="T462" s="242"/>
      <c r="U462" s="242"/>
      <c r="V462" s="242"/>
      <c r="W462" s="242"/>
      <c r="X462" s="242"/>
      <c r="Y462" s="148"/>
      <c r="Z462" s="148"/>
    </row>
    <row r="463">
      <c r="A463" s="125" t="s">
        <v>798</v>
      </c>
      <c r="B463" s="572">
        <f>C436-B440</f>
        <v>-446.28</v>
      </c>
      <c r="D463" s="157"/>
      <c r="E463" s="570"/>
      <c r="F463" s="573"/>
      <c r="G463" s="478"/>
      <c r="H463" s="419"/>
      <c r="I463" s="239"/>
      <c r="J463" s="568"/>
      <c r="K463" s="57"/>
      <c r="L463" s="150"/>
      <c r="M463" s="57"/>
      <c r="N463" s="57"/>
      <c r="O463" s="57"/>
      <c r="P463" s="157"/>
      <c r="Q463" s="404"/>
      <c r="R463" s="148"/>
      <c r="S463" s="242"/>
      <c r="T463" s="242"/>
      <c r="U463" s="242"/>
      <c r="V463" s="242"/>
      <c r="W463" s="242"/>
      <c r="X463" s="242"/>
      <c r="Y463" s="148"/>
      <c r="Z463" s="148"/>
    </row>
    <row r="464">
      <c r="A464" s="274" t="s">
        <v>783</v>
      </c>
      <c r="B464" s="109">
        <v>2551.0</v>
      </c>
      <c r="C464" s="395"/>
      <c r="D464" s="157"/>
      <c r="E464" s="570"/>
      <c r="F464" s="573"/>
      <c r="G464" s="478"/>
      <c r="H464" s="419"/>
      <c r="I464" s="239"/>
      <c r="J464" s="568"/>
      <c r="K464" s="57"/>
      <c r="L464" s="150"/>
      <c r="M464" s="57"/>
      <c r="N464" s="57"/>
      <c r="O464" s="57"/>
      <c r="P464" s="157"/>
      <c r="Q464" s="404"/>
      <c r="R464" s="148"/>
      <c r="S464" s="242"/>
      <c r="T464" s="242"/>
      <c r="U464" s="242"/>
      <c r="V464" s="242"/>
      <c r="W464" s="242"/>
      <c r="X464" s="242"/>
      <c r="Y464" s="148"/>
      <c r="Z464" s="148"/>
    </row>
    <row r="465">
      <c r="A465" s="274" t="s">
        <v>784</v>
      </c>
      <c r="B465" s="109">
        <v>3900.0</v>
      </c>
      <c r="C465" s="395"/>
      <c r="D465" s="157"/>
      <c r="E465" s="570"/>
      <c r="F465" s="573"/>
      <c r="G465" s="478"/>
      <c r="H465" s="419"/>
      <c r="I465" s="239"/>
      <c r="J465" s="568"/>
      <c r="K465" s="57"/>
      <c r="L465" s="150"/>
      <c r="M465" s="57"/>
      <c r="N465" s="57"/>
      <c r="O465" s="57"/>
      <c r="P465" s="157"/>
      <c r="Q465" s="404"/>
      <c r="R465" s="148"/>
      <c r="S465" s="242"/>
      <c r="T465" s="242"/>
      <c r="U465" s="242"/>
      <c r="V465" s="242"/>
      <c r="W465" s="242"/>
      <c r="X465" s="242"/>
      <c r="Y465" s="148"/>
      <c r="Z465" s="148"/>
    </row>
    <row r="466">
      <c r="A466" s="274" t="s">
        <v>785</v>
      </c>
      <c r="B466" s="109"/>
      <c r="C466" s="395"/>
      <c r="D466" s="157"/>
      <c r="E466" s="570"/>
      <c r="F466" s="573"/>
      <c r="G466" s="478"/>
      <c r="H466" s="419"/>
      <c r="I466" s="239"/>
      <c r="J466" s="568"/>
      <c r="K466" s="57"/>
      <c r="L466" s="150"/>
      <c r="M466" s="57"/>
      <c r="N466" s="57"/>
      <c r="O466" s="57"/>
      <c r="P466" s="157"/>
      <c r="Q466" s="404"/>
      <c r="R466" s="148"/>
      <c r="S466" s="242"/>
      <c r="T466" s="242"/>
      <c r="U466" s="242"/>
      <c r="V466" s="242"/>
      <c r="W466" s="242"/>
      <c r="X466" s="242"/>
      <c r="Y466" s="148"/>
      <c r="Z466" s="148"/>
    </row>
    <row r="467">
      <c r="A467" s="402"/>
      <c r="B467" s="403"/>
      <c r="C467" s="403"/>
      <c r="D467" s="403"/>
      <c r="E467" s="574"/>
      <c r="F467" s="575"/>
      <c r="G467" s="159"/>
      <c r="H467" s="159"/>
      <c r="I467" s="159"/>
      <c r="J467" s="576"/>
      <c r="K467" s="159"/>
      <c r="L467" s="162"/>
      <c r="M467" s="402"/>
      <c r="N467" s="402"/>
      <c r="O467" s="159"/>
      <c r="P467" s="403"/>
      <c r="Q467" s="577"/>
      <c r="R467" s="148"/>
      <c r="S467" s="242"/>
      <c r="T467" s="242"/>
      <c r="U467" s="242"/>
      <c r="V467" s="242"/>
      <c r="W467" s="242"/>
      <c r="X467" s="242"/>
      <c r="Y467" s="148"/>
      <c r="Z467" s="148"/>
    </row>
    <row r="468">
      <c r="A468" s="148"/>
      <c r="B468" s="148"/>
      <c r="C468" s="148"/>
      <c r="D468" s="245"/>
      <c r="E468" s="585"/>
      <c r="F468" s="586"/>
      <c r="G468" s="148"/>
      <c r="H468" s="148"/>
      <c r="I468" s="251"/>
      <c r="J468" s="243"/>
      <c r="K468" s="148"/>
      <c r="L468" s="277"/>
      <c r="M468" s="252"/>
      <c r="N468" s="250"/>
      <c r="O468" s="253"/>
      <c r="P468" s="240"/>
      <c r="Q468" s="148"/>
      <c r="R468" s="148"/>
      <c r="S468" s="242"/>
      <c r="T468" s="242"/>
      <c r="U468" s="242"/>
      <c r="V468" s="242"/>
      <c r="W468" s="242"/>
      <c r="X468" s="242"/>
      <c r="Y468" s="148"/>
      <c r="Z468" s="148"/>
    </row>
    <row r="469">
      <c r="A469" s="601" t="s">
        <v>911</v>
      </c>
      <c r="B469" s="361"/>
      <c r="C469" s="602" t="s">
        <v>912</v>
      </c>
      <c r="D469" s="601" t="s">
        <v>913</v>
      </c>
      <c r="E469" s="361"/>
      <c r="F469" s="603"/>
      <c r="G469" s="243"/>
      <c r="H469" s="243"/>
      <c r="I469" s="243"/>
      <c r="J469" s="243"/>
      <c r="K469" s="243"/>
      <c r="L469" s="277"/>
      <c r="M469" s="425"/>
      <c r="N469" s="604"/>
      <c r="O469" s="323"/>
      <c r="P469" s="317"/>
      <c r="Q469" s="243"/>
      <c r="R469" s="243"/>
      <c r="S469" s="317"/>
      <c r="T469" s="317"/>
      <c r="U469" s="317"/>
      <c r="V469" s="317"/>
      <c r="W469" s="317"/>
      <c r="X469" s="317"/>
      <c r="Y469" s="243"/>
      <c r="Z469" s="243"/>
    </row>
    <row r="470">
      <c r="A470" s="605" t="s">
        <v>341</v>
      </c>
      <c r="B470" s="606">
        <f t="shared" ref="B470:B479" si="1">SUM(L4,L43,L82,L121,L160,L199,L238,L277,L316,L355,L394,L433)</f>
        <v>190</v>
      </c>
      <c r="C470" s="109"/>
      <c r="D470" s="607" t="s">
        <v>766</v>
      </c>
      <c r="E470" s="608">
        <f>SUM(D12,D51,D90,D129,D168,D207,D246,D285,D324,D363,D402,D441)</f>
        <v>4663.5</v>
      </c>
      <c r="F470" s="609"/>
      <c r="G470" s="243"/>
      <c r="H470" s="243"/>
      <c r="I470" s="243"/>
      <c r="J470" s="243"/>
      <c r="K470" s="243"/>
      <c r="L470" s="277"/>
      <c r="M470" s="425"/>
      <c r="N470" s="604"/>
      <c r="O470" s="323"/>
      <c r="P470" s="317"/>
      <c r="Q470" s="243"/>
      <c r="R470" s="243"/>
      <c r="S470" s="317"/>
      <c r="T470" s="317"/>
      <c r="U470" s="317"/>
      <c r="V470" s="317"/>
      <c r="W470" s="317"/>
      <c r="X470" s="317"/>
      <c r="Y470" s="243"/>
      <c r="Z470" s="243"/>
    </row>
    <row r="471">
      <c r="A471" s="610" t="s">
        <v>345</v>
      </c>
      <c r="B471" s="611">
        <f t="shared" si="1"/>
        <v>794.63</v>
      </c>
      <c r="C471" s="538"/>
      <c r="D471" s="607" t="s">
        <v>767</v>
      </c>
      <c r="E471" s="608">
        <f t="shared" ref="E471:E473" si="2">SUM(D442,D403,D364,D325,D286,D247,D208,D169,D130,D91,D52,D13)</f>
        <v>763.35</v>
      </c>
      <c r="F471" s="612"/>
      <c r="G471" s="243"/>
      <c r="H471" s="243"/>
      <c r="I471" s="243"/>
      <c r="J471" s="243"/>
      <c r="K471" s="243"/>
      <c r="L471" s="277"/>
      <c r="M471" s="425"/>
      <c r="N471" s="604"/>
      <c r="O471" s="323"/>
      <c r="P471" s="317"/>
      <c r="Q471" s="243"/>
      <c r="R471" s="243"/>
      <c r="S471" s="317"/>
      <c r="T471" s="317"/>
      <c r="U471" s="317"/>
      <c r="V471" s="317"/>
      <c r="W471" s="317"/>
      <c r="X471" s="317"/>
      <c r="Y471" s="243"/>
      <c r="Z471" s="243"/>
    </row>
    <row r="472">
      <c r="A472" s="613" t="s">
        <v>656</v>
      </c>
      <c r="B472" s="611">
        <f t="shared" si="1"/>
        <v>1906.99</v>
      </c>
      <c r="C472" s="614"/>
      <c r="D472" s="607" t="s">
        <v>768</v>
      </c>
      <c r="E472" s="608">
        <f t="shared" si="2"/>
        <v>149</v>
      </c>
      <c r="F472" s="612"/>
      <c r="G472" s="243"/>
      <c r="H472" s="243"/>
      <c r="I472" s="243"/>
      <c r="J472" s="243"/>
      <c r="K472" s="243"/>
      <c r="L472" s="277"/>
      <c r="M472" s="425"/>
      <c r="N472" s="604"/>
      <c r="O472" s="323"/>
      <c r="P472" s="317"/>
      <c r="Q472" s="243"/>
      <c r="R472" s="243"/>
      <c r="S472" s="317"/>
      <c r="T472" s="317"/>
      <c r="U472" s="317"/>
      <c r="V472" s="317"/>
      <c r="W472" s="317"/>
      <c r="X472" s="317"/>
      <c r="Y472" s="243"/>
      <c r="Z472" s="243"/>
    </row>
    <row r="473">
      <c r="A473" s="615" t="s">
        <v>658</v>
      </c>
      <c r="B473" s="611">
        <f t="shared" si="1"/>
        <v>545.9</v>
      </c>
      <c r="C473" s="400"/>
      <c r="D473" s="607" t="s">
        <v>769</v>
      </c>
      <c r="E473" s="608">
        <f t="shared" si="2"/>
        <v>0</v>
      </c>
      <c r="F473" s="612"/>
      <c r="G473" s="243"/>
      <c r="H473" s="243"/>
      <c r="I473" s="243"/>
      <c r="J473" s="243"/>
      <c r="K473" s="243"/>
      <c r="L473" s="277"/>
      <c r="M473" s="425"/>
      <c r="N473" s="604"/>
      <c r="O473" s="323"/>
      <c r="P473" s="317"/>
      <c r="Q473" s="243"/>
      <c r="R473" s="243"/>
      <c r="S473" s="317"/>
      <c r="T473" s="317"/>
      <c r="U473" s="317"/>
      <c r="V473" s="317"/>
      <c r="W473" s="317"/>
      <c r="X473" s="317"/>
      <c r="Y473" s="243"/>
      <c r="Z473" s="243"/>
    </row>
    <row r="474">
      <c r="A474" s="615" t="s">
        <v>660</v>
      </c>
      <c r="B474" s="611">
        <f t="shared" si="1"/>
        <v>770</v>
      </c>
      <c r="C474" s="400"/>
      <c r="D474" s="607" t="s">
        <v>770</v>
      </c>
      <c r="E474" s="608">
        <f>SUM(D16,D55,D94,D133,D172,D211,D250,D289,D328,D367,D406,D445)</f>
        <v>250</v>
      </c>
      <c r="F474" s="612"/>
      <c r="G474" s="243"/>
      <c r="H474" s="243"/>
      <c r="I474" s="243"/>
      <c r="J474" s="243"/>
      <c r="K474" s="243"/>
      <c r="L474" s="277"/>
      <c r="M474" s="425"/>
      <c r="N474" s="604"/>
      <c r="O474" s="323"/>
      <c r="P474" s="317"/>
      <c r="Q474" s="243"/>
      <c r="R474" s="243"/>
      <c r="S474" s="317"/>
      <c r="T474" s="317"/>
      <c r="U474" s="317"/>
      <c r="V474" s="317"/>
      <c r="W474" s="317"/>
      <c r="X474" s="317"/>
      <c r="Y474" s="243"/>
      <c r="Z474" s="243"/>
    </row>
    <row r="475">
      <c r="A475" s="616" t="s">
        <v>662</v>
      </c>
      <c r="B475" s="611">
        <f t="shared" si="1"/>
        <v>302</v>
      </c>
      <c r="C475" s="400"/>
      <c r="D475" s="617" t="s">
        <v>793</v>
      </c>
      <c r="E475" s="608">
        <f>SUM(D446,D407,D368,D329,D290,D251,D212,D173,D134,D95,D56,D17)</f>
        <v>2622</v>
      </c>
      <c r="F475" s="618"/>
      <c r="G475" s="243"/>
      <c r="H475" s="243"/>
      <c r="I475" s="243"/>
      <c r="J475" s="243"/>
      <c r="K475" s="243"/>
      <c r="L475" s="277"/>
      <c r="M475" s="425"/>
      <c r="N475" s="604"/>
      <c r="O475" s="323"/>
      <c r="P475" s="317"/>
      <c r="Q475" s="243"/>
      <c r="R475" s="243"/>
      <c r="S475" s="317"/>
      <c r="T475" s="317"/>
      <c r="U475" s="317"/>
      <c r="V475" s="317"/>
      <c r="W475" s="317"/>
      <c r="X475" s="317"/>
      <c r="Y475" s="243"/>
      <c r="Z475" s="243"/>
    </row>
    <row r="476">
      <c r="A476" s="613" t="s">
        <v>666</v>
      </c>
      <c r="B476" s="611">
        <f t="shared" si="1"/>
        <v>332</v>
      </c>
      <c r="C476" s="400"/>
      <c r="D476" s="617" t="s">
        <v>794</v>
      </c>
      <c r="E476" s="608">
        <f>SUM(D18,D57,D96,D135,D174,D213,D252,D291,D330,D369,D408,D447)</f>
        <v>262</v>
      </c>
      <c r="F476" s="612"/>
      <c r="G476" s="243"/>
      <c r="H476" s="243"/>
      <c r="I476" s="243"/>
      <c r="J476" s="243"/>
      <c r="K476" s="243"/>
      <c r="L476" s="277"/>
      <c r="M476" s="425"/>
      <c r="N476" s="604"/>
      <c r="O476" s="323"/>
      <c r="P476" s="317"/>
      <c r="Q476" s="243"/>
      <c r="R476" s="243"/>
      <c r="S476" s="317"/>
      <c r="T476" s="317"/>
      <c r="U476" s="317"/>
      <c r="V476" s="317"/>
      <c r="W476" s="317"/>
      <c r="X476" s="317"/>
      <c r="Y476" s="243"/>
      <c r="Z476" s="243"/>
    </row>
    <row r="477">
      <c r="A477" s="613" t="s">
        <v>668</v>
      </c>
      <c r="B477" s="611">
        <f t="shared" si="1"/>
        <v>926</v>
      </c>
      <c r="C477" s="400"/>
      <c r="D477" s="607" t="s">
        <v>18</v>
      </c>
      <c r="E477" s="608">
        <f t="shared" ref="E477:E480" si="3">SUM(D448,D409,D370,D331,D292,D253,D214,D175,D136,D97,D58,D19)</f>
        <v>1249</v>
      </c>
      <c r="F477" s="612"/>
      <c r="G477" s="243"/>
      <c r="H477" s="243"/>
      <c r="I477" s="243"/>
      <c r="J477" s="243"/>
      <c r="K477" s="243"/>
      <c r="L477" s="277"/>
      <c r="M477" s="425"/>
      <c r="N477" s="604"/>
      <c r="O477" s="323"/>
      <c r="P477" s="317"/>
      <c r="Q477" s="243"/>
      <c r="R477" s="243"/>
      <c r="S477" s="317"/>
      <c r="T477" s="317"/>
      <c r="U477" s="317"/>
      <c r="V477" s="317"/>
      <c r="W477" s="317"/>
      <c r="X477" s="317"/>
      <c r="Y477" s="243"/>
      <c r="Z477" s="243"/>
    </row>
    <row r="478">
      <c r="A478" s="613" t="s">
        <v>670</v>
      </c>
      <c r="B478" s="611">
        <f t="shared" si="1"/>
        <v>15150</v>
      </c>
      <c r="C478" s="619"/>
      <c r="D478" s="607" t="s">
        <v>773</v>
      </c>
      <c r="E478" s="608">
        <f t="shared" si="3"/>
        <v>559</v>
      </c>
      <c r="F478" s="612"/>
      <c r="G478" s="243"/>
      <c r="H478" s="243"/>
      <c r="I478" s="243"/>
      <c r="J478" s="243"/>
      <c r="K478" s="243"/>
      <c r="L478" s="277"/>
      <c r="M478" s="425"/>
      <c r="N478" s="604"/>
      <c r="O478" s="323"/>
      <c r="P478" s="317"/>
      <c r="Q478" s="243"/>
      <c r="R478" s="243"/>
      <c r="S478" s="317"/>
      <c r="T478" s="317"/>
      <c r="U478" s="317"/>
      <c r="V478" s="317"/>
      <c r="W478" s="317"/>
      <c r="X478" s="317"/>
      <c r="Y478" s="243"/>
      <c r="Z478" s="243"/>
    </row>
    <row r="479">
      <c r="A479" s="613" t="s">
        <v>217</v>
      </c>
      <c r="B479" s="611">
        <f t="shared" si="1"/>
        <v>0</v>
      </c>
      <c r="C479" s="400"/>
      <c r="D479" s="607" t="s">
        <v>774</v>
      </c>
      <c r="E479" s="608">
        <f t="shared" si="3"/>
        <v>2144</v>
      </c>
      <c r="F479" s="612"/>
      <c r="G479" s="243"/>
      <c r="H479" s="243"/>
      <c r="I479" s="243"/>
      <c r="J479" s="243"/>
      <c r="K479" s="243"/>
      <c r="L479" s="277"/>
      <c r="M479" s="425"/>
      <c r="N479" s="604"/>
      <c r="O479" s="323"/>
      <c r="P479" s="317"/>
      <c r="Q479" s="243"/>
      <c r="R479" s="243"/>
      <c r="S479" s="317"/>
      <c r="T479" s="317"/>
      <c r="U479" s="317"/>
      <c r="V479" s="317"/>
      <c r="W479" s="317"/>
      <c r="X479" s="317"/>
      <c r="Y479" s="243"/>
      <c r="Z479" s="243"/>
    </row>
    <row r="480">
      <c r="A480" s="620" t="s">
        <v>672</v>
      </c>
      <c r="B480" s="611">
        <f>SUM(L444,L405,L366,L327,L288,L249,L210,L171,L132,L93,L54,L15)</f>
        <v>238.36</v>
      </c>
      <c r="C480" s="400"/>
      <c r="D480" s="607" t="s">
        <v>775</v>
      </c>
      <c r="E480" s="608">
        <f t="shared" si="3"/>
        <v>3963</v>
      </c>
      <c r="F480" s="612"/>
      <c r="G480" s="243"/>
      <c r="H480" s="243"/>
      <c r="I480" s="243"/>
      <c r="J480" s="243"/>
      <c r="K480" s="243"/>
      <c r="L480" s="277"/>
      <c r="M480" s="425"/>
      <c r="N480" s="604"/>
      <c r="O480" s="323"/>
      <c r="P480" s="317"/>
      <c r="Q480" s="243"/>
      <c r="R480" s="243"/>
      <c r="S480" s="317"/>
      <c r="T480" s="317"/>
      <c r="U480" s="317"/>
      <c r="V480" s="317"/>
      <c r="W480" s="317"/>
      <c r="X480" s="317"/>
      <c r="Y480" s="243"/>
      <c r="Z480" s="243"/>
    </row>
    <row r="481">
      <c r="A481" s="620" t="s">
        <v>675</v>
      </c>
      <c r="B481" s="611">
        <f>SUM(L445,L406,L367,L328,L328,L289,L250,L211,L172,L133,L94,L55,L16)</f>
        <v>70</v>
      </c>
      <c r="C481" s="400"/>
      <c r="D481" s="607" t="s">
        <v>10</v>
      </c>
      <c r="E481" s="608">
        <f t="shared" ref="E481:E482" si="4">SUM(D23,D62,D101,D140,D179,D218,D257,D296,D335,D374,D413,D452)</f>
        <v>147</v>
      </c>
      <c r="F481" s="612"/>
      <c r="G481" s="243"/>
      <c r="H481" s="243"/>
      <c r="I481" s="243"/>
      <c r="J481" s="380">
        <v>1600.0</v>
      </c>
      <c r="K481" s="243"/>
      <c r="L481" s="277"/>
      <c r="M481" s="425"/>
      <c r="N481" s="604"/>
      <c r="O481" s="323"/>
      <c r="P481" s="317"/>
      <c r="Q481" s="243"/>
      <c r="R481" s="243"/>
      <c r="S481" s="317"/>
      <c r="T481" s="317"/>
      <c r="U481" s="317"/>
      <c r="V481" s="317"/>
      <c r="W481" s="317"/>
      <c r="X481" s="317"/>
      <c r="Y481" s="243"/>
      <c r="Z481" s="243"/>
    </row>
    <row r="482">
      <c r="A482" s="621" t="s">
        <v>682</v>
      </c>
      <c r="B482" s="611">
        <f>SUM(L22,L61,L100,L139,L178,L217,L256,L295,L334,L373,L412,L451)</f>
        <v>1226.32</v>
      </c>
      <c r="C482" s="400"/>
      <c r="D482" s="607" t="s">
        <v>6</v>
      </c>
      <c r="E482" s="608">
        <f t="shared" si="4"/>
        <v>1999.37</v>
      </c>
      <c r="F482" s="612"/>
      <c r="G482" s="243"/>
      <c r="H482" s="243"/>
      <c r="I482" s="243"/>
      <c r="J482" s="243"/>
      <c r="K482" s="243"/>
      <c r="L482" s="277"/>
      <c r="M482" s="425"/>
      <c r="N482" s="622"/>
      <c r="O482" s="323"/>
      <c r="P482" s="317"/>
      <c r="Q482" s="243"/>
      <c r="R482" s="243"/>
      <c r="S482" s="317"/>
      <c r="T482" s="317"/>
      <c r="U482" s="317"/>
      <c r="V482" s="317"/>
      <c r="W482" s="317"/>
      <c r="X482" s="317"/>
      <c r="Y482" s="243"/>
      <c r="Z482" s="243"/>
    </row>
    <row r="483">
      <c r="A483" s="623" t="s">
        <v>684</v>
      </c>
      <c r="B483" s="611">
        <f>SUM(L452,L413,L374,L335,L296,L257,L218,L179,L140,L101,L62,L23)</f>
        <v>348</v>
      </c>
      <c r="C483" s="400"/>
      <c r="D483" s="607" t="s">
        <v>779</v>
      </c>
      <c r="E483" s="608">
        <f t="shared" ref="E483:E485" si="5">SUM(D454,D415,D376,D337,D298,D259,D220,D181,D142,D103,D64,D25)</f>
        <v>0</v>
      </c>
      <c r="F483" s="586"/>
      <c r="G483" s="243"/>
      <c r="H483" s="243"/>
      <c r="I483" s="243"/>
      <c r="J483" s="380">
        <v>75500.0</v>
      </c>
      <c r="K483" s="243"/>
      <c r="L483" s="277"/>
      <c r="M483" s="425"/>
      <c r="N483" s="622"/>
      <c r="O483" s="323"/>
      <c r="P483" s="317"/>
      <c r="Q483" s="243"/>
      <c r="R483" s="243"/>
      <c r="S483" s="317"/>
      <c r="T483" s="317"/>
      <c r="U483" s="317"/>
      <c r="V483" s="317"/>
      <c r="W483" s="317"/>
      <c r="X483" s="317"/>
      <c r="Y483" s="243"/>
      <c r="Z483" s="243"/>
    </row>
    <row r="484">
      <c r="A484" s="623" t="s">
        <v>686</v>
      </c>
      <c r="B484" s="611">
        <f>SUM(L24,L63,L102,L141,L180,L219,L258,L297,L336,L375,L414,L453)</f>
        <v>705.19</v>
      </c>
      <c r="C484" s="400"/>
      <c r="D484" s="607" t="s">
        <v>780</v>
      </c>
      <c r="E484" s="608">
        <f t="shared" si="5"/>
        <v>667</v>
      </c>
      <c r="F484" s="586"/>
      <c r="G484" s="243"/>
      <c r="H484" s="243"/>
      <c r="I484" s="243"/>
      <c r="J484" s="243"/>
      <c r="K484" s="243"/>
      <c r="L484" s="277"/>
      <c r="M484" s="425"/>
      <c r="N484" s="604"/>
      <c r="O484" s="323"/>
      <c r="P484" s="317"/>
      <c r="Q484" s="243"/>
      <c r="R484" s="243"/>
      <c r="S484" s="317"/>
      <c r="T484" s="317"/>
      <c r="U484" s="317"/>
      <c r="V484" s="317"/>
      <c r="W484" s="317"/>
      <c r="X484" s="317"/>
      <c r="Y484" s="243"/>
      <c r="Z484" s="243"/>
    </row>
    <row r="485">
      <c r="A485" s="624" t="s">
        <v>202</v>
      </c>
      <c r="B485" s="611">
        <f t="shared" ref="B485:B486" si="6">SUM(L454,L415,L376,L337,L298,L259,L220,L181,L142,L103,L64,L25)</f>
        <v>1189</v>
      </c>
      <c r="C485" s="400"/>
      <c r="D485" s="607" t="s">
        <v>781</v>
      </c>
      <c r="E485" s="608">
        <f t="shared" si="5"/>
        <v>1047</v>
      </c>
      <c r="F485" s="586"/>
      <c r="G485" s="243"/>
      <c r="H485" s="243"/>
      <c r="I485" s="243"/>
      <c r="J485" s="243"/>
      <c r="K485" s="243"/>
      <c r="L485" s="277"/>
      <c r="M485" s="425"/>
      <c r="N485" s="604"/>
      <c r="O485" s="323"/>
      <c r="P485" s="317"/>
      <c r="Q485" s="243"/>
      <c r="R485" s="243"/>
      <c r="S485" s="317"/>
      <c r="T485" s="317"/>
      <c r="U485" s="317"/>
      <c r="V485" s="317"/>
      <c r="W485" s="317"/>
      <c r="X485" s="317"/>
      <c r="Y485" s="243"/>
      <c r="Z485" s="243"/>
    </row>
    <row r="486">
      <c r="A486" s="624" t="s">
        <v>274</v>
      </c>
      <c r="B486" s="611">
        <f t="shared" si="6"/>
        <v>2131.48</v>
      </c>
      <c r="C486" s="400"/>
      <c r="D486" s="625"/>
      <c r="E486" s="626"/>
      <c r="F486" s="586"/>
      <c r="G486" s="243"/>
      <c r="H486" s="243"/>
      <c r="I486" s="243"/>
      <c r="J486" s="243"/>
      <c r="K486" s="243"/>
      <c r="L486" s="277"/>
      <c r="M486" s="425"/>
      <c r="N486" s="604"/>
      <c r="O486" s="323"/>
      <c r="P486" s="317"/>
      <c r="Q486" s="243"/>
      <c r="R486" s="243"/>
      <c r="S486" s="317"/>
      <c r="T486" s="317"/>
      <c r="U486" s="317"/>
      <c r="V486" s="317"/>
      <c r="W486" s="317"/>
      <c r="X486" s="317"/>
      <c r="Y486" s="243"/>
      <c r="Z486" s="243"/>
    </row>
    <row r="487">
      <c r="A487" s="627" t="s">
        <v>381</v>
      </c>
      <c r="B487" s="611">
        <f t="shared" ref="B487:B488" si="7">SUM(L28,L67,L106,L145,L184,L223,L262,L301,L340,L379,L418,L457)</f>
        <v>9694</v>
      </c>
      <c r="C487" s="400"/>
      <c r="D487" s="628"/>
      <c r="E487" s="626"/>
      <c r="F487" s="586"/>
      <c r="G487" s="243"/>
      <c r="H487" s="243"/>
      <c r="I487" s="243"/>
      <c r="J487" s="243"/>
      <c r="K487" s="243"/>
      <c r="L487" s="277"/>
      <c r="M487" s="425"/>
      <c r="N487" s="604"/>
      <c r="O487" s="323"/>
      <c r="P487" s="317"/>
      <c r="Q487" s="243"/>
      <c r="R487" s="243"/>
      <c r="S487" s="317"/>
      <c r="T487" s="317"/>
      <c r="U487" s="317"/>
      <c r="V487" s="317"/>
      <c r="W487" s="317"/>
      <c r="X487" s="317"/>
      <c r="Y487" s="243"/>
      <c r="Z487" s="243"/>
    </row>
    <row r="488">
      <c r="A488" s="629" t="s">
        <v>914</v>
      </c>
      <c r="B488" s="611">
        <f t="shared" si="7"/>
        <v>8366</v>
      </c>
      <c r="C488" s="400"/>
      <c r="D488" s="628"/>
      <c r="E488" s="626"/>
      <c r="F488" s="586"/>
      <c r="G488" s="243"/>
      <c r="H488" s="243"/>
      <c r="I488" s="243"/>
      <c r="J488" s="243"/>
      <c r="K488" s="243"/>
      <c r="L488" s="277"/>
      <c r="M488" s="425"/>
      <c r="N488" s="604"/>
      <c r="O488" s="323"/>
      <c r="P488" s="317"/>
      <c r="Q488" s="243"/>
      <c r="R488" s="243"/>
      <c r="S488" s="317"/>
      <c r="T488" s="317"/>
      <c r="U488" s="317"/>
      <c r="V488" s="317"/>
      <c r="W488" s="317"/>
      <c r="X488" s="317"/>
      <c r="Y488" s="243"/>
      <c r="Z488" s="243"/>
    </row>
    <row r="489">
      <c r="A489" s="630" t="s">
        <v>692</v>
      </c>
      <c r="B489" s="611">
        <f>SUM(L460,L421,L382,L343,L304,L265,L226,L187,L148,L109,L70,L31)</f>
        <v>600</v>
      </c>
      <c r="D489" s="628"/>
      <c r="E489" s="626"/>
      <c r="F489" s="586"/>
      <c r="G489" s="243"/>
      <c r="H489" s="243"/>
      <c r="I489" s="243"/>
      <c r="J489" s="243"/>
      <c r="K489" s="243"/>
      <c r="L489" s="277"/>
      <c r="M489" s="425"/>
      <c r="N489" s="604"/>
      <c r="O489" s="323"/>
      <c r="P489" s="317"/>
      <c r="Q489" s="243"/>
      <c r="R489" s="243"/>
      <c r="S489" s="317"/>
      <c r="T489" s="317"/>
      <c r="U489" s="317"/>
      <c r="V489" s="317"/>
      <c r="W489" s="317"/>
      <c r="X489" s="317"/>
      <c r="Y489" s="243"/>
      <c r="Z489" s="243"/>
    </row>
    <row r="490">
      <c r="A490" s="631" t="s">
        <v>915</v>
      </c>
      <c r="B490" s="632">
        <f>SUM(C6,C45,C84,C123,C162,C201,C240,C279,C318,C357,C396,C435)</f>
        <v>6526.6</v>
      </c>
      <c r="D490" s="628"/>
      <c r="E490" s="626"/>
      <c r="F490" s="586"/>
      <c r="G490" s="243"/>
      <c r="H490" s="243"/>
      <c r="I490" s="243"/>
      <c r="J490" s="243"/>
      <c r="K490" s="243"/>
      <c r="L490" s="277"/>
      <c r="M490" s="425"/>
      <c r="N490" s="604"/>
      <c r="O490" s="323"/>
      <c r="P490" s="317"/>
      <c r="Q490" s="243"/>
      <c r="R490" s="243"/>
      <c r="S490" s="317"/>
      <c r="T490" s="317"/>
      <c r="U490" s="317"/>
      <c r="V490" s="317"/>
      <c r="W490" s="317"/>
      <c r="X490" s="317"/>
      <c r="Y490" s="243"/>
      <c r="Z490" s="243"/>
    </row>
    <row r="491">
      <c r="A491" s="633" t="s">
        <v>916</v>
      </c>
      <c r="B491" s="332">
        <f>SUM(B470:B490)</f>
        <v>52012.47</v>
      </c>
      <c r="C491" s="634">
        <f>SUM(C433,C394,C355,C316,C277,C238,C199,C160,C121,C82,C43,C4)</f>
        <v>16403</v>
      </c>
      <c r="D491" s="524" t="s">
        <v>916</v>
      </c>
      <c r="E491" s="635">
        <f>SUM(E470:E490)</f>
        <v>20485.22</v>
      </c>
      <c r="F491" s="586"/>
      <c r="G491" s="243"/>
      <c r="H491" s="243"/>
      <c r="I491" s="243"/>
      <c r="J491" s="243"/>
      <c r="K491" s="243"/>
      <c r="L491" s="277"/>
      <c r="M491" s="425"/>
      <c r="N491" s="604"/>
      <c r="O491" s="323"/>
      <c r="P491" s="317"/>
      <c r="Q491" s="243"/>
      <c r="R491" s="243"/>
      <c r="S491" s="317"/>
      <c r="T491" s="317"/>
      <c r="U491" s="317"/>
      <c r="V491" s="317"/>
      <c r="W491" s="317"/>
      <c r="X491" s="317"/>
      <c r="Y491" s="243"/>
      <c r="Z491" s="243"/>
    </row>
    <row r="492">
      <c r="A492" s="377"/>
      <c r="B492" s="243"/>
      <c r="C492" s="243"/>
      <c r="D492" s="243"/>
      <c r="E492" s="585"/>
      <c r="F492" s="586"/>
      <c r="G492" s="243"/>
      <c r="H492" s="243"/>
      <c r="I492" s="243"/>
      <c r="J492" s="243"/>
      <c r="K492" s="243"/>
      <c r="L492" s="277"/>
      <c r="M492" s="425"/>
      <c r="N492" s="604"/>
      <c r="O492" s="323"/>
      <c r="P492" s="317"/>
      <c r="Q492" s="243"/>
      <c r="R492" s="243"/>
      <c r="S492" s="317"/>
      <c r="T492" s="317"/>
      <c r="U492" s="317"/>
      <c r="V492" s="317"/>
      <c r="W492" s="317"/>
      <c r="X492" s="317"/>
      <c r="Y492" s="243"/>
      <c r="Z492" s="243"/>
    </row>
    <row r="493">
      <c r="A493" s="636" t="s">
        <v>917</v>
      </c>
      <c r="B493" s="319"/>
      <c r="C493" s="319"/>
      <c r="D493" s="319"/>
      <c r="E493" s="319"/>
      <c r="F493" s="319"/>
      <c r="G493" s="319"/>
      <c r="H493" s="319"/>
      <c r="I493" s="319"/>
      <c r="J493" s="319"/>
      <c r="K493" s="319"/>
      <c r="L493" s="319"/>
      <c r="M493" s="319"/>
      <c r="N493" s="26"/>
      <c r="O493" s="323"/>
      <c r="P493" s="317"/>
      <c r="Q493" s="243"/>
      <c r="R493" s="243"/>
      <c r="S493" s="317"/>
      <c r="T493" s="317"/>
      <c r="U493" s="317"/>
      <c r="V493" s="317"/>
      <c r="W493" s="317"/>
      <c r="X493" s="317"/>
      <c r="Y493" s="243"/>
      <c r="Z493" s="243"/>
    </row>
    <row r="494">
      <c r="A494" s="637" t="s">
        <v>918</v>
      </c>
      <c r="B494" s="638" t="s">
        <v>919</v>
      </c>
      <c r="C494" s="638" t="s">
        <v>920</v>
      </c>
      <c r="D494" s="638" t="s">
        <v>921</v>
      </c>
      <c r="E494" s="639" t="s">
        <v>922</v>
      </c>
      <c r="F494" s="640" t="s">
        <v>923</v>
      </c>
      <c r="G494" s="638" t="s">
        <v>924</v>
      </c>
      <c r="J494" s="639" t="s">
        <v>925</v>
      </c>
      <c r="L494" s="641" t="s">
        <v>926</v>
      </c>
      <c r="M494" s="638" t="s">
        <v>927</v>
      </c>
      <c r="N494" s="642" t="s">
        <v>928</v>
      </c>
      <c r="O494" s="643" t="s">
        <v>929</v>
      </c>
      <c r="P494" s="317"/>
      <c r="Q494" s="243"/>
      <c r="R494" s="243"/>
      <c r="S494" s="317"/>
      <c r="T494" s="317"/>
      <c r="U494" s="317"/>
      <c r="V494" s="317"/>
      <c r="W494" s="317"/>
      <c r="X494" s="317"/>
      <c r="Y494" s="243"/>
      <c r="Z494" s="243"/>
    </row>
    <row r="495">
      <c r="A495" s="644">
        <f>SUM(C5,C44,C83,C122,C161,C200,C239,C278,C317,C356,C395,C434)</f>
        <v>51224.07</v>
      </c>
      <c r="B495" s="645">
        <f>SUM(C3,C42,C81,C120,C159,C198,C237,C276,C315,C354,C393,C432)</f>
        <v>75474</v>
      </c>
      <c r="C495" s="645">
        <f>SUM(L461,L422,L383,L344,L305,L266,L227,L188,L149,L110,L71,L32)</f>
        <v>5738.2</v>
      </c>
      <c r="D495" s="645">
        <f>SUM(B11,B50,B89,B128,B167,B206,B245,B284,B323,B362,B401,B440)</f>
        <v>20485.22</v>
      </c>
      <c r="E495" s="645">
        <f>B495-A495-C495</f>
        <v>18511.73</v>
      </c>
      <c r="F495" s="646">
        <f>B495-A495-C495-D495</f>
        <v>-1973.49</v>
      </c>
      <c r="G495" s="647">
        <f>AVERAGE(C3,C42,C81,C120,C159,C198,C237,C276,C315,C354,C393,C432)</f>
        <v>6289.5</v>
      </c>
      <c r="H495" s="648"/>
      <c r="I495" s="648"/>
      <c r="J495" s="647">
        <f>AVERAGE(C436,C397,C358,C319,C280,C241,C202,C163,C124,C85,C46,C7)</f>
        <v>1476.944167</v>
      </c>
      <c r="K495" s="648"/>
      <c r="L495" s="647">
        <f>AVERAGE(B463,B424,B385,B346,B307,B268,B229,B190,B151,B112,B73,B34)</f>
        <v>-230.1575</v>
      </c>
      <c r="M495" s="649">
        <f>AVERAGE(C434,C395,C356,C317,C278,C239,C200,C161,C122,C83,C44,C5)</f>
        <v>4268.6725</v>
      </c>
      <c r="N495" s="650">
        <f>AVERAGE(B11,B50,B89,B128,B167,B245,B284,B323,B362,B401,B440,B206)</f>
        <v>1707.101667</v>
      </c>
      <c r="O495" s="651">
        <f>SUM(B465,B464)</f>
        <v>6451</v>
      </c>
      <c r="P495" s="317"/>
      <c r="Q495" s="243"/>
      <c r="R495" s="243"/>
      <c r="S495" s="317"/>
      <c r="T495" s="317"/>
      <c r="U495" s="317"/>
      <c r="V495" s="317"/>
      <c r="W495" s="317"/>
      <c r="X495" s="317"/>
      <c r="Y495" s="243"/>
      <c r="Z495" s="243"/>
    </row>
    <row r="496">
      <c r="A496" s="243"/>
      <c r="B496" s="243"/>
      <c r="C496" s="243"/>
      <c r="D496" s="652"/>
      <c r="E496" s="246"/>
      <c r="F496" s="586"/>
      <c r="G496" s="243"/>
      <c r="H496" s="243"/>
      <c r="I496" s="243"/>
      <c r="J496" s="243"/>
      <c r="K496" s="243"/>
      <c r="L496" s="277"/>
      <c r="M496" s="425"/>
      <c r="N496" s="604"/>
      <c r="O496" s="323"/>
      <c r="P496" s="317"/>
      <c r="Q496" s="243"/>
      <c r="R496" s="243"/>
      <c r="S496" s="317"/>
      <c r="T496" s="317"/>
      <c r="U496" s="317"/>
      <c r="V496" s="317"/>
      <c r="W496" s="317"/>
      <c r="X496" s="317"/>
      <c r="Y496" s="243"/>
      <c r="Z496" s="243"/>
    </row>
    <row r="497">
      <c r="A497" s="653" t="s">
        <v>930</v>
      </c>
      <c r="F497" s="586"/>
      <c r="G497" s="148"/>
      <c r="H497" s="148"/>
      <c r="I497" s="251"/>
      <c r="J497" s="243"/>
      <c r="K497" s="148"/>
      <c r="L497" s="277"/>
      <c r="M497" s="252"/>
      <c r="N497" s="250"/>
      <c r="O497" s="253"/>
      <c r="P497" s="240"/>
      <c r="Q497" s="148"/>
      <c r="R497" s="148"/>
      <c r="S497" s="242"/>
      <c r="T497" s="242"/>
      <c r="U497" s="242"/>
      <c r="V497" s="242"/>
      <c r="W497" s="242"/>
      <c r="X497" s="242"/>
      <c r="Y497" s="148"/>
      <c r="Z497" s="148"/>
    </row>
    <row r="498">
      <c r="A498" s="333" t="s">
        <v>931</v>
      </c>
      <c r="B498" s="148"/>
      <c r="C498" s="148"/>
      <c r="D498" s="245"/>
      <c r="E498" s="585"/>
      <c r="F498" s="586"/>
      <c r="G498" s="148"/>
      <c r="H498" s="148"/>
      <c r="I498" s="251"/>
      <c r="J498" s="243"/>
      <c r="K498" s="148"/>
      <c r="L498" s="277"/>
      <c r="M498" s="252"/>
      <c r="N498" s="250"/>
      <c r="O498" s="253"/>
      <c r="P498" s="240"/>
      <c r="Q498" s="148"/>
      <c r="R498" s="148"/>
      <c r="S498" s="242"/>
      <c r="T498" s="242"/>
      <c r="U498" s="242"/>
      <c r="V498" s="242"/>
      <c r="W498" s="242"/>
      <c r="X498" s="242"/>
      <c r="Y498" s="148"/>
      <c r="Z498" s="148"/>
    </row>
    <row r="499">
      <c r="A499" s="148"/>
      <c r="B499" s="148"/>
      <c r="C499" s="148"/>
      <c r="D499" s="245"/>
      <c r="E499" s="246" t="s">
        <v>932</v>
      </c>
      <c r="F499" s="586"/>
      <c r="G499" s="148"/>
      <c r="H499" s="148"/>
      <c r="I499" s="251"/>
      <c r="J499" s="243"/>
      <c r="K499" s="148"/>
      <c r="L499" s="277"/>
      <c r="M499" s="252"/>
      <c r="N499" s="250"/>
      <c r="O499" s="253"/>
      <c r="P499" s="240"/>
      <c r="Q499" s="148"/>
      <c r="R499" s="148"/>
      <c r="S499" s="242"/>
      <c r="T499" s="242"/>
      <c r="U499" s="242"/>
      <c r="V499" s="242"/>
      <c r="W499" s="242"/>
      <c r="X499" s="242"/>
      <c r="Y499" s="148"/>
      <c r="Z499" s="148"/>
    </row>
    <row r="500">
      <c r="A500" s="654" t="s">
        <v>933</v>
      </c>
      <c r="F500" s="586"/>
      <c r="G500" s="148"/>
      <c r="H500" s="148"/>
      <c r="I500" s="251"/>
      <c r="J500" s="243"/>
      <c r="K500" s="148"/>
      <c r="L500" s="277"/>
      <c r="M500" s="252"/>
      <c r="N500" s="250"/>
      <c r="O500" s="253"/>
      <c r="P500" s="240"/>
      <c r="Q500" s="148"/>
      <c r="R500" s="148"/>
      <c r="S500" s="242"/>
      <c r="T500" s="242"/>
      <c r="U500" s="242"/>
      <c r="V500" s="242"/>
      <c r="W500" s="242"/>
      <c r="X500" s="242"/>
      <c r="Y500" s="148"/>
      <c r="Z500" s="148"/>
    </row>
    <row r="501">
      <c r="F501" s="586"/>
      <c r="G501" s="148"/>
      <c r="H501" s="148"/>
      <c r="I501" s="251"/>
      <c r="J501" s="243"/>
      <c r="K501" s="148"/>
      <c r="L501" s="277"/>
      <c r="M501" s="252"/>
      <c r="N501" s="250"/>
      <c r="O501" s="253"/>
      <c r="P501" s="240"/>
      <c r="Q501" s="148"/>
      <c r="R501" s="148"/>
      <c r="S501" s="242"/>
      <c r="T501" s="242"/>
      <c r="U501" s="242"/>
      <c r="V501" s="242"/>
      <c r="W501" s="242"/>
      <c r="X501" s="242"/>
      <c r="Y501" s="148"/>
      <c r="Z501" s="148"/>
    </row>
    <row r="502">
      <c r="F502" s="586"/>
      <c r="G502" s="148"/>
      <c r="H502" s="148"/>
      <c r="I502" s="251"/>
      <c r="J502" s="243"/>
      <c r="K502" s="148"/>
      <c r="L502" s="277"/>
      <c r="M502" s="252"/>
      <c r="N502" s="250"/>
      <c r="O502" s="253"/>
      <c r="P502" s="240"/>
      <c r="Q502" s="148"/>
      <c r="R502" s="148"/>
      <c r="S502" s="242"/>
      <c r="T502" s="242"/>
      <c r="U502" s="242"/>
      <c r="V502" s="242"/>
      <c r="W502" s="242"/>
      <c r="X502" s="242"/>
      <c r="Y502" s="148"/>
      <c r="Z502" s="148"/>
    </row>
    <row r="503">
      <c r="F503" s="586"/>
      <c r="G503" s="148"/>
      <c r="H503" s="148"/>
      <c r="I503" s="251"/>
      <c r="J503" s="243"/>
      <c r="K503" s="148"/>
      <c r="L503" s="277"/>
      <c r="M503" s="252"/>
      <c r="N503" s="250"/>
      <c r="O503" s="253"/>
      <c r="P503" s="240"/>
      <c r="Q503" s="148"/>
      <c r="R503" s="148"/>
      <c r="S503" s="242"/>
      <c r="T503" s="242"/>
      <c r="U503" s="242"/>
      <c r="V503" s="242"/>
      <c r="W503" s="242"/>
      <c r="X503" s="242"/>
      <c r="Y503" s="148"/>
      <c r="Z503" s="148"/>
    </row>
    <row r="504">
      <c r="F504" s="586"/>
      <c r="G504" s="148"/>
      <c r="H504" s="148"/>
      <c r="I504" s="251"/>
      <c r="J504" s="243"/>
      <c r="K504" s="148"/>
      <c r="L504" s="277"/>
      <c r="M504" s="252"/>
      <c r="N504" s="250"/>
      <c r="O504" s="253"/>
      <c r="P504" s="240"/>
      <c r="Q504" s="148"/>
      <c r="R504" s="148"/>
      <c r="S504" s="242"/>
      <c r="T504" s="242"/>
      <c r="U504" s="242"/>
      <c r="V504" s="242"/>
      <c r="W504" s="242"/>
      <c r="X504" s="242"/>
      <c r="Y504" s="148"/>
      <c r="Z504" s="148"/>
    </row>
    <row r="505">
      <c r="F505" s="586"/>
      <c r="G505" s="148"/>
      <c r="H505" s="148"/>
      <c r="I505" s="251"/>
      <c r="J505" s="243"/>
      <c r="K505" s="148"/>
      <c r="L505" s="277"/>
      <c r="M505" s="252"/>
      <c r="N505" s="250"/>
      <c r="O505" s="253"/>
      <c r="P505" s="240"/>
      <c r="Q505" s="148"/>
      <c r="R505" s="148"/>
      <c r="S505" s="242"/>
      <c r="T505" s="242"/>
      <c r="U505" s="242"/>
      <c r="V505" s="242"/>
      <c r="W505" s="242"/>
      <c r="X505" s="242"/>
      <c r="Y505" s="148"/>
      <c r="Z505" s="148"/>
    </row>
    <row r="506">
      <c r="F506" s="586"/>
      <c r="G506" s="148"/>
      <c r="H506" s="148"/>
      <c r="I506" s="251"/>
      <c r="J506" s="243"/>
      <c r="K506" s="148"/>
      <c r="L506" s="277"/>
      <c r="M506" s="252"/>
      <c r="N506" s="250"/>
      <c r="O506" s="253"/>
      <c r="P506" s="240"/>
      <c r="Q506" s="148"/>
      <c r="R506" s="148"/>
      <c r="S506" s="242"/>
      <c r="T506" s="242"/>
      <c r="U506" s="242"/>
      <c r="V506" s="242"/>
      <c r="W506" s="242"/>
      <c r="X506" s="242"/>
      <c r="Y506" s="148"/>
      <c r="Z506" s="148"/>
    </row>
    <row r="507">
      <c r="F507" s="586"/>
      <c r="G507" s="148"/>
      <c r="H507" s="148"/>
      <c r="I507" s="251"/>
      <c r="J507" s="243"/>
      <c r="K507" s="148"/>
      <c r="L507" s="277"/>
      <c r="M507" s="252"/>
      <c r="N507" s="250"/>
      <c r="O507" s="253"/>
      <c r="P507" s="240"/>
      <c r="Q507" s="148"/>
      <c r="R507" s="148"/>
      <c r="S507" s="242"/>
      <c r="T507" s="242"/>
      <c r="U507" s="242"/>
      <c r="V507" s="242"/>
      <c r="W507" s="242"/>
      <c r="X507" s="242"/>
      <c r="Y507" s="148"/>
      <c r="Z507" s="148"/>
    </row>
    <row r="508">
      <c r="F508" s="586"/>
      <c r="G508" s="148"/>
      <c r="H508" s="148"/>
      <c r="I508" s="251"/>
      <c r="J508" s="243"/>
      <c r="K508" s="148"/>
      <c r="L508" s="277"/>
      <c r="M508" s="252"/>
      <c r="N508" s="250"/>
      <c r="O508" s="253"/>
      <c r="P508" s="240"/>
      <c r="Q508" s="148"/>
      <c r="R508" s="148"/>
      <c r="S508" s="242"/>
      <c r="T508" s="242"/>
      <c r="U508" s="242"/>
      <c r="V508" s="242"/>
      <c r="W508" s="242"/>
      <c r="X508" s="242"/>
      <c r="Y508" s="148"/>
      <c r="Z508" s="148"/>
    </row>
    <row r="509">
      <c r="A509" s="654" t="s">
        <v>934</v>
      </c>
      <c r="F509" s="586"/>
      <c r="G509" s="148"/>
      <c r="H509" s="148"/>
      <c r="I509" s="251"/>
      <c r="J509" s="243"/>
      <c r="K509" s="148"/>
      <c r="L509" s="277"/>
      <c r="M509" s="252"/>
      <c r="N509" s="250"/>
      <c r="O509" s="253"/>
      <c r="P509" s="240"/>
      <c r="Q509" s="148"/>
      <c r="R509" s="148"/>
      <c r="S509" s="242"/>
      <c r="T509" s="242"/>
      <c r="U509" s="242"/>
      <c r="V509" s="242"/>
      <c r="W509" s="242"/>
      <c r="X509" s="242"/>
      <c r="Y509" s="148"/>
      <c r="Z509" s="148"/>
    </row>
    <row r="510">
      <c r="F510" s="586"/>
      <c r="G510" s="148"/>
      <c r="H510" s="148"/>
      <c r="I510" s="251"/>
      <c r="J510" s="243"/>
      <c r="K510" s="148"/>
      <c r="L510" s="277"/>
      <c r="M510" s="252"/>
      <c r="N510" s="250"/>
      <c r="O510" s="253"/>
      <c r="P510" s="240"/>
      <c r="Q510" s="148"/>
      <c r="R510" s="148"/>
      <c r="S510" s="242"/>
      <c r="T510" s="242"/>
      <c r="U510" s="242"/>
      <c r="V510" s="242"/>
      <c r="W510" s="242"/>
      <c r="X510" s="242"/>
      <c r="Y510" s="148"/>
      <c r="Z510" s="148"/>
    </row>
    <row r="511">
      <c r="F511" s="586"/>
      <c r="G511" s="148"/>
      <c r="H511" s="148"/>
      <c r="I511" s="251"/>
      <c r="J511" s="243"/>
      <c r="K511" s="148"/>
      <c r="L511" s="277"/>
      <c r="M511" s="252"/>
      <c r="N511" s="250"/>
      <c r="O511" s="253"/>
      <c r="P511" s="240"/>
      <c r="Q511" s="148"/>
      <c r="R511" s="148"/>
      <c r="S511" s="242"/>
      <c r="T511" s="242"/>
      <c r="U511" s="242"/>
      <c r="V511" s="242"/>
      <c r="W511" s="242"/>
      <c r="X511" s="242"/>
      <c r="Y511" s="148"/>
      <c r="Z511" s="148"/>
    </row>
    <row r="512">
      <c r="F512" s="586"/>
      <c r="G512" s="148"/>
      <c r="H512" s="148"/>
      <c r="I512" s="251"/>
      <c r="J512" s="243"/>
      <c r="K512" s="148"/>
      <c r="L512" s="277"/>
      <c r="M512" s="252"/>
      <c r="N512" s="250"/>
      <c r="O512" s="253"/>
      <c r="P512" s="240"/>
      <c r="Q512" s="148"/>
      <c r="R512" s="148"/>
      <c r="S512" s="242"/>
      <c r="T512" s="242"/>
      <c r="U512" s="242"/>
      <c r="V512" s="242"/>
      <c r="W512" s="242"/>
      <c r="X512" s="242"/>
      <c r="Y512" s="148"/>
      <c r="Z512" s="148"/>
    </row>
    <row r="513">
      <c r="F513" s="586"/>
      <c r="G513" s="148"/>
      <c r="H513" s="148"/>
      <c r="I513" s="251"/>
      <c r="J513" s="243"/>
      <c r="K513" s="148"/>
      <c r="L513" s="277"/>
      <c r="M513" s="252"/>
      <c r="N513" s="250"/>
      <c r="O513" s="253"/>
      <c r="P513" s="240"/>
      <c r="Q513" s="148"/>
      <c r="R513" s="148"/>
      <c r="S513" s="242"/>
      <c r="T513" s="242"/>
      <c r="U513" s="242"/>
      <c r="V513" s="242"/>
      <c r="W513" s="242"/>
      <c r="X513" s="242"/>
      <c r="Y513" s="148"/>
      <c r="Z513" s="148"/>
    </row>
    <row r="514">
      <c r="F514" s="586"/>
      <c r="G514" s="148"/>
      <c r="H514" s="148"/>
      <c r="I514" s="251"/>
      <c r="J514" s="243"/>
      <c r="K514" s="148"/>
      <c r="L514" s="277"/>
      <c r="M514" s="252"/>
      <c r="N514" s="250"/>
      <c r="O514" s="253"/>
      <c r="P514" s="240"/>
      <c r="Q514" s="148"/>
      <c r="R514" s="148"/>
      <c r="S514" s="242"/>
      <c r="T514" s="242"/>
      <c r="U514" s="242"/>
      <c r="V514" s="242"/>
      <c r="W514" s="242"/>
      <c r="X514" s="242"/>
      <c r="Y514" s="148"/>
      <c r="Z514" s="148"/>
    </row>
    <row r="515">
      <c r="F515" s="586"/>
      <c r="G515" s="148"/>
      <c r="H515" s="148"/>
      <c r="I515" s="251"/>
      <c r="J515" s="243"/>
      <c r="K515" s="148"/>
      <c r="L515" s="277"/>
      <c r="M515" s="252"/>
      <c r="N515" s="250"/>
      <c r="O515" s="253"/>
      <c r="P515" s="240"/>
      <c r="Q515" s="148"/>
      <c r="R515" s="148"/>
      <c r="S515" s="242"/>
      <c r="T515" s="242"/>
      <c r="U515" s="242"/>
      <c r="V515" s="242"/>
      <c r="W515" s="242"/>
      <c r="X515" s="242"/>
      <c r="Y515" s="148"/>
      <c r="Z515" s="148"/>
    </row>
    <row r="516">
      <c r="F516" s="586"/>
      <c r="G516" s="148"/>
      <c r="H516" s="148"/>
      <c r="I516" s="251"/>
      <c r="J516" s="243"/>
      <c r="K516" s="148"/>
      <c r="L516" s="277"/>
      <c r="M516" s="252"/>
      <c r="N516" s="250"/>
      <c r="O516" s="253"/>
      <c r="P516" s="240"/>
      <c r="Q516" s="148"/>
      <c r="R516" s="148"/>
      <c r="S516" s="242"/>
      <c r="T516" s="242"/>
      <c r="U516" s="242"/>
      <c r="V516" s="242"/>
      <c r="W516" s="242"/>
      <c r="X516" s="242"/>
      <c r="Y516" s="148"/>
      <c r="Z516" s="148"/>
    </row>
    <row r="517">
      <c r="F517" s="586"/>
      <c r="G517" s="148"/>
      <c r="H517" s="148"/>
      <c r="I517" s="251"/>
      <c r="J517" s="243"/>
      <c r="K517" s="148"/>
      <c r="L517" s="277"/>
      <c r="M517" s="252"/>
      <c r="N517" s="250"/>
      <c r="O517" s="253"/>
      <c r="P517" s="240"/>
      <c r="Q517" s="148"/>
      <c r="R517" s="148"/>
      <c r="S517" s="242"/>
      <c r="T517" s="242"/>
      <c r="U517" s="242"/>
      <c r="V517" s="242"/>
      <c r="W517" s="242"/>
      <c r="X517" s="242"/>
      <c r="Y517" s="148"/>
      <c r="Z517" s="148"/>
    </row>
    <row r="518">
      <c r="A518" s="654" t="s">
        <v>935</v>
      </c>
      <c r="F518" s="586"/>
      <c r="G518" s="148"/>
      <c r="H518" s="148"/>
      <c r="I518" s="251"/>
      <c r="J518" s="243"/>
      <c r="K518" s="148"/>
      <c r="L518" s="277"/>
      <c r="M518" s="252"/>
      <c r="N518" s="250"/>
      <c r="O518" s="253"/>
      <c r="P518" s="240"/>
      <c r="Q518" s="148"/>
      <c r="R518" s="148"/>
      <c r="S518" s="242"/>
      <c r="T518" s="242"/>
      <c r="U518" s="242"/>
      <c r="V518" s="242"/>
      <c r="W518" s="242"/>
      <c r="X518" s="242"/>
      <c r="Y518" s="148"/>
      <c r="Z518" s="148"/>
    </row>
    <row r="519">
      <c r="F519" s="586"/>
      <c r="G519" s="148"/>
      <c r="H519" s="148"/>
      <c r="I519" s="251"/>
      <c r="J519" s="243"/>
      <c r="K519" s="148"/>
      <c r="L519" s="277"/>
      <c r="M519" s="252"/>
      <c r="N519" s="250"/>
      <c r="O519" s="253"/>
      <c r="P519" s="240"/>
      <c r="Q519" s="148"/>
      <c r="R519" s="148"/>
      <c r="S519" s="242"/>
      <c r="T519" s="242"/>
      <c r="U519" s="242"/>
      <c r="V519" s="242"/>
      <c r="W519" s="242"/>
      <c r="X519" s="242"/>
      <c r="Y519" s="148"/>
      <c r="Z519" s="148"/>
    </row>
    <row r="520">
      <c r="F520" s="586"/>
      <c r="G520" s="148"/>
      <c r="H520" s="148"/>
      <c r="I520" s="251"/>
      <c r="J520" s="243"/>
      <c r="K520" s="148"/>
      <c r="L520" s="277"/>
      <c r="M520" s="252"/>
      <c r="N520" s="250"/>
      <c r="O520" s="253"/>
      <c r="P520" s="240"/>
      <c r="Q520" s="148"/>
      <c r="R520" s="148"/>
      <c r="S520" s="242"/>
      <c r="T520" s="242"/>
      <c r="U520" s="242"/>
      <c r="V520" s="242"/>
      <c r="W520" s="242"/>
      <c r="X520" s="242"/>
      <c r="Y520" s="148"/>
      <c r="Z520" s="148"/>
    </row>
    <row r="521">
      <c r="F521" s="586"/>
      <c r="G521" s="148"/>
      <c r="H521" s="148"/>
      <c r="I521" s="251"/>
      <c r="J521" s="243"/>
      <c r="K521" s="148"/>
      <c r="L521" s="277"/>
      <c r="M521" s="252"/>
      <c r="N521" s="250"/>
      <c r="O521" s="253"/>
      <c r="P521" s="240"/>
      <c r="Q521" s="148"/>
      <c r="R521" s="148"/>
      <c r="S521" s="242"/>
      <c r="T521" s="242"/>
      <c r="U521" s="242"/>
      <c r="V521" s="242"/>
      <c r="W521" s="242"/>
      <c r="X521" s="242"/>
      <c r="Y521" s="148"/>
      <c r="Z521" s="148"/>
    </row>
    <row r="522">
      <c r="F522" s="586"/>
      <c r="G522" s="148"/>
      <c r="H522" s="148"/>
      <c r="I522" s="251"/>
      <c r="J522" s="243"/>
      <c r="K522" s="148"/>
      <c r="L522" s="277"/>
      <c r="M522" s="252"/>
      <c r="N522" s="250"/>
      <c r="O522" s="253"/>
      <c r="P522" s="240"/>
      <c r="Q522" s="148"/>
      <c r="R522" s="148"/>
      <c r="S522" s="242"/>
      <c r="T522" s="242"/>
      <c r="U522" s="242"/>
      <c r="V522" s="242"/>
      <c r="W522" s="242"/>
      <c r="X522" s="242"/>
      <c r="Y522" s="148"/>
      <c r="Z522" s="148"/>
    </row>
    <row r="523">
      <c r="F523" s="586"/>
      <c r="G523" s="148"/>
      <c r="H523" s="148"/>
      <c r="I523" s="251"/>
      <c r="J523" s="243"/>
      <c r="K523" s="148"/>
      <c r="L523" s="277"/>
      <c r="M523" s="252"/>
      <c r="N523" s="250"/>
      <c r="O523" s="253"/>
      <c r="P523" s="240"/>
      <c r="Q523" s="148"/>
      <c r="R523" s="148"/>
      <c r="S523" s="242"/>
      <c r="T523" s="242"/>
      <c r="U523" s="242"/>
      <c r="V523" s="242"/>
      <c r="W523" s="242"/>
      <c r="X523" s="242"/>
      <c r="Y523" s="148"/>
      <c r="Z523" s="148"/>
    </row>
    <row r="524">
      <c r="F524" s="586"/>
      <c r="G524" s="148"/>
      <c r="H524" s="148"/>
      <c r="I524" s="251"/>
      <c r="J524" s="243"/>
      <c r="K524" s="148"/>
      <c r="L524" s="277"/>
      <c r="M524" s="252"/>
      <c r="N524" s="250"/>
      <c r="O524" s="253"/>
      <c r="P524" s="240"/>
      <c r="Q524" s="148"/>
      <c r="R524" s="148"/>
      <c r="S524" s="242"/>
      <c r="T524" s="242"/>
      <c r="U524" s="242"/>
      <c r="V524" s="242"/>
      <c r="W524" s="242"/>
      <c r="X524" s="242"/>
      <c r="Y524" s="148"/>
      <c r="Z524" s="148"/>
    </row>
    <row r="525">
      <c r="F525" s="586"/>
      <c r="G525" s="148"/>
      <c r="H525" s="148"/>
      <c r="I525" s="251"/>
      <c r="J525" s="243"/>
      <c r="K525" s="148"/>
      <c r="L525" s="277"/>
      <c r="M525" s="252"/>
      <c r="N525" s="250"/>
      <c r="O525" s="253"/>
      <c r="P525" s="240"/>
      <c r="Q525" s="148"/>
      <c r="R525" s="148"/>
      <c r="S525" s="242"/>
      <c r="T525" s="242"/>
      <c r="U525" s="242"/>
      <c r="V525" s="242"/>
      <c r="W525" s="242"/>
      <c r="X525" s="242"/>
      <c r="Y525" s="148"/>
      <c r="Z525" s="148"/>
    </row>
    <row r="526">
      <c r="F526" s="586"/>
      <c r="G526" s="148"/>
      <c r="H526" s="148"/>
      <c r="I526" s="251"/>
      <c r="J526" s="243"/>
      <c r="K526" s="148"/>
      <c r="L526" s="277"/>
      <c r="M526" s="252"/>
      <c r="N526" s="250"/>
      <c r="O526" s="253"/>
      <c r="P526" s="240"/>
      <c r="Q526" s="148"/>
      <c r="R526" s="148"/>
      <c r="S526" s="242"/>
      <c r="T526" s="242"/>
      <c r="U526" s="242"/>
      <c r="V526" s="242"/>
      <c r="W526" s="242"/>
      <c r="X526" s="242"/>
      <c r="Y526" s="148"/>
      <c r="Z526" s="148"/>
    </row>
    <row r="527">
      <c r="A527" s="654" t="s">
        <v>936</v>
      </c>
      <c r="F527" s="586"/>
      <c r="G527" s="148"/>
      <c r="H527" s="148"/>
      <c r="I527" s="251"/>
      <c r="J527" s="243"/>
      <c r="K527" s="148"/>
      <c r="L527" s="277"/>
      <c r="M527" s="252"/>
      <c r="N527" s="250"/>
      <c r="O527" s="253"/>
      <c r="P527" s="240"/>
      <c r="Q527" s="148"/>
      <c r="R527" s="148"/>
      <c r="S527" s="242"/>
      <c r="T527" s="242"/>
      <c r="U527" s="242"/>
      <c r="V527" s="242"/>
      <c r="W527" s="242"/>
      <c r="X527" s="242"/>
      <c r="Y527" s="148"/>
      <c r="Z527" s="148"/>
    </row>
    <row r="528">
      <c r="F528" s="586"/>
      <c r="G528" s="148"/>
      <c r="H528" s="148"/>
      <c r="I528" s="251"/>
      <c r="J528" s="243"/>
      <c r="K528" s="148"/>
      <c r="L528" s="277"/>
      <c r="M528" s="252"/>
      <c r="N528" s="250"/>
      <c r="O528" s="253"/>
      <c r="P528" s="240"/>
      <c r="Q528" s="148"/>
      <c r="R528" s="148"/>
      <c r="S528" s="242"/>
      <c r="T528" s="242"/>
      <c r="U528" s="242"/>
      <c r="V528" s="242"/>
      <c r="W528" s="242"/>
      <c r="X528" s="242"/>
      <c r="Y528" s="148"/>
      <c r="Z528" s="148"/>
    </row>
    <row r="529">
      <c r="F529" s="586"/>
      <c r="G529" s="148"/>
      <c r="H529" s="148"/>
      <c r="I529" s="251"/>
      <c r="J529" s="243"/>
      <c r="K529" s="148"/>
      <c r="L529" s="277"/>
      <c r="M529" s="252"/>
      <c r="N529" s="250"/>
      <c r="O529" s="253"/>
      <c r="P529" s="240"/>
      <c r="Q529" s="148"/>
      <c r="R529" s="148"/>
      <c r="S529" s="242"/>
      <c r="T529" s="242"/>
      <c r="U529" s="242"/>
      <c r="V529" s="242"/>
      <c r="W529" s="242"/>
      <c r="X529" s="242"/>
      <c r="Y529" s="148"/>
      <c r="Z529" s="148"/>
    </row>
    <row r="530">
      <c r="F530" s="586"/>
      <c r="G530" s="148"/>
      <c r="H530" s="148"/>
      <c r="I530" s="251"/>
      <c r="J530" s="243"/>
      <c r="K530" s="148"/>
      <c r="L530" s="277"/>
      <c r="M530" s="252"/>
      <c r="N530" s="250"/>
      <c r="O530" s="253"/>
      <c r="P530" s="240"/>
      <c r="Q530" s="148"/>
      <c r="R530" s="148"/>
      <c r="S530" s="242"/>
      <c r="T530" s="242"/>
      <c r="U530" s="242"/>
      <c r="V530" s="242"/>
      <c r="W530" s="242"/>
      <c r="X530" s="242"/>
      <c r="Y530" s="148"/>
      <c r="Z530" s="148"/>
    </row>
    <row r="531">
      <c r="F531" s="586"/>
      <c r="G531" s="148"/>
      <c r="H531" s="148"/>
      <c r="I531" s="251"/>
      <c r="J531" s="243"/>
      <c r="K531" s="148"/>
      <c r="L531" s="277"/>
      <c r="M531" s="252"/>
      <c r="N531" s="250"/>
      <c r="O531" s="253"/>
      <c r="P531" s="240"/>
      <c r="Q531" s="148"/>
      <c r="R531" s="148"/>
      <c r="S531" s="242"/>
      <c r="T531" s="242"/>
      <c r="U531" s="242"/>
      <c r="V531" s="242"/>
      <c r="W531" s="242"/>
      <c r="X531" s="242"/>
      <c r="Y531" s="148"/>
      <c r="Z531" s="148"/>
    </row>
    <row r="532">
      <c r="F532" s="586"/>
      <c r="G532" s="148"/>
      <c r="H532" s="148"/>
      <c r="I532" s="251"/>
      <c r="J532" s="243"/>
      <c r="K532" s="148"/>
      <c r="L532" s="277"/>
      <c r="M532" s="252"/>
      <c r="N532" s="250"/>
      <c r="O532" s="253"/>
      <c r="P532" s="240"/>
      <c r="Q532" s="148"/>
      <c r="R532" s="148"/>
      <c r="S532" s="242"/>
      <c r="T532" s="242"/>
      <c r="U532" s="242"/>
      <c r="V532" s="242"/>
      <c r="W532" s="242"/>
      <c r="X532" s="242"/>
      <c r="Y532" s="148"/>
      <c r="Z532" s="148"/>
    </row>
    <row r="533">
      <c r="F533" s="586"/>
      <c r="G533" s="148"/>
      <c r="H533" s="148"/>
      <c r="I533" s="251"/>
      <c r="J533" s="243"/>
      <c r="K533" s="148"/>
      <c r="L533" s="277"/>
      <c r="M533" s="252"/>
      <c r="N533" s="250"/>
      <c r="O533" s="253"/>
      <c r="P533" s="240"/>
      <c r="Q533" s="148"/>
      <c r="R533" s="148"/>
      <c r="S533" s="242"/>
      <c r="T533" s="242"/>
      <c r="U533" s="242"/>
      <c r="V533" s="242"/>
      <c r="W533" s="242"/>
      <c r="X533" s="242"/>
      <c r="Y533" s="148"/>
      <c r="Z533" s="148"/>
    </row>
    <row r="534">
      <c r="F534" s="586"/>
      <c r="G534" s="148"/>
      <c r="H534" s="148"/>
      <c r="I534" s="251"/>
      <c r="J534" s="243"/>
      <c r="K534" s="148"/>
      <c r="L534" s="277"/>
      <c r="M534" s="252"/>
      <c r="N534" s="250"/>
      <c r="O534" s="253"/>
      <c r="P534" s="240"/>
      <c r="Q534" s="148"/>
      <c r="R534" s="148"/>
      <c r="S534" s="242"/>
      <c r="T534" s="242"/>
      <c r="U534" s="242"/>
      <c r="V534" s="242"/>
      <c r="W534" s="242"/>
      <c r="X534" s="242"/>
      <c r="Y534" s="148"/>
      <c r="Z534" s="148"/>
    </row>
    <row r="535">
      <c r="F535" s="586"/>
      <c r="G535" s="148"/>
      <c r="H535" s="148"/>
      <c r="I535" s="251"/>
      <c r="J535" s="243"/>
      <c r="K535" s="148"/>
      <c r="L535" s="277"/>
      <c r="M535" s="252"/>
      <c r="N535" s="250"/>
      <c r="O535" s="253"/>
      <c r="P535" s="240"/>
      <c r="Q535" s="148"/>
      <c r="R535" s="148"/>
      <c r="S535" s="242"/>
      <c r="T535" s="242"/>
      <c r="U535" s="242"/>
      <c r="V535" s="242"/>
      <c r="W535" s="242"/>
      <c r="X535" s="242"/>
      <c r="Y535" s="148"/>
      <c r="Z535" s="148"/>
    </row>
    <row r="536">
      <c r="A536" s="148"/>
      <c r="B536" s="148"/>
      <c r="C536" s="148"/>
      <c r="D536" s="245"/>
      <c r="E536" s="585"/>
      <c r="F536" s="586"/>
      <c r="G536" s="148"/>
      <c r="H536" s="148"/>
      <c r="I536" s="251"/>
      <c r="J536" s="243"/>
      <c r="K536" s="148"/>
      <c r="L536" s="277"/>
      <c r="M536" s="252"/>
      <c r="N536" s="250"/>
      <c r="O536" s="253"/>
      <c r="P536" s="240"/>
      <c r="Q536" s="148"/>
      <c r="R536" s="148"/>
      <c r="S536" s="242"/>
      <c r="T536" s="242"/>
      <c r="U536" s="242"/>
      <c r="V536" s="242"/>
      <c r="W536" s="242"/>
      <c r="X536" s="242"/>
      <c r="Y536" s="148"/>
      <c r="Z536" s="148"/>
    </row>
    <row r="537">
      <c r="A537" s="148"/>
      <c r="B537" s="148"/>
      <c r="C537" s="148"/>
      <c r="D537" s="245"/>
      <c r="E537" s="585"/>
      <c r="F537" s="586"/>
      <c r="G537" s="148"/>
      <c r="H537" s="148"/>
      <c r="I537" s="251"/>
      <c r="J537" s="243"/>
      <c r="K537" s="148"/>
      <c r="L537" s="277"/>
      <c r="M537" s="252"/>
      <c r="N537" s="250"/>
      <c r="O537" s="253"/>
      <c r="P537" s="240"/>
      <c r="Q537" s="148"/>
      <c r="R537" s="148"/>
      <c r="S537" s="242"/>
      <c r="T537" s="242"/>
      <c r="U537" s="242"/>
      <c r="V537" s="242"/>
      <c r="W537" s="242"/>
      <c r="X537" s="242"/>
      <c r="Y537" s="148"/>
      <c r="Z537" s="148"/>
    </row>
    <row r="538">
      <c r="A538" s="148"/>
      <c r="B538" s="148"/>
      <c r="C538" s="148"/>
      <c r="D538" s="245"/>
      <c r="E538" s="585"/>
      <c r="F538" s="586"/>
      <c r="G538" s="148"/>
      <c r="H538" s="148"/>
      <c r="I538" s="251"/>
      <c r="J538" s="243"/>
      <c r="K538" s="148"/>
      <c r="L538" s="277"/>
      <c r="M538" s="252"/>
      <c r="N538" s="250"/>
      <c r="O538" s="253"/>
      <c r="P538" s="240"/>
      <c r="Q538" s="148"/>
      <c r="R538" s="148"/>
      <c r="S538" s="242"/>
      <c r="T538" s="242"/>
      <c r="U538" s="242"/>
      <c r="V538" s="242"/>
      <c r="W538" s="242"/>
      <c r="X538" s="242"/>
      <c r="Y538" s="148"/>
      <c r="Z538" s="148"/>
    </row>
    <row r="539">
      <c r="A539" s="148"/>
      <c r="B539" s="148"/>
      <c r="C539" s="148"/>
      <c r="D539" s="245"/>
      <c r="E539" s="585"/>
      <c r="F539" s="586"/>
      <c r="G539" s="148"/>
      <c r="H539" s="148"/>
      <c r="I539" s="251"/>
      <c r="J539" s="243"/>
      <c r="K539" s="148"/>
      <c r="L539" s="277"/>
      <c r="M539" s="252"/>
      <c r="N539" s="250"/>
      <c r="O539" s="253"/>
      <c r="P539" s="240"/>
      <c r="Q539" s="148"/>
      <c r="R539" s="148"/>
      <c r="S539" s="242"/>
      <c r="T539" s="242"/>
      <c r="U539" s="242"/>
      <c r="V539" s="242"/>
      <c r="W539" s="242"/>
      <c r="X539" s="242"/>
      <c r="Y539" s="148"/>
      <c r="Z539" s="148"/>
    </row>
    <row r="540">
      <c r="A540" s="148"/>
      <c r="B540" s="148"/>
      <c r="C540" s="148"/>
      <c r="D540" s="245"/>
      <c r="E540" s="585"/>
      <c r="F540" s="586"/>
      <c r="G540" s="148"/>
      <c r="H540" s="148"/>
      <c r="I540" s="251"/>
      <c r="J540" s="243"/>
      <c r="K540" s="148"/>
      <c r="L540" s="277"/>
      <c r="M540" s="252"/>
      <c r="N540" s="250"/>
      <c r="O540" s="253"/>
      <c r="P540" s="240"/>
      <c r="Q540" s="148"/>
      <c r="R540" s="148"/>
      <c r="S540" s="242"/>
      <c r="T540" s="242"/>
      <c r="U540" s="242"/>
      <c r="V540" s="242"/>
      <c r="W540" s="242"/>
      <c r="X540" s="242"/>
      <c r="Y540" s="148"/>
      <c r="Z540" s="148"/>
    </row>
    <row r="541">
      <c r="A541" s="148"/>
      <c r="B541" s="148"/>
      <c r="C541" s="148"/>
      <c r="D541" s="245"/>
      <c r="E541" s="585"/>
      <c r="F541" s="586"/>
      <c r="G541" s="148"/>
      <c r="H541" s="148"/>
      <c r="I541" s="251"/>
      <c r="J541" s="243"/>
      <c r="K541" s="148"/>
      <c r="L541" s="277"/>
      <c r="M541" s="252"/>
      <c r="N541" s="250"/>
      <c r="O541" s="253"/>
      <c r="P541" s="240"/>
      <c r="Q541" s="148"/>
      <c r="R541" s="148"/>
      <c r="S541" s="242"/>
      <c r="T541" s="242"/>
      <c r="U541" s="242"/>
      <c r="V541" s="242"/>
      <c r="W541" s="242"/>
      <c r="X541" s="242"/>
      <c r="Y541" s="148"/>
      <c r="Z541" s="148"/>
    </row>
    <row r="542">
      <c r="A542" s="148"/>
      <c r="B542" s="148"/>
      <c r="C542" s="148"/>
      <c r="D542" s="245"/>
      <c r="E542" s="585"/>
      <c r="F542" s="586"/>
      <c r="G542" s="148"/>
      <c r="H542" s="148"/>
      <c r="I542" s="251"/>
      <c r="J542" s="243"/>
      <c r="K542" s="148"/>
      <c r="L542" s="277"/>
      <c r="M542" s="252"/>
      <c r="N542" s="250"/>
      <c r="O542" s="253"/>
      <c r="P542" s="240"/>
      <c r="Q542" s="148"/>
      <c r="R542" s="148"/>
      <c r="S542" s="242"/>
      <c r="T542" s="242"/>
      <c r="U542" s="242"/>
      <c r="V542" s="242"/>
      <c r="W542" s="242"/>
      <c r="X542" s="242"/>
      <c r="Y542" s="148"/>
      <c r="Z542" s="148"/>
    </row>
    <row r="543">
      <c r="A543" s="148"/>
      <c r="B543" s="148"/>
      <c r="C543" s="148"/>
      <c r="D543" s="245"/>
      <c r="E543" s="585"/>
      <c r="F543" s="586"/>
      <c r="G543" s="148"/>
      <c r="H543" s="148"/>
      <c r="I543" s="251"/>
      <c r="J543" s="243"/>
      <c r="K543" s="148"/>
      <c r="L543" s="277"/>
      <c r="M543" s="252"/>
      <c r="N543" s="250"/>
      <c r="O543" s="253"/>
      <c r="P543" s="240"/>
      <c r="Q543" s="148"/>
      <c r="R543" s="148"/>
      <c r="S543" s="242"/>
      <c r="T543" s="242"/>
      <c r="U543" s="242"/>
      <c r="V543" s="242"/>
      <c r="W543" s="242"/>
      <c r="X543" s="242"/>
      <c r="Y543" s="148"/>
      <c r="Z543" s="148"/>
    </row>
    <row r="544">
      <c r="A544" s="148"/>
      <c r="B544" s="148"/>
      <c r="C544" s="148"/>
      <c r="D544" s="245"/>
      <c r="E544" s="585"/>
      <c r="F544" s="586"/>
      <c r="G544" s="148"/>
      <c r="H544" s="148"/>
      <c r="I544" s="251"/>
      <c r="J544" s="243"/>
      <c r="K544" s="148"/>
      <c r="L544" s="277"/>
      <c r="M544" s="252"/>
      <c r="N544" s="250"/>
      <c r="O544" s="253"/>
      <c r="P544" s="240"/>
      <c r="Q544" s="148"/>
      <c r="R544" s="148"/>
      <c r="S544" s="242"/>
      <c r="T544" s="242"/>
      <c r="U544" s="242"/>
      <c r="V544" s="242"/>
      <c r="W544" s="242"/>
      <c r="X544" s="242"/>
      <c r="Y544" s="148"/>
      <c r="Z544" s="148"/>
    </row>
    <row r="545">
      <c r="A545" s="148"/>
      <c r="B545" s="148"/>
      <c r="C545" s="148"/>
      <c r="D545" s="245"/>
      <c r="E545" s="585"/>
      <c r="F545" s="586"/>
      <c r="G545" s="148"/>
      <c r="H545" s="148"/>
      <c r="I545" s="251"/>
      <c r="J545" s="243"/>
      <c r="K545" s="148"/>
      <c r="L545" s="277"/>
      <c r="M545" s="252"/>
      <c r="N545" s="250"/>
      <c r="O545" s="253"/>
      <c r="P545" s="240"/>
      <c r="Q545" s="148"/>
      <c r="R545" s="148"/>
      <c r="S545" s="242"/>
      <c r="T545" s="242"/>
      <c r="U545" s="242"/>
      <c r="V545" s="242"/>
      <c r="W545" s="242"/>
      <c r="X545" s="242"/>
      <c r="Y545" s="148"/>
      <c r="Z545" s="148"/>
    </row>
    <row r="546">
      <c r="A546" s="148"/>
      <c r="B546" s="148"/>
      <c r="C546" s="148"/>
      <c r="D546" s="245"/>
      <c r="E546" s="585"/>
      <c r="F546" s="586"/>
      <c r="G546" s="148"/>
      <c r="H546" s="148"/>
      <c r="I546" s="251"/>
      <c r="J546" s="243"/>
      <c r="K546" s="148"/>
      <c r="L546" s="277"/>
      <c r="M546" s="252"/>
      <c r="N546" s="250"/>
      <c r="O546" s="253"/>
      <c r="P546" s="240"/>
      <c r="Q546" s="148"/>
      <c r="R546" s="148"/>
      <c r="S546" s="242"/>
      <c r="T546" s="242"/>
      <c r="U546" s="242"/>
      <c r="V546" s="242"/>
      <c r="W546" s="242"/>
      <c r="X546" s="242"/>
      <c r="Y546" s="148"/>
      <c r="Z546" s="148"/>
    </row>
    <row r="547">
      <c r="A547" s="148"/>
      <c r="B547" s="148"/>
      <c r="C547" s="148"/>
      <c r="D547" s="245"/>
      <c r="E547" s="585"/>
      <c r="F547" s="586"/>
      <c r="G547" s="148"/>
      <c r="H547" s="148"/>
      <c r="I547" s="251"/>
      <c r="J547" s="243"/>
      <c r="K547" s="148"/>
      <c r="L547" s="277"/>
      <c r="M547" s="252"/>
      <c r="N547" s="250"/>
      <c r="O547" s="253"/>
      <c r="P547" s="240"/>
      <c r="Q547" s="148"/>
      <c r="R547" s="148"/>
      <c r="S547" s="242"/>
      <c r="T547" s="242"/>
      <c r="U547" s="242"/>
      <c r="V547" s="242"/>
      <c r="W547" s="242"/>
      <c r="X547" s="242"/>
      <c r="Y547" s="148"/>
      <c r="Z547" s="148"/>
    </row>
    <row r="548">
      <c r="A548" s="148"/>
      <c r="B548" s="148"/>
      <c r="C548" s="148"/>
      <c r="D548" s="245"/>
      <c r="E548" s="585"/>
      <c r="F548" s="586"/>
      <c r="G548" s="148"/>
      <c r="H548" s="148"/>
      <c r="I548" s="251"/>
      <c r="J548" s="243"/>
      <c r="K548" s="148"/>
      <c r="L548" s="277"/>
      <c r="M548" s="252"/>
      <c r="N548" s="250"/>
      <c r="O548" s="253"/>
      <c r="P548" s="240"/>
      <c r="Q548" s="148"/>
      <c r="R548" s="148"/>
      <c r="S548" s="242"/>
      <c r="T548" s="242"/>
      <c r="U548" s="242"/>
      <c r="V548" s="242"/>
      <c r="W548" s="242"/>
      <c r="X548" s="242"/>
      <c r="Y548" s="148"/>
      <c r="Z548" s="148"/>
    </row>
    <row r="549">
      <c r="A549" s="148"/>
      <c r="B549" s="148"/>
      <c r="C549" s="148"/>
      <c r="D549" s="245"/>
      <c r="E549" s="585"/>
      <c r="F549" s="586"/>
      <c r="G549" s="148"/>
      <c r="H549" s="148"/>
      <c r="I549" s="251"/>
      <c r="J549" s="243"/>
      <c r="K549" s="148"/>
      <c r="L549" s="277"/>
      <c r="M549" s="252"/>
      <c r="N549" s="250"/>
      <c r="O549" s="253"/>
      <c r="P549" s="240"/>
      <c r="Q549" s="148"/>
      <c r="R549" s="148"/>
      <c r="S549" s="242"/>
      <c r="T549" s="242"/>
      <c r="U549" s="242"/>
      <c r="V549" s="242"/>
      <c r="W549" s="242"/>
      <c r="X549" s="242"/>
      <c r="Y549" s="148"/>
      <c r="Z549" s="148"/>
    </row>
    <row r="550">
      <c r="A550" s="148"/>
      <c r="B550" s="148"/>
      <c r="C550" s="148"/>
      <c r="D550" s="245"/>
      <c r="E550" s="585"/>
      <c r="F550" s="586"/>
      <c r="G550" s="148"/>
      <c r="H550" s="148"/>
      <c r="I550" s="251"/>
      <c r="J550" s="243"/>
      <c r="K550" s="148"/>
      <c r="L550" s="277"/>
      <c r="M550" s="252"/>
      <c r="N550" s="250"/>
      <c r="O550" s="253"/>
      <c r="P550" s="240"/>
      <c r="Q550" s="148"/>
      <c r="R550" s="148"/>
      <c r="S550" s="242"/>
      <c r="T550" s="242"/>
      <c r="U550" s="242"/>
      <c r="V550" s="242"/>
      <c r="W550" s="242"/>
      <c r="X550" s="242"/>
      <c r="Y550" s="148"/>
      <c r="Z550" s="148"/>
    </row>
    <row r="551">
      <c r="A551" s="148"/>
      <c r="B551" s="148"/>
      <c r="C551" s="148"/>
      <c r="D551" s="245"/>
      <c r="E551" s="585"/>
      <c r="F551" s="586"/>
      <c r="G551" s="148"/>
      <c r="H551" s="148"/>
      <c r="I551" s="251"/>
      <c r="J551" s="243"/>
      <c r="K551" s="148"/>
      <c r="L551" s="277"/>
      <c r="M551" s="252"/>
      <c r="N551" s="250"/>
      <c r="O551" s="253"/>
      <c r="P551" s="240"/>
      <c r="Q551" s="148"/>
      <c r="R551" s="148"/>
      <c r="S551" s="242"/>
      <c r="T551" s="242"/>
      <c r="U551" s="242"/>
      <c r="V551" s="242"/>
      <c r="W551" s="242"/>
      <c r="X551" s="242"/>
      <c r="Y551" s="148"/>
      <c r="Z551" s="148"/>
    </row>
    <row r="552">
      <c r="A552" s="148"/>
      <c r="B552" s="148"/>
      <c r="C552" s="148"/>
      <c r="D552" s="245"/>
      <c r="E552" s="585"/>
      <c r="F552" s="586"/>
      <c r="G552" s="148"/>
      <c r="H552" s="148"/>
      <c r="I552" s="251"/>
      <c r="J552" s="243"/>
      <c r="K552" s="148"/>
      <c r="L552" s="277"/>
      <c r="M552" s="252"/>
      <c r="N552" s="250"/>
      <c r="O552" s="253"/>
      <c r="P552" s="240"/>
      <c r="Q552" s="148"/>
      <c r="R552" s="148"/>
      <c r="S552" s="242"/>
      <c r="T552" s="242"/>
      <c r="U552" s="242"/>
      <c r="V552" s="242"/>
      <c r="W552" s="242"/>
      <c r="X552" s="242"/>
      <c r="Y552" s="148"/>
      <c r="Z552" s="148"/>
    </row>
    <row r="553">
      <c r="A553" s="148"/>
      <c r="B553" s="148"/>
      <c r="C553" s="148"/>
      <c r="D553" s="245"/>
      <c r="E553" s="585"/>
      <c r="F553" s="586"/>
      <c r="G553" s="148"/>
      <c r="H553" s="148"/>
      <c r="I553" s="251"/>
      <c r="J553" s="243"/>
      <c r="K553" s="148"/>
      <c r="L553" s="277"/>
      <c r="M553" s="252"/>
      <c r="N553" s="250"/>
      <c r="O553" s="253"/>
      <c r="P553" s="240"/>
      <c r="Q553" s="148"/>
      <c r="R553" s="148"/>
      <c r="S553" s="242"/>
      <c r="T553" s="242"/>
      <c r="U553" s="242"/>
      <c r="V553" s="242"/>
      <c r="W553" s="242"/>
      <c r="X553" s="242"/>
      <c r="Y553" s="148"/>
      <c r="Z553" s="148"/>
    </row>
    <row r="554">
      <c r="A554" s="148"/>
      <c r="B554" s="148"/>
      <c r="C554" s="148"/>
      <c r="D554" s="245"/>
      <c r="E554" s="585"/>
      <c r="F554" s="586"/>
      <c r="G554" s="148"/>
      <c r="H554" s="148"/>
      <c r="I554" s="251"/>
      <c r="J554" s="243"/>
      <c r="K554" s="148"/>
      <c r="L554" s="277"/>
      <c r="M554" s="252"/>
      <c r="N554" s="250"/>
      <c r="O554" s="253"/>
      <c r="P554" s="240"/>
      <c r="Q554" s="148"/>
      <c r="R554" s="148"/>
      <c r="S554" s="242"/>
      <c r="T554" s="242"/>
      <c r="U554" s="242"/>
      <c r="V554" s="242"/>
      <c r="W554" s="242"/>
      <c r="X554" s="242"/>
      <c r="Y554" s="148"/>
      <c r="Z554" s="148"/>
    </row>
    <row r="555">
      <c r="A555" s="148"/>
      <c r="B555" s="148"/>
      <c r="C555" s="148"/>
      <c r="D555" s="245"/>
      <c r="E555" s="585"/>
      <c r="F555" s="586"/>
      <c r="G555" s="148"/>
      <c r="H555" s="148"/>
      <c r="I555" s="251"/>
      <c r="J555" s="243"/>
      <c r="K555" s="148"/>
      <c r="L555" s="277"/>
      <c r="M555" s="252"/>
      <c r="N555" s="250"/>
      <c r="O555" s="253"/>
      <c r="P555" s="240"/>
      <c r="Q555" s="148"/>
      <c r="R555" s="148"/>
      <c r="S555" s="242"/>
      <c r="T555" s="242"/>
      <c r="U555" s="242"/>
      <c r="V555" s="242"/>
      <c r="W555" s="242"/>
      <c r="X555" s="242"/>
      <c r="Y555" s="148"/>
      <c r="Z555" s="148"/>
    </row>
    <row r="556">
      <c r="A556" s="148"/>
      <c r="B556" s="148"/>
      <c r="C556" s="148"/>
      <c r="D556" s="245"/>
      <c r="E556" s="585"/>
      <c r="F556" s="586"/>
      <c r="G556" s="148"/>
      <c r="H556" s="148"/>
      <c r="I556" s="251"/>
      <c r="J556" s="243"/>
      <c r="K556" s="148"/>
      <c r="L556" s="277"/>
      <c r="M556" s="252"/>
      <c r="N556" s="250"/>
      <c r="O556" s="253"/>
      <c r="P556" s="240"/>
      <c r="Q556" s="148"/>
      <c r="R556" s="148"/>
      <c r="S556" s="242"/>
      <c r="T556" s="242"/>
      <c r="U556" s="242"/>
      <c r="V556" s="242"/>
      <c r="W556" s="242"/>
      <c r="X556" s="242"/>
      <c r="Y556" s="148"/>
      <c r="Z556" s="148"/>
    </row>
    <row r="557">
      <c r="A557" s="148"/>
      <c r="B557" s="148"/>
      <c r="C557" s="148"/>
      <c r="D557" s="245"/>
      <c r="E557" s="585"/>
      <c r="F557" s="586"/>
      <c r="G557" s="148"/>
      <c r="H557" s="148"/>
      <c r="I557" s="251"/>
      <c r="J557" s="243"/>
      <c r="K557" s="148"/>
      <c r="L557" s="277"/>
      <c r="M557" s="252"/>
      <c r="N557" s="250"/>
      <c r="O557" s="253"/>
      <c r="P557" s="240"/>
      <c r="Q557" s="148"/>
      <c r="R557" s="148"/>
      <c r="S557" s="242"/>
      <c r="T557" s="242"/>
      <c r="U557" s="242"/>
      <c r="V557" s="242"/>
      <c r="W557" s="242"/>
      <c r="X557" s="242"/>
      <c r="Y557" s="148"/>
      <c r="Z557" s="148"/>
    </row>
    <row r="558">
      <c r="A558" s="148"/>
      <c r="B558" s="148"/>
      <c r="C558" s="148"/>
      <c r="D558" s="245"/>
      <c r="E558" s="585"/>
      <c r="F558" s="586"/>
      <c r="G558" s="148"/>
      <c r="H558" s="148"/>
      <c r="I558" s="251"/>
      <c r="J558" s="243"/>
      <c r="K558" s="148"/>
      <c r="L558" s="277"/>
      <c r="M558" s="252"/>
      <c r="N558" s="250"/>
      <c r="O558" s="253"/>
      <c r="P558" s="240"/>
      <c r="Q558" s="148"/>
      <c r="R558" s="148"/>
      <c r="S558" s="242"/>
      <c r="T558" s="242"/>
      <c r="U558" s="242"/>
      <c r="V558" s="242"/>
      <c r="W558" s="242"/>
      <c r="X558" s="242"/>
      <c r="Y558" s="148"/>
      <c r="Z558" s="148"/>
    </row>
    <row r="559">
      <c r="A559" s="148"/>
      <c r="B559" s="148"/>
      <c r="C559" s="148"/>
      <c r="D559" s="245"/>
      <c r="E559" s="585"/>
      <c r="F559" s="586"/>
      <c r="G559" s="148"/>
      <c r="H559" s="148"/>
      <c r="I559" s="251"/>
      <c r="J559" s="243"/>
      <c r="K559" s="148"/>
      <c r="L559" s="277"/>
      <c r="M559" s="252"/>
      <c r="N559" s="250"/>
      <c r="O559" s="253"/>
      <c r="P559" s="240"/>
      <c r="Q559" s="148"/>
      <c r="R559" s="148"/>
      <c r="S559" s="242"/>
      <c r="T559" s="242"/>
      <c r="U559" s="242"/>
      <c r="V559" s="242"/>
      <c r="W559" s="242"/>
      <c r="X559" s="242"/>
      <c r="Y559" s="148"/>
      <c r="Z559" s="148"/>
    </row>
    <row r="560">
      <c r="A560" s="148"/>
      <c r="B560" s="148"/>
      <c r="C560" s="148"/>
      <c r="D560" s="245"/>
      <c r="E560" s="585"/>
      <c r="F560" s="586"/>
      <c r="G560" s="148"/>
      <c r="H560" s="148"/>
      <c r="I560" s="251"/>
      <c r="J560" s="243"/>
      <c r="K560" s="148"/>
      <c r="L560" s="277"/>
      <c r="M560" s="252"/>
      <c r="N560" s="250"/>
      <c r="O560" s="253"/>
      <c r="P560" s="240"/>
      <c r="Q560" s="148"/>
      <c r="R560" s="148"/>
      <c r="S560" s="242"/>
      <c r="T560" s="242"/>
      <c r="U560" s="242"/>
      <c r="V560" s="242"/>
      <c r="W560" s="242"/>
      <c r="X560" s="242"/>
      <c r="Y560" s="148"/>
      <c r="Z560" s="148"/>
    </row>
    <row r="561">
      <c r="A561" s="148"/>
      <c r="B561" s="148"/>
      <c r="C561" s="148"/>
      <c r="D561" s="245"/>
      <c r="E561" s="585"/>
      <c r="F561" s="586"/>
      <c r="G561" s="148"/>
      <c r="H561" s="148"/>
      <c r="I561" s="251"/>
      <c r="J561" s="243"/>
      <c r="K561" s="148"/>
      <c r="L561" s="277"/>
      <c r="M561" s="252"/>
      <c r="N561" s="250"/>
      <c r="O561" s="253"/>
      <c r="P561" s="240"/>
      <c r="Q561" s="148"/>
      <c r="R561" s="148"/>
      <c r="S561" s="242"/>
      <c r="T561" s="242"/>
      <c r="U561" s="242"/>
      <c r="V561" s="242"/>
      <c r="W561" s="242"/>
      <c r="X561" s="242"/>
      <c r="Y561" s="148"/>
      <c r="Z561" s="148"/>
    </row>
    <row r="562">
      <c r="A562" s="148"/>
      <c r="B562" s="148"/>
      <c r="C562" s="148"/>
      <c r="D562" s="245"/>
      <c r="E562" s="585"/>
      <c r="F562" s="586"/>
      <c r="G562" s="148"/>
      <c r="H562" s="148"/>
      <c r="I562" s="251"/>
      <c r="J562" s="243"/>
      <c r="K562" s="148"/>
      <c r="L562" s="277"/>
      <c r="M562" s="252"/>
      <c r="N562" s="250"/>
      <c r="O562" s="253"/>
      <c r="P562" s="240"/>
      <c r="Q562" s="148"/>
      <c r="R562" s="148"/>
      <c r="S562" s="242"/>
      <c r="T562" s="242"/>
      <c r="U562" s="242"/>
      <c r="V562" s="242"/>
      <c r="W562" s="242"/>
      <c r="X562" s="242"/>
      <c r="Y562" s="148"/>
      <c r="Z562" s="148"/>
    </row>
    <row r="563">
      <c r="A563" s="148"/>
      <c r="B563" s="148"/>
      <c r="C563" s="148"/>
      <c r="D563" s="245"/>
      <c r="E563" s="585"/>
      <c r="F563" s="586"/>
      <c r="G563" s="148"/>
      <c r="H563" s="148"/>
      <c r="I563" s="251"/>
      <c r="J563" s="243"/>
      <c r="K563" s="148"/>
      <c r="L563" s="277"/>
      <c r="M563" s="252"/>
      <c r="N563" s="250"/>
      <c r="O563" s="253"/>
      <c r="P563" s="240"/>
      <c r="Q563" s="148"/>
      <c r="R563" s="148"/>
      <c r="S563" s="242"/>
      <c r="T563" s="242"/>
      <c r="U563" s="242"/>
      <c r="V563" s="242"/>
      <c r="W563" s="242"/>
      <c r="X563" s="242"/>
      <c r="Y563" s="148"/>
      <c r="Z563" s="148"/>
    </row>
    <row r="564">
      <c r="A564" s="148"/>
      <c r="B564" s="148"/>
      <c r="C564" s="148"/>
      <c r="D564" s="245"/>
      <c r="E564" s="585"/>
      <c r="F564" s="586"/>
      <c r="G564" s="148"/>
      <c r="H564" s="148"/>
      <c r="I564" s="251"/>
      <c r="J564" s="243"/>
      <c r="K564" s="148"/>
      <c r="L564" s="277"/>
      <c r="M564" s="252"/>
      <c r="N564" s="250"/>
      <c r="O564" s="253"/>
      <c r="P564" s="240"/>
      <c r="Q564" s="148"/>
      <c r="R564" s="148"/>
      <c r="S564" s="242"/>
      <c r="T564" s="242"/>
      <c r="U564" s="242"/>
      <c r="V564" s="242"/>
      <c r="W564" s="242"/>
      <c r="X564" s="242"/>
      <c r="Y564" s="148"/>
      <c r="Z564" s="148"/>
    </row>
    <row r="565">
      <c r="A565" s="148"/>
      <c r="B565" s="148"/>
      <c r="C565" s="148"/>
      <c r="D565" s="245"/>
      <c r="E565" s="585"/>
      <c r="F565" s="586"/>
      <c r="G565" s="148"/>
      <c r="H565" s="148"/>
      <c r="I565" s="251"/>
      <c r="J565" s="243"/>
      <c r="K565" s="148"/>
      <c r="L565" s="277"/>
      <c r="M565" s="252"/>
      <c r="N565" s="250"/>
      <c r="O565" s="253"/>
      <c r="P565" s="240"/>
      <c r="Q565" s="148"/>
      <c r="R565" s="148"/>
      <c r="S565" s="242"/>
      <c r="T565" s="242"/>
      <c r="U565" s="242"/>
      <c r="V565" s="242"/>
      <c r="W565" s="242"/>
      <c r="X565" s="242"/>
      <c r="Y565" s="148"/>
      <c r="Z565" s="148"/>
    </row>
    <row r="566">
      <c r="A566" s="148"/>
      <c r="B566" s="148"/>
      <c r="C566" s="148"/>
      <c r="D566" s="245"/>
      <c r="E566" s="585"/>
      <c r="F566" s="586"/>
      <c r="G566" s="148"/>
      <c r="H566" s="148"/>
      <c r="I566" s="251"/>
      <c r="J566" s="243"/>
      <c r="K566" s="148"/>
      <c r="L566" s="277"/>
      <c r="M566" s="252"/>
      <c r="N566" s="250"/>
      <c r="O566" s="253"/>
      <c r="P566" s="240"/>
      <c r="Q566" s="148"/>
      <c r="R566" s="148"/>
      <c r="S566" s="242"/>
      <c r="T566" s="242"/>
      <c r="U566" s="242"/>
      <c r="V566" s="242"/>
      <c r="W566" s="242"/>
      <c r="X566" s="242"/>
      <c r="Y566" s="148"/>
      <c r="Z566" s="148"/>
    </row>
    <row r="567">
      <c r="A567" s="148"/>
      <c r="B567" s="148"/>
      <c r="C567" s="148"/>
      <c r="D567" s="245"/>
      <c r="E567" s="585"/>
      <c r="F567" s="586"/>
      <c r="G567" s="148"/>
      <c r="H567" s="148"/>
      <c r="I567" s="251"/>
      <c r="J567" s="243"/>
      <c r="K567" s="148"/>
      <c r="L567" s="277"/>
      <c r="M567" s="252"/>
      <c r="N567" s="250"/>
      <c r="O567" s="253"/>
      <c r="P567" s="240"/>
      <c r="Q567" s="148"/>
      <c r="R567" s="148"/>
      <c r="S567" s="242"/>
      <c r="T567" s="242"/>
      <c r="U567" s="242"/>
      <c r="V567" s="242"/>
      <c r="W567" s="242"/>
      <c r="X567" s="242"/>
      <c r="Y567" s="148"/>
      <c r="Z567" s="148"/>
    </row>
    <row r="568">
      <c r="A568" s="148"/>
      <c r="B568" s="148"/>
      <c r="C568" s="148"/>
      <c r="D568" s="245"/>
      <c r="E568" s="585"/>
      <c r="F568" s="586"/>
      <c r="G568" s="148"/>
      <c r="H568" s="148"/>
      <c r="I568" s="251"/>
      <c r="J568" s="243"/>
      <c r="K568" s="148"/>
      <c r="L568" s="277"/>
      <c r="M568" s="252"/>
      <c r="N568" s="250"/>
      <c r="O568" s="253"/>
      <c r="P568" s="240"/>
      <c r="Q568" s="148"/>
      <c r="R568" s="148"/>
      <c r="S568" s="242"/>
      <c r="T568" s="242"/>
      <c r="U568" s="242"/>
      <c r="V568" s="242"/>
      <c r="W568" s="242"/>
      <c r="X568" s="242"/>
      <c r="Y568" s="148"/>
      <c r="Z568" s="148"/>
    </row>
    <row r="569">
      <c r="A569" s="148"/>
      <c r="B569" s="148"/>
      <c r="C569" s="148"/>
      <c r="D569" s="245"/>
      <c r="E569" s="585"/>
      <c r="F569" s="586"/>
      <c r="G569" s="148"/>
      <c r="H569" s="148"/>
      <c r="I569" s="251"/>
      <c r="J569" s="243"/>
      <c r="K569" s="148"/>
      <c r="L569" s="277"/>
      <c r="M569" s="252"/>
      <c r="N569" s="250"/>
      <c r="O569" s="253"/>
      <c r="P569" s="240"/>
      <c r="Q569" s="148"/>
      <c r="R569" s="148"/>
      <c r="S569" s="242"/>
      <c r="T569" s="242"/>
      <c r="U569" s="242"/>
      <c r="V569" s="242"/>
      <c r="W569" s="242"/>
      <c r="X569" s="242"/>
      <c r="Y569" s="148"/>
      <c r="Z569" s="148"/>
    </row>
    <row r="570">
      <c r="A570" s="148"/>
      <c r="B570" s="148"/>
      <c r="C570" s="148"/>
      <c r="D570" s="245"/>
      <c r="E570" s="585"/>
      <c r="F570" s="586"/>
      <c r="G570" s="148"/>
      <c r="H570" s="148"/>
      <c r="I570" s="251"/>
      <c r="J570" s="243"/>
      <c r="K570" s="148"/>
      <c r="L570" s="277"/>
      <c r="M570" s="252"/>
      <c r="N570" s="250"/>
      <c r="O570" s="253"/>
      <c r="P570" s="240"/>
      <c r="Q570" s="148"/>
      <c r="R570" s="148"/>
      <c r="S570" s="242"/>
      <c r="T570" s="242"/>
      <c r="U570" s="242"/>
      <c r="V570" s="242"/>
      <c r="W570" s="242"/>
      <c r="X570" s="242"/>
      <c r="Y570" s="148"/>
      <c r="Z570" s="148"/>
    </row>
    <row r="571">
      <c r="A571" s="148"/>
      <c r="B571" s="148"/>
      <c r="C571" s="148"/>
      <c r="D571" s="245"/>
      <c r="E571" s="585"/>
      <c r="F571" s="586"/>
      <c r="G571" s="148"/>
      <c r="H571" s="148"/>
      <c r="I571" s="251"/>
      <c r="J571" s="243"/>
      <c r="K571" s="148"/>
      <c r="L571" s="277"/>
      <c r="M571" s="252"/>
      <c r="N571" s="250"/>
      <c r="O571" s="253"/>
      <c r="P571" s="240"/>
      <c r="Q571" s="148"/>
      <c r="R571" s="148"/>
      <c r="S571" s="242"/>
      <c r="T571" s="242"/>
      <c r="U571" s="242"/>
      <c r="V571" s="242"/>
      <c r="W571" s="242"/>
      <c r="X571" s="242"/>
      <c r="Y571" s="148"/>
      <c r="Z571" s="148"/>
    </row>
    <row r="572">
      <c r="A572" s="148"/>
      <c r="B572" s="148"/>
      <c r="C572" s="148"/>
      <c r="D572" s="245"/>
      <c r="E572" s="585"/>
      <c r="F572" s="586"/>
      <c r="G572" s="148"/>
      <c r="H572" s="148"/>
      <c r="I572" s="251"/>
      <c r="J572" s="243"/>
      <c r="K572" s="148"/>
      <c r="L572" s="277"/>
      <c r="M572" s="252"/>
      <c r="N572" s="250"/>
      <c r="O572" s="253"/>
      <c r="P572" s="240"/>
      <c r="Q572" s="148"/>
      <c r="R572" s="148"/>
      <c r="S572" s="242"/>
      <c r="T572" s="242"/>
      <c r="U572" s="242"/>
      <c r="V572" s="242"/>
      <c r="W572" s="242"/>
      <c r="X572" s="242"/>
      <c r="Y572" s="148"/>
      <c r="Z572" s="148"/>
    </row>
    <row r="573">
      <c r="A573" s="148"/>
      <c r="B573" s="148"/>
      <c r="C573" s="148"/>
      <c r="D573" s="245"/>
      <c r="E573" s="585"/>
      <c r="F573" s="586"/>
      <c r="G573" s="148"/>
      <c r="H573" s="148"/>
      <c r="I573" s="251"/>
      <c r="J573" s="243"/>
      <c r="K573" s="148"/>
      <c r="L573" s="277"/>
      <c r="M573" s="252"/>
      <c r="N573" s="250"/>
      <c r="O573" s="253"/>
      <c r="P573" s="240"/>
      <c r="Q573" s="148"/>
      <c r="R573" s="148"/>
      <c r="S573" s="242"/>
      <c r="T573" s="242"/>
      <c r="U573" s="242"/>
      <c r="V573" s="242"/>
      <c r="W573" s="242"/>
      <c r="X573" s="242"/>
      <c r="Y573" s="148"/>
      <c r="Z573" s="148"/>
    </row>
    <row r="574">
      <c r="A574" s="148"/>
      <c r="B574" s="148"/>
      <c r="C574" s="148"/>
      <c r="D574" s="245"/>
      <c r="E574" s="585"/>
      <c r="F574" s="586"/>
      <c r="G574" s="148"/>
      <c r="H574" s="148"/>
      <c r="I574" s="251"/>
      <c r="J574" s="243"/>
      <c r="K574" s="148"/>
      <c r="L574" s="277"/>
      <c r="M574" s="252"/>
      <c r="N574" s="250"/>
      <c r="O574" s="253"/>
      <c r="P574" s="240"/>
      <c r="Q574" s="148"/>
      <c r="R574" s="148"/>
      <c r="S574" s="242"/>
      <c r="T574" s="242"/>
      <c r="U574" s="242"/>
      <c r="V574" s="242"/>
      <c r="W574" s="242"/>
      <c r="X574" s="242"/>
      <c r="Y574" s="148"/>
      <c r="Z574" s="148"/>
    </row>
    <row r="575">
      <c r="A575" s="148"/>
      <c r="B575" s="148"/>
      <c r="C575" s="148"/>
      <c r="D575" s="245"/>
      <c r="E575" s="585"/>
      <c r="F575" s="586"/>
      <c r="G575" s="148"/>
      <c r="H575" s="148"/>
      <c r="I575" s="251"/>
      <c r="J575" s="243"/>
      <c r="K575" s="148"/>
      <c r="L575" s="277"/>
      <c r="M575" s="252"/>
      <c r="N575" s="250"/>
      <c r="O575" s="253"/>
      <c r="P575" s="240"/>
      <c r="Q575" s="148"/>
      <c r="R575" s="148"/>
      <c r="S575" s="242"/>
      <c r="T575" s="242"/>
      <c r="U575" s="242"/>
      <c r="V575" s="242"/>
      <c r="W575" s="242"/>
      <c r="X575" s="242"/>
      <c r="Y575" s="148"/>
      <c r="Z575" s="148"/>
    </row>
    <row r="576">
      <c r="A576" s="148"/>
      <c r="B576" s="148"/>
      <c r="C576" s="148"/>
      <c r="D576" s="245"/>
      <c r="E576" s="585"/>
      <c r="F576" s="586"/>
      <c r="G576" s="148"/>
      <c r="H576" s="148"/>
      <c r="I576" s="251"/>
      <c r="J576" s="243"/>
      <c r="K576" s="148"/>
      <c r="L576" s="277"/>
      <c r="M576" s="252"/>
      <c r="N576" s="250"/>
      <c r="O576" s="253"/>
      <c r="P576" s="240"/>
      <c r="Q576" s="148"/>
      <c r="R576" s="148"/>
      <c r="S576" s="242"/>
      <c r="T576" s="242"/>
      <c r="U576" s="242"/>
      <c r="V576" s="242"/>
      <c r="W576" s="242"/>
      <c r="X576" s="242"/>
      <c r="Y576" s="148"/>
      <c r="Z576" s="148"/>
    </row>
    <row r="577">
      <c r="A577" s="148"/>
      <c r="B577" s="148"/>
      <c r="C577" s="148"/>
      <c r="D577" s="245"/>
      <c r="E577" s="585"/>
      <c r="F577" s="586"/>
      <c r="G577" s="148"/>
      <c r="H577" s="148"/>
      <c r="I577" s="251"/>
      <c r="J577" s="243"/>
      <c r="K577" s="148"/>
      <c r="L577" s="277"/>
      <c r="M577" s="252"/>
      <c r="N577" s="250"/>
      <c r="O577" s="253"/>
      <c r="P577" s="240"/>
      <c r="Q577" s="148"/>
      <c r="R577" s="148"/>
      <c r="S577" s="242"/>
      <c r="T577" s="242"/>
      <c r="U577" s="242"/>
      <c r="V577" s="242"/>
      <c r="W577" s="242"/>
      <c r="X577" s="242"/>
      <c r="Y577" s="148"/>
      <c r="Z577" s="148"/>
    </row>
    <row r="578">
      <c r="A578" s="148"/>
      <c r="B578" s="148"/>
      <c r="C578" s="148"/>
      <c r="D578" s="245"/>
      <c r="E578" s="585"/>
      <c r="F578" s="586"/>
      <c r="G578" s="148"/>
      <c r="H578" s="148"/>
      <c r="I578" s="251"/>
      <c r="J578" s="243"/>
      <c r="K578" s="148"/>
      <c r="L578" s="277"/>
      <c r="M578" s="252"/>
      <c r="N578" s="250"/>
      <c r="O578" s="253"/>
      <c r="P578" s="240"/>
      <c r="Q578" s="148"/>
      <c r="R578" s="148"/>
      <c r="S578" s="242"/>
      <c r="T578" s="242"/>
      <c r="U578" s="242"/>
      <c r="V578" s="242"/>
      <c r="W578" s="242"/>
      <c r="X578" s="242"/>
      <c r="Y578" s="148"/>
      <c r="Z578" s="148"/>
    </row>
    <row r="579">
      <c r="A579" s="148"/>
      <c r="B579" s="148"/>
      <c r="C579" s="148"/>
      <c r="D579" s="245"/>
      <c r="E579" s="585"/>
      <c r="F579" s="586"/>
      <c r="G579" s="148"/>
      <c r="H579" s="148"/>
      <c r="I579" s="251"/>
      <c r="J579" s="243"/>
      <c r="K579" s="148"/>
      <c r="L579" s="277"/>
      <c r="M579" s="252"/>
      <c r="N579" s="250"/>
      <c r="O579" s="253"/>
      <c r="P579" s="240"/>
      <c r="Q579" s="148"/>
      <c r="R579" s="148"/>
      <c r="S579" s="242"/>
      <c r="T579" s="242"/>
      <c r="U579" s="242"/>
      <c r="V579" s="242"/>
      <c r="W579" s="242"/>
      <c r="X579" s="242"/>
      <c r="Y579" s="148"/>
      <c r="Z579" s="148"/>
    </row>
    <row r="580">
      <c r="A580" s="148"/>
      <c r="B580" s="148"/>
      <c r="C580" s="148"/>
      <c r="D580" s="245"/>
      <c r="E580" s="585"/>
      <c r="F580" s="586"/>
      <c r="G580" s="148"/>
      <c r="H580" s="148"/>
      <c r="I580" s="251"/>
      <c r="J580" s="243"/>
      <c r="K580" s="148"/>
      <c r="L580" s="277"/>
      <c r="M580" s="252"/>
      <c r="N580" s="250"/>
      <c r="O580" s="253"/>
      <c r="P580" s="240"/>
      <c r="Q580" s="148"/>
      <c r="R580" s="148"/>
      <c r="S580" s="242"/>
      <c r="T580" s="242"/>
      <c r="U580" s="242"/>
      <c r="V580" s="242"/>
      <c r="W580" s="242"/>
      <c r="X580" s="242"/>
      <c r="Y580" s="148"/>
      <c r="Z580" s="148"/>
    </row>
    <row r="581">
      <c r="A581" s="148"/>
      <c r="B581" s="148"/>
      <c r="C581" s="148"/>
      <c r="D581" s="245"/>
      <c r="E581" s="585"/>
      <c r="F581" s="586"/>
      <c r="G581" s="148"/>
      <c r="H581" s="148"/>
      <c r="I581" s="251"/>
      <c r="J581" s="243"/>
      <c r="K581" s="148"/>
      <c r="L581" s="277"/>
      <c r="M581" s="252"/>
      <c r="N581" s="250"/>
      <c r="O581" s="253"/>
      <c r="P581" s="240"/>
      <c r="Q581" s="148"/>
      <c r="R581" s="148"/>
      <c r="S581" s="242"/>
      <c r="T581" s="242"/>
      <c r="U581" s="242"/>
      <c r="V581" s="242"/>
      <c r="W581" s="242"/>
      <c r="X581" s="242"/>
      <c r="Y581" s="148"/>
      <c r="Z581" s="148"/>
    </row>
    <row r="582">
      <c r="A582" s="148"/>
      <c r="B582" s="148"/>
      <c r="C582" s="148"/>
      <c r="D582" s="245"/>
      <c r="E582" s="585"/>
      <c r="F582" s="586"/>
      <c r="G582" s="148"/>
      <c r="H582" s="148"/>
      <c r="I582" s="251"/>
      <c r="J582" s="243"/>
      <c r="K582" s="148"/>
      <c r="L582" s="277"/>
      <c r="M582" s="252"/>
      <c r="N582" s="250"/>
      <c r="O582" s="253"/>
      <c r="P582" s="240"/>
      <c r="Q582" s="148"/>
      <c r="R582" s="148"/>
      <c r="S582" s="242"/>
      <c r="T582" s="242"/>
      <c r="U582" s="242"/>
      <c r="V582" s="242"/>
      <c r="W582" s="242"/>
      <c r="X582" s="242"/>
      <c r="Y582" s="148"/>
      <c r="Z582" s="148"/>
    </row>
    <row r="583">
      <c r="A583" s="148"/>
      <c r="B583" s="148"/>
      <c r="C583" s="148"/>
      <c r="D583" s="245"/>
      <c r="E583" s="585"/>
      <c r="F583" s="586"/>
      <c r="G583" s="148"/>
      <c r="H583" s="148"/>
      <c r="I583" s="251"/>
      <c r="J583" s="243"/>
      <c r="K583" s="148"/>
      <c r="L583" s="277"/>
      <c r="M583" s="252"/>
      <c r="N583" s="250"/>
      <c r="O583" s="253"/>
      <c r="P583" s="240"/>
      <c r="Q583" s="148"/>
      <c r="R583" s="148"/>
      <c r="S583" s="242"/>
      <c r="T583" s="242"/>
      <c r="U583" s="242"/>
      <c r="V583" s="242"/>
      <c r="W583" s="242"/>
      <c r="X583" s="242"/>
      <c r="Y583" s="148"/>
      <c r="Z583" s="148"/>
    </row>
    <row r="584">
      <c r="A584" s="148"/>
      <c r="B584" s="148"/>
      <c r="C584" s="148"/>
      <c r="D584" s="245"/>
      <c r="E584" s="585"/>
      <c r="F584" s="586"/>
      <c r="G584" s="148"/>
      <c r="H584" s="148"/>
      <c r="I584" s="251"/>
      <c r="J584" s="243"/>
      <c r="K584" s="148"/>
      <c r="L584" s="277"/>
      <c r="M584" s="252"/>
      <c r="N584" s="250"/>
      <c r="O584" s="253"/>
      <c r="P584" s="240"/>
      <c r="Q584" s="148"/>
      <c r="R584" s="148"/>
      <c r="S584" s="242"/>
      <c r="T584" s="242"/>
      <c r="U584" s="242"/>
      <c r="V584" s="242"/>
      <c r="W584" s="242"/>
      <c r="X584" s="242"/>
      <c r="Y584" s="148"/>
      <c r="Z584" s="148"/>
    </row>
    <row r="585">
      <c r="A585" s="148"/>
      <c r="B585" s="148"/>
      <c r="C585" s="148"/>
      <c r="D585" s="245"/>
      <c r="E585" s="585"/>
      <c r="F585" s="586"/>
      <c r="G585" s="148"/>
      <c r="H585" s="148"/>
      <c r="I585" s="251"/>
      <c r="J585" s="243"/>
      <c r="K585" s="148"/>
      <c r="L585" s="277"/>
      <c r="M585" s="252"/>
      <c r="N585" s="250"/>
      <c r="O585" s="253"/>
      <c r="P585" s="240"/>
      <c r="Q585" s="148"/>
      <c r="R585" s="148"/>
      <c r="S585" s="242"/>
      <c r="T585" s="242"/>
      <c r="U585" s="242"/>
      <c r="V585" s="242"/>
      <c r="W585" s="242"/>
      <c r="X585" s="242"/>
      <c r="Y585" s="148"/>
      <c r="Z585" s="148"/>
    </row>
    <row r="586">
      <c r="A586" s="148"/>
      <c r="B586" s="148"/>
      <c r="C586" s="148"/>
      <c r="D586" s="245"/>
      <c r="E586" s="585"/>
      <c r="F586" s="586"/>
      <c r="G586" s="148"/>
      <c r="H586" s="148"/>
      <c r="I586" s="251"/>
      <c r="J586" s="243"/>
      <c r="K586" s="148"/>
      <c r="L586" s="277"/>
      <c r="M586" s="252"/>
      <c r="N586" s="250"/>
      <c r="O586" s="253"/>
      <c r="P586" s="240"/>
      <c r="Q586" s="148"/>
      <c r="R586" s="148"/>
      <c r="S586" s="242"/>
      <c r="T586" s="242"/>
      <c r="U586" s="242"/>
      <c r="V586" s="242"/>
      <c r="W586" s="242"/>
      <c r="X586" s="242"/>
      <c r="Y586" s="148"/>
      <c r="Z586" s="148"/>
    </row>
    <row r="587">
      <c r="A587" s="148"/>
      <c r="B587" s="148"/>
      <c r="C587" s="148"/>
      <c r="D587" s="245"/>
      <c r="E587" s="585"/>
      <c r="F587" s="586"/>
      <c r="G587" s="148"/>
      <c r="H587" s="148"/>
      <c r="I587" s="251"/>
      <c r="J587" s="243"/>
      <c r="K587" s="148"/>
      <c r="L587" s="277"/>
      <c r="M587" s="252"/>
      <c r="N587" s="250"/>
      <c r="O587" s="253"/>
      <c r="P587" s="240"/>
      <c r="Q587" s="148"/>
      <c r="R587" s="148"/>
      <c r="S587" s="242"/>
      <c r="T587" s="242"/>
      <c r="U587" s="242"/>
      <c r="V587" s="242"/>
      <c r="W587" s="242"/>
      <c r="X587" s="242"/>
      <c r="Y587" s="148"/>
      <c r="Z587" s="148"/>
    </row>
    <row r="588">
      <c r="A588" s="148"/>
      <c r="B588" s="148"/>
      <c r="C588" s="148"/>
      <c r="D588" s="245"/>
      <c r="E588" s="585"/>
      <c r="F588" s="586"/>
      <c r="G588" s="148"/>
      <c r="H588" s="148"/>
      <c r="I588" s="251"/>
      <c r="J588" s="243"/>
      <c r="K588" s="148"/>
      <c r="L588" s="277"/>
      <c r="M588" s="252"/>
      <c r="N588" s="250"/>
      <c r="O588" s="253"/>
      <c r="P588" s="240"/>
      <c r="Q588" s="148"/>
      <c r="R588" s="148"/>
      <c r="S588" s="242"/>
      <c r="T588" s="242"/>
      <c r="U588" s="242"/>
      <c r="V588" s="242"/>
      <c r="W588" s="242"/>
      <c r="X588" s="242"/>
      <c r="Y588" s="148"/>
      <c r="Z588" s="148"/>
    </row>
    <row r="589">
      <c r="A589" s="148"/>
      <c r="B589" s="148"/>
      <c r="C589" s="148"/>
      <c r="D589" s="245"/>
      <c r="E589" s="585"/>
      <c r="F589" s="586"/>
      <c r="G589" s="148"/>
      <c r="H589" s="148"/>
      <c r="I589" s="251"/>
      <c r="J589" s="243"/>
      <c r="K589" s="148"/>
      <c r="L589" s="277"/>
      <c r="M589" s="252"/>
      <c r="N589" s="250"/>
      <c r="O589" s="253"/>
      <c r="P589" s="240"/>
      <c r="Q589" s="148"/>
      <c r="R589" s="148"/>
      <c r="S589" s="242"/>
      <c r="T589" s="242"/>
      <c r="U589" s="242"/>
      <c r="V589" s="242"/>
      <c r="W589" s="242"/>
      <c r="X589" s="242"/>
      <c r="Y589" s="148"/>
      <c r="Z589" s="148"/>
    </row>
    <row r="590">
      <c r="A590" s="148"/>
      <c r="B590" s="148"/>
      <c r="C590" s="148"/>
      <c r="D590" s="245"/>
      <c r="E590" s="585"/>
      <c r="F590" s="586"/>
      <c r="G590" s="148"/>
      <c r="H590" s="148"/>
      <c r="I590" s="251"/>
      <c r="J590" s="243"/>
      <c r="K590" s="148"/>
      <c r="L590" s="277"/>
      <c r="M590" s="252"/>
      <c r="N590" s="250"/>
      <c r="O590" s="253"/>
      <c r="P590" s="240"/>
      <c r="Q590" s="148"/>
      <c r="R590" s="148"/>
      <c r="S590" s="242"/>
      <c r="T590" s="242"/>
      <c r="U590" s="242"/>
      <c r="V590" s="242"/>
      <c r="W590" s="242"/>
      <c r="X590" s="242"/>
      <c r="Y590" s="148"/>
      <c r="Z590" s="148"/>
    </row>
    <row r="591">
      <c r="A591" s="148"/>
      <c r="B591" s="148"/>
      <c r="C591" s="148"/>
      <c r="D591" s="245"/>
      <c r="E591" s="585"/>
      <c r="F591" s="586"/>
      <c r="G591" s="148"/>
      <c r="H591" s="148"/>
      <c r="I591" s="251"/>
      <c r="J591" s="243"/>
      <c r="K591" s="148"/>
      <c r="L591" s="277"/>
      <c r="M591" s="252"/>
      <c r="N591" s="250"/>
      <c r="O591" s="253"/>
      <c r="P591" s="240"/>
      <c r="Q591" s="148"/>
      <c r="R591" s="148"/>
      <c r="S591" s="242"/>
      <c r="T591" s="242"/>
      <c r="U591" s="242"/>
      <c r="V591" s="242"/>
      <c r="W591" s="242"/>
      <c r="X591" s="242"/>
      <c r="Y591" s="148"/>
      <c r="Z591" s="148"/>
    </row>
    <row r="592">
      <c r="A592" s="148"/>
      <c r="B592" s="148"/>
      <c r="C592" s="148"/>
      <c r="D592" s="245"/>
      <c r="E592" s="585"/>
      <c r="F592" s="586"/>
      <c r="G592" s="148"/>
      <c r="H592" s="148"/>
      <c r="I592" s="251"/>
      <c r="J592" s="243"/>
      <c r="K592" s="148"/>
      <c r="L592" s="277"/>
      <c r="M592" s="252"/>
      <c r="N592" s="250"/>
      <c r="O592" s="253"/>
      <c r="P592" s="240"/>
      <c r="Q592" s="148"/>
      <c r="R592" s="148"/>
      <c r="S592" s="242"/>
      <c r="T592" s="242"/>
      <c r="U592" s="242"/>
      <c r="V592" s="242"/>
      <c r="W592" s="242"/>
      <c r="X592" s="242"/>
      <c r="Y592" s="148"/>
      <c r="Z592" s="148"/>
    </row>
    <row r="593">
      <c r="A593" s="148"/>
      <c r="B593" s="148"/>
      <c r="C593" s="148"/>
      <c r="D593" s="245"/>
      <c r="E593" s="585"/>
      <c r="F593" s="586"/>
      <c r="G593" s="148"/>
      <c r="H593" s="148"/>
      <c r="I593" s="251"/>
      <c r="J593" s="243"/>
      <c r="K593" s="148"/>
      <c r="L593" s="277"/>
      <c r="M593" s="252"/>
      <c r="N593" s="250"/>
      <c r="O593" s="253"/>
      <c r="P593" s="240"/>
      <c r="Q593" s="148"/>
      <c r="R593" s="148"/>
      <c r="S593" s="242"/>
      <c r="T593" s="242"/>
      <c r="U593" s="242"/>
      <c r="V593" s="242"/>
      <c r="W593" s="242"/>
      <c r="X593" s="242"/>
      <c r="Y593" s="148"/>
      <c r="Z593" s="148"/>
    </row>
    <row r="594">
      <c r="A594" s="148"/>
      <c r="B594" s="148"/>
      <c r="C594" s="148"/>
      <c r="D594" s="245"/>
      <c r="E594" s="585"/>
      <c r="F594" s="586"/>
      <c r="G594" s="148"/>
      <c r="H594" s="148"/>
      <c r="I594" s="251"/>
      <c r="J594" s="243"/>
      <c r="K594" s="148"/>
      <c r="L594" s="277"/>
      <c r="M594" s="252"/>
      <c r="N594" s="250"/>
      <c r="O594" s="253"/>
      <c r="P594" s="240"/>
      <c r="Q594" s="148"/>
      <c r="R594" s="148"/>
      <c r="S594" s="242"/>
      <c r="T594" s="242"/>
      <c r="U594" s="242"/>
      <c r="V594" s="242"/>
      <c r="W594" s="242"/>
      <c r="X594" s="242"/>
      <c r="Y594" s="148"/>
      <c r="Z594" s="148"/>
    </row>
    <row r="595">
      <c r="A595" s="148"/>
      <c r="B595" s="148"/>
      <c r="C595" s="148"/>
      <c r="D595" s="245"/>
      <c r="E595" s="585"/>
      <c r="F595" s="586"/>
      <c r="G595" s="148"/>
      <c r="H595" s="148"/>
      <c r="I595" s="251"/>
      <c r="J595" s="243"/>
      <c r="K595" s="148"/>
      <c r="L595" s="277"/>
      <c r="M595" s="252"/>
      <c r="N595" s="250"/>
      <c r="O595" s="253"/>
      <c r="P595" s="240"/>
      <c r="Q595" s="148"/>
      <c r="R595" s="148"/>
      <c r="S595" s="242"/>
      <c r="T595" s="242"/>
      <c r="U595" s="242"/>
      <c r="V595" s="242"/>
      <c r="W595" s="242"/>
      <c r="X595" s="242"/>
      <c r="Y595" s="148"/>
      <c r="Z595" s="148"/>
    </row>
    <row r="596">
      <c r="A596" s="148"/>
      <c r="B596" s="148"/>
      <c r="C596" s="148"/>
      <c r="D596" s="245"/>
      <c r="E596" s="585"/>
      <c r="F596" s="586"/>
      <c r="G596" s="148"/>
      <c r="H596" s="148"/>
      <c r="I596" s="251"/>
      <c r="J596" s="243"/>
      <c r="K596" s="148"/>
      <c r="L596" s="277"/>
      <c r="M596" s="252"/>
      <c r="N596" s="250"/>
      <c r="O596" s="253"/>
      <c r="P596" s="240"/>
      <c r="Q596" s="148"/>
      <c r="R596" s="148"/>
      <c r="S596" s="242"/>
      <c r="T596" s="242"/>
      <c r="U596" s="242"/>
      <c r="V596" s="242"/>
      <c r="W596" s="242"/>
      <c r="X596" s="242"/>
      <c r="Y596" s="148"/>
      <c r="Z596" s="148"/>
    </row>
    <row r="597">
      <c r="A597" s="148"/>
      <c r="B597" s="148"/>
      <c r="C597" s="148"/>
      <c r="D597" s="245"/>
      <c r="E597" s="585"/>
      <c r="F597" s="586"/>
      <c r="G597" s="148"/>
      <c r="H597" s="148"/>
      <c r="I597" s="251"/>
      <c r="J597" s="243"/>
      <c r="K597" s="148"/>
      <c r="L597" s="277"/>
      <c r="M597" s="252"/>
      <c r="N597" s="250"/>
      <c r="O597" s="253"/>
      <c r="P597" s="240"/>
      <c r="Q597" s="148"/>
      <c r="R597" s="148"/>
      <c r="S597" s="242"/>
      <c r="T597" s="242"/>
      <c r="U597" s="242"/>
      <c r="V597" s="242"/>
      <c r="W597" s="242"/>
      <c r="X597" s="242"/>
      <c r="Y597" s="148"/>
      <c r="Z597" s="148"/>
    </row>
    <row r="598">
      <c r="A598" s="148"/>
      <c r="B598" s="148"/>
      <c r="C598" s="148"/>
      <c r="D598" s="245"/>
      <c r="E598" s="585"/>
      <c r="F598" s="586"/>
      <c r="G598" s="148"/>
      <c r="H598" s="148"/>
      <c r="I598" s="251"/>
      <c r="J598" s="243"/>
      <c r="K598" s="148"/>
      <c r="L598" s="277"/>
      <c r="M598" s="252"/>
      <c r="N598" s="250"/>
      <c r="O598" s="253"/>
      <c r="P598" s="240"/>
      <c r="Q598" s="148"/>
      <c r="R598" s="148"/>
      <c r="S598" s="242"/>
      <c r="T598" s="242"/>
      <c r="U598" s="242"/>
      <c r="V598" s="242"/>
      <c r="W598" s="242"/>
      <c r="X598" s="242"/>
      <c r="Y598" s="148"/>
      <c r="Z598" s="148"/>
    </row>
    <row r="599">
      <c r="A599" s="148"/>
      <c r="B599" s="148"/>
      <c r="C599" s="148"/>
      <c r="D599" s="245"/>
      <c r="E599" s="585"/>
      <c r="F599" s="586"/>
      <c r="G599" s="148"/>
      <c r="H599" s="148"/>
      <c r="I599" s="251"/>
      <c r="J599" s="243"/>
      <c r="K599" s="148"/>
      <c r="L599" s="277"/>
      <c r="M599" s="252"/>
      <c r="N599" s="250"/>
      <c r="O599" s="253"/>
      <c r="P599" s="240"/>
      <c r="Q599" s="148"/>
      <c r="R599" s="148"/>
      <c r="S599" s="242"/>
      <c r="T599" s="242"/>
      <c r="U599" s="242"/>
      <c r="V599" s="242"/>
      <c r="W599" s="242"/>
      <c r="X599" s="242"/>
      <c r="Y599" s="148"/>
      <c r="Z599" s="148"/>
    </row>
    <row r="600">
      <c r="A600" s="148"/>
      <c r="B600" s="148"/>
      <c r="C600" s="148"/>
      <c r="D600" s="245"/>
      <c r="E600" s="585"/>
      <c r="F600" s="586"/>
      <c r="G600" s="148"/>
      <c r="H600" s="148"/>
      <c r="I600" s="251"/>
      <c r="J600" s="243"/>
      <c r="K600" s="148"/>
      <c r="L600" s="277"/>
      <c r="M600" s="252"/>
      <c r="N600" s="250"/>
      <c r="O600" s="253"/>
      <c r="P600" s="240"/>
      <c r="Q600" s="148"/>
      <c r="R600" s="148"/>
      <c r="S600" s="242"/>
      <c r="T600" s="242"/>
      <c r="U600" s="242"/>
      <c r="V600" s="242"/>
      <c r="W600" s="242"/>
      <c r="X600" s="242"/>
      <c r="Y600" s="148"/>
      <c r="Z600" s="148"/>
    </row>
    <row r="601">
      <c r="A601" s="148"/>
      <c r="B601" s="148"/>
      <c r="C601" s="148"/>
      <c r="D601" s="245"/>
      <c r="E601" s="585"/>
      <c r="F601" s="586"/>
      <c r="G601" s="148"/>
      <c r="H601" s="148"/>
      <c r="I601" s="251"/>
      <c r="J601" s="243"/>
      <c r="K601" s="148"/>
      <c r="L601" s="277"/>
      <c r="M601" s="252"/>
      <c r="N601" s="250"/>
      <c r="O601" s="253"/>
      <c r="P601" s="240"/>
      <c r="Q601" s="148"/>
      <c r="R601" s="148"/>
      <c r="S601" s="242"/>
      <c r="T601" s="242"/>
      <c r="U601" s="242"/>
      <c r="V601" s="242"/>
      <c r="W601" s="242"/>
      <c r="X601" s="242"/>
      <c r="Y601" s="148"/>
      <c r="Z601" s="148"/>
    </row>
    <row r="602">
      <c r="A602" s="148"/>
      <c r="B602" s="148"/>
      <c r="C602" s="148"/>
      <c r="D602" s="245"/>
      <c r="E602" s="585"/>
      <c r="F602" s="586"/>
      <c r="G602" s="148"/>
      <c r="H602" s="148"/>
      <c r="I602" s="251"/>
      <c r="J602" s="243"/>
      <c r="K602" s="148"/>
      <c r="L602" s="277"/>
      <c r="M602" s="252"/>
      <c r="N602" s="250"/>
      <c r="O602" s="253"/>
      <c r="P602" s="240"/>
      <c r="Q602" s="148"/>
      <c r="R602" s="148"/>
      <c r="S602" s="242"/>
      <c r="T602" s="242"/>
      <c r="U602" s="242"/>
      <c r="V602" s="242"/>
      <c r="W602" s="242"/>
      <c r="X602" s="242"/>
      <c r="Y602" s="148"/>
      <c r="Z602" s="148"/>
    </row>
    <row r="603">
      <c r="A603" s="148"/>
      <c r="B603" s="148"/>
      <c r="C603" s="148"/>
      <c r="D603" s="245"/>
      <c r="E603" s="585"/>
      <c r="F603" s="586"/>
      <c r="G603" s="148"/>
      <c r="H603" s="148"/>
      <c r="I603" s="251"/>
      <c r="J603" s="243"/>
      <c r="K603" s="148"/>
      <c r="L603" s="277"/>
      <c r="M603" s="252"/>
      <c r="N603" s="250"/>
      <c r="O603" s="253"/>
      <c r="P603" s="240"/>
      <c r="Q603" s="148"/>
      <c r="R603" s="148"/>
      <c r="S603" s="242"/>
      <c r="T603" s="242"/>
      <c r="U603" s="242"/>
      <c r="V603" s="242"/>
      <c r="W603" s="242"/>
      <c r="X603" s="242"/>
      <c r="Y603" s="148"/>
      <c r="Z603" s="148"/>
    </row>
    <row r="604">
      <c r="A604" s="148"/>
      <c r="B604" s="148"/>
      <c r="C604" s="148"/>
      <c r="D604" s="245"/>
      <c r="E604" s="585"/>
      <c r="F604" s="586"/>
      <c r="G604" s="148"/>
      <c r="H604" s="148"/>
      <c r="I604" s="251"/>
      <c r="J604" s="243"/>
      <c r="K604" s="148"/>
      <c r="L604" s="277"/>
      <c r="M604" s="252"/>
      <c r="N604" s="250"/>
      <c r="O604" s="253"/>
      <c r="P604" s="240"/>
      <c r="Q604" s="148"/>
      <c r="R604" s="148"/>
      <c r="S604" s="242"/>
      <c r="T604" s="242"/>
      <c r="U604" s="242"/>
      <c r="V604" s="242"/>
      <c r="W604" s="242"/>
      <c r="X604" s="242"/>
      <c r="Y604" s="148"/>
      <c r="Z604" s="148"/>
    </row>
    <row r="605">
      <c r="A605" s="148"/>
      <c r="B605" s="148"/>
      <c r="C605" s="148"/>
      <c r="D605" s="245"/>
      <c r="E605" s="585"/>
      <c r="F605" s="586"/>
      <c r="G605" s="148"/>
      <c r="H605" s="148"/>
      <c r="I605" s="251"/>
      <c r="J605" s="243"/>
      <c r="K605" s="148"/>
      <c r="L605" s="277"/>
      <c r="M605" s="252"/>
      <c r="N605" s="250"/>
      <c r="O605" s="253"/>
      <c r="P605" s="240"/>
      <c r="Q605" s="148"/>
      <c r="R605" s="148"/>
      <c r="S605" s="242"/>
      <c r="T605" s="242"/>
      <c r="U605" s="242"/>
      <c r="V605" s="242"/>
      <c r="W605" s="242"/>
      <c r="X605" s="242"/>
      <c r="Y605" s="148"/>
      <c r="Z605" s="148"/>
    </row>
    <row r="606">
      <c r="A606" s="148"/>
      <c r="B606" s="148"/>
      <c r="C606" s="148"/>
      <c r="D606" s="245"/>
      <c r="E606" s="585"/>
      <c r="F606" s="586"/>
      <c r="G606" s="148"/>
      <c r="H606" s="148"/>
      <c r="I606" s="251"/>
      <c r="J606" s="243"/>
      <c r="K606" s="148"/>
      <c r="L606" s="277"/>
      <c r="M606" s="252"/>
      <c r="N606" s="250"/>
      <c r="O606" s="253"/>
      <c r="P606" s="240"/>
      <c r="Q606" s="148"/>
      <c r="R606" s="148"/>
      <c r="S606" s="242"/>
      <c r="T606" s="242"/>
      <c r="U606" s="242"/>
      <c r="V606" s="242"/>
      <c r="W606" s="242"/>
      <c r="X606" s="242"/>
      <c r="Y606" s="148"/>
      <c r="Z606" s="148"/>
    </row>
    <row r="607">
      <c r="A607" s="148"/>
      <c r="B607" s="148"/>
      <c r="C607" s="148"/>
      <c r="D607" s="245"/>
      <c r="E607" s="585"/>
      <c r="F607" s="586"/>
      <c r="G607" s="148"/>
      <c r="H607" s="148"/>
      <c r="I607" s="251"/>
      <c r="J607" s="243"/>
      <c r="K607" s="148"/>
      <c r="L607" s="277"/>
      <c r="M607" s="252"/>
      <c r="N607" s="250"/>
      <c r="O607" s="253"/>
      <c r="P607" s="240"/>
      <c r="Q607" s="148"/>
      <c r="R607" s="148"/>
      <c r="S607" s="242"/>
      <c r="T607" s="242"/>
      <c r="U607" s="242"/>
      <c r="V607" s="242"/>
      <c r="W607" s="242"/>
      <c r="X607" s="242"/>
      <c r="Y607" s="148"/>
      <c r="Z607" s="148"/>
    </row>
    <row r="608">
      <c r="A608" s="148"/>
      <c r="B608" s="148"/>
      <c r="C608" s="148"/>
      <c r="D608" s="245"/>
      <c r="E608" s="585"/>
      <c r="F608" s="586"/>
      <c r="G608" s="148"/>
      <c r="H608" s="148"/>
      <c r="I608" s="251"/>
      <c r="J608" s="243"/>
      <c r="K608" s="148"/>
      <c r="L608" s="277"/>
      <c r="M608" s="252"/>
      <c r="N608" s="250"/>
      <c r="O608" s="253"/>
      <c r="P608" s="240"/>
      <c r="Q608" s="148"/>
      <c r="R608" s="148"/>
      <c r="S608" s="242"/>
      <c r="T608" s="242"/>
      <c r="U608" s="242"/>
      <c r="V608" s="242"/>
      <c r="W608" s="242"/>
      <c r="X608" s="242"/>
      <c r="Y608" s="148"/>
      <c r="Z608" s="148"/>
    </row>
    <row r="609">
      <c r="A609" s="148"/>
      <c r="B609" s="148"/>
      <c r="C609" s="148"/>
      <c r="D609" s="245"/>
      <c r="E609" s="585"/>
      <c r="F609" s="586"/>
      <c r="G609" s="148"/>
      <c r="H609" s="148"/>
      <c r="I609" s="251"/>
      <c r="J609" s="243"/>
      <c r="K609" s="148"/>
      <c r="L609" s="277"/>
      <c r="M609" s="252"/>
      <c r="N609" s="250"/>
      <c r="O609" s="253"/>
      <c r="P609" s="240"/>
      <c r="Q609" s="148"/>
      <c r="R609" s="148"/>
      <c r="S609" s="242"/>
      <c r="T609" s="242"/>
      <c r="U609" s="242"/>
      <c r="V609" s="242"/>
      <c r="W609" s="242"/>
      <c r="X609" s="242"/>
      <c r="Y609" s="148"/>
      <c r="Z609" s="148"/>
    </row>
    <row r="610">
      <c r="A610" s="148"/>
      <c r="B610" s="148"/>
      <c r="C610" s="148"/>
      <c r="D610" s="245"/>
      <c r="E610" s="585"/>
      <c r="F610" s="586"/>
      <c r="G610" s="148"/>
      <c r="H610" s="148"/>
      <c r="I610" s="251"/>
      <c r="J610" s="243"/>
      <c r="K610" s="148"/>
      <c r="L610" s="277"/>
      <c r="M610" s="252"/>
      <c r="N610" s="250"/>
      <c r="O610" s="253"/>
      <c r="P610" s="240"/>
      <c r="Q610" s="148"/>
      <c r="R610" s="148"/>
      <c r="S610" s="242"/>
      <c r="T610" s="242"/>
      <c r="U610" s="242"/>
      <c r="V610" s="242"/>
      <c r="W610" s="242"/>
      <c r="X610" s="242"/>
      <c r="Y610" s="148"/>
      <c r="Z610" s="148"/>
    </row>
    <row r="611">
      <c r="A611" s="148"/>
      <c r="B611" s="148"/>
      <c r="C611" s="148"/>
      <c r="D611" s="245"/>
      <c r="E611" s="585"/>
      <c r="F611" s="586"/>
      <c r="G611" s="148"/>
      <c r="H611" s="148"/>
      <c r="I611" s="251"/>
      <c r="J611" s="243"/>
      <c r="K611" s="148"/>
      <c r="L611" s="277"/>
      <c r="M611" s="252"/>
      <c r="N611" s="250"/>
      <c r="O611" s="253"/>
      <c r="P611" s="240"/>
      <c r="Q611" s="148"/>
      <c r="R611" s="148"/>
      <c r="S611" s="242"/>
      <c r="T611" s="242"/>
      <c r="U611" s="242"/>
      <c r="V611" s="242"/>
      <c r="W611" s="242"/>
      <c r="X611" s="242"/>
      <c r="Y611" s="148"/>
      <c r="Z611" s="148"/>
    </row>
    <row r="612">
      <c r="A612" s="148"/>
      <c r="B612" s="148"/>
      <c r="C612" s="148"/>
      <c r="D612" s="245"/>
      <c r="E612" s="585"/>
      <c r="F612" s="586"/>
      <c r="G612" s="148"/>
      <c r="H612" s="148"/>
      <c r="I612" s="251"/>
      <c r="J612" s="243"/>
      <c r="K612" s="148"/>
      <c r="L612" s="277"/>
      <c r="M612" s="252"/>
      <c r="N612" s="250"/>
      <c r="O612" s="253"/>
      <c r="P612" s="240"/>
      <c r="Q612" s="148"/>
      <c r="R612" s="148"/>
      <c r="S612" s="242"/>
      <c r="T612" s="242"/>
      <c r="U612" s="242"/>
      <c r="V612" s="242"/>
      <c r="W612" s="242"/>
      <c r="X612" s="242"/>
      <c r="Y612" s="148"/>
      <c r="Z612" s="148"/>
    </row>
    <row r="613">
      <c r="A613" s="148"/>
      <c r="B613" s="148"/>
      <c r="C613" s="148"/>
      <c r="D613" s="245"/>
      <c r="E613" s="585"/>
      <c r="F613" s="586"/>
      <c r="G613" s="148"/>
      <c r="H613" s="148"/>
      <c r="I613" s="251"/>
      <c r="J613" s="243"/>
      <c r="K613" s="148"/>
      <c r="L613" s="277"/>
      <c r="M613" s="252"/>
      <c r="N613" s="250"/>
      <c r="O613" s="253"/>
      <c r="P613" s="240"/>
      <c r="Q613" s="148"/>
      <c r="R613" s="148"/>
      <c r="S613" s="242"/>
      <c r="T613" s="242"/>
      <c r="U613" s="242"/>
      <c r="V613" s="242"/>
      <c r="W613" s="242"/>
      <c r="X613" s="242"/>
      <c r="Y613" s="148"/>
      <c r="Z613" s="148"/>
    </row>
    <row r="614">
      <c r="A614" s="148"/>
      <c r="B614" s="148"/>
      <c r="C614" s="148"/>
      <c r="D614" s="245"/>
      <c r="E614" s="585"/>
      <c r="F614" s="586"/>
      <c r="G614" s="148"/>
      <c r="H614" s="148"/>
      <c r="I614" s="251"/>
      <c r="J614" s="243"/>
      <c r="K614" s="148"/>
      <c r="L614" s="277"/>
      <c r="M614" s="252"/>
      <c r="N614" s="250"/>
      <c r="O614" s="253"/>
      <c r="P614" s="240"/>
      <c r="Q614" s="148"/>
      <c r="R614" s="148"/>
      <c r="S614" s="242"/>
      <c r="T614" s="242"/>
      <c r="U614" s="242"/>
      <c r="V614" s="242"/>
      <c r="W614" s="242"/>
      <c r="X614" s="242"/>
      <c r="Y614" s="148"/>
      <c r="Z614" s="148"/>
    </row>
    <row r="615">
      <c r="A615" s="148"/>
      <c r="B615" s="148"/>
      <c r="C615" s="148"/>
      <c r="D615" s="245"/>
      <c r="E615" s="585"/>
      <c r="F615" s="586"/>
      <c r="G615" s="148"/>
      <c r="H615" s="148"/>
      <c r="I615" s="251"/>
      <c r="J615" s="243"/>
      <c r="K615" s="148"/>
      <c r="L615" s="277"/>
      <c r="M615" s="252"/>
      <c r="N615" s="250"/>
      <c r="O615" s="253"/>
      <c r="P615" s="240"/>
      <c r="Q615" s="148"/>
      <c r="R615" s="148"/>
      <c r="S615" s="242"/>
      <c r="T615" s="242"/>
      <c r="U615" s="242"/>
      <c r="V615" s="242"/>
      <c r="W615" s="242"/>
      <c r="X615" s="242"/>
      <c r="Y615" s="148"/>
      <c r="Z615" s="148"/>
    </row>
    <row r="616">
      <c r="A616" s="148"/>
      <c r="B616" s="148"/>
      <c r="C616" s="148"/>
      <c r="D616" s="245"/>
      <c r="E616" s="585"/>
      <c r="F616" s="586"/>
      <c r="G616" s="148"/>
      <c r="H616" s="148"/>
      <c r="I616" s="251"/>
      <c r="J616" s="243"/>
      <c r="K616" s="148"/>
      <c r="L616" s="277"/>
      <c r="M616" s="252"/>
      <c r="N616" s="250"/>
      <c r="O616" s="253"/>
      <c r="P616" s="240"/>
      <c r="Q616" s="148"/>
      <c r="R616" s="148"/>
      <c r="S616" s="242"/>
      <c r="T616" s="242"/>
      <c r="U616" s="242"/>
      <c r="V616" s="242"/>
      <c r="W616" s="242"/>
      <c r="X616" s="242"/>
      <c r="Y616" s="148"/>
      <c r="Z616" s="148"/>
    </row>
    <row r="617">
      <c r="A617" s="148"/>
      <c r="B617" s="148"/>
      <c r="C617" s="148"/>
      <c r="D617" s="245"/>
      <c r="E617" s="585"/>
      <c r="F617" s="586"/>
      <c r="G617" s="148"/>
      <c r="H617" s="148"/>
      <c r="I617" s="251"/>
      <c r="J617" s="243"/>
      <c r="K617" s="148"/>
      <c r="L617" s="277"/>
      <c r="M617" s="252"/>
      <c r="N617" s="250"/>
      <c r="O617" s="253"/>
      <c r="P617" s="240"/>
      <c r="Q617" s="148"/>
      <c r="R617" s="148"/>
      <c r="S617" s="242"/>
      <c r="T617" s="242"/>
      <c r="U617" s="242"/>
      <c r="V617" s="242"/>
      <c r="W617" s="242"/>
      <c r="X617" s="242"/>
      <c r="Y617" s="148"/>
      <c r="Z617" s="148"/>
    </row>
    <row r="618">
      <c r="A618" s="148"/>
      <c r="B618" s="148"/>
      <c r="C618" s="148"/>
      <c r="D618" s="245"/>
      <c r="E618" s="585"/>
      <c r="F618" s="586"/>
      <c r="G618" s="148"/>
      <c r="H618" s="148"/>
      <c r="I618" s="251"/>
      <c r="J618" s="243"/>
      <c r="K618" s="148"/>
      <c r="L618" s="277"/>
      <c r="M618" s="252"/>
      <c r="N618" s="250"/>
      <c r="O618" s="253"/>
      <c r="P618" s="240"/>
      <c r="Q618" s="148"/>
      <c r="R618" s="148"/>
      <c r="S618" s="242"/>
      <c r="T618" s="242"/>
      <c r="U618" s="242"/>
      <c r="V618" s="242"/>
      <c r="W618" s="242"/>
      <c r="X618" s="242"/>
      <c r="Y618" s="148"/>
      <c r="Z618" s="148"/>
    </row>
    <row r="619">
      <c r="A619" s="148"/>
      <c r="B619" s="148"/>
      <c r="C619" s="148"/>
      <c r="D619" s="245"/>
      <c r="E619" s="585"/>
      <c r="F619" s="586"/>
      <c r="G619" s="148"/>
      <c r="H619" s="148"/>
      <c r="I619" s="251"/>
      <c r="J619" s="243"/>
      <c r="K619" s="148"/>
      <c r="L619" s="277"/>
      <c r="M619" s="252"/>
      <c r="N619" s="250"/>
      <c r="O619" s="253"/>
      <c r="P619" s="240"/>
      <c r="Q619" s="148"/>
      <c r="R619" s="148"/>
      <c r="S619" s="242"/>
      <c r="T619" s="242"/>
      <c r="U619" s="242"/>
      <c r="V619" s="242"/>
      <c r="W619" s="242"/>
      <c r="X619" s="242"/>
      <c r="Y619" s="148"/>
      <c r="Z619" s="148"/>
    </row>
    <row r="620">
      <c r="A620" s="148"/>
      <c r="B620" s="148"/>
      <c r="C620" s="148"/>
      <c r="D620" s="245"/>
      <c r="E620" s="585"/>
      <c r="F620" s="586"/>
      <c r="G620" s="148"/>
      <c r="H620" s="148"/>
      <c r="I620" s="251"/>
      <c r="J620" s="243"/>
      <c r="K620" s="148"/>
      <c r="L620" s="277"/>
      <c r="M620" s="252"/>
      <c r="N620" s="250"/>
      <c r="O620" s="253"/>
      <c r="P620" s="240"/>
      <c r="Q620" s="148"/>
      <c r="R620" s="148"/>
      <c r="S620" s="242"/>
      <c r="T620" s="242"/>
      <c r="U620" s="242"/>
      <c r="V620" s="242"/>
      <c r="W620" s="242"/>
      <c r="X620" s="242"/>
      <c r="Y620" s="148"/>
      <c r="Z620" s="148"/>
    </row>
    <row r="621">
      <c r="A621" s="148"/>
      <c r="B621" s="148"/>
      <c r="C621" s="148"/>
      <c r="D621" s="245"/>
      <c r="E621" s="585"/>
      <c r="F621" s="586"/>
      <c r="G621" s="148"/>
      <c r="H621" s="148"/>
      <c r="I621" s="251"/>
      <c r="J621" s="243"/>
      <c r="K621" s="148"/>
      <c r="L621" s="277"/>
      <c r="M621" s="252"/>
      <c r="N621" s="250"/>
      <c r="O621" s="253"/>
      <c r="P621" s="240"/>
      <c r="Q621" s="148"/>
      <c r="R621" s="148"/>
      <c r="S621" s="242"/>
      <c r="T621" s="242"/>
      <c r="U621" s="242"/>
      <c r="V621" s="242"/>
      <c r="W621" s="242"/>
      <c r="X621" s="242"/>
      <c r="Y621" s="148"/>
      <c r="Z621" s="148"/>
    </row>
    <row r="622">
      <c r="A622" s="148"/>
      <c r="B622" s="148"/>
      <c r="C622" s="148"/>
      <c r="D622" s="245"/>
      <c r="E622" s="585"/>
      <c r="F622" s="586"/>
      <c r="G622" s="148"/>
      <c r="H622" s="148"/>
      <c r="I622" s="251"/>
      <c r="J622" s="243"/>
      <c r="K622" s="148"/>
      <c r="L622" s="277"/>
      <c r="M622" s="252"/>
      <c r="N622" s="250"/>
      <c r="O622" s="253"/>
      <c r="P622" s="240"/>
      <c r="Q622" s="148"/>
      <c r="R622" s="148"/>
      <c r="S622" s="242"/>
      <c r="T622" s="242"/>
      <c r="U622" s="242"/>
      <c r="V622" s="242"/>
      <c r="W622" s="242"/>
      <c r="X622" s="242"/>
      <c r="Y622" s="148"/>
      <c r="Z622" s="148"/>
    </row>
    <row r="623">
      <c r="A623" s="148"/>
      <c r="B623" s="148"/>
      <c r="C623" s="148"/>
      <c r="D623" s="245"/>
      <c r="E623" s="585"/>
      <c r="F623" s="586"/>
      <c r="G623" s="148"/>
      <c r="H623" s="148"/>
      <c r="I623" s="251"/>
      <c r="J623" s="243"/>
      <c r="K623" s="148"/>
      <c r="L623" s="277"/>
      <c r="M623" s="252"/>
      <c r="N623" s="250"/>
      <c r="O623" s="253"/>
      <c r="P623" s="240"/>
      <c r="Q623" s="148"/>
      <c r="R623" s="148"/>
      <c r="S623" s="242"/>
      <c r="T623" s="242"/>
      <c r="U623" s="242"/>
      <c r="V623" s="242"/>
      <c r="W623" s="242"/>
      <c r="X623" s="242"/>
      <c r="Y623" s="148"/>
      <c r="Z623" s="148"/>
    </row>
    <row r="624">
      <c r="A624" s="148"/>
      <c r="B624" s="148"/>
      <c r="C624" s="148"/>
      <c r="D624" s="245"/>
      <c r="E624" s="585"/>
      <c r="F624" s="586"/>
      <c r="G624" s="148"/>
      <c r="H624" s="148"/>
      <c r="I624" s="251"/>
      <c r="J624" s="243"/>
      <c r="K624" s="148"/>
      <c r="L624" s="277"/>
      <c r="M624" s="252"/>
      <c r="N624" s="250"/>
      <c r="O624" s="253"/>
      <c r="P624" s="240"/>
      <c r="Q624" s="148"/>
      <c r="R624" s="148"/>
      <c r="S624" s="242"/>
      <c r="T624" s="242"/>
      <c r="U624" s="242"/>
      <c r="V624" s="242"/>
      <c r="W624" s="242"/>
      <c r="X624" s="242"/>
      <c r="Y624" s="148"/>
      <c r="Z624" s="148"/>
    </row>
    <row r="625">
      <c r="A625" s="148"/>
      <c r="B625" s="148"/>
      <c r="C625" s="148"/>
      <c r="D625" s="245"/>
      <c r="E625" s="585"/>
      <c r="F625" s="586"/>
      <c r="G625" s="148"/>
      <c r="H625" s="148"/>
      <c r="I625" s="251"/>
      <c r="J625" s="243"/>
      <c r="K625" s="148"/>
      <c r="L625" s="277"/>
      <c r="M625" s="252"/>
      <c r="N625" s="250"/>
      <c r="O625" s="253"/>
      <c r="P625" s="240"/>
      <c r="Q625" s="148"/>
      <c r="R625" s="148"/>
      <c r="S625" s="242"/>
      <c r="T625" s="242"/>
      <c r="U625" s="242"/>
      <c r="V625" s="242"/>
      <c r="W625" s="242"/>
      <c r="X625" s="242"/>
      <c r="Y625" s="148"/>
      <c r="Z625" s="148"/>
    </row>
    <row r="626">
      <c r="A626" s="148"/>
      <c r="B626" s="148"/>
      <c r="C626" s="148"/>
      <c r="D626" s="245"/>
      <c r="E626" s="585"/>
      <c r="F626" s="586"/>
      <c r="G626" s="148"/>
      <c r="H626" s="148"/>
      <c r="I626" s="251"/>
      <c r="J626" s="243"/>
      <c r="K626" s="148"/>
      <c r="L626" s="277"/>
      <c r="M626" s="252"/>
      <c r="N626" s="250"/>
      <c r="O626" s="253"/>
      <c r="P626" s="240"/>
      <c r="Q626" s="148"/>
      <c r="R626" s="148"/>
      <c r="S626" s="242"/>
      <c r="T626" s="242"/>
      <c r="U626" s="242"/>
      <c r="V626" s="242"/>
      <c r="W626" s="242"/>
      <c r="X626" s="242"/>
      <c r="Y626" s="148"/>
      <c r="Z626" s="148"/>
    </row>
    <row r="627">
      <c r="A627" s="148"/>
      <c r="B627" s="148"/>
      <c r="C627" s="148"/>
      <c r="D627" s="245"/>
      <c r="E627" s="585"/>
      <c r="F627" s="586"/>
      <c r="G627" s="148"/>
      <c r="H627" s="148"/>
      <c r="I627" s="251"/>
      <c r="J627" s="243"/>
      <c r="K627" s="148"/>
      <c r="L627" s="277"/>
      <c r="M627" s="252"/>
      <c r="N627" s="250"/>
      <c r="O627" s="253"/>
      <c r="P627" s="240"/>
      <c r="Q627" s="148"/>
      <c r="R627" s="148"/>
      <c r="S627" s="242"/>
      <c r="T627" s="242"/>
      <c r="U627" s="242"/>
      <c r="V627" s="242"/>
      <c r="W627" s="242"/>
      <c r="X627" s="242"/>
      <c r="Y627" s="148"/>
      <c r="Z627" s="148"/>
    </row>
    <row r="628">
      <c r="A628" s="148"/>
      <c r="B628" s="148"/>
      <c r="C628" s="148"/>
      <c r="D628" s="245"/>
      <c r="E628" s="585"/>
      <c r="F628" s="586"/>
      <c r="G628" s="148"/>
      <c r="H628" s="148"/>
      <c r="I628" s="251"/>
      <c r="J628" s="243"/>
      <c r="K628" s="148"/>
      <c r="L628" s="277"/>
      <c r="M628" s="252"/>
      <c r="N628" s="250"/>
      <c r="O628" s="253"/>
      <c r="P628" s="240"/>
      <c r="Q628" s="148"/>
      <c r="R628" s="148"/>
      <c r="S628" s="242"/>
      <c r="T628" s="242"/>
      <c r="U628" s="242"/>
      <c r="V628" s="242"/>
      <c r="W628" s="242"/>
      <c r="X628" s="242"/>
      <c r="Y628" s="148"/>
      <c r="Z628" s="148"/>
    </row>
    <row r="629">
      <c r="A629" s="148"/>
      <c r="B629" s="148"/>
      <c r="C629" s="148"/>
      <c r="D629" s="245"/>
      <c r="E629" s="585"/>
      <c r="F629" s="586"/>
      <c r="G629" s="148"/>
      <c r="H629" s="148"/>
      <c r="I629" s="251"/>
      <c r="J629" s="243"/>
      <c r="K629" s="148"/>
      <c r="L629" s="277"/>
      <c r="M629" s="252"/>
      <c r="N629" s="250"/>
      <c r="O629" s="253"/>
      <c r="P629" s="240"/>
      <c r="Q629" s="148"/>
      <c r="R629" s="148"/>
      <c r="S629" s="242"/>
      <c r="T629" s="242"/>
      <c r="U629" s="242"/>
      <c r="V629" s="242"/>
      <c r="W629" s="242"/>
      <c r="X629" s="242"/>
      <c r="Y629" s="148"/>
      <c r="Z629" s="148"/>
    </row>
    <row r="630">
      <c r="A630" s="148"/>
      <c r="B630" s="148"/>
      <c r="C630" s="148"/>
      <c r="D630" s="245"/>
      <c r="E630" s="585"/>
      <c r="F630" s="586"/>
      <c r="G630" s="148"/>
      <c r="H630" s="148"/>
      <c r="I630" s="251"/>
      <c r="J630" s="243"/>
      <c r="K630" s="148"/>
      <c r="L630" s="277"/>
      <c r="M630" s="252"/>
      <c r="N630" s="250"/>
      <c r="O630" s="253"/>
      <c r="P630" s="240"/>
      <c r="Q630" s="148"/>
      <c r="R630" s="148"/>
      <c r="S630" s="242"/>
      <c r="T630" s="242"/>
      <c r="U630" s="242"/>
      <c r="V630" s="242"/>
      <c r="W630" s="242"/>
      <c r="X630" s="242"/>
      <c r="Y630" s="148"/>
      <c r="Z630" s="148"/>
    </row>
    <row r="631">
      <c r="A631" s="148"/>
      <c r="B631" s="148"/>
      <c r="C631" s="148"/>
      <c r="D631" s="245"/>
      <c r="E631" s="585"/>
      <c r="F631" s="586"/>
      <c r="G631" s="148"/>
      <c r="H631" s="148"/>
      <c r="I631" s="251"/>
      <c r="J631" s="243"/>
      <c r="K631" s="148"/>
      <c r="L631" s="277"/>
      <c r="M631" s="252"/>
      <c r="N631" s="250"/>
      <c r="O631" s="253"/>
      <c r="P631" s="240"/>
      <c r="Q631" s="148"/>
      <c r="R631" s="148"/>
      <c r="S631" s="242"/>
      <c r="T631" s="242"/>
      <c r="U631" s="242"/>
      <c r="V631" s="242"/>
      <c r="W631" s="242"/>
      <c r="X631" s="242"/>
      <c r="Y631" s="148"/>
      <c r="Z631" s="148"/>
    </row>
    <row r="632">
      <c r="A632" s="148"/>
      <c r="B632" s="148"/>
      <c r="C632" s="148"/>
      <c r="D632" s="245"/>
      <c r="E632" s="585"/>
      <c r="F632" s="586"/>
      <c r="G632" s="148"/>
      <c r="H632" s="148"/>
      <c r="I632" s="251"/>
      <c r="J632" s="243"/>
      <c r="K632" s="148"/>
      <c r="L632" s="277"/>
      <c r="M632" s="252"/>
      <c r="N632" s="250"/>
      <c r="O632" s="253"/>
      <c r="P632" s="240"/>
      <c r="Q632" s="148"/>
      <c r="R632" s="148"/>
      <c r="S632" s="242"/>
      <c r="T632" s="242"/>
      <c r="U632" s="242"/>
      <c r="V632" s="242"/>
      <c r="W632" s="242"/>
      <c r="X632" s="242"/>
      <c r="Y632" s="148"/>
      <c r="Z632" s="148"/>
    </row>
    <row r="633">
      <c r="A633" s="148"/>
      <c r="B633" s="148"/>
      <c r="C633" s="148"/>
      <c r="D633" s="245"/>
      <c r="E633" s="585"/>
      <c r="F633" s="586"/>
      <c r="G633" s="148"/>
      <c r="H633" s="148"/>
      <c r="I633" s="251"/>
      <c r="J633" s="243"/>
      <c r="K633" s="148"/>
      <c r="L633" s="277"/>
      <c r="M633" s="252"/>
      <c r="N633" s="250"/>
      <c r="O633" s="253"/>
      <c r="P633" s="240"/>
      <c r="Q633" s="148"/>
      <c r="R633" s="148"/>
      <c r="S633" s="242"/>
      <c r="T633" s="242"/>
      <c r="U633" s="242"/>
      <c r="V633" s="242"/>
      <c r="W633" s="242"/>
      <c r="X633" s="242"/>
      <c r="Y633" s="148"/>
      <c r="Z633" s="148"/>
    </row>
    <row r="634">
      <c r="A634" s="148"/>
      <c r="B634" s="148"/>
      <c r="C634" s="148"/>
      <c r="D634" s="245"/>
      <c r="E634" s="585"/>
      <c r="F634" s="586"/>
      <c r="G634" s="148"/>
      <c r="H634" s="148"/>
      <c r="I634" s="251"/>
      <c r="J634" s="243"/>
      <c r="K634" s="148"/>
      <c r="L634" s="277"/>
      <c r="M634" s="252"/>
      <c r="N634" s="250"/>
      <c r="O634" s="253"/>
      <c r="P634" s="240"/>
      <c r="Q634" s="148"/>
      <c r="R634" s="148"/>
      <c r="S634" s="242"/>
      <c r="T634" s="242"/>
      <c r="U634" s="242"/>
      <c r="V634" s="242"/>
      <c r="W634" s="242"/>
      <c r="X634" s="242"/>
      <c r="Y634" s="148"/>
      <c r="Z634" s="148"/>
    </row>
    <row r="635">
      <c r="A635" s="148"/>
      <c r="B635" s="148"/>
      <c r="C635" s="148"/>
      <c r="D635" s="245"/>
      <c r="E635" s="585"/>
      <c r="F635" s="586"/>
      <c r="G635" s="148"/>
      <c r="H635" s="148"/>
      <c r="I635" s="251"/>
      <c r="J635" s="243"/>
      <c r="K635" s="148"/>
      <c r="L635" s="277"/>
      <c r="M635" s="252"/>
      <c r="N635" s="250"/>
      <c r="O635" s="253"/>
      <c r="P635" s="240"/>
      <c r="Q635" s="148"/>
      <c r="R635" s="148"/>
      <c r="S635" s="242"/>
      <c r="T635" s="242"/>
      <c r="U635" s="242"/>
      <c r="V635" s="242"/>
      <c r="W635" s="242"/>
      <c r="X635" s="242"/>
      <c r="Y635" s="148"/>
      <c r="Z635" s="148"/>
    </row>
    <row r="636">
      <c r="A636" s="148"/>
      <c r="B636" s="148"/>
      <c r="C636" s="148"/>
      <c r="D636" s="245"/>
      <c r="E636" s="585"/>
      <c r="F636" s="586"/>
      <c r="G636" s="148"/>
      <c r="H636" s="148"/>
      <c r="I636" s="251"/>
      <c r="J636" s="243"/>
      <c r="K636" s="148"/>
      <c r="L636" s="277"/>
      <c r="M636" s="252"/>
      <c r="N636" s="250"/>
      <c r="O636" s="253"/>
      <c r="P636" s="240"/>
      <c r="Q636" s="148"/>
      <c r="R636" s="148"/>
      <c r="S636" s="242"/>
      <c r="T636" s="242"/>
      <c r="U636" s="242"/>
      <c r="V636" s="242"/>
      <c r="W636" s="242"/>
      <c r="X636" s="242"/>
      <c r="Y636" s="148"/>
      <c r="Z636" s="148"/>
    </row>
    <row r="637">
      <c r="A637" s="148"/>
      <c r="B637" s="148"/>
      <c r="C637" s="148"/>
      <c r="D637" s="245"/>
      <c r="E637" s="585"/>
      <c r="F637" s="586"/>
      <c r="G637" s="148"/>
      <c r="H637" s="148"/>
      <c r="I637" s="251"/>
      <c r="J637" s="243"/>
      <c r="K637" s="148"/>
      <c r="L637" s="277"/>
      <c r="M637" s="252"/>
      <c r="N637" s="250"/>
      <c r="O637" s="253"/>
      <c r="P637" s="240"/>
      <c r="Q637" s="148"/>
      <c r="R637" s="148"/>
      <c r="S637" s="242"/>
      <c r="T637" s="242"/>
      <c r="U637" s="242"/>
      <c r="V637" s="242"/>
      <c r="W637" s="242"/>
      <c r="X637" s="242"/>
      <c r="Y637" s="148"/>
      <c r="Z637" s="148"/>
    </row>
    <row r="638">
      <c r="A638" s="148"/>
      <c r="B638" s="148"/>
      <c r="C638" s="148"/>
      <c r="D638" s="245"/>
      <c r="E638" s="585"/>
      <c r="F638" s="586"/>
      <c r="G638" s="148"/>
      <c r="H638" s="148"/>
      <c r="I638" s="251"/>
      <c r="J638" s="243"/>
      <c r="K638" s="148"/>
      <c r="L638" s="277"/>
      <c r="M638" s="252"/>
      <c r="N638" s="250"/>
      <c r="O638" s="253"/>
      <c r="P638" s="240"/>
      <c r="Q638" s="148"/>
      <c r="R638" s="148"/>
      <c r="S638" s="242"/>
      <c r="T638" s="242"/>
      <c r="U638" s="242"/>
      <c r="V638" s="242"/>
      <c r="W638" s="242"/>
      <c r="X638" s="242"/>
      <c r="Y638" s="148"/>
      <c r="Z638" s="148"/>
    </row>
    <row r="639">
      <c r="A639" s="148"/>
      <c r="B639" s="148"/>
      <c r="C639" s="148"/>
      <c r="D639" s="245"/>
      <c r="E639" s="585"/>
      <c r="F639" s="586"/>
      <c r="G639" s="148"/>
      <c r="H639" s="148"/>
      <c r="I639" s="251"/>
      <c r="J639" s="243"/>
      <c r="K639" s="148"/>
      <c r="L639" s="277"/>
      <c r="M639" s="252"/>
      <c r="N639" s="250"/>
      <c r="O639" s="253"/>
      <c r="P639" s="240"/>
      <c r="Q639" s="148"/>
      <c r="R639" s="148"/>
      <c r="S639" s="242"/>
      <c r="T639" s="242"/>
      <c r="U639" s="242"/>
      <c r="V639" s="242"/>
      <c r="W639" s="242"/>
      <c r="X639" s="242"/>
      <c r="Y639" s="148"/>
      <c r="Z639" s="148"/>
    </row>
    <row r="640">
      <c r="A640" s="148"/>
      <c r="B640" s="148"/>
      <c r="C640" s="148"/>
      <c r="D640" s="245"/>
      <c r="E640" s="585"/>
      <c r="F640" s="586"/>
      <c r="G640" s="148"/>
      <c r="H640" s="148"/>
      <c r="I640" s="251"/>
      <c r="J640" s="243"/>
      <c r="K640" s="148"/>
      <c r="L640" s="277"/>
      <c r="M640" s="252"/>
      <c r="N640" s="250"/>
      <c r="O640" s="253"/>
      <c r="P640" s="240"/>
      <c r="Q640" s="148"/>
      <c r="R640" s="148"/>
      <c r="S640" s="242"/>
      <c r="T640" s="242"/>
      <c r="U640" s="242"/>
      <c r="V640" s="242"/>
      <c r="W640" s="242"/>
      <c r="X640" s="242"/>
      <c r="Y640" s="148"/>
      <c r="Z640" s="148"/>
    </row>
    <row r="641">
      <c r="A641" s="148"/>
      <c r="B641" s="148"/>
      <c r="C641" s="148"/>
      <c r="D641" s="245"/>
      <c r="E641" s="585"/>
      <c r="F641" s="586"/>
      <c r="G641" s="148"/>
      <c r="H641" s="148"/>
      <c r="I641" s="251"/>
      <c r="J641" s="243"/>
      <c r="K641" s="148"/>
      <c r="L641" s="277"/>
      <c r="M641" s="252"/>
      <c r="N641" s="250"/>
      <c r="O641" s="253"/>
      <c r="P641" s="240"/>
      <c r="Q641" s="148"/>
      <c r="R641" s="148"/>
      <c r="S641" s="242"/>
      <c r="T641" s="242"/>
      <c r="U641" s="242"/>
      <c r="V641" s="242"/>
      <c r="W641" s="242"/>
      <c r="X641" s="242"/>
      <c r="Y641" s="148"/>
      <c r="Z641" s="148"/>
    </row>
    <row r="642">
      <c r="A642" s="148"/>
      <c r="B642" s="148"/>
      <c r="C642" s="148"/>
      <c r="D642" s="245"/>
      <c r="E642" s="585"/>
      <c r="F642" s="586"/>
      <c r="G642" s="148"/>
      <c r="H642" s="148"/>
      <c r="I642" s="251"/>
      <c r="J642" s="243"/>
      <c r="K642" s="148"/>
      <c r="L642" s="277"/>
      <c r="M642" s="252"/>
      <c r="N642" s="250"/>
      <c r="O642" s="253"/>
      <c r="P642" s="240"/>
      <c r="Q642" s="148"/>
      <c r="R642" s="148"/>
      <c r="S642" s="242"/>
      <c r="T642" s="242"/>
      <c r="U642" s="242"/>
      <c r="V642" s="242"/>
      <c r="W642" s="242"/>
      <c r="X642" s="242"/>
      <c r="Y642" s="148"/>
      <c r="Z642" s="148"/>
    </row>
    <row r="643">
      <c r="A643" s="148"/>
      <c r="B643" s="148"/>
      <c r="C643" s="148"/>
      <c r="D643" s="245"/>
      <c r="E643" s="585"/>
      <c r="F643" s="586"/>
      <c r="G643" s="148"/>
      <c r="H643" s="148"/>
      <c r="I643" s="251"/>
      <c r="J643" s="243"/>
      <c r="K643" s="148"/>
      <c r="L643" s="277"/>
      <c r="M643" s="252"/>
      <c r="N643" s="250"/>
      <c r="O643" s="253"/>
      <c r="P643" s="240"/>
      <c r="Q643" s="148"/>
      <c r="R643" s="148"/>
      <c r="S643" s="242"/>
      <c r="T643" s="242"/>
      <c r="U643" s="242"/>
      <c r="V643" s="242"/>
      <c r="W643" s="242"/>
      <c r="X643" s="242"/>
      <c r="Y643" s="148"/>
      <c r="Z643" s="148"/>
    </row>
    <row r="644">
      <c r="A644" s="148"/>
      <c r="B644" s="148"/>
      <c r="C644" s="148"/>
      <c r="D644" s="245"/>
      <c r="E644" s="585"/>
      <c r="F644" s="586"/>
      <c r="G644" s="148"/>
      <c r="H644" s="148"/>
      <c r="I644" s="251"/>
      <c r="J644" s="243"/>
      <c r="K644" s="148"/>
      <c r="L644" s="277"/>
      <c r="M644" s="252"/>
      <c r="N644" s="250"/>
      <c r="O644" s="253"/>
      <c r="P644" s="240"/>
      <c r="Q644" s="148"/>
      <c r="R644" s="148"/>
      <c r="S644" s="242"/>
      <c r="T644" s="242"/>
      <c r="U644" s="242"/>
      <c r="V644" s="242"/>
      <c r="W644" s="242"/>
      <c r="X644" s="242"/>
      <c r="Y644" s="148"/>
      <c r="Z644" s="148"/>
    </row>
    <row r="645">
      <c r="A645" s="148"/>
      <c r="B645" s="148"/>
      <c r="C645" s="148"/>
      <c r="D645" s="245"/>
      <c r="E645" s="585"/>
      <c r="F645" s="586"/>
      <c r="G645" s="148"/>
      <c r="H645" s="148"/>
      <c r="I645" s="251"/>
      <c r="J645" s="243"/>
      <c r="K645" s="148"/>
      <c r="L645" s="277"/>
      <c r="M645" s="252"/>
      <c r="N645" s="250"/>
      <c r="O645" s="253"/>
      <c r="P645" s="240"/>
      <c r="Q645" s="148"/>
      <c r="R645" s="148"/>
      <c r="S645" s="242"/>
      <c r="T645" s="242"/>
      <c r="U645" s="242"/>
      <c r="V645" s="242"/>
      <c r="W645" s="242"/>
      <c r="X645" s="242"/>
      <c r="Y645" s="148"/>
      <c r="Z645" s="148"/>
    </row>
    <row r="646">
      <c r="A646" s="148"/>
      <c r="B646" s="148"/>
      <c r="C646" s="148"/>
      <c r="D646" s="245"/>
      <c r="E646" s="585"/>
      <c r="F646" s="586"/>
      <c r="G646" s="148"/>
      <c r="H646" s="148"/>
      <c r="I646" s="251"/>
      <c r="J646" s="243"/>
      <c r="K646" s="148"/>
      <c r="L646" s="277"/>
      <c r="M646" s="252"/>
      <c r="N646" s="250"/>
      <c r="O646" s="253"/>
      <c r="P646" s="240"/>
      <c r="Q646" s="148"/>
      <c r="R646" s="148"/>
      <c r="S646" s="242"/>
      <c r="T646" s="242"/>
      <c r="U646" s="242"/>
      <c r="V646" s="242"/>
      <c r="W646" s="242"/>
      <c r="X646" s="242"/>
      <c r="Y646" s="148"/>
      <c r="Z646" s="148"/>
    </row>
    <row r="647">
      <c r="A647" s="148"/>
      <c r="B647" s="148"/>
      <c r="C647" s="148"/>
      <c r="D647" s="245"/>
      <c r="E647" s="585"/>
      <c r="F647" s="586"/>
      <c r="G647" s="148"/>
      <c r="H647" s="148"/>
      <c r="I647" s="251"/>
      <c r="J647" s="243"/>
      <c r="K647" s="148"/>
      <c r="L647" s="277"/>
      <c r="M647" s="252"/>
      <c r="N647" s="250"/>
      <c r="O647" s="253"/>
      <c r="P647" s="240"/>
      <c r="Q647" s="148"/>
      <c r="R647" s="148"/>
      <c r="S647" s="242"/>
      <c r="T647" s="242"/>
      <c r="U647" s="242"/>
      <c r="V647" s="242"/>
      <c r="W647" s="242"/>
      <c r="X647" s="242"/>
      <c r="Y647" s="148"/>
      <c r="Z647" s="148"/>
    </row>
    <row r="648">
      <c r="A648" s="148"/>
      <c r="B648" s="148"/>
      <c r="C648" s="148"/>
      <c r="D648" s="245"/>
      <c r="E648" s="585"/>
      <c r="F648" s="586"/>
      <c r="G648" s="148"/>
      <c r="H648" s="148"/>
      <c r="I648" s="251"/>
      <c r="J648" s="243"/>
      <c r="K648" s="148"/>
      <c r="L648" s="277"/>
      <c r="M648" s="252"/>
      <c r="N648" s="250"/>
      <c r="O648" s="253"/>
      <c r="P648" s="240"/>
      <c r="Q648" s="148"/>
      <c r="R648" s="148"/>
      <c r="S648" s="242"/>
      <c r="T648" s="242"/>
      <c r="U648" s="242"/>
      <c r="V648" s="242"/>
      <c r="W648" s="242"/>
      <c r="X648" s="242"/>
      <c r="Y648" s="148"/>
      <c r="Z648" s="148"/>
    </row>
    <row r="649">
      <c r="A649" s="148"/>
      <c r="B649" s="148"/>
      <c r="C649" s="148"/>
      <c r="D649" s="245"/>
      <c r="E649" s="585"/>
      <c r="F649" s="586"/>
      <c r="G649" s="148"/>
      <c r="H649" s="148"/>
      <c r="I649" s="251"/>
      <c r="J649" s="243"/>
      <c r="K649" s="148"/>
      <c r="L649" s="277"/>
      <c r="M649" s="252"/>
      <c r="N649" s="250"/>
      <c r="O649" s="253"/>
      <c r="P649" s="240"/>
      <c r="Q649" s="148"/>
      <c r="R649" s="148"/>
      <c r="S649" s="242"/>
      <c r="T649" s="242"/>
      <c r="U649" s="242"/>
      <c r="V649" s="242"/>
      <c r="W649" s="242"/>
      <c r="X649" s="242"/>
      <c r="Y649" s="148"/>
      <c r="Z649" s="148"/>
    </row>
    <row r="650">
      <c r="A650" s="148"/>
      <c r="B650" s="148"/>
      <c r="C650" s="148"/>
      <c r="D650" s="245"/>
      <c r="E650" s="585"/>
      <c r="F650" s="586"/>
      <c r="G650" s="148"/>
      <c r="H650" s="148"/>
      <c r="I650" s="251"/>
      <c r="J650" s="243"/>
      <c r="K650" s="148"/>
      <c r="L650" s="277"/>
      <c r="M650" s="252"/>
      <c r="N650" s="250"/>
      <c r="O650" s="253"/>
      <c r="P650" s="240"/>
      <c r="Q650" s="148"/>
      <c r="R650" s="148"/>
      <c r="S650" s="242"/>
      <c r="T650" s="242"/>
      <c r="U650" s="242"/>
      <c r="V650" s="242"/>
      <c r="W650" s="242"/>
      <c r="X650" s="242"/>
      <c r="Y650" s="148"/>
      <c r="Z650" s="148"/>
    </row>
    <row r="651">
      <c r="A651" s="148"/>
      <c r="B651" s="148"/>
      <c r="C651" s="148"/>
      <c r="D651" s="245"/>
      <c r="E651" s="585"/>
      <c r="F651" s="586"/>
      <c r="G651" s="148"/>
      <c r="H651" s="148"/>
      <c r="I651" s="251"/>
      <c r="J651" s="243"/>
      <c r="K651" s="148"/>
      <c r="L651" s="277"/>
      <c r="M651" s="252"/>
      <c r="N651" s="250"/>
      <c r="O651" s="253"/>
      <c r="P651" s="240"/>
      <c r="Q651" s="148"/>
      <c r="R651" s="148"/>
      <c r="S651" s="242"/>
      <c r="T651" s="242"/>
      <c r="U651" s="242"/>
      <c r="V651" s="242"/>
      <c r="W651" s="242"/>
      <c r="X651" s="242"/>
      <c r="Y651" s="148"/>
      <c r="Z651" s="148"/>
    </row>
    <row r="652">
      <c r="A652" s="148"/>
      <c r="B652" s="148"/>
      <c r="C652" s="148"/>
      <c r="D652" s="245"/>
      <c r="E652" s="585"/>
      <c r="F652" s="586"/>
      <c r="G652" s="148"/>
      <c r="H652" s="148"/>
      <c r="I652" s="251"/>
      <c r="J652" s="243"/>
      <c r="K652" s="148"/>
      <c r="L652" s="277"/>
      <c r="M652" s="252"/>
      <c r="N652" s="250"/>
      <c r="O652" s="253"/>
      <c r="P652" s="240"/>
      <c r="Q652" s="148"/>
      <c r="R652" s="148"/>
      <c r="S652" s="242"/>
      <c r="T652" s="242"/>
      <c r="U652" s="242"/>
      <c r="V652" s="242"/>
      <c r="W652" s="242"/>
      <c r="X652" s="242"/>
      <c r="Y652" s="148"/>
      <c r="Z652" s="148"/>
    </row>
    <row r="653">
      <c r="A653" s="148"/>
      <c r="B653" s="148"/>
      <c r="C653" s="148"/>
      <c r="D653" s="245"/>
      <c r="E653" s="585"/>
      <c r="F653" s="586"/>
      <c r="G653" s="148"/>
      <c r="H653" s="148"/>
      <c r="I653" s="251"/>
      <c r="J653" s="243"/>
      <c r="K653" s="148"/>
      <c r="L653" s="277"/>
      <c r="M653" s="252"/>
      <c r="N653" s="250"/>
      <c r="O653" s="253"/>
      <c r="P653" s="240"/>
      <c r="Q653" s="148"/>
      <c r="R653" s="148"/>
      <c r="S653" s="242"/>
      <c r="T653" s="242"/>
      <c r="U653" s="242"/>
      <c r="V653" s="242"/>
      <c r="W653" s="242"/>
      <c r="X653" s="242"/>
      <c r="Y653" s="148"/>
      <c r="Z653" s="148"/>
    </row>
    <row r="654">
      <c r="A654" s="148"/>
      <c r="B654" s="148"/>
      <c r="C654" s="148"/>
      <c r="D654" s="245"/>
      <c r="E654" s="585"/>
      <c r="F654" s="586"/>
      <c r="G654" s="148"/>
      <c r="H654" s="148"/>
      <c r="I654" s="251"/>
      <c r="J654" s="243"/>
      <c r="K654" s="148"/>
      <c r="L654" s="277"/>
      <c r="M654" s="252"/>
      <c r="N654" s="250"/>
      <c r="O654" s="253"/>
      <c r="P654" s="240"/>
      <c r="Q654" s="148"/>
      <c r="R654" s="148"/>
      <c r="S654" s="242"/>
      <c r="T654" s="242"/>
      <c r="U654" s="242"/>
      <c r="V654" s="242"/>
      <c r="W654" s="242"/>
      <c r="X654" s="242"/>
      <c r="Y654" s="148"/>
      <c r="Z654" s="148"/>
    </row>
    <row r="655">
      <c r="A655" s="148"/>
      <c r="B655" s="148"/>
      <c r="C655" s="148"/>
      <c r="D655" s="245"/>
      <c r="E655" s="585"/>
      <c r="F655" s="586"/>
      <c r="G655" s="148"/>
      <c r="H655" s="148"/>
      <c r="I655" s="251"/>
      <c r="J655" s="243"/>
      <c r="K655" s="148"/>
      <c r="L655" s="277"/>
      <c r="M655" s="252"/>
      <c r="N655" s="250"/>
      <c r="O655" s="253"/>
      <c r="P655" s="240"/>
      <c r="Q655" s="148"/>
      <c r="R655" s="148"/>
      <c r="S655" s="242"/>
      <c r="T655" s="242"/>
      <c r="U655" s="242"/>
      <c r="V655" s="242"/>
      <c r="W655" s="242"/>
      <c r="X655" s="242"/>
      <c r="Y655" s="148"/>
      <c r="Z655" s="148"/>
    </row>
    <row r="656">
      <c r="A656" s="148"/>
      <c r="B656" s="148"/>
      <c r="C656" s="148"/>
      <c r="D656" s="245"/>
      <c r="E656" s="585"/>
      <c r="F656" s="586"/>
      <c r="G656" s="148"/>
      <c r="H656" s="148"/>
      <c r="I656" s="251"/>
      <c r="J656" s="243"/>
      <c r="K656" s="148"/>
      <c r="L656" s="277"/>
      <c r="M656" s="252"/>
      <c r="N656" s="250"/>
      <c r="O656" s="253"/>
      <c r="P656" s="240"/>
      <c r="Q656" s="148"/>
      <c r="R656" s="148"/>
      <c r="S656" s="242"/>
      <c r="T656" s="242"/>
      <c r="U656" s="242"/>
      <c r="V656" s="242"/>
      <c r="W656" s="242"/>
      <c r="X656" s="242"/>
      <c r="Y656" s="148"/>
      <c r="Z656" s="148"/>
    </row>
    <row r="657">
      <c r="A657" s="148"/>
      <c r="B657" s="148"/>
      <c r="C657" s="148"/>
      <c r="D657" s="245"/>
      <c r="E657" s="585"/>
      <c r="F657" s="586"/>
      <c r="G657" s="148"/>
      <c r="H657" s="148"/>
      <c r="I657" s="251"/>
      <c r="J657" s="243"/>
      <c r="K657" s="148"/>
      <c r="L657" s="277"/>
      <c r="M657" s="252"/>
      <c r="N657" s="250"/>
      <c r="O657" s="253"/>
      <c r="P657" s="240"/>
      <c r="Q657" s="148"/>
      <c r="R657" s="148"/>
      <c r="S657" s="242"/>
      <c r="T657" s="242"/>
      <c r="U657" s="242"/>
      <c r="V657" s="242"/>
      <c r="W657" s="242"/>
      <c r="X657" s="242"/>
      <c r="Y657" s="148"/>
      <c r="Z657" s="148"/>
    </row>
    <row r="658">
      <c r="A658" s="148"/>
      <c r="B658" s="148"/>
      <c r="C658" s="148"/>
      <c r="D658" s="245"/>
      <c r="E658" s="585"/>
      <c r="F658" s="586"/>
      <c r="G658" s="148"/>
      <c r="H658" s="148"/>
      <c r="I658" s="251"/>
      <c r="J658" s="243"/>
      <c r="K658" s="148"/>
      <c r="L658" s="277"/>
      <c r="M658" s="252"/>
      <c r="N658" s="250"/>
      <c r="O658" s="253"/>
      <c r="P658" s="240"/>
      <c r="Q658" s="148"/>
      <c r="R658" s="148"/>
      <c r="S658" s="242"/>
      <c r="T658" s="242"/>
      <c r="U658" s="242"/>
      <c r="V658" s="242"/>
      <c r="W658" s="242"/>
      <c r="X658" s="242"/>
      <c r="Y658" s="148"/>
      <c r="Z658" s="148"/>
    </row>
    <row r="659">
      <c r="A659" s="148"/>
      <c r="B659" s="148"/>
      <c r="C659" s="148"/>
      <c r="D659" s="245"/>
      <c r="E659" s="585"/>
      <c r="F659" s="586"/>
      <c r="G659" s="148"/>
      <c r="H659" s="148"/>
      <c r="I659" s="251"/>
      <c r="J659" s="243"/>
      <c r="K659" s="148"/>
      <c r="L659" s="277"/>
      <c r="M659" s="252"/>
      <c r="N659" s="250"/>
      <c r="O659" s="253"/>
      <c r="P659" s="240"/>
      <c r="Q659" s="148"/>
      <c r="R659" s="148"/>
      <c r="S659" s="242"/>
      <c r="T659" s="242"/>
      <c r="U659" s="242"/>
      <c r="V659" s="242"/>
      <c r="W659" s="242"/>
      <c r="X659" s="242"/>
      <c r="Y659" s="148"/>
      <c r="Z659" s="148"/>
    </row>
  </sheetData>
  <mergeCells count="469">
    <mergeCell ref="M238:N238"/>
    <mergeCell ref="M239:N239"/>
    <mergeCell ref="M240:N240"/>
    <mergeCell ref="M237:N237"/>
    <mergeCell ref="M241:N241"/>
    <mergeCell ref="M242:N242"/>
    <mergeCell ref="M244:N244"/>
    <mergeCell ref="M245:N245"/>
    <mergeCell ref="M248:N248"/>
    <mergeCell ref="M249:N249"/>
    <mergeCell ref="M252:N252"/>
    <mergeCell ref="M253:N253"/>
    <mergeCell ref="M254:N254"/>
    <mergeCell ref="M255:N255"/>
    <mergeCell ref="M256:N256"/>
    <mergeCell ref="M257:N257"/>
    <mergeCell ref="M258:N258"/>
    <mergeCell ref="M259:N259"/>
    <mergeCell ref="M260:N260"/>
    <mergeCell ref="M261:N261"/>
    <mergeCell ref="M262:N262"/>
    <mergeCell ref="M263:N263"/>
    <mergeCell ref="M264:N264"/>
    <mergeCell ref="M265:N265"/>
    <mergeCell ref="A282:B282"/>
    <mergeCell ref="M282:N282"/>
    <mergeCell ref="A285:B286"/>
    <mergeCell ref="M285:N285"/>
    <mergeCell ref="M286:N286"/>
    <mergeCell ref="M266:N266"/>
    <mergeCell ref="G274:H274"/>
    <mergeCell ref="J275:J276"/>
    <mergeCell ref="O275:O276"/>
    <mergeCell ref="A276:B276"/>
    <mergeCell ref="A278:B278"/>
    <mergeCell ref="A280:B280"/>
    <mergeCell ref="M289:N289"/>
    <mergeCell ref="M290:N290"/>
    <mergeCell ref="M277:N277"/>
    <mergeCell ref="M278:N278"/>
    <mergeCell ref="M279:N279"/>
    <mergeCell ref="M276:N276"/>
    <mergeCell ref="M280:N280"/>
    <mergeCell ref="M281:N281"/>
    <mergeCell ref="M283:N283"/>
    <mergeCell ref="M284:N284"/>
    <mergeCell ref="M287:N287"/>
    <mergeCell ref="M288:N288"/>
    <mergeCell ref="M291:N291"/>
    <mergeCell ref="M292:N292"/>
    <mergeCell ref="M293:N293"/>
    <mergeCell ref="M294:N294"/>
    <mergeCell ref="M295:N295"/>
    <mergeCell ref="M296:N296"/>
    <mergeCell ref="M297:N297"/>
    <mergeCell ref="M298:N298"/>
    <mergeCell ref="M299:N299"/>
    <mergeCell ref="M300:N300"/>
    <mergeCell ref="M301:N301"/>
    <mergeCell ref="M302:N302"/>
    <mergeCell ref="M303:N303"/>
    <mergeCell ref="M304:N304"/>
    <mergeCell ref="A321:B321"/>
    <mergeCell ref="M321:N321"/>
    <mergeCell ref="A324:B325"/>
    <mergeCell ref="M324:N324"/>
    <mergeCell ref="M325:N325"/>
    <mergeCell ref="M305:N305"/>
    <mergeCell ref="G313:H313"/>
    <mergeCell ref="J314:J315"/>
    <mergeCell ref="O314:O315"/>
    <mergeCell ref="A315:B315"/>
    <mergeCell ref="A317:B317"/>
    <mergeCell ref="A319:B319"/>
    <mergeCell ref="M328:N328"/>
    <mergeCell ref="M329:N329"/>
    <mergeCell ref="M330:N330"/>
    <mergeCell ref="M331:N331"/>
    <mergeCell ref="M332:N332"/>
    <mergeCell ref="M333:N333"/>
    <mergeCell ref="M334:N334"/>
    <mergeCell ref="M335:N335"/>
    <mergeCell ref="M336:N336"/>
    <mergeCell ref="M337:N337"/>
    <mergeCell ref="M338:N338"/>
    <mergeCell ref="M339:N339"/>
    <mergeCell ref="M340:N340"/>
    <mergeCell ref="M341:N341"/>
    <mergeCell ref="M354:N354"/>
    <mergeCell ref="M355:N355"/>
    <mergeCell ref="A358:B358"/>
    <mergeCell ref="M358:N358"/>
    <mergeCell ref="A360:B360"/>
    <mergeCell ref="M360:N360"/>
    <mergeCell ref="A363:B364"/>
    <mergeCell ref="M363:N363"/>
    <mergeCell ref="M364:N364"/>
    <mergeCell ref="M342:N342"/>
    <mergeCell ref="M343:N343"/>
    <mergeCell ref="M344:N344"/>
    <mergeCell ref="G352:H352"/>
    <mergeCell ref="J353:J354"/>
    <mergeCell ref="A354:B354"/>
    <mergeCell ref="A356:B356"/>
    <mergeCell ref="O353:O354"/>
    <mergeCell ref="M356:N356"/>
    <mergeCell ref="M357:N357"/>
    <mergeCell ref="M359:N359"/>
    <mergeCell ref="M361:N361"/>
    <mergeCell ref="M362:N362"/>
    <mergeCell ref="M365:N365"/>
    <mergeCell ref="M366:N366"/>
    <mergeCell ref="M367:N367"/>
    <mergeCell ref="M368:N368"/>
    <mergeCell ref="M369:N369"/>
    <mergeCell ref="M370:N370"/>
    <mergeCell ref="M371:N371"/>
    <mergeCell ref="M372:N372"/>
    <mergeCell ref="M373:N373"/>
    <mergeCell ref="M374:N374"/>
    <mergeCell ref="M375:N375"/>
    <mergeCell ref="M376:N376"/>
    <mergeCell ref="M377:N377"/>
    <mergeCell ref="M378:N378"/>
    <mergeCell ref="M379:N379"/>
    <mergeCell ref="A434:B434"/>
    <mergeCell ref="A436:B436"/>
    <mergeCell ref="A438:B438"/>
    <mergeCell ref="A441:B442"/>
    <mergeCell ref="A469:B469"/>
    <mergeCell ref="D469:E469"/>
    <mergeCell ref="J431:J432"/>
    <mergeCell ref="O431:O432"/>
    <mergeCell ref="A432:B432"/>
    <mergeCell ref="M432:N432"/>
    <mergeCell ref="M433:N433"/>
    <mergeCell ref="M434:N434"/>
    <mergeCell ref="M435:N435"/>
    <mergeCell ref="M436:N436"/>
    <mergeCell ref="M437:N437"/>
    <mergeCell ref="M438:N438"/>
    <mergeCell ref="M439:N439"/>
    <mergeCell ref="M440:N440"/>
    <mergeCell ref="M441:N441"/>
    <mergeCell ref="M442:N442"/>
    <mergeCell ref="M443:N443"/>
    <mergeCell ref="M444:N444"/>
    <mergeCell ref="M445:N445"/>
    <mergeCell ref="M446:N446"/>
    <mergeCell ref="M447:N447"/>
    <mergeCell ref="M448:N448"/>
    <mergeCell ref="M449:N449"/>
    <mergeCell ref="M450:N450"/>
    <mergeCell ref="M451:N451"/>
    <mergeCell ref="M452:N452"/>
    <mergeCell ref="M453:N453"/>
    <mergeCell ref="M454:N454"/>
    <mergeCell ref="M455:N455"/>
    <mergeCell ref="M456:N456"/>
    <mergeCell ref="G494:I494"/>
    <mergeCell ref="G495:I495"/>
    <mergeCell ref="J495:K495"/>
    <mergeCell ref="A497:E497"/>
    <mergeCell ref="A500:E508"/>
    <mergeCell ref="A509:E517"/>
    <mergeCell ref="A518:E526"/>
    <mergeCell ref="A527:E535"/>
    <mergeCell ref="M457:N457"/>
    <mergeCell ref="M458:N458"/>
    <mergeCell ref="M459:N459"/>
    <mergeCell ref="M460:N460"/>
    <mergeCell ref="M461:N461"/>
    <mergeCell ref="A493:N493"/>
    <mergeCell ref="J494:K494"/>
    <mergeCell ref="O392:O393"/>
    <mergeCell ref="M393:N393"/>
    <mergeCell ref="M394:N394"/>
    <mergeCell ref="M396:N396"/>
    <mergeCell ref="M398:N398"/>
    <mergeCell ref="M400:N400"/>
    <mergeCell ref="M401:N401"/>
    <mergeCell ref="M380:N380"/>
    <mergeCell ref="M381:N381"/>
    <mergeCell ref="M382:N382"/>
    <mergeCell ref="M383:N383"/>
    <mergeCell ref="G391:H391"/>
    <mergeCell ref="J392:J393"/>
    <mergeCell ref="A393:B393"/>
    <mergeCell ref="A406:B406"/>
    <mergeCell ref="M406:N406"/>
    <mergeCell ref="A395:B395"/>
    <mergeCell ref="M395:N395"/>
    <mergeCell ref="A397:B397"/>
    <mergeCell ref="M397:N397"/>
    <mergeCell ref="A399:B399"/>
    <mergeCell ref="M399:N399"/>
    <mergeCell ref="A402:B403"/>
    <mergeCell ref="M402:N402"/>
    <mergeCell ref="M403:N403"/>
    <mergeCell ref="M404:N404"/>
    <mergeCell ref="M405:N405"/>
    <mergeCell ref="M407:N407"/>
    <mergeCell ref="M408:N408"/>
    <mergeCell ref="M409:N409"/>
    <mergeCell ref="M410:N410"/>
    <mergeCell ref="M411:N411"/>
    <mergeCell ref="M412:N412"/>
    <mergeCell ref="M413:N413"/>
    <mergeCell ref="M414:N414"/>
    <mergeCell ref="M415:N415"/>
    <mergeCell ref="M416:N416"/>
    <mergeCell ref="M417:N417"/>
    <mergeCell ref="M418:N418"/>
    <mergeCell ref="M419:N419"/>
    <mergeCell ref="M420:N420"/>
    <mergeCell ref="M421:N421"/>
    <mergeCell ref="M422:N422"/>
    <mergeCell ref="G430:H430"/>
    <mergeCell ref="M5:N5"/>
    <mergeCell ref="M6:N6"/>
    <mergeCell ref="A9:B9"/>
    <mergeCell ref="M9:N9"/>
    <mergeCell ref="A12:B13"/>
    <mergeCell ref="M12:N12"/>
    <mergeCell ref="M13:N13"/>
    <mergeCell ref="G1:H1"/>
    <mergeCell ref="J2:J3"/>
    <mergeCell ref="O2:O3"/>
    <mergeCell ref="A3:B3"/>
    <mergeCell ref="M3:N3"/>
    <mergeCell ref="A5:B5"/>
    <mergeCell ref="A7:B7"/>
    <mergeCell ref="M4:N4"/>
    <mergeCell ref="M7:N7"/>
    <mergeCell ref="M8:N8"/>
    <mergeCell ref="M10:N10"/>
    <mergeCell ref="M11:N11"/>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O41:O42"/>
    <mergeCell ref="M44:N44"/>
    <mergeCell ref="A46:B46"/>
    <mergeCell ref="M46:N46"/>
    <mergeCell ref="A48:B48"/>
    <mergeCell ref="M48:N48"/>
    <mergeCell ref="A51:B52"/>
    <mergeCell ref="M51:N51"/>
    <mergeCell ref="M52:N52"/>
    <mergeCell ref="M30:N30"/>
    <mergeCell ref="M31:N31"/>
    <mergeCell ref="M32:N32"/>
    <mergeCell ref="G40:H40"/>
    <mergeCell ref="J41:J42"/>
    <mergeCell ref="A42:B42"/>
    <mergeCell ref="A44:B44"/>
    <mergeCell ref="M42:N42"/>
    <mergeCell ref="M43:N43"/>
    <mergeCell ref="M45:N45"/>
    <mergeCell ref="M47:N47"/>
    <mergeCell ref="M49:N49"/>
    <mergeCell ref="M50:N50"/>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O80:O81"/>
    <mergeCell ref="M81:N81"/>
    <mergeCell ref="M82:N82"/>
    <mergeCell ref="M84:N84"/>
    <mergeCell ref="M86:N86"/>
    <mergeCell ref="M88:N88"/>
    <mergeCell ref="M89:N89"/>
    <mergeCell ref="M68:N68"/>
    <mergeCell ref="M69:N69"/>
    <mergeCell ref="M70:N70"/>
    <mergeCell ref="M71:N71"/>
    <mergeCell ref="G79:H79"/>
    <mergeCell ref="J80:J81"/>
    <mergeCell ref="A81:B81"/>
    <mergeCell ref="A83:B83"/>
    <mergeCell ref="M83:N83"/>
    <mergeCell ref="A85:B85"/>
    <mergeCell ref="M85:N85"/>
    <mergeCell ref="A87:B87"/>
    <mergeCell ref="M87:N87"/>
    <mergeCell ref="A90:B91"/>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A126:B126"/>
    <mergeCell ref="M126:N126"/>
    <mergeCell ref="A129:B130"/>
    <mergeCell ref="M129:N129"/>
    <mergeCell ref="M130:N130"/>
    <mergeCell ref="G118:H118"/>
    <mergeCell ref="J119:J120"/>
    <mergeCell ref="O119:O120"/>
    <mergeCell ref="A120:B120"/>
    <mergeCell ref="M120:N120"/>
    <mergeCell ref="A122:B122"/>
    <mergeCell ref="A124:B124"/>
    <mergeCell ref="M133:N133"/>
    <mergeCell ref="M134:N134"/>
    <mergeCell ref="M122:N122"/>
    <mergeCell ref="M123:N123"/>
    <mergeCell ref="M121:N121"/>
    <mergeCell ref="M124:N124"/>
    <mergeCell ref="M125:N125"/>
    <mergeCell ref="M127:N127"/>
    <mergeCell ref="M128:N128"/>
    <mergeCell ref="M131:N131"/>
    <mergeCell ref="M132:N132"/>
    <mergeCell ref="M135:N135"/>
    <mergeCell ref="M136:N136"/>
    <mergeCell ref="M137:N137"/>
    <mergeCell ref="M138:N138"/>
    <mergeCell ref="M139:N139"/>
    <mergeCell ref="M140:N140"/>
    <mergeCell ref="M141:N141"/>
    <mergeCell ref="M142:N142"/>
    <mergeCell ref="M143:N143"/>
    <mergeCell ref="M144:N144"/>
    <mergeCell ref="M145:N145"/>
    <mergeCell ref="M146:N146"/>
    <mergeCell ref="M147:N147"/>
    <mergeCell ref="M148:N148"/>
    <mergeCell ref="A165:B165"/>
    <mergeCell ref="M165:N165"/>
    <mergeCell ref="A168:B169"/>
    <mergeCell ref="M168:N168"/>
    <mergeCell ref="M169:N169"/>
    <mergeCell ref="M149:N149"/>
    <mergeCell ref="G157:H157"/>
    <mergeCell ref="J158:J159"/>
    <mergeCell ref="O158:O159"/>
    <mergeCell ref="A159:B159"/>
    <mergeCell ref="A161:B161"/>
    <mergeCell ref="A163:B163"/>
    <mergeCell ref="M172:N172"/>
    <mergeCell ref="M173:N173"/>
    <mergeCell ref="M160:N160"/>
    <mergeCell ref="M161:N161"/>
    <mergeCell ref="M162:N162"/>
    <mergeCell ref="M159:N159"/>
    <mergeCell ref="M163:N163"/>
    <mergeCell ref="M164:N164"/>
    <mergeCell ref="M166:N166"/>
    <mergeCell ref="M167:N167"/>
    <mergeCell ref="M170:N170"/>
    <mergeCell ref="M171:N171"/>
    <mergeCell ref="M174:N174"/>
    <mergeCell ref="M175:N175"/>
    <mergeCell ref="M176:N176"/>
    <mergeCell ref="M177:N177"/>
    <mergeCell ref="M178:N178"/>
    <mergeCell ref="M179:N179"/>
    <mergeCell ref="M180:N180"/>
    <mergeCell ref="M181:N181"/>
    <mergeCell ref="M182:N182"/>
    <mergeCell ref="M183:N183"/>
    <mergeCell ref="M184:N184"/>
    <mergeCell ref="M185:N185"/>
    <mergeCell ref="M186:N186"/>
    <mergeCell ref="M187:N187"/>
    <mergeCell ref="A204:B204"/>
    <mergeCell ref="M204:N204"/>
    <mergeCell ref="A207:B208"/>
    <mergeCell ref="M207:N207"/>
    <mergeCell ref="M208:N208"/>
    <mergeCell ref="M188:N188"/>
    <mergeCell ref="G196:H196"/>
    <mergeCell ref="J197:J198"/>
    <mergeCell ref="O197:O198"/>
    <mergeCell ref="A198:B198"/>
    <mergeCell ref="A200:B200"/>
    <mergeCell ref="A202:B202"/>
    <mergeCell ref="M211:N211"/>
    <mergeCell ref="M212:N212"/>
    <mergeCell ref="M199:N199"/>
    <mergeCell ref="M200:N200"/>
    <mergeCell ref="M201:N201"/>
    <mergeCell ref="M198:N198"/>
    <mergeCell ref="M202:N202"/>
    <mergeCell ref="M203:N203"/>
    <mergeCell ref="M205:N205"/>
    <mergeCell ref="M206:N206"/>
    <mergeCell ref="M209:N209"/>
    <mergeCell ref="M210:N210"/>
    <mergeCell ref="M213:N213"/>
    <mergeCell ref="M214:N214"/>
    <mergeCell ref="M215:N215"/>
    <mergeCell ref="M216:N216"/>
    <mergeCell ref="M217:N217"/>
    <mergeCell ref="M218:N218"/>
    <mergeCell ref="M219:N219"/>
    <mergeCell ref="M220:N220"/>
    <mergeCell ref="M221:N221"/>
    <mergeCell ref="M222:N222"/>
    <mergeCell ref="M223:N223"/>
    <mergeCell ref="M224:N224"/>
    <mergeCell ref="M225:N225"/>
    <mergeCell ref="M226:N226"/>
    <mergeCell ref="A243:B243"/>
    <mergeCell ref="M243:N243"/>
    <mergeCell ref="A246:B247"/>
    <mergeCell ref="M246:N246"/>
    <mergeCell ref="M247:N247"/>
    <mergeCell ref="M227:N227"/>
    <mergeCell ref="G235:H235"/>
    <mergeCell ref="J236:J237"/>
    <mergeCell ref="O236:O237"/>
    <mergeCell ref="A237:B237"/>
    <mergeCell ref="A239:B239"/>
    <mergeCell ref="A241:B241"/>
    <mergeCell ref="M250:N250"/>
    <mergeCell ref="M251:N251"/>
    <mergeCell ref="M316:N316"/>
    <mergeCell ref="M317:N317"/>
    <mergeCell ref="M318:N318"/>
    <mergeCell ref="M315:N315"/>
    <mergeCell ref="M319:N319"/>
    <mergeCell ref="M320:N320"/>
    <mergeCell ref="M322:N322"/>
    <mergeCell ref="M323:N323"/>
    <mergeCell ref="M326:N326"/>
    <mergeCell ref="M327:N327"/>
  </mergeCells>
  <conditionalFormatting sqref="B18:B19 B43 B45 B47 B49:B50 B53:B65 B67:B80 B82 B84 B92:B119 B121 B123 B125 B127:B128 B131:B158 B160 B162 B164 B166:B167 B170:B197 B199 B201 B203 B205:B206 B209:B236 B238 B240 B242 B244:B245 B248:B275 B277 B279 B281 B283:B284 B287:B314 B316 B318 B320 B322:B323 B326:B353 B355 B357 B359 B361:B362 B365:B392 B394 B396 B398 B400:B401 B404:B405 B407:B431 B433 B435 B437 B439:B440 B443:B468 B470:B492 B495:B496 B498:B499 B536:B659">
    <cfRule type="notContainsBlanks" dxfId="0" priority="1">
      <formula>LEN(TRIM(B18))&gt;0</formula>
    </cfRule>
  </conditionalFormatting>
  <conditionalFormatting sqref="P1:P11 P25:P50 P64:P77 P79:P89 P103:P116 P118:P128 P142:P155 P157:P167 P181:P194 P196:P206 P220:P233 P235:P245 P259:P272 P274:P284 P298:P311 P313:P323 P337:P350 P352:P362 P376:P389 P391:P401 P415:P428 P430:P440 P454:P467">
    <cfRule type="notContainsBlanks" dxfId="0" priority="2">
      <formula>LEN(TRIM(P1))&gt;0</formula>
    </cfRule>
  </conditionalFormatting>
  <conditionalFormatting sqref="D1:D468 D487:D492 D495:D496 D498:D499 D536:D659">
    <cfRule type="notContainsBlanks" dxfId="0" priority="3">
      <formula>LEN(TRIM(D1))&gt;0</formula>
    </cfRule>
  </conditionalFormatting>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0"/>
    <col customWidth="1" min="2" max="2" width="9.5"/>
    <col customWidth="1" min="3" max="3" width="18.25"/>
    <col customWidth="1" min="4" max="4" width="13.25"/>
    <col customWidth="1" min="5" max="5" width="15.13"/>
    <col customWidth="1" min="6" max="6" width="9.38"/>
    <col customWidth="1" min="7" max="7" width="3.75"/>
    <col customWidth="1" min="8" max="8" width="3.88"/>
    <col customWidth="1" min="9" max="9" width="1.25"/>
    <col customWidth="1" min="10" max="10" width="16.5"/>
    <col customWidth="1" min="11" max="11" width="0.5"/>
    <col customWidth="1" min="12" max="12" width="8.13"/>
    <col customWidth="1" min="13" max="13" width="17.13"/>
    <col customWidth="1" min="14" max="14" width="16.88"/>
    <col customWidth="1" min="15" max="15" width="12.75"/>
    <col customWidth="1" min="16" max="16" width="8.88"/>
    <col customWidth="1" min="17" max="17" width="1.63"/>
    <col customWidth="1" min="18" max="18" width="1.75"/>
    <col customWidth="1" min="19" max="19" width="2.13"/>
    <col customWidth="1" min="20" max="20" width="8.13"/>
    <col customWidth="1" min="21" max="21" width="9.5"/>
    <col customWidth="1" min="22" max="22" width="9.75"/>
    <col customWidth="1" min="23" max="23" width="5.75"/>
    <col customWidth="1" min="24" max="24" width="11.13"/>
    <col customWidth="1" min="25" max="25" width="6.88"/>
    <col customWidth="1" min="26" max="26" width="9.0"/>
  </cols>
  <sheetData>
    <row r="1">
      <c r="A1" s="169" t="s">
        <v>113</v>
      </c>
      <c r="B1" s="539"/>
      <c r="C1" s="540"/>
      <c r="D1" s="405"/>
      <c r="E1" s="541"/>
      <c r="F1" s="542"/>
      <c r="G1" s="467" t="s">
        <v>333</v>
      </c>
      <c r="H1" s="361"/>
      <c r="I1" s="57"/>
      <c r="J1" s="105"/>
      <c r="K1" s="57"/>
      <c r="L1" s="150"/>
      <c r="M1" s="239"/>
      <c r="N1" s="239"/>
      <c r="O1" s="57"/>
      <c r="P1" s="157"/>
      <c r="Q1" s="404"/>
      <c r="R1" s="57"/>
      <c r="S1" s="394"/>
      <c r="T1" s="394"/>
      <c r="U1" s="394"/>
      <c r="V1" s="394"/>
      <c r="W1" s="394"/>
      <c r="X1" s="394"/>
      <c r="Y1" s="395"/>
      <c r="Z1" s="395"/>
    </row>
    <row r="2">
      <c r="A2" s="468"/>
      <c r="B2" s="157"/>
      <c r="C2" s="466"/>
      <c r="D2" s="405"/>
      <c r="E2" s="543" t="s">
        <v>335</v>
      </c>
      <c r="F2" s="544" t="s">
        <v>237</v>
      </c>
      <c r="G2" s="412" t="s">
        <v>336</v>
      </c>
      <c r="H2" s="413" t="s">
        <v>337</v>
      </c>
      <c r="I2" s="239"/>
      <c r="J2" s="145" t="s">
        <v>60</v>
      </c>
      <c r="K2" s="57"/>
      <c r="L2" s="150"/>
      <c r="M2" s="414"/>
      <c r="N2" s="414"/>
      <c r="O2" s="57" t="s">
        <v>334</v>
      </c>
      <c r="P2" s="157"/>
      <c r="Q2" s="404"/>
      <c r="R2" s="57"/>
      <c r="S2" s="399"/>
      <c r="T2" s="399"/>
      <c r="U2" s="399"/>
      <c r="V2" s="399"/>
      <c r="W2" s="399"/>
      <c r="X2" s="399"/>
      <c r="Y2" s="400"/>
      <c r="Z2" s="400"/>
    </row>
    <row r="3">
      <c r="A3" s="470" t="s">
        <v>179</v>
      </c>
      <c r="C3" s="416">
        <f>SUM(F3:F37)</f>
        <v>7555</v>
      </c>
      <c r="D3" s="405"/>
      <c r="E3" s="545"/>
      <c r="F3" s="546"/>
      <c r="G3" s="578"/>
      <c r="H3" s="419"/>
      <c r="I3" s="57"/>
      <c r="K3" s="57"/>
      <c r="L3" s="150"/>
      <c r="M3" s="377" t="s">
        <v>366</v>
      </c>
      <c r="P3" s="157"/>
      <c r="Q3" s="404"/>
      <c r="R3" s="57"/>
      <c r="S3" s="399"/>
      <c r="T3" s="399"/>
      <c r="U3" s="399"/>
      <c r="V3" s="399"/>
      <c r="W3" s="399"/>
      <c r="X3" s="399"/>
      <c r="Y3" s="400"/>
      <c r="Z3" s="400"/>
    </row>
    <row r="4">
      <c r="A4" s="421" t="s">
        <v>343</v>
      </c>
      <c r="B4" s="422" t="s">
        <v>321</v>
      </c>
      <c r="C4" s="416">
        <f>SUM(P4:P37)</f>
        <v>1720</v>
      </c>
      <c r="D4" s="157"/>
      <c r="E4" s="545"/>
      <c r="F4" s="546"/>
      <c r="G4" s="578"/>
      <c r="H4" s="419"/>
      <c r="I4" s="239"/>
      <c r="J4" s="471" t="s">
        <v>341</v>
      </c>
      <c r="K4" s="420"/>
      <c r="L4" s="150"/>
      <c r="M4" s="374"/>
      <c r="O4" s="426"/>
      <c r="P4" s="423">
        <v>1400.0</v>
      </c>
      <c r="Q4" s="404"/>
      <c r="R4" s="57"/>
      <c r="S4" s="394"/>
      <c r="T4" s="394"/>
      <c r="U4" s="394"/>
      <c r="V4" s="394"/>
      <c r="W4" s="394"/>
      <c r="X4" s="394"/>
      <c r="Y4" s="395"/>
      <c r="Z4" s="395"/>
    </row>
    <row r="5">
      <c r="A5" s="427" t="s">
        <v>201</v>
      </c>
      <c r="C5" s="204">
        <f>SUM(L4:L37)</f>
        <v>3268.14</v>
      </c>
      <c r="D5" s="157"/>
      <c r="E5" s="545"/>
      <c r="F5" s="547"/>
      <c r="G5" s="578"/>
      <c r="H5" s="419"/>
      <c r="I5" s="239"/>
      <c r="J5" s="472" t="s">
        <v>345</v>
      </c>
      <c r="K5" s="420"/>
      <c r="L5" s="594">
        <v>19.14</v>
      </c>
      <c r="M5" s="377" t="s">
        <v>937</v>
      </c>
      <c r="O5" s="431"/>
      <c r="P5" s="423">
        <v>150.0</v>
      </c>
      <c r="Q5" s="404"/>
      <c r="R5" s="57"/>
      <c r="S5" s="394"/>
      <c r="T5" s="394"/>
      <c r="U5" s="394"/>
      <c r="V5" s="394"/>
      <c r="W5" s="394"/>
      <c r="X5" s="394"/>
      <c r="Y5" s="395"/>
      <c r="Z5" s="395"/>
    </row>
    <row r="6">
      <c r="A6" s="548" t="s">
        <v>761</v>
      </c>
      <c r="B6" s="549">
        <v>0.4</v>
      </c>
      <c r="C6" s="191">
        <v>688.0</v>
      </c>
      <c r="D6" s="157"/>
      <c r="E6" s="550" t="s">
        <v>695</v>
      </c>
      <c r="F6" s="546">
        <v>510.0</v>
      </c>
      <c r="G6" s="578"/>
      <c r="H6" s="419"/>
      <c r="I6" s="239"/>
      <c r="J6" s="433" t="s">
        <v>656</v>
      </c>
      <c r="K6" s="420"/>
      <c r="L6" s="193">
        <v>110.0</v>
      </c>
      <c r="M6" s="377" t="s">
        <v>938</v>
      </c>
      <c r="O6" s="431"/>
      <c r="P6" s="423">
        <v>170.0</v>
      </c>
      <c r="Q6" s="404"/>
      <c r="R6" s="57"/>
      <c r="S6" s="394"/>
      <c r="T6" s="394"/>
      <c r="U6" s="394"/>
      <c r="V6" s="394"/>
      <c r="W6" s="394"/>
      <c r="X6" s="394"/>
      <c r="Y6" s="395"/>
      <c r="Z6" s="395"/>
    </row>
    <row r="7">
      <c r="A7" s="434" t="s">
        <v>350</v>
      </c>
      <c r="C7" s="551">
        <f>C3-C5-C6</f>
        <v>3598.86</v>
      </c>
      <c r="D7" s="157"/>
      <c r="E7" s="655" t="s">
        <v>939</v>
      </c>
      <c r="F7" s="656">
        <v>135.0</v>
      </c>
      <c r="G7" s="579"/>
      <c r="H7" s="419"/>
      <c r="I7" s="57"/>
      <c r="J7" s="444" t="s">
        <v>658</v>
      </c>
      <c r="K7" s="420"/>
      <c r="L7" s="193">
        <v>45.0</v>
      </c>
      <c r="M7" s="377" t="s">
        <v>940</v>
      </c>
      <c r="O7" s="431"/>
      <c r="P7" s="157"/>
      <c r="Q7" s="404"/>
      <c r="R7" s="57"/>
      <c r="S7" s="394"/>
      <c r="T7" s="394"/>
      <c r="U7" s="394"/>
      <c r="V7" s="394"/>
      <c r="W7" s="394"/>
      <c r="X7" s="394"/>
      <c r="Y7" s="395"/>
      <c r="Z7" s="395"/>
    </row>
    <row r="8">
      <c r="A8" s="554"/>
      <c r="B8" s="555"/>
      <c r="C8" s="447"/>
      <c r="D8" s="157"/>
      <c r="E8" s="655" t="s">
        <v>884</v>
      </c>
      <c r="F8" s="656">
        <v>1180.0</v>
      </c>
      <c r="G8" s="578"/>
      <c r="H8" s="419"/>
      <c r="I8" s="57"/>
      <c r="J8" s="444" t="s">
        <v>660</v>
      </c>
      <c r="K8" s="420"/>
      <c r="L8" s="193">
        <v>160.0</v>
      </c>
      <c r="M8" s="377" t="s">
        <v>941</v>
      </c>
      <c r="O8" s="431"/>
      <c r="P8" s="157"/>
      <c r="Q8" s="404"/>
      <c r="R8" s="57"/>
      <c r="S8" s="394"/>
      <c r="T8" s="394"/>
      <c r="U8" s="394"/>
      <c r="V8" s="394"/>
      <c r="W8" s="394"/>
      <c r="X8" s="394"/>
      <c r="Y8" s="395"/>
      <c r="Z8" s="395"/>
    </row>
    <row r="9">
      <c r="A9" s="556"/>
      <c r="C9" s="395"/>
      <c r="D9" s="157"/>
      <c r="E9" s="192" t="s">
        <v>942</v>
      </c>
      <c r="F9" s="546">
        <v>1000.0</v>
      </c>
      <c r="G9" s="579"/>
      <c r="H9" s="419"/>
      <c r="I9" s="239"/>
      <c r="J9" s="370" t="s">
        <v>662</v>
      </c>
      <c r="K9" s="420"/>
      <c r="L9" s="193">
        <v>66.0</v>
      </c>
      <c r="M9" s="377" t="s">
        <v>943</v>
      </c>
      <c r="O9" s="431"/>
      <c r="P9" s="157"/>
      <c r="Q9" s="404"/>
      <c r="R9" s="57"/>
      <c r="S9" s="394"/>
      <c r="T9" s="394"/>
      <c r="U9" s="394"/>
      <c r="V9" s="394"/>
      <c r="W9" s="394"/>
      <c r="X9" s="394"/>
      <c r="Y9" s="395"/>
      <c r="Z9" s="395"/>
    </row>
    <row r="10">
      <c r="A10" s="557"/>
      <c r="B10" s="109"/>
      <c r="C10" s="395"/>
      <c r="D10" s="373"/>
      <c r="E10" s="192" t="s">
        <v>944</v>
      </c>
      <c r="F10" s="546">
        <v>500.0</v>
      </c>
      <c r="G10" s="562"/>
      <c r="H10" s="419"/>
      <c r="I10" s="239"/>
      <c r="J10" s="433" t="s">
        <v>666</v>
      </c>
      <c r="K10" s="420"/>
      <c r="L10" s="150"/>
      <c r="M10" s="374"/>
      <c r="O10" s="431"/>
      <c r="P10" s="157"/>
      <c r="Q10" s="404"/>
      <c r="R10" s="57"/>
      <c r="S10" s="394"/>
      <c r="T10" s="394"/>
      <c r="U10" s="394"/>
      <c r="V10" s="394"/>
      <c r="W10" s="394"/>
      <c r="X10" s="394"/>
      <c r="Y10" s="395"/>
      <c r="Z10" s="395"/>
    </row>
    <row r="11">
      <c r="A11" s="559" t="s">
        <v>765</v>
      </c>
      <c r="B11" s="560">
        <f>SUM(D11:D37)</f>
        <v>1859.54</v>
      </c>
      <c r="C11" s="477" t="s">
        <v>366</v>
      </c>
      <c r="D11" s="157"/>
      <c r="E11" s="192" t="s">
        <v>429</v>
      </c>
      <c r="F11" s="546">
        <v>1650.0</v>
      </c>
      <c r="G11" s="578"/>
      <c r="H11" s="419"/>
      <c r="I11" s="239"/>
      <c r="J11" s="433" t="s">
        <v>668</v>
      </c>
      <c r="K11" s="420"/>
      <c r="L11" s="150"/>
      <c r="M11" s="377"/>
      <c r="O11" s="431"/>
      <c r="P11" s="157"/>
      <c r="Q11" s="404"/>
      <c r="R11" s="57"/>
      <c r="S11" s="394"/>
      <c r="T11" s="394"/>
      <c r="U11" s="394"/>
      <c r="V11" s="394"/>
      <c r="W11" s="394"/>
      <c r="X11" s="394"/>
      <c r="Y11" s="395"/>
      <c r="Z11" s="395"/>
    </row>
    <row r="12">
      <c r="A12" s="453" t="s">
        <v>369</v>
      </c>
      <c r="C12" s="561" t="s">
        <v>766</v>
      </c>
      <c r="D12" s="423">
        <v>388.0</v>
      </c>
      <c r="E12" s="192" t="s">
        <v>945</v>
      </c>
      <c r="F12" s="546">
        <v>260.0</v>
      </c>
      <c r="G12" s="657" t="s">
        <v>426</v>
      </c>
      <c r="H12" s="419"/>
      <c r="I12" s="239"/>
      <c r="J12" s="433" t="s">
        <v>670</v>
      </c>
      <c r="K12" s="458"/>
      <c r="L12" s="193">
        <v>1250.0</v>
      </c>
      <c r="M12" s="377"/>
      <c r="O12" s="431"/>
      <c r="P12" s="157"/>
      <c r="Q12" s="404"/>
      <c r="R12" s="57"/>
      <c r="S12" s="394"/>
      <c r="T12" s="394"/>
      <c r="U12" s="394"/>
      <c r="V12" s="394"/>
      <c r="W12" s="394"/>
      <c r="X12" s="394"/>
      <c r="Y12" s="395"/>
      <c r="Z12" s="395"/>
    </row>
    <row r="13">
      <c r="C13" s="561" t="s">
        <v>767</v>
      </c>
      <c r="D13" s="423">
        <v>174.54</v>
      </c>
      <c r="E13" s="192" t="s">
        <v>898</v>
      </c>
      <c r="F13" s="546">
        <v>1400.0</v>
      </c>
      <c r="G13" s="657" t="s">
        <v>426</v>
      </c>
      <c r="H13" s="419"/>
      <c r="I13" s="239"/>
      <c r="J13" s="433" t="s">
        <v>217</v>
      </c>
      <c r="K13" s="458"/>
      <c r="L13" s="150"/>
      <c r="M13" s="377"/>
      <c r="O13" s="431"/>
      <c r="P13" s="157"/>
      <c r="Q13" s="404"/>
      <c r="R13" s="57"/>
      <c r="S13" s="394"/>
      <c r="T13" s="394"/>
      <c r="U13" s="394"/>
      <c r="V13" s="394"/>
      <c r="W13" s="394"/>
      <c r="X13" s="394"/>
      <c r="Y13" s="395"/>
      <c r="Z13" s="395"/>
    </row>
    <row r="14">
      <c r="A14" s="57"/>
      <c r="B14" s="57"/>
      <c r="C14" s="561" t="s">
        <v>768</v>
      </c>
      <c r="D14" s="423"/>
      <c r="E14" s="192" t="s">
        <v>795</v>
      </c>
      <c r="F14" s="546">
        <v>150.0</v>
      </c>
      <c r="G14" s="578"/>
      <c r="H14" s="419"/>
      <c r="I14" s="239"/>
      <c r="J14" s="109"/>
      <c r="K14" s="420"/>
      <c r="L14" s="193"/>
      <c r="M14" s="374"/>
      <c r="O14" s="431"/>
      <c r="P14" s="157"/>
      <c r="Q14" s="404"/>
      <c r="R14" s="57"/>
      <c r="S14" s="394"/>
      <c r="T14" s="394"/>
      <c r="U14" s="394"/>
      <c r="V14" s="394"/>
      <c r="W14" s="394"/>
      <c r="X14" s="394"/>
      <c r="Y14" s="395"/>
      <c r="Z14" s="395"/>
    </row>
    <row r="15">
      <c r="A15" s="238" t="s">
        <v>946</v>
      </c>
      <c r="B15" s="57"/>
      <c r="C15" s="561" t="s">
        <v>769</v>
      </c>
      <c r="D15" s="423">
        <v>48.0</v>
      </c>
      <c r="E15" s="192" t="s">
        <v>567</v>
      </c>
      <c r="F15" s="546">
        <v>600.0</v>
      </c>
      <c r="G15" s="578"/>
      <c r="H15" s="419"/>
      <c r="I15" s="239"/>
      <c r="J15" s="456" t="s">
        <v>672</v>
      </c>
      <c r="K15" s="420"/>
      <c r="L15" s="193">
        <v>87.0</v>
      </c>
      <c r="M15" s="377" t="s">
        <v>947</v>
      </c>
      <c r="O15" s="431"/>
      <c r="P15" s="157"/>
      <c r="Q15" s="404"/>
      <c r="R15" s="57"/>
      <c r="S15" s="394"/>
      <c r="T15" s="394"/>
      <c r="U15" s="394"/>
      <c r="V15" s="394"/>
      <c r="W15" s="394"/>
      <c r="X15" s="394"/>
      <c r="Y15" s="395"/>
      <c r="Z15" s="395"/>
    </row>
    <row r="16">
      <c r="A16" s="57"/>
      <c r="B16" s="57"/>
      <c r="C16" s="561" t="s">
        <v>770</v>
      </c>
      <c r="D16" s="423"/>
      <c r="E16" s="192" t="s">
        <v>948</v>
      </c>
      <c r="F16" s="546">
        <v>170.0</v>
      </c>
      <c r="G16" s="657" t="s">
        <v>426</v>
      </c>
      <c r="H16" s="419"/>
      <c r="I16" s="57"/>
      <c r="J16" s="456" t="s">
        <v>675</v>
      </c>
      <c r="K16" s="420"/>
      <c r="L16" s="193">
        <v>67.0</v>
      </c>
      <c r="M16" s="382" t="s">
        <v>949</v>
      </c>
      <c r="O16" s="431"/>
      <c r="P16" s="157"/>
      <c r="Q16" s="404"/>
      <c r="R16" s="57"/>
      <c r="S16" s="394"/>
      <c r="T16" s="394"/>
      <c r="U16" s="394"/>
      <c r="V16" s="394"/>
      <c r="W16" s="394"/>
      <c r="X16" s="394"/>
      <c r="Y16" s="395"/>
      <c r="Z16" s="395"/>
    </row>
    <row r="17">
      <c r="A17" s="57"/>
      <c r="B17" s="57"/>
      <c r="C17" s="563" t="s">
        <v>771</v>
      </c>
      <c r="D17" s="423">
        <v>150.0</v>
      </c>
      <c r="E17" s="228"/>
      <c r="F17" s="547"/>
      <c r="G17" s="579"/>
      <c r="H17" s="419"/>
      <c r="I17" s="57"/>
      <c r="J17" s="456"/>
      <c r="K17" s="420"/>
      <c r="L17" s="150"/>
      <c r="M17" s="425"/>
      <c r="O17" s="431"/>
      <c r="P17" s="157"/>
      <c r="Q17" s="404"/>
      <c r="R17" s="57"/>
      <c r="S17" s="394"/>
      <c r="T17" s="394"/>
      <c r="U17" s="394"/>
      <c r="V17" s="394"/>
      <c r="W17" s="394"/>
      <c r="X17" s="394"/>
      <c r="Y17" s="395"/>
      <c r="Z17" s="395"/>
    </row>
    <row r="18">
      <c r="A18" s="239"/>
      <c r="B18" s="57"/>
      <c r="C18" s="563" t="s">
        <v>772</v>
      </c>
      <c r="D18" s="157"/>
      <c r="E18" s="228"/>
      <c r="F18" s="547"/>
      <c r="G18" s="578"/>
      <c r="H18" s="419"/>
      <c r="I18" s="57"/>
      <c r="J18" s="375"/>
      <c r="K18" s="420"/>
      <c r="L18" s="150"/>
      <c r="M18" s="425"/>
      <c r="O18" s="431"/>
      <c r="P18" s="157"/>
      <c r="Q18" s="404"/>
      <c r="R18" s="57"/>
      <c r="S18" s="394"/>
      <c r="T18" s="394"/>
      <c r="U18" s="394"/>
      <c r="V18" s="394"/>
      <c r="W18" s="394"/>
      <c r="X18" s="394"/>
      <c r="Y18" s="395"/>
      <c r="Z18" s="395"/>
    </row>
    <row r="19">
      <c r="A19" s="238" t="s">
        <v>950</v>
      </c>
      <c r="B19" s="57"/>
      <c r="C19" s="561" t="s">
        <v>18</v>
      </c>
      <c r="D19" s="423">
        <v>226.0</v>
      </c>
      <c r="E19" s="228"/>
      <c r="F19" s="547"/>
      <c r="G19" s="578"/>
      <c r="H19" s="419"/>
      <c r="I19" s="57"/>
      <c r="J19" s="375"/>
      <c r="K19" s="420"/>
      <c r="L19" s="193"/>
      <c r="M19" s="382"/>
      <c r="O19" s="431"/>
      <c r="P19" s="157"/>
      <c r="Q19" s="404"/>
      <c r="R19" s="57"/>
      <c r="S19" s="394"/>
      <c r="T19" s="394"/>
      <c r="U19" s="394"/>
      <c r="V19" s="394"/>
      <c r="W19" s="394"/>
      <c r="X19" s="394"/>
      <c r="Y19" s="395"/>
      <c r="Z19" s="395"/>
    </row>
    <row r="20">
      <c r="A20" s="239"/>
      <c r="B20" s="57"/>
      <c r="C20" s="561" t="s">
        <v>773</v>
      </c>
      <c r="D20" s="157"/>
      <c r="E20" s="228"/>
      <c r="F20" s="547"/>
      <c r="G20" s="579"/>
      <c r="H20" s="419"/>
      <c r="I20" s="57"/>
      <c r="J20" s="452"/>
      <c r="K20" s="420"/>
      <c r="L20" s="150"/>
      <c r="M20" s="425"/>
      <c r="O20" s="431"/>
      <c r="P20" s="157"/>
      <c r="Q20" s="404"/>
      <c r="R20" s="57"/>
      <c r="S20" s="394"/>
      <c r="T20" s="394"/>
      <c r="U20" s="394"/>
      <c r="V20" s="394"/>
      <c r="W20" s="394"/>
      <c r="X20" s="394"/>
      <c r="Y20" s="395"/>
      <c r="Z20" s="395"/>
    </row>
    <row r="21">
      <c r="A21" s="238" t="s">
        <v>951</v>
      </c>
      <c r="B21" s="57"/>
      <c r="C21" s="561" t="s">
        <v>774</v>
      </c>
      <c r="D21" s="423">
        <v>181.0</v>
      </c>
      <c r="E21" s="228"/>
      <c r="F21" s="547"/>
      <c r="G21" s="578"/>
      <c r="H21" s="419"/>
      <c r="I21" s="57"/>
      <c r="J21" s="105"/>
      <c r="K21" s="420"/>
      <c r="L21" s="150"/>
      <c r="M21" s="425"/>
      <c r="O21" s="431"/>
      <c r="P21" s="157"/>
      <c r="Q21" s="404"/>
      <c r="R21" s="57"/>
      <c r="S21" s="394"/>
      <c r="T21" s="394"/>
      <c r="U21" s="394"/>
      <c r="V21" s="394"/>
      <c r="W21" s="394"/>
      <c r="X21" s="394"/>
      <c r="Y21" s="395"/>
      <c r="Z21" s="395"/>
    </row>
    <row r="22">
      <c r="A22" s="238" t="s">
        <v>952</v>
      </c>
      <c r="B22" s="239"/>
      <c r="C22" s="561" t="s">
        <v>775</v>
      </c>
      <c r="D22" s="423">
        <v>392.0</v>
      </c>
      <c r="E22" s="192"/>
      <c r="F22" s="547"/>
      <c r="G22" s="578"/>
      <c r="H22" s="419"/>
      <c r="I22" s="57"/>
      <c r="J22" s="378" t="s">
        <v>682</v>
      </c>
      <c r="K22" s="420"/>
      <c r="L22" s="193">
        <v>251.0</v>
      </c>
      <c r="M22" s="377" t="s">
        <v>953</v>
      </c>
      <c r="O22" s="431"/>
      <c r="P22" s="157"/>
      <c r="Q22" s="404"/>
      <c r="R22" s="57"/>
      <c r="S22" s="394"/>
      <c r="T22" s="394"/>
      <c r="U22" s="394"/>
      <c r="V22" s="394"/>
      <c r="W22" s="394"/>
      <c r="X22" s="394"/>
      <c r="Y22" s="395"/>
      <c r="Z22" s="395"/>
    </row>
    <row r="23">
      <c r="A23" s="239"/>
      <c r="B23" s="239"/>
      <c r="C23" s="561" t="s">
        <v>10</v>
      </c>
      <c r="D23" s="157"/>
      <c r="E23" s="206"/>
      <c r="F23" s="564"/>
      <c r="G23" s="581"/>
      <c r="H23" s="419"/>
      <c r="I23" s="57"/>
      <c r="J23" s="461" t="s">
        <v>684</v>
      </c>
      <c r="K23" s="420"/>
      <c r="L23" s="567"/>
      <c r="M23" s="658"/>
      <c r="O23" s="431"/>
      <c r="P23" s="157"/>
      <c r="Q23" s="404"/>
      <c r="R23" s="57"/>
      <c r="S23" s="394"/>
      <c r="T23" s="394"/>
      <c r="U23" s="394"/>
      <c r="V23" s="394"/>
      <c r="W23" s="394"/>
      <c r="X23" s="394"/>
      <c r="Y23" s="395"/>
      <c r="Z23" s="395"/>
    </row>
    <row r="24">
      <c r="A24" s="239"/>
      <c r="B24" s="239"/>
      <c r="C24" s="561" t="s">
        <v>6</v>
      </c>
      <c r="D24" s="423">
        <v>140.0</v>
      </c>
      <c r="E24" s="206"/>
      <c r="F24" s="547"/>
      <c r="G24" s="579"/>
      <c r="H24" s="455"/>
      <c r="I24" s="57"/>
      <c r="J24" s="461" t="s">
        <v>686</v>
      </c>
      <c r="K24" s="420"/>
      <c r="L24" s="193"/>
      <c r="M24" s="377"/>
      <c r="O24" s="463"/>
      <c r="P24" s="157"/>
      <c r="Q24" s="404"/>
      <c r="R24" s="57"/>
      <c r="S24" s="394"/>
      <c r="T24" s="394"/>
      <c r="U24" s="394"/>
      <c r="V24" s="394"/>
      <c r="W24" s="394"/>
      <c r="X24" s="394"/>
      <c r="Y24" s="395"/>
      <c r="Z24" s="395"/>
    </row>
    <row r="25">
      <c r="A25" s="57"/>
      <c r="B25" s="57"/>
      <c r="C25" s="561" t="s">
        <v>779</v>
      </c>
      <c r="D25" s="157"/>
      <c r="E25" s="228"/>
      <c r="F25" s="547"/>
      <c r="G25" s="579"/>
      <c r="H25" s="455"/>
      <c r="I25" s="239"/>
      <c r="J25" s="460" t="s">
        <v>202</v>
      </c>
      <c r="K25" s="420"/>
      <c r="L25" s="567"/>
      <c r="M25" s="377"/>
      <c r="O25" s="463"/>
      <c r="P25" s="157"/>
      <c r="Q25" s="404"/>
      <c r="R25" s="57"/>
      <c r="S25" s="394"/>
      <c r="T25" s="394"/>
      <c r="U25" s="394"/>
      <c r="V25" s="394"/>
      <c r="W25" s="394"/>
      <c r="X25" s="394"/>
      <c r="Y25" s="395"/>
      <c r="Z25" s="395"/>
    </row>
    <row r="26">
      <c r="A26" s="239"/>
      <c r="B26" s="239"/>
      <c r="C26" s="561" t="s">
        <v>780</v>
      </c>
      <c r="D26" s="423"/>
      <c r="E26" s="228"/>
      <c r="F26" s="547"/>
      <c r="G26" s="579"/>
      <c r="H26" s="455"/>
      <c r="I26" s="57"/>
      <c r="J26" s="460" t="s">
        <v>274</v>
      </c>
      <c r="K26" s="420"/>
      <c r="L26" s="193">
        <v>213.0</v>
      </c>
      <c r="M26" s="374"/>
      <c r="O26" s="463"/>
      <c r="P26" s="157"/>
      <c r="Q26" s="404"/>
      <c r="R26" s="57"/>
      <c r="S26" s="394"/>
      <c r="T26" s="394"/>
      <c r="U26" s="394"/>
      <c r="V26" s="394"/>
      <c r="W26" s="394"/>
      <c r="X26" s="394"/>
      <c r="Y26" s="395"/>
      <c r="Z26" s="395"/>
    </row>
    <row r="27">
      <c r="A27" s="238" t="s">
        <v>954</v>
      </c>
      <c r="B27" s="239"/>
      <c r="C27" s="561" t="s">
        <v>781</v>
      </c>
      <c r="D27" s="423">
        <v>160.0</v>
      </c>
      <c r="E27" s="228"/>
      <c r="F27" s="547"/>
      <c r="G27" s="579"/>
      <c r="H27" s="419"/>
      <c r="I27" s="239"/>
      <c r="J27" s="568"/>
      <c r="K27" s="420"/>
      <c r="L27" s="150"/>
      <c r="M27" s="374"/>
      <c r="O27" s="431"/>
      <c r="P27" s="157"/>
      <c r="Q27" s="404"/>
      <c r="R27" s="57"/>
      <c r="S27" s="394"/>
      <c r="T27" s="394"/>
      <c r="U27" s="394"/>
      <c r="V27" s="394"/>
      <c r="W27" s="394"/>
      <c r="X27" s="394"/>
      <c r="Y27" s="395"/>
      <c r="Z27" s="395"/>
    </row>
    <row r="28">
      <c r="A28" s="239"/>
      <c r="B28" s="157"/>
      <c r="C28" s="561"/>
      <c r="D28" s="157"/>
      <c r="E28" s="569"/>
      <c r="F28" s="547"/>
      <c r="G28" s="578"/>
      <c r="H28" s="419"/>
      <c r="I28" s="57"/>
      <c r="J28" s="374"/>
      <c r="K28" s="420"/>
      <c r="L28" s="193"/>
      <c r="M28" s="377"/>
      <c r="O28" s="431"/>
      <c r="P28" s="157"/>
      <c r="Q28" s="404"/>
      <c r="R28" s="57"/>
      <c r="S28" s="394"/>
      <c r="T28" s="394"/>
      <c r="U28" s="394"/>
      <c r="V28" s="394"/>
      <c r="W28" s="394"/>
      <c r="X28" s="394"/>
      <c r="Y28" s="395"/>
      <c r="Z28" s="395"/>
    </row>
    <row r="29">
      <c r="A29" s="239"/>
      <c r="B29" s="157"/>
      <c r="C29" s="561"/>
      <c r="D29" s="157"/>
      <c r="E29" s="228"/>
      <c r="F29" s="547"/>
      <c r="G29" s="578"/>
      <c r="H29" s="419"/>
      <c r="I29" s="239"/>
      <c r="J29" s="596" t="s">
        <v>955</v>
      </c>
      <c r="K29" s="420"/>
      <c r="L29" s="193">
        <v>1000.0</v>
      </c>
      <c r="M29" s="377"/>
      <c r="O29" s="431"/>
      <c r="P29" s="157"/>
      <c r="Q29" s="404"/>
      <c r="R29" s="57"/>
      <c r="S29" s="394"/>
      <c r="T29" s="394"/>
      <c r="U29" s="394"/>
      <c r="V29" s="394"/>
      <c r="W29" s="394"/>
      <c r="X29" s="394"/>
      <c r="Y29" s="395"/>
      <c r="Z29" s="395"/>
    </row>
    <row r="30">
      <c r="A30" s="239"/>
      <c r="B30" s="157"/>
      <c r="C30" s="561"/>
      <c r="D30" s="157"/>
      <c r="E30" s="570"/>
      <c r="F30" s="547"/>
      <c r="G30" s="578"/>
      <c r="H30" s="419"/>
      <c r="I30" s="239"/>
      <c r="J30" s="568"/>
      <c r="K30" s="420"/>
      <c r="L30" s="193"/>
      <c r="M30" s="374"/>
      <c r="O30" s="431"/>
      <c r="P30" s="157"/>
      <c r="Q30" s="404"/>
      <c r="R30" s="57"/>
      <c r="S30" s="394"/>
      <c r="T30" s="394"/>
      <c r="U30" s="394"/>
      <c r="V30" s="394"/>
      <c r="W30" s="394"/>
      <c r="X30" s="394"/>
      <c r="Y30" s="395"/>
      <c r="Z30" s="395"/>
    </row>
    <row r="31">
      <c r="C31" s="571"/>
      <c r="D31" s="157"/>
      <c r="E31" s="570"/>
      <c r="F31" s="547"/>
      <c r="G31" s="578"/>
      <c r="H31" s="419"/>
      <c r="I31" s="239"/>
      <c r="J31" s="464" t="s">
        <v>692</v>
      </c>
      <c r="K31" s="420"/>
      <c r="L31" s="150"/>
      <c r="M31" s="377"/>
      <c r="O31" s="431"/>
      <c r="P31" s="157"/>
      <c r="Q31" s="404"/>
      <c r="R31" s="57"/>
      <c r="S31" s="399"/>
      <c r="T31" s="399"/>
      <c r="U31" s="399"/>
      <c r="V31" s="399"/>
      <c r="W31" s="399"/>
      <c r="X31" s="399"/>
      <c r="Y31" s="400"/>
      <c r="Z31" s="400"/>
    </row>
    <row r="32">
      <c r="C32" s="571"/>
      <c r="D32" s="157"/>
      <c r="E32" s="570"/>
      <c r="F32" s="547"/>
      <c r="G32" s="578"/>
      <c r="H32" s="419"/>
      <c r="I32" s="239"/>
      <c r="J32" s="464" t="s">
        <v>694</v>
      </c>
      <c r="K32" s="420"/>
      <c r="L32" s="150"/>
      <c r="M32" s="374"/>
      <c r="O32" s="431"/>
      <c r="P32" s="157"/>
      <c r="Q32" s="404"/>
      <c r="R32" s="57"/>
      <c r="S32" s="399"/>
      <c r="T32" s="399"/>
      <c r="U32" s="399"/>
      <c r="V32" s="399"/>
      <c r="W32" s="399"/>
      <c r="X32" s="399"/>
      <c r="Y32" s="400"/>
      <c r="Z32" s="400"/>
    </row>
    <row r="33">
      <c r="C33" s="571"/>
      <c r="D33" s="423"/>
      <c r="E33" s="570"/>
      <c r="F33" s="546"/>
      <c r="G33" s="578"/>
      <c r="H33" s="419"/>
      <c r="I33" s="57"/>
      <c r="J33" s="105"/>
      <c r="K33" s="57"/>
      <c r="L33" s="150"/>
      <c r="M33" s="57"/>
      <c r="N33" s="57"/>
      <c r="O33" s="57"/>
      <c r="P33" s="157"/>
      <c r="Q33" s="404"/>
      <c r="R33" s="57"/>
      <c r="S33" s="394"/>
      <c r="T33" s="394"/>
      <c r="U33" s="394"/>
      <c r="V33" s="394"/>
      <c r="W33" s="394"/>
      <c r="X33" s="394"/>
      <c r="Y33" s="395"/>
      <c r="Z33" s="395"/>
    </row>
    <row r="34">
      <c r="A34" s="125" t="s">
        <v>782</v>
      </c>
      <c r="B34" s="572">
        <f>C7-B11</f>
        <v>1739.32</v>
      </c>
      <c r="D34" s="157"/>
      <c r="E34" s="570"/>
      <c r="F34" s="573"/>
      <c r="G34" s="581"/>
      <c r="H34" s="419"/>
      <c r="I34" s="239"/>
      <c r="J34" s="568"/>
      <c r="K34" s="57"/>
      <c r="L34" s="150"/>
      <c r="M34" s="57"/>
      <c r="N34" s="57"/>
      <c r="O34" s="57"/>
      <c r="P34" s="157"/>
      <c r="Q34" s="404"/>
      <c r="R34" s="57"/>
      <c r="S34" s="394"/>
      <c r="T34" s="394"/>
      <c r="U34" s="394"/>
      <c r="V34" s="394"/>
      <c r="W34" s="394"/>
      <c r="X34" s="394"/>
      <c r="Y34" s="395"/>
      <c r="Z34" s="395"/>
    </row>
    <row r="35">
      <c r="A35" s="274" t="s">
        <v>783</v>
      </c>
      <c r="B35" s="109">
        <v>1324.0</v>
      </c>
      <c r="C35" s="395"/>
      <c r="D35" s="157"/>
      <c r="E35" s="570"/>
      <c r="F35" s="573"/>
      <c r="G35" s="581"/>
      <c r="H35" s="419"/>
      <c r="I35" s="239"/>
      <c r="J35" s="568"/>
      <c r="K35" s="57"/>
      <c r="L35" s="150"/>
      <c r="M35" s="57"/>
      <c r="N35" s="57"/>
      <c r="O35" s="57"/>
      <c r="P35" s="157"/>
      <c r="Q35" s="404"/>
      <c r="R35" s="57"/>
      <c r="S35" s="394"/>
      <c r="T35" s="394"/>
      <c r="U35" s="394"/>
      <c r="V35" s="394"/>
      <c r="W35" s="394"/>
      <c r="X35" s="394"/>
      <c r="Y35" s="395"/>
      <c r="Z35" s="395"/>
    </row>
    <row r="36">
      <c r="A36" s="274" t="s">
        <v>784</v>
      </c>
      <c r="B36" s="109">
        <v>7180.0</v>
      </c>
      <c r="C36" s="395"/>
      <c r="D36" s="157"/>
      <c r="E36" s="570"/>
      <c r="F36" s="573"/>
      <c r="G36" s="581"/>
      <c r="H36" s="419"/>
      <c r="I36" s="239"/>
      <c r="J36" s="568"/>
      <c r="K36" s="57"/>
      <c r="L36" s="150"/>
      <c r="M36" s="57"/>
      <c r="N36" s="57"/>
      <c r="O36" s="57"/>
      <c r="P36" s="157"/>
      <c r="Q36" s="404"/>
      <c r="R36" s="57"/>
      <c r="S36" s="394"/>
      <c r="T36" s="394"/>
      <c r="U36" s="394"/>
      <c r="V36" s="394"/>
      <c r="W36" s="394"/>
      <c r="X36" s="394"/>
      <c r="Y36" s="395"/>
      <c r="Z36" s="395"/>
    </row>
    <row r="37">
      <c r="A37" s="274" t="s">
        <v>785</v>
      </c>
      <c r="B37" s="109"/>
      <c r="C37" s="395"/>
      <c r="D37" s="157"/>
      <c r="E37" s="570"/>
      <c r="F37" s="573"/>
      <c r="G37" s="581"/>
      <c r="H37" s="419"/>
      <c r="I37" s="239"/>
      <c r="J37" s="568"/>
      <c r="K37" s="57"/>
      <c r="L37" s="150"/>
      <c r="M37" s="57"/>
      <c r="N37" s="57"/>
      <c r="O37" s="57"/>
      <c r="P37" s="157"/>
      <c r="Q37" s="404"/>
      <c r="R37" s="57"/>
      <c r="S37" s="394"/>
      <c r="T37" s="394"/>
      <c r="U37" s="394"/>
      <c r="V37" s="394"/>
      <c r="W37" s="394"/>
      <c r="X37" s="394"/>
      <c r="Y37" s="395"/>
      <c r="Z37" s="395"/>
    </row>
    <row r="38">
      <c r="A38" s="402"/>
      <c r="B38" s="403"/>
      <c r="C38" s="403"/>
      <c r="D38" s="403"/>
      <c r="E38" s="574"/>
      <c r="F38" s="575"/>
      <c r="G38" s="576"/>
      <c r="H38" s="159"/>
      <c r="I38" s="159"/>
      <c r="J38" s="576"/>
      <c r="K38" s="159"/>
      <c r="L38" s="162"/>
      <c r="M38" s="402"/>
      <c r="N38" s="402"/>
      <c r="O38" s="159"/>
      <c r="P38" s="403"/>
      <c r="Q38" s="577"/>
      <c r="R38" s="57"/>
      <c r="S38" s="394"/>
      <c r="T38" s="394"/>
      <c r="U38" s="394"/>
      <c r="V38" s="394"/>
      <c r="W38" s="394"/>
      <c r="X38" s="394"/>
      <c r="Y38" s="395"/>
      <c r="Z38" s="395"/>
    </row>
    <row r="39">
      <c r="A39" s="57"/>
      <c r="B39" s="57"/>
      <c r="C39" s="57"/>
      <c r="D39" s="157"/>
      <c r="E39" s="228"/>
      <c r="F39" s="573"/>
      <c r="G39" s="105"/>
      <c r="H39" s="57"/>
      <c r="I39" s="239"/>
      <c r="J39" s="568"/>
      <c r="K39" s="57"/>
      <c r="L39" s="150"/>
      <c r="M39" s="57"/>
      <c r="N39" s="57"/>
      <c r="O39" s="57"/>
      <c r="P39" s="157"/>
      <c r="Q39" s="57"/>
      <c r="R39" s="57"/>
      <c r="S39" s="394"/>
      <c r="T39" s="394"/>
      <c r="U39" s="394"/>
      <c r="V39" s="394"/>
      <c r="W39" s="394"/>
      <c r="X39" s="394"/>
      <c r="Y39" s="395"/>
      <c r="Z39" s="395"/>
    </row>
    <row r="40">
      <c r="A40" s="169" t="s">
        <v>117</v>
      </c>
      <c r="B40" s="539"/>
      <c r="C40" s="540"/>
      <c r="D40" s="405"/>
      <c r="E40" s="541"/>
      <c r="F40" s="542"/>
      <c r="G40" s="467" t="s">
        <v>333</v>
      </c>
      <c r="H40" s="361"/>
      <c r="I40" s="57"/>
      <c r="J40" s="105"/>
      <c r="K40" s="57"/>
      <c r="L40" s="150"/>
      <c r="M40" s="239"/>
      <c r="N40" s="239"/>
      <c r="O40" s="57"/>
      <c r="P40" s="157"/>
      <c r="Q40" s="404"/>
      <c r="R40" s="57"/>
      <c r="S40" s="394"/>
      <c r="T40" s="394"/>
      <c r="U40" s="394"/>
      <c r="V40" s="394"/>
      <c r="W40" s="394"/>
      <c r="X40" s="394"/>
      <c r="Y40" s="395"/>
      <c r="Z40" s="395"/>
    </row>
    <row r="41">
      <c r="A41" s="468"/>
      <c r="B41" s="157"/>
      <c r="C41" s="466"/>
      <c r="D41" s="405"/>
      <c r="E41" s="543" t="s">
        <v>335</v>
      </c>
      <c r="F41" s="544" t="s">
        <v>237</v>
      </c>
      <c r="G41" s="412" t="s">
        <v>336</v>
      </c>
      <c r="H41" s="413" t="s">
        <v>337</v>
      </c>
      <c r="I41" s="239"/>
      <c r="J41" s="145" t="s">
        <v>60</v>
      </c>
      <c r="K41" s="57"/>
      <c r="L41" s="150"/>
      <c r="M41" s="414"/>
      <c r="N41" s="414"/>
      <c r="O41" s="57" t="s">
        <v>334</v>
      </c>
      <c r="P41" s="157"/>
      <c r="Q41" s="404"/>
      <c r="R41" s="57"/>
      <c r="S41" s="394"/>
      <c r="T41" s="394"/>
      <c r="U41" s="394"/>
      <c r="V41" s="394"/>
      <c r="W41" s="394"/>
      <c r="X41" s="394"/>
      <c r="Y41" s="395"/>
      <c r="Z41" s="395"/>
    </row>
    <row r="42">
      <c r="A42" s="470" t="s">
        <v>179</v>
      </c>
      <c r="C42" s="416">
        <f>SUM(F42:F76)</f>
        <v>4834</v>
      </c>
      <c r="D42" s="405"/>
      <c r="E42" s="545"/>
      <c r="F42" s="546"/>
      <c r="G42" s="578"/>
      <c r="H42" s="419"/>
      <c r="I42" s="57"/>
      <c r="K42" s="57"/>
      <c r="L42" s="150"/>
      <c r="M42" s="377" t="s">
        <v>366</v>
      </c>
      <c r="P42" s="157"/>
      <c r="Q42" s="404"/>
      <c r="R42" s="57"/>
      <c r="S42" s="394"/>
      <c r="T42" s="394"/>
      <c r="U42" s="394"/>
      <c r="V42" s="394"/>
      <c r="W42" s="394"/>
      <c r="X42" s="394"/>
      <c r="Y42" s="395"/>
      <c r="Z42" s="395"/>
    </row>
    <row r="43">
      <c r="A43" s="421" t="s">
        <v>343</v>
      </c>
      <c r="B43" s="422" t="s">
        <v>321</v>
      </c>
      <c r="C43" s="416">
        <f>SUM(P43:P76)</f>
        <v>99</v>
      </c>
      <c r="D43" s="157"/>
      <c r="E43" s="545"/>
      <c r="F43" s="546"/>
      <c r="G43" s="578"/>
      <c r="H43" s="419"/>
      <c r="I43" s="239"/>
      <c r="J43" s="471" t="s">
        <v>341</v>
      </c>
      <c r="K43" s="420"/>
      <c r="L43" s="193"/>
      <c r="M43" s="374"/>
      <c r="O43" s="426" t="s">
        <v>956</v>
      </c>
      <c r="P43" s="423">
        <v>99.0</v>
      </c>
      <c r="Q43" s="404"/>
      <c r="R43" s="57"/>
      <c r="S43" s="242"/>
      <c r="T43" s="242"/>
      <c r="U43" s="242"/>
      <c r="V43" s="242"/>
      <c r="W43" s="242"/>
      <c r="X43" s="242"/>
      <c r="Y43" s="148"/>
      <c r="Z43" s="148"/>
    </row>
    <row r="44">
      <c r="A44" s="427" t="s">
        <v>201</v>
      </c>
      <c r="C44" s="204">
        <f>SUM(L43:L76)</f>
        <v>3068.11</v>
      </c>
      <c r="D44" s="157"/>
      <c r="E44" s="545"/>
      <c r="F44" s="546"/>
      <c r="G44" s="578"/>
      <c r="H44" s="419"/>
      <c r="I44" s="239"/>
      <c r="J44" s="472" t="s">
        <v>345</v>
      </c>
      <c r="K44" s="420"/>
      <c r="L44" s="193"/>
      <c r="M44" s="374"/>
      <c r="O44" s="431"/>
      <c r="P44" s="423"/>
      <c r="Q44" s="404"/>
      <c r="R44" s="105"/>
      <c r="S44" s="317"/>
      <c r="T44" s="317"/>
      <c r="U44" s="317"/>
      <c r="V44" s="317"/>
      <c r="W44" s="317"/>
      <c r="X44" s="317"/>
      <c r="Y44" s="243"/>
      <c r="Z44" s="243"/>
    </row>
    <row r="45">
      <c r="A45" s="548" t="s">
        <v>761</v>
      </c>
      <c r="B45" s="549">
        <v>0.4</v>
      </c>
      <c r="C45" s="191">
        <v>43.56</v>
      </c>
      <c r="D45" s="157"/>
      <c r="E45" s="550" t="s">
        <v>695</v>
      </c>
      <c r="F45" s="546">
        <v>635.0</v>
      </c>
      <c r="G45" s="562"/>
      <c r="H45" s="419"/>
      <c r="I45" s="239"/>
      <c r="J45" s="433" t="s">
        <v>656</v>
      </c>
      <c r="K45" s="420"/>
      <c r="L45" s="193"/>
      <c r="M45" s="374"/>
      <c r="O45" s="431"/>
      <c r="P45" s="423"/>
      <c r="Q45" s="404"/>
      <c r="R45" s="148"/>
      <c r="S45" s="242"/>
      <c r="T45" s="242"/>
      <c r="U45" s="242"/>
      <c r="V45" s="242"/>
      <c r="W45" s="242"/>
      <c r="X45" s="242"/>
      <c r="Y45" s="148"/>
      <c r="Z45" s="148"/>
    </row>
    <row r="46">
      <c r="A46" s="434" t="s">
        <v>350</v>
      </c>
      <c r="C46" s="551">
        <f>C42-C44-C45</f>
        <v>1722.33</v>
      </c>
      <c r="D46" s="157"/>
      <c r="E46" s="192" t="s">
        <v>417</v>
      </c>
      <c r="F46" s="546">
        <v>1440.0</v>
      </c>
      <c r="G46" s="579"/>
      <c r="H46" s="419"/>
      <c r="I46" s="57"/>
      <c r="J46" s="444" t="s">
        <v>658</v>
      </c>
      <c r="K46" s="420"/>
      <c r="L46" s="193">
        <v>49.0</v>
      </c>
      <c r="M46" s="377"/>
      <c r="O46" s="431"/>
      <c r="P46" s="157"/>
      <c r="Q46" s="404"/>
      <c r="R46" s="148"/>
      <c r="S46" s="242"/>
      <c r="T46" s="242"/>
      <c r="U46" s="242"/>
      <c r="V46" s="242"/>
      <c r="W46" s="242"/>
      <c r="X46" s="242"/>
      <c r="Y46" s="148"/>
      <c r="Z46" s="148"/>
    </row>
    <row r="47">
      <c r="A47" s="554"/>
      <c r="B47" s="555"/>
      <c r="C47" s="447"/>
      <c r="D47" s="157"/>
      <c r="E47" s="192" t="s">
        <v>957</v>
      </c>
      <c r="F47" s="546">
        <v>860.0</v>
      </c>
      <c r="G47" s="578"/>
      <c r="H47" s="419"/>
      <c r="I47" s="57"/>
      <c r="J47" s="444" t="s">
        <v>660</v>
      </c>
      <c r="K47" s="420"/>
      <c r="L47" s="193">
        <v>170.0</v>
      </c>
      <c r="M47" s="377" t="s">
        <v>958</v>
      </c>
      <c r="O47" s="431"/>
      <c r="P47" s="157"/>
      <c r="Q47" s="404"/>
      <c r="R47" s="148"/>
      <c r="S47" s="242"/>
      <c r="T47" s="242"/>
      <c r="U47" s="242"/>
      <c r="V47" s="242"/>
      <c r="W47" s="242"/>
      <c r="X47" s="242"/>
      <c r="Y47" s="148"/>
      <c r="Z47" s="148"/>
    </row>
    <row r="48">
      <c r="A48" s="556"/>
      <c r="C48" s="395"/>
      <c r="D48" s="157"/>
      <c r="E48" s="192" t="s">
        <v>956</v>
      </c>
      <c r="F48" s="546">
        <v>99.0</v>
      </c>
      <c r="G48" s="558" t="s">
        <v>426</v>
      </c>
      <c r="H48" s="419"/>
      <c r="I48" s="239"/>
      <c r="J48" s="370" t="s">
        <v>662</v>
      </c>
      <c r="K48" s="420"/>
      <c r="L48" s="193"/>
      <c r="M48" s="374"/>
      <c r="O48" s="431"/>
      <c r="P48" s="157"/>
      <c r="Q48" s="404"/>
      <c r="R48" s="148"/>
      <c r="S48" s="242"/>
      <c r="T48" s="242"/>
      <c r="U48" s="242"/>
      <c r="V48" s="242"/>
      <c r="W48" s="242"/>
      <c r="X48" s="242"/>
      <c r="Y48" s="148"/>
      <c r="Z48" s="148"/>
    </row>
    <row r="49">
      <c r="A49" s="557"/>
      <c r="B49" s="109"/>
      <c r="C49" s="395"/>
      <c r="D49" s="373"/>
      <c r="E49" s="192" t="s">
        <v>873</v>
      </c>
      <c r="F49" s="546">
        <v>260.0</v>
      </c>
      <c r="G49" s="562"/>
      <c r="H49" s="419"/>
      <c r="I49" s="239"/>
      <c r="J49" s="433" t="s">
        <v>666</v>
      </c>
      <c r="K49" s="420"/>
      <c r="L49" s="150"/>
      <c r="M49" s="374"/>
      <c r="O49" s="431"/>
      <c r="P49" s="157"/>
      <c r="Q49" s="404"/>
      <c r="R49" s="148"/>
      <c r="S49" s="242"/>
      <c r="T49" s="242"/>
      <c r="U49" s="242"/>
      <c r="V49" s="242"/>
      <c r="W49" s="242"/>
      <c r="X49" s="242"/>
      <c r="Y49" s="148"/>
      <c r="Z49" s="148"/>
    </row>
    <row r="50">
      <c r="A50" s="559" t="s">
        <v>765</v>
      </c>
      <c r="B50" s="560">
        <f>SUM(D50:D76)</f>
        <v>2185.41</v>
      </c>
      <c r="C50" s="477" t="s">
        <v>366</v>
      </c>
      <c r="D50" s="157"/>
      <c r="E50" s="192" t="s">
        <v>959</v>
      </c>
      <c r="F50" s="546">
        <v>700.0</v>
      </c>
      <c r="G50" s="578"/>
      <c r="H50" s="419"/>
      <c r="I50" s="239"/>
      <c r="J50" s="433" t="s">
        <v>668</v>
      </c>
      <c r="K50" s="420"/>
      <c r="L50" s="150"/>
      <c r="M50" s="377"/>
      <c r="O50" s="431"/>
      <c r="P50" s="157"/>
      <c r="Q50" s="404"/>
      <c r="R50" s="148"/>
      <c r="S50" s="242"/>
      <c r="T50" s="242"/>
      <c r="U50" s="242"/>
      <c r="V50" s="242"/>
      <c r="W50" s="242"/>
      <c r="X50" s="242"/>
      <c r="Y50" s="148"/>
      <c r="Z50" s="148"/>
    </row>
    <row r="51">
      <c r="A51" s="453" t="s">
        <v>369</v>
      </c>
      <c r="C51" s="561" t="s">
        <v>766</v>
      </c>
      <c r="D51" s="423">
        <v>396.46</v>
      </c>
      <c r="E51" s="192" t="s">
        <v>960</v>
      </c>
      <c r="F51" s="546">
        <v>840.0</v>
      </c>
      <c r="G51" s="578"/>
      <c r="H51" s="419"/>
      <c r="I51" s="239"/>
      <c r="J51" s="433" t="s">
        <v>670</v>
      </c>
      <c r="K51" s="458"/>
      <c r="L51" s="193">
        <v>1250.0</v>
      </c>
      <c r="M51" s="377" t="s">
        <v>961</v>
      </c>
      <c r="O51" s="431"/>
      <c r="P51" s="157"/>
      <c r="Q51" s="404"/>
      <c r="R51" s="148"/>
      <c r="S51" s="242"/>
      <c r="T51" s="242"/>
      <c r="U51" s="242"/>
      <c r="V51" s="242"/>
      <c r="W51" s="242"/>
      <c r="X51" s="242"/>
      <c r="Y51" s="148"/>
      <c r="Z51" s="148"/>
    </row>
    <row r="52">
      <c r="C52" s="561" t="s">
        <v>767</v>
      </c>
      <c r="D52" s="157"/>
      <c r="E52" s="192"/>
      <c r="F52" s="546"/>
      <c r="G52" s="562"/>
      <c r="H52" s="419"/>
      <c r="I52" s="239"/>
      <c r="J52" s="433" t="s">
        <v>217</v>
      </c>
      <c r="K52" s="458"/>
      <c r="L52" s="150"/>
      <c r="M52" s="377"/>
      <c r="O52" s="431"/>
      <c r="P52" s="157"/>
      <c r="Q52" s="404"/>
      <c r="R52" s="148"/>
      <c r="S52" s="242"/>
      <c r="T52" s="242"/>
      <c r="U52" s="242"/>
      <c r="V52" s="242"/>
      <c r="W52" s="242"/>
      <c r="X52" s="242"/>
      <c r="Y52" s="148"/>
      <c r="Z52" s="148"/>
    </row>
    <row r="53">
      <c r="A53" s="57"/>
      <c r="B53" s="57"/>
      <c r="C53" s="561" t="s">
        <v>768</v>
      </c>
      <c r="D53" s="423">
        <v>20.5</v>
      </c>
      <c r="E53" s="192"/>
      <c r="F53" s="546"/>
      <c r="G53" s="578"/>
      <c r="H53" s="419"/>
      <c r="I53" s="239"/>
      <c r="J53" s="109"/>
      <c r="K53" s="420"/>
      <c r="L53" s="193"/>
      <c r="M53" s="374"/>
      <c r="O53" s="431"/>
      <c r="P53" s="157"/>
      <c r="Q53" s="404"/>
      <c r="R53" s="148"/>
      <c r="S53" s="242"/>
      <c r="T53" s="242"/>
      <c r="U53" s="242"/>
      <c r="V53" s="242"/>
      <c r="W53" s="242"/>
      <c r="X53" s="242"/>
      <c r="Y53" s="148"/>
      <c r="Z53" s="148"/>
    </row>
    <row r="54">
      <c r="A54" s="57"/>
      <c r="B54" s="57"/>
      <c r="C54" s="561" t="s">
        <v>769</v>
      </c>
      <c r="D54" s="157"/>
      <c r="E54" s="192"/>
      <c r="F54" s="546"/>
      <c r="G54" s="578"/>
      <c r="H54" s="419"/>
      <c r="I54" s="239"/>
      <c r="J54" s="456" t="s">
        <v>672</v>
      </c>
      <c r="K54" s="420"/>
      <c r="L54" s="150"/>
      <c r="M54" s="377"/>
      <c r="O54" s="431"/>
      <c r="P54" s="157"/>
      <c r="Q54" s="404"/>
      <c r="R54" s="148"/>
      <c r="S54" s="242"/>
      <c r="T54" s="242"/>
      <c r="U54" s="242"/>
      <c r="V54" s="242"/>
      <c r="W54" s="242"/>
      <c r="X54" s="242"/>
      <c r="Y54" s="148"/>
      <c r="Z54" s="148"/>
    </row>
    <row r="55">
      <c r="A55" s="57"/>
      <c r="B55" s="57"/>
      <c r="C55" s="561" t="s">
        <v>770</v>
      </c>
      <c r="D55" s="423"/>
      <c r="E55" s="192"/>
      <c r="F55" s="546"/>
      <c r="G55" s="578"/>
      <c r="H55" s="419"/>
      <c r="I55" s="57"/>
      <c r="J55" s="456" t="s">
        <v>675</v>
      </c>
      <c r="K55" s="420"/>
      <c r="L55" s="150"/>
      <c r="M55" s="382"/>
      <c r="O55" s="431"/>
      <c r="P55" s="157"/>
      <c r="Q55" s="404"/>
      <c r="R55" s="148"/>
      <c r="S55" s="242"/>
      <c r="T55" s="242"/>
      <c r="U55" s="242"/>
      <c r="V55" s="242"/>
      <c r="W55" s="242"/>
      <c r="X55" s="242"/>
      <c r="Y55" s="148"/>
      <c r="Z55" s="148"/>
    </row>
    <row r="56">
      <c r="A56" s="659"/>
      <c r="B56" s="659"/>
      <c r="C56" s="561" t="s">
        <v>793</v>
      </c>
      <c r="D56" s="423">
        <v>200.0</v>
      </c>
      <c r="E56" s="192"/>
      <c r="F56" s="546"/>
      <c r="G56" s="579"/>
      <c r="H56" s="419"/>
      <c r="I56" s="57"/>
      <c r="J56" s="456"/>
      <c r="K56" s="420"/>
      <c r="L56" s="150"/>
      <c r="M56" s="425"/>
      <c r="O56" s="431"/>
      <c r="P56" s="157"/>
      <c r="Q56" s="404"/>
      <c r="R56" s="148"/>
      <c r="S56" s="242"/>
      <c r="T56" s="242"/>
      <c r="U56" s="242"/>
      <c r="V56" s="242"/>
      <c r="W56" s="242"/>
      <c r="X56" s="242"/>
      <c r="Y56" s="148"/>
      <c r="Z56" s="148"/>
    </row>
    <row r="57">
      <c r="A57" s="660"/>
      <c r="B57" s="659"/>
      <c r="C57" s="561" t="s">
        <v>794</v>
      </c>
      <c r="D57" s="423"/>
      <c r="E57" s="192"/>
      <c r="F57" s="546"/>
      <c r="G57" s="562"/>
      <c r="H57" s="419"/>
      <c r="I57" s="57"/>
      <c r="J57" s="375"/>
      <c r="K57" s="420"/>
      <c r="L57" s="150"/>
      <c r="M57" s="425"/>
      <c r="O57" s="431"/>
      <c r="P57" s="157"/>
      <c r="Q57" s="404"/>
      <c r="R57" s="148"/>
      <c r="S57" s="242"/>
      <c r="T57" s="242"/>
      <c r="U57" s="242"/>
      <c r="V57" s="242"/>
      <c r="W57" s="242"/>
      <c r="X57" s="242"/>
      <c r="Y57" s="148"/>
      <c r="Z57" s="148"/>
    </row>
    <row r="58">
      <c r="A58" s="661" t="s">
        <v>962</v>
      </c>
      <c r="B58" s="659"/>
      <c r="C58" s="561" t="s">
        <v>18</v>
      </c>
      <c r="D58" s="423">
        <v>387.45</v>
      </c>
      <c r="E58" s="192"/>
      <c r="F58" s="546"/>
      <c r="G58" s="562"/>
      <c r="H58" s="419"/>
      <c r="I58" s="57"/>
      <c r="J58" s="375"/>
      <c r="K58" s="420"/>
      <c r="L58" s="193"/>
      <c r="M58" s="382"/>
      <c r="O58" s="431"/>
      <c r="P58" s="157"/>
      <c r="Q58" s="404"/>
      <c r="R58" s="148"/>
      <c r="S58" s="242"/>
      <c r="T58" s="242"/>
      <c r="U58" s="242"/>
      <c r="V58" s="242"/>
      <c r="W58" s="242"/>
      <c r="X58" s="242"/>
      <c r="Y58" s="148"/>
      <c r="Z58" s="148"/>
    </row>
    <row r="59">
      <c r="A59" s="662" t="s">
        <v>963</v>
      </c>
      <c r="B59" s="659"/>
      <c r="C59" s="561" t="s">
        <v>773</v>
      </c>
      <c r="D59" s="423">
        <v>204.0</v>
      </c>
      <c r="E59" s="192"/>
      <c r="F59" s="546"/>
      <c r="G59" s="579"/>
      <c r="H59" s="419"/>
      <c r="I59" s="57"/>
      <c r="J59" s="452"/>
      <c r="K59" s="420"/>
      <c r="L59" s="150"/>
      <c r="M59" s="425"/>
      <c r="O59" s="431"/>
      <c r="P59" s="157"/>
      <c r="Q59" s="404"/>
      <c r="R59" s="148"/>
      <c r="S59" s="242"/>
      <c r="T59" s="242"/>
      <c r="U59" s="242"/>
      <c r="V59" s="242"/>
      <c r="W59" s="242"/>
      <c r="X59" s="242"/>
      <c r="Y59" s="148"/>
      <c r="Z59" s="148"/>
    </row>
    <row r="60">
      <c r="A60" s="663" t="s">
        <v>964</v>
      </c>
      <c r="B60" s="659"/>
      <c r="C60" s="561" t="s">
        <v>774</v>
      </c>
      <c r="D60" s="423">
        <v>325.0</v>
      </c>
      <c r="E60" s="192"/>
      <c r="F60" s="546"/>
      <c r="G60" s="578"/>
      <c r="H60" s="419"/>
      <c r="I60" s="57"/>
      <c r="J60" s="105"/>
      <c r="K60" s="420"/>
      <c r="L60" s="150"/>
      <c r="M60" s="425"/>
      <c r="O60" s="431"/>
      <c r="P60" s="157"/>
      <c r="Q60" s="404"/>
      <c r="R60" s="148"/>
      <c r="S60" s="242"/>
      <c r="T60" s="242"/>
      <c r="U60" s="242"/>
      <c r="V60" s="242"/>
      <c r="W60" s="242"/>
      <c r="X60" s="242"/>
      <c r="Y60" s="148"/>
      <c r="Z60" s="148"/>
    </row>
    <row r="61">
      <c r="A61" s="662" t="s">
        <v>965</v>
      </c>
      <c r="C61" s="561" t="s">
        <v>775</v>
      </c>
      <c r="D61" s="423">
        <v>300.0</v>
      </c>
      <c r="E61" s="192"/>
      <c r="F61" s="546"/>
      <c r="G61" s="578"/>
      <c r="H61" s="419"/>
      <c r="I61" s="57"/>
      <c r="J61" s="378" t="s">
        <v>682</v>
      </c>
      <c r="K61" s="420"/>
      <c r="L61" s="193">
        <v>58.0</v>
      </c>
      <c r="M61" s="377" t="s">
        <v>966</v>
      </c>
      <c r="O61" s="431"/>
      <c r="P61" s="157"/>
      <c r="Q61" s="404"/>
      <c r="R61" s="148"/>
      <c r="S61" s="242"/>
      <c r="T61" s="242"/>
      <c r="U61" s="242"/>
      <c r="V61" s="242"/>
      <c r="W61" s="242"/>
      <c r="X61" s="242"/>
      <c r="Y61" s="148"/>
      <c r="Z61" s="148"/>
    </row>
    <row r="62">
      <c r="A62" s="660"/>
      <c r="B62" s="660"/>
      <c r="C62" s="561" t="s">
        <v>10</v>
      </c>
      <c r="D62" s="157"/>
      <c r="E62" s="192"/>
      <c r="F62" s="580"/>
      <c r="G62" s="581"/>
      <c r="H62" s="419"/>
      <c r="I62" s="57"/>
      <c r="J62" s="461" t="s">
        <v>684</v>
      </c>
      <c r="K62" s="420"/>
      <c r="L62" s="193"/>
      <c r="M62" s="377"/>
      <c r="O62" s="431"/>
      <c r="P62" s="157"/>
      <c r="Q62" s="404"/>
      <c r="R62" s="148"/>
      <c r="S62" s="242"/>
      <c r="T62" s="242"/>
      <c r="U62" s="242"/>
      <c r="V62" s="242"/>
      <c r="W62" s="242"/>
      <c r="X62" s="242"/>
      <c r="Y62" s="148"/>
      <c r="Z62" s="148"/>
    </row>
    <row r="63">
      <c r="A63" s="662" t="s">
        <v>967</v>
      </c>
      <c r="B63" s="660"/>
      <c r="C63" s="561" t="s">
        <v>6</v>
      </c>
      <c r="D63" s="423">
        <v>210.0</v>
      </c>
      <c r="E63" s="206"/>
      <c r="F63" s="547"/>
      <c r="G63" s="579"/>
      <c r="H63" s="455"/>
      <c r="I63" s="57"/>
      <c r="J63" s="461" t="s">
        <v>686</v>
      </c>
      <c r="K63" s="420"/>
      <c r="L63" s="193">
        <v>20.0</v>
      </c>
      <c r="M63" s="377" t="s">
        <v>968</v>
      </c>
      <c r="O63" s="463"/>
      <c r="P63" s="157"/>
      <c r="Q63" s="404"/>
      <c r="R63" s="148"/>
      <c r="S63" s="242"/>
      <c r="T63" s="242"/>
      <c r="U63" s="242"/>
      <c r="V63" s="242"/>
      <c r="W63" s="242"/>
      <c r="X63" s="242"/>
      <c r="Y63" s="148"/>
      <c r="Z63" s="148"/>
    </row>
    <row r="64">
      <c r="A64" s="659"/>
      <c r="B64" s="659"/>
      <c r="C64" s="561" t="s">
        <v>779</v>
      </c>
      <c r="D64" s="157"/>
      <c r="E64" s="228"/>
      <c r="F64" s="547"/>
      <c r="G64" s="579"/>
      <c r="H64" s="455"/>
      <c r="I64" s="239"/>
      <c r="J64" s="460" t="s">
        <v>202</v>
      </c>
      <c r="K64" s="420"/>
      <c r="L64" s="193"/>
      <c r="M64" s="377"/>
      <c r="O64" s="463"/>
      <c r="P64" s="157"/>
      <c r="Q64" s="404"/>
      <c r="R64" s="148"/>
      <c r="S64" s="242"/>
      <c r="T64" s="242"/>
      <c r="U64" s="242"/>
      <c r="V64" s="242"/>
      <c r="W64" s="242"/>
      <c r="X64" s="242"/>
      <c r="Y64" s="148"/>
      <c r="Z64" s="148"/>
    </row>
    <row r="65">
      <c r="A65" s="660"/>
      <c r="B65" s="660"/>
      <c r="C65" s="561" t="s">
        <v>780</v>
      </c>
      <c r="D65" s="423"/>
      <c r="E65" s="228"/>
      <c r="F65" s="547"/>
      <c r="G65" s="579"/>
      <c r="H65" s="455"/>
      <c r="I65" s="57"/>
      <c r="J65" s="460" t="s">
        <v>274</v>
      </c>
      <c r="K65" s="420"/>
      <c r="L65" s="193">
        <v>213.0</v>
      </c>
      <c r="M65" s="374"/>
      <c r="O65" s="463"/>
      <c r="P65" s="157"/>
      <c r="Q65" s="404"/>
      <c r="R65" s="148"/>
      <c r="S65" s="242"/>
      <c r="T65" s="242"/>
      <c r="U65" s="242"/>
      <c r="V65" s="242"/>
      <c r="W65" s="242"/>
      <c r="X65" s="242"/>
      <c r="Y65" s="148"/>
      <c r="Z65" s="148"/>
    </row>
    <row r="66">
      <c r="A66" s="662" t="s">
        <v>969</v>
      </c>
      <c r="B66" s="660"/>
      <c r="C66" s="561" t="s">
        <v>797</v>
      </c>
      <c r="D66" s="423">
        <v>142.0</v>
      </c>
      <c r="E66" s="228"/>
      <c r="F66" s="547"/>
      <c r="G66" s="579"/>
      <c r="H66" s="419"/>
      <c r="I66" s="239"/>
      <c r="J66" s="568"/>
      <c r="K66" s="420"/>
      <c r="L66" s="150"/>
      <c r="M66" s="374"/>
      <c r="O66" s="431"/>
      <c r="P66" s="157"/>
      <c r="Q66" s="404"/>
      <c r="R66" s="243"/>
      <c r="S66" s="317"/>
      <c r="T66" s="317"/>
      <c r="U66" s="317"/>
      <c r="V66" s="317"/>
      <c r="W66" s="317"/>
      <c r="X66" s="317"/>
      <c r="Y66" s="243"/>
      <c r="Z66" s="243"/>
    </row>
    <row r="67">
      <c r="A67" s="660"/>
      <c r="B67" s="664"/>
      <c r="C67" s="561"/>
      <c r="D67" s="157"/>
      <c r="E67" s="569"/>
      <c r="F67" s="547"/>
      <c r="G67" s="578"/>
      <c r="H67" s="419"/>
      <c r="I67" s="57"/>
      <c r="J67" s="374"/>
      <c r="K67" s="420"/>
      <c r="L67" s="193"/>
      <c r="M67" s="377"/>
      <c r="O67" s="431"/>
      <c r="P67" s="157"/>
      <c r="Q67" s="404"/>
      <c r="R67" s="582"/>
      <c r="S67" s="583"/>
      <c r="T67" s="583"/>
      <c r="U67" s="583"/>
      <c r="V67" s="583"/>
      <c r="W67" s="583"/>
      <c r="X67" s="583"/>
      <c r="Y67" s="582"/>
      <c r="Z67" s="582"/>
    </row>
    <row r="68">
      <c r="A68" s="660"/>
      <c r="B68" s="664"/>
      <c r="C68" s="561"/>
      <c r="D68" s="157"/>
      <c r="E68" s="228"/>
      <c r="F68" s="547"/>
      <c r="G68" s="578"/>
      <c r="H68" s="419"/>
      <c r="I68" s="239"/>
      <c r="J68" s="596" t="s">
        <v>955</v>
      </c>
      <c r="K68" s="420"/>
      <c r="L68" s="193">
        <v>1290.0</v>
      </c>
      <c r="M68" s="377"/>
      <c r="O68" s="431"/>
      <c r="P68" s="157"/>
      <c r="Q68" s="404"/>
      <c r="R68" s="148"/>
      <c r="S68" s="242"/>
      <c r="T68" s="242"/>
      <c r="U68" s="242"/>
      <c r="V68" s="242"/>
      <c r="W68" s="242"/>
      <c r="X68" s="242"/>
      <c r="Y68" s="148"/>
      <c r="Z68" s="148"/>
    </row>
    <row r="69">
      <c r="A69" s="660"/>
      <c r="B69" s="664"/>
      <c r="C69" s="561"/>
      <c r="D69" s="157"/>
      <c r="E69" s="570"/>
      <c r="F69" s="547"/>
      <c r="G69" s="578"/>
      <c r="H69" s="419"/>
      <c r="I69" s="239"/>
      <c r="J69" s="568"/>
      <c r="K69" s="420"/>
      <c r="L69" s="193"/>
      <c r="M69" s="374"/>
      <c r="O69" s="431"/>
      <c r="P69" s="157"/>
      <c r="Q69" s="404"/>
      <c r="R69" s="148"/>
      <c r="S69" s="242"/>
      <c r="T69" s="242"/>
      <c r="U69" s="242"/>
      <c r="V69" s="242"/>
      <c r="W69" s="242"/>
      <c r="X69" s="242"/>
      <c r="Y69" s="148"/>
      <c r="Z69" s="148"/>
    </row>
    <row r="70">
      <c r="A70" s="665"/>
      <c r="B70" s="665"/>
      <c r="C70" s="571"/>
      <c r="D70" s="157"/>
      <c r="E70" s="570"/>
      <c r="F70" s="547"/>
      <c r="G70" s="578"/>
      <c r="H70" s="419"/>
      <c r="I70" s="239"/>
      <c r="J70" s="464" t="s">
        <v>692</v>
      </c>
      <c r="K70" s="420"/>
      <c r="L70" s="193"/>
      <c r="M70" s="377"/>
      <c r="O70" s="431"/>
      <c r="P70" s="157"/>
      <c r="Q70" s="404"/>
      <c r="R70" s="148"/>
      <c r="S70" s="242"/>
      <c r="T70" s="242"/>
      <c r="U70" s="242"/>
      <c r="V70" s="242"/>
      <c r="W70" s="242"/>
      <c r="X70" s="242"/>
      <c r="Y70" s="148"/>
      <c r="Z70" s="148"/>
    </row>
    <row r="71">
      <c r="C71" s="571"/>
      <c r="D71" s="157"/>
      <c r="E71" s="570"/>
      <c r="F71" s="547"/>
      <c r="G71" s="578"/>
      <c r="H71" s="419"/>
      <c r="I71" s="239"/>
      <c r="J71" s="464" t="s">
        <v>694</v>
      </c>
      <c r="K71" s="420"/>
      <c r="L71" s="193">
        <v>18.11</v>
      </c>
      <c r="M71" s="377" t="s">
        <v>970</v>
      </c>
      <c r="O71" s="431"/>
      <c r="P71" s="157"/>
      <c r="Q71" s="404"/>
      <c r="R71" s="148"/>
      <c r="S71" s="242"/>
      <c r="T71" s="242"/>
      <c r="U71" s="242"/>
      <c r="V71" s="242"/>
      <c r="W71" s="242"/>
      <c r="X71" s="242"/>
      <c r="Y71" s="148"/>
      <c r="Z71" s="148"/>
    </row>
    <row r="72">
      <c r="C72" s="571"/>
      <c r="D72" s="423"/>
      <c r="E72" s="570"/>
      <c r="F72" s="546"/>
      <c r="G72" s="578"/>
      <c r="H72" s="419"/>
      <c r="I72" s="57"/>
      <c r="J72" s="105"/>
      <c r="K72" s="57"/>
      <c r="L72" s="150"/>
      <c r="M72" s="57"/>
      <c r="N72" s="57"/>
      <c r="O72" s="57"/>
      <c r="P72" s="157"/>
      <c r="Q72" s="404"/>
      <c r="R72" s="148"/>
      <c r="S72" s="242"/>
      <c r="T72" s="242"/>
      <c r="U72" s="242"/>
      <c r="V72" s="242"/>
      <c r="W72" s="242"/>
      <c r="X72" s="242"/>
      <c r="Y72" s="148"/>
      <c r="Z72" s="148"/>
    </row>
    <row r="73">
      <c r="A73" s="125" t="s">
        <v>798</v>
      </c>
      <c r="B73" s="572">
        <f>C46-B50</f>
        <v>-463.08</v>
      </c>
      <c r="D73" s="157"/>
      <c r="E73" s="570"/>
      <c r="F73" s="573"/>
      <c r="G73" s="581"/>
      <c r="H73" s="419"/>
      <c r="I73" s="239"/>
      <c r="J73" s="568"/>
      <c r="K73" s="57"/>
      <c r="L73" s="150"/>
      <c r="M73" s="57"/>
      <c r="N73" s="57"/>
      <c r="O73" s="57"/>
      <c r="P73" s="157"/>
      <c r="Q73" s="404"/>
      <c r="R73" s="148"/>
      <c r="S73" s="242"/>
      <c r="T73" s="242"/>
      <c r="U73" s="242"/>
      <c r="V73" s="242"/>
      <c r="W73" s="242"/>
      <c r="X73" s="242"/>
      <c r="Y73" s="148"/>
      <c r="Z73" s="148"/>
    </row>
    <row r="74">
      <c r="A74" s="274" t="s">
        <v>783</v>
      </c>
      <c r="B74" s="109">
        <v>660.0</v>
      </c>
      <c r="C74" s="395"/>
      <c r="D74" s="157"/>
      <c r="E74" s="570"/>
      <c r="F74" s="573"/>
      <c r="G74" s="581"/>
      <c r="H74" s="419"/>
      <c r="I74" s="239"/>
      <c r="J74" s="568"/>
      <c r="K74" s="57"/>
      <c r="L74" s="150"/>
      <c r="M74" s="57"/>
      <c r="N74" s="57"/>
      <c r="O74" s="57"/>
      <c r="P74" s="157"/>
      <c r="Q74" s="404"/>
      <c r="R74" s="148"/>
      <c r="S74" s="242"/>
      <c r="T74" s="242"/>
      <c r="U74" s="242"/>
      <c r="V74" s="242"/>
      <c r="W74" s="242"/>
      <c r="X74" s="242"/>
      <c r="Y74" s="148"/>
      <c r="Z74" s="148"/>
    </row>
    <row r="75">
      <c r="A75" s="274" t="s">
        <v>784</v>
      </c>
      <c r="B75" s="109">
        <v>6350.0</v>
      </c>
      <c r="C75" s="395"/>
      <c r="D75" s="157"/>
      <c r="E75" s="570"/>
      <c r="F75" s="573"/>
      <c r="G75" s="581"/>
      <c r="H75" s="419"/>
      <c r="I75" s="239"/>
      <c r="J75" s="568"/>
      <c r="K75" s="57"/>
      <c r="L75" s="150"/>
      <c r="M75" s="57"/>
      <c r="N75" s="57"/>
      <c r="O75" s="57"/>
      <c r="P75" s="157"/>
      <c r="Q75" s="404"/>
      <c r="R75" s="148"/>
      <c r="S75" s="242"/>
      <c r="T75" s="242"/>
      <c r="U75" s="242"/>
      <c r="V75" s="242"/>
      <c r="W75" s="242"/>
      <c r="X75" s="242"/>
      <c r="Y75" s="148"/>
      <c r="Z75" s="148"/>
    </row>
    <row r="76">
      <c r="A76" s="274" t="s">
        <v>785</v>
      </c>
      <c r="B76" s="109"/>
      <c r="C76" s="395"/>
      <c r="D76" s="157"/>
      <c r="E76" s="570"/>
      <c r="F76" s="573"/>
      <c r="G76" s="581"/>
      <c r="H76" s="419"/>
      <c r="I76" s="239"/>
      <c r="J76" s="568"/>
      <c r="K76" s="57"/>
      <c r="L76" s="150"/>
      <c r="M76" s="57"/>
      <c r="N76" s="57"/>
      <c r="O76" s="57"/>
      <c r="P76" s="157"/>
      <c r="Q76" s="404"/>
      <c r="R76" s="148"/>
      <c r="S76" s="242"/>
      <c r="T76" s="242"/>
      <c r="U76" s="242"/>
      <c r="V76" s="242"/>
      <c r="W76" s="242"/>
      <c r="X76" s="242"/>
      <c r="Y76" s="148"/>
      <c r="Z76" s="148"/>
    </row>
    <row r="77">
      <c r="A77" s="402"/>
      <c r="B77" s="403"/>
      <c r="C77" s="403"/>
      <c r="D77" s="403"/>
      <c r="E77" s="574"/>
      <c r="F77" s="575"/>
      <c r="G77" s="576"/>
      <c r="H77" s="159"/>
      <c r="I77" s="159"/>
      <c r="J77" s="576"/>
      <c r="K77" s="159"/>
      <c r="L77" s="162"/>
      <c r="M77" s="402"/>
      <c r="N77" s="402"/>
      <c r="O77" s="159"/>
      <c r="P77" s="403"/>
      <c r="Q77" s="577"/>
      <c r="R77" s="148"/>
      <c r="S77" s="242"/>
      <c r="T77" s="242"/>
      <c r="U77" s="242"/>
      <c r="V77" s="242"/>
      <c r="W77" s="242"/>
      <c r="X77" s="242"/>
      <c r="Y77" s="148"/>
      <c r="Z77" s="148"/>
    </row>
    <row r="78" ht="9.75" customHeight="1">
      <c r="A78" s="338"/>
      <c r="B78" s="584"/>
      <c r="C78" s="148"/>
      <c r="D78" s="245"/>
      <c r="E78" s="585"/>
      <c r="F78" s="586"/>
      <c r="G78" s="243"/>
      <c r="H78" s="148"/>
      <c r="I78" s="251"/>
      <c r="J78" s="243"/>
      <c r="K78" s="148"/>
      <c r="L78" s="277"/>
      <c r="M78" s="252"/>
      <c r="N78" s="250"/>
      <c r="O78" s="253"/>
      <c r="P78" s="240"/>
      <c r="Q78" s="148"/>
      <c r="R78" s="148"/>
      <c r="S78" s="242"/>
      <c r="T78" s="242"/>
      <c r="U78" s="242"/>
      <c r="V78" s="242"/>
      <c r="W78" s="242"/>
      <c r="X78" s="242"/>
      <c r="Y78" s="148"/>
      <c r="Z78" s="148"/>
    </row>
    <row r="79">
      <c r="A79" s="169" t="s">
        <v>127</v>
      </c>
      <c r="B79" s="539"/>
      <c r="C79" s="540"/>
      <c r="D79" s="405"/>
      <c r="E79" s="541"/>
      <c r="F79" s="542"/>
      <c r="G79" s="467" t="s">
        <v>333</v>
      </c>
      <c r="H79" s="361"/>
      <c r="I79" s="57"/>
      <c r="J79" s="105"/>
      <c r="K79" s="57"/>
      <c r="L79" s="150"/>
      <c r="M79" s="239"/>
      <c r="N79" s="239"/>
      <c r="O79" s="57"/>
      <c r="P79" s="157"/>
      <c r="Q79" s="404"/>
      <c r="R79" s="148"/>
      <c r="S79" s="242"/>
      <c r="T79" s="242"/>
      <c r="U79" s="242"/>
      <c r="V79" s="242"/>
      <c r="W79" s="242"/>
      <c r="X79" s="242"/>
      <c r="Y79" s="148"/>
      <c r="Z79" s="148"/>
    </row>
    <row r="80">
      <c r="A80" s="468"/>
      <c r="B80" s="157"/>
      <c r="C80" s="466"/>
      <c r="D80" s="405"/>
      <c r="E80" s="543" t="s">
        <v>335</v>
      </c>
      <c r="F80" s="544" t="s">
        <v>237</v>
      </c>
      <c r="G80" s="412" t="s">
        <v>336</v>
      </c>
      <c r="H80" s="413" t="s">
        <v>337</v>
      </c>
      <c r="I80" s="239"/>
      <c r="J80" s="145" t="s">
        <v>60</v>
      </c>
      <c r="K80" s="57"/>
      <c r="L80" s="150"/>
      <c r="M80" s="414"/>
      <c r="N80" s="414"/>
      <c r="O80" s="57" t="s">
        <v>334</v>
      </c>
      <c r="P80" s="157"/>
      <c r="Q80" s="404"/>
      <c r="R80" s="148"/>
      <c r="S80" s="242"/>
      <c r="T80" s="242"/>
      <c r="U80" s="242"/>
      <c r="V80" s="242"/>
      <c r="W80" s="242"/>
      <c r="X80" s="242"/>
      <c r="Y80" s="148"/>
      <c r="Z80" s="148"/>
    </row>
    <row r="81">
      <c r="A81" s="470" t="s">
        <v>179</v>
      </c>
      <c r="C81" s="416">
        <f>SUM(F81:F115)</f>
        <v>5760</v>
      </c>
      <c r="D81" s="405"/>
      <c r="E81" s="545"/>
      <c r="F81" s="546"/>
      <c r="G81" s="578"/>
      <c r="H81" s="419"/>
      <c r="I81" s="57"/>
      <c r="K81" s="57"/>
      <c r="L81" s="150"/>
      <c r="M81" s="377" t="s">
        <v>366</v>
      </c>
      <c r="P81" s="157"/>
      <c r="Q81" s="404"/>
      <c r="R81" s="148"/>
      <c r="S81" s="242"/>
      <c r="T81" s="242"/>
      <c r="U81" s="242"/>
      <c r="V81" s="242"/>
      <c r="W81" s="242"/>
      <c r="X81" s="242"/>
      <c r="Y81" s="148"/>
      <c r="Z81" s="148"/>
    </row>
    <row r="82">
      <c r="A82" s="421" t="s">
        <v>343</v>
      </c>
      <c r="B82" s="422" t="s">
        <v>321</v>
      </c>
      <c r="C82" s="416">
        <f>SUM(P82:P115)</f>
        <v>1270</v>
      </c>
      <c r="D82" s="157"/>
      <c r="E82" s="545"/>
      <c r="F82" s="546"/>
      <c r="G82" s="578"/>
      <c r="H82" s="419"/>
      <c r="I82" s="239"/>
      <c r="J82" s="471" t="s">
        <v>341</v>
      </c>
      <c r="K82" s="420"/>
      <c r="L82" s="150"/>
      <c r="M82" s="374"/>
      <c r="O82" s="426" t="s">
        <v>971</v>
      </c>
      <c r="P82" s="423">
        <v>80.0</v>
      </c>
      <c r="Q82" s="404"/>
      <c r="R82" s="148"/>
      <c r="S82" s="242"/>
      <c r="T82" s="242"/>
      <c r="U82" s="242"/>
      <c r="V82" s="242"/>
      <c r="W82" s="242"/>
      <c r="X82" s="242"/>
      <c r="Y82" s="148"/>
      <c r="Z82" s="148"/>
    </row>
    <row r="83">
      <c r="A83" s="427" t="s">
        <v>201</v>
      </c>
      <c r="C83" s="204">
        <f>SUM(L82:L115)</f>
        <v>3685</v>
      </c>
      <c r="D83" s="157"/>
      <c r="E83" s="545"/>
      <c r="F83" s="546"/>
      <c r="G83" s="578"/>
      <c r="H83" s="419"/>
      <c r="I83" s="239"/>
      <c r="J83" s="472" t="s">
        <v>345</v>
      </c>
      <c r="K83" s="420"/>
      <c r="L83" s="150"/>
      <c r="M83" s="374"/>
      <c r="O83" s="426" t="s">
        <v>873</v>
      </c>
      <c r="P83" s="423">
        <v>520.0</v>
      </c>
      <c r="Q83" s="404"/>
      <c r="R83" s="148"/>
      <c r="S83" s="242"/>
      <c r="T83" s="242"/>
      <c r="U83" s="242"/>
      <c r="V83" s="242"/>
      <c r="W83" s="242"/>
      <c r="X83" s="242"/>
      <c r="Y83" s="148"/>
      <c r="Z83" s="148"/>
    </row>
    <row r="84">
      <c r="A84" s="548" t="s">
        <v>761</v>
      </c>
      <c r="B84" s="549">
        <v>0.4</v>
      </c>
      <c r="C84" s="191">
        <v>508.0</v>
      </c>
      <c r="D84" s="157"/>
      <c r="E84" s="550" t="s">
        <v>695</v>
      </c>
      <c r="F84" s="546">
        <v>630.0</v>
      </c>
      <c r="G84" s="562"/>
      <c r="H84" s="419"/>
      <c r="I84" s="239"/>
      <c r="J84" s="433" t="s">
        <v>656</v>
      </c>
      <c r="K84" s="420"/>
      <c r="L84" s="193">
        <v>127.0</v>
      </c>
      <c r="M84" s="377" t="s">
        <v>723</v>
      </c>
      <c r="O84" s="426" t="s">
        <v>815</v>
      </c>
      <c r="P84" s="423">
        <v>210.0</v>
      </c>
      <c r="Q84" s="404"/>
      <c r="R84" s="148"/>
      <c r="S84" s="242"/>
      <c r="T84" s="242"/>
      <c r="U84" s="242"/>
      <c r="V84" s="242"/>
      <c r="W84" s="242"/>
      <c r="X84" s="242"/>
      <c r="Y84" s="148"/>
      <c r="Z84" s="148"/>
    </row>
    <row r="85">
      <c r="A85" s="434" t="s">
        <v>350</v>
      </c>
      <c r="C85" s="551">
        <f>C81-C83-C84</f>
        <v>1567</v>
      </c>
      <c r="D85" s="157"/>
      <c r="E85" s="192" t="s">
        <v>957</v>
      </c>
      <c r="F85" s="546">
        <v>800.0</v>
      </c>
      <c r="G85" s="562"/>
      <c r="H85" s="419"/>
      <c r="I85" s="57"/>
      <c r="J85" s="444" t="s">
        <v>658</v>
      </c>
      <c r="K85" s="420"/>
      <c r="L85" s="193">
        <v>24.0</v>
      </c>
      <c r="M85" s="377"/>
      <c r="O85" s="426" t="s">
        <v>820</v>
      </c>
      <c r="P85" s="423">
        <v>180.0</v>
      </c>
      <c r="Q85" s="404"/>
      <c r="R85" s="148"/>
      <c r="S85" s="242"/>
      <c r="T85" s="242"/>
      <c r="U85" s="242"/>
      <c r="V85" s="242"/>
      <c r="W85" s="242"/>
      <c r="X85" s="242"/>
      <c r="Y85" s="148"/>
      <c r="Z85" s="148"/>
    </row>
    <row r="86">
      <c r="A86" s="554"/>
      <c r="B86" s="555"/>
      <c r="C86" s="447"/>
      <c r="D86" s="157"/>
      <c r="E86" s="192" t="s">
        <v>433</v>
      </c>
      <c r="F86" s="546">
        <v>100.0</v>
      </c>
      <c r="G86" s="578"/>
      <c r="H86" s="419"/>
      <c r="I86" s="57"/>
      <c r="J86" s="444" t="s">
        <v>660</v>
      </c>
      <c r="K86" s="420"/>
      <c r="L86" s="193">
        <v>160.0</v>
      </c>
      <c r="M86" s="377"/>
      <c r="O86" s="426" t="s">
        <v>972</v>
      </c>
      <c r="P86" s="423">
        <v>280.0</v>
      </c>
      <c r="Q86" s="404"/>
      <c r="R86" s="148"/>
      <c r="S86" s="242"/>
      <c r="T86" s="242"/>
      <c r="U86" s="242"/>
      <c r="V86" s="242"/>
      <c r="W86" s="242"/>
      <c r="X86" s="242"/>
      <c r="Y86" s="148"/>
      <c r="Z86" s="148"/>
    </row>
    <row r="87">
      <c r="A87" s="556"/>
      <c r="C87" s="395"/>
      <c r="D87" s="157"/>
      <c r="E87" s="192" t="s">
        <v>874</v>
      </c>
      <c r="F87" s="546">
        <v>120.0</v>
      </c>
      <c r="G87" s="579"/>
      <c r="H87" s="419"/>
      <c r="I87" s="239"/>
      <c r="J87" s="370" t="s">
        <v>662</v>
      </c>
      <c r="K87" s="420"/>
      <c r="L87" s="193">
        <v>46.0</v>
      </c>
      <c r="M87" s="377" t="s">
        <v>973</v>
      </c>
      <c r="O87" s="431"/>
      <c r="P87" s="157"/>
      <c r="Q87" s="404"/>
      <c r="R87" s="148"/>
      <c r="S87" s="242"/>
      <c r="T87" s="242"/>
      <c r="U87" s="242"/>
      <c r="V87" s="242"/>
      <c r="W87" s="242"/>
      <c r="X87" s="242"/>
      <c r="Y87" s="148"/>
      <c r="Z87" s="148"/>
    </row>
    <row r="88" ht="21.75" customHeight="1">
      <c r="A88" s="557"/>
      <c r="B88" s="109"/>
      <c r="C88" s="395"/>
      <c r="D88" s="373"/>
      <c r="E88" s="192" t="s">
        <v>974</v>
      </c>
      <c r="F88" s="546">
        <v>1150.0</v>
      </c>
      <c r="G88" s="578"/>
      <c r="H88" s="419"/>
      <c r="I88" s="239"/>
      <c r="J88" s="433" t="s">
        <v>666</v>
      </c>
      <c r="K88" s="420"/>
      <c r="L88" s="150"/>
      <c r="M88" s="374"/>
      <c r="O88" s="431"/>
      <c r="P88" s="157"/>
      <c r="Q88" s="404"/>
      <c r="R88" s="148"/>
      <c r="S88" s="242"/>
      <c r="T88" s="242"/>
      <c r="U88" s="242"/>
      <c r="V88" s="242"/>
      <c r="W88" s="242"/>
      <c r="X88" s="242"/>
      <c r="Y88" s="148"/>
      <c r="Z88" s="148"/>
    </row>
    <row r="89" ht="17.25" customHeight="1">
      <c r="A89" s="559" t="s">
        <v>765</v>
      </c>
      <c r="B89" s="560">
        <f>SUM(D89:D115)</f>
        <v>2158.31</v>
      </c>
      <c r="C89" s="477" t="s">
        <v>366</v>
      </c>
      <c r="D89" s="157"/>
      <c r="E89" s="192" t="s">
        <v>975</v>
      </c>
      <c r="F89" s="546">
        <v>750.0</v>
      </c>
      <c r="G89" s="578"/>
      <c r="H89" s="419"/>
      <c r="I89" s="239"/>
      <c r="J89" s="433" t="s">
        <v>668</v>
      </c>
      <c r="K89" s="420"/>
      <c r="L89" s="193"/>
      <c r="M89" s="377"/>
      <c r="O89" s="431"/>
      <c r="P89" s="157"/>
      <c r="Q89" s="404"/>
      <c r="R89" s="148"/>
      <c r="S89" s="242"/>
      <c r="T89" s="242"/>
      <c r="U89" s="242"/>
      <c r="V89" s="242"/>
      <c r="W89" s="242"/>
      <c r="X89" s="242"/>
      <c r="Y89" s="148"/>
      <c r="Z89" s="148"/>
    </row>
    <row r="90">
      <c r="A90" s="453" t="s">
        <v>369</v>
      </c>
      <c r="C90" s="561" t="s">
        <v>766</v>
      </c>
      <c r="D90" s="423">
        <v>396.46</v>
      </c>
      <c r="E90" s="192" t="s">
        <v>976</v>
      </c>
      <c r="F90" s="546">
        <v>80.0</v>
      </c>
      <c r="G90" s="558" t="s">
        <v>426</v>
      </c>
      <c r="H90" s="419"/>
      <c r="I90" s="239"/>
      <c r="J90" s="433" t="s">
        <v>670</v>
      </c>
      <c r="K90" s="458"/>
      <c r="L90" s="193">
        <v>1250.0</v>
      </c>
      <c r="M90" s="377"/>
      <c r="O90" s="431"/>
      <c r="P90" s="157"/>
      <c r="Q90" s="404"/>
      <c r="R90" s="148"/>
      <c r="S90" s="242"/>
      <c r="T90" s="242"/>
      <c r="U90" s="242"/>
      <c r="V90" s="242"/>
      <c r="W90" s="242"/>
      <c r="X90" s="242"/>
      <c r="Y90" s="148"/>
      <c r="Z90" s="148"/>
    </row>
    <row r="91" ht="14.25" customHeight="1">
      <c r="C91" s="561" t="s">
        <v>977</v>
      </c>
      <c r="D91" s="423">
        <v>280.21</v>
      </c>
      <c r="E91" s="192" t="s">
        <v>873</v>
      </c>
      <c r="F91" s="546">
        <v>260.0</v>
      </c>
      <c r="G91" s="558" t="s">
        <v>426</v>
      </c>
      <c r="H91" s="419"/>
      <c r="I91" s="239"/>
      <c r="J91" s="433" t="s">
        <v>217</v>
      </c>
      <c r="K91" s="458"/>
      <c r="L91" s="150"/>
      <c r="M91" s="377"/>
      <c r="O91" s="431"/>
      <c r="P91" s="157"/>
      <c r="Q91" s="404"/>
      <c r="R91" s="148"/>
      <c r="S91" s="242"/>
      <c r="T91" s="242"/>
      <c r="U91" s="242"/>
      <c r="V91" s="242"/>
      <c r="W91" s="242"/>
      <c r="X91" s="242"/>
      <c r="Y91" s="148"/>
      <c r="Z91" s="148"/>
    </row>
    <row r="92">
      <c r="A92" s="57"/>
      <c r="B92" s="57"/>
      <c r="C92" s="561" t="s">
        <v>768</v>
      </c>
      <c r="D92" s="423">
        <v>60.64</v>
      </c>
      <c r="E92" s="192" t="s">
        <v>978</v>
      </c>
      <c r="F92" s="546">
        <v>600.0</v>
      </c>
      <c r="G92" s="562"/>
      <c r="H92" s="419"/>
      <c r="I92" s="239"/>
      <c r="J92" s="109"/>
      <c r="K92" s="420"/>
      <c r="L92" s="193"/>
      <c r="M92" s="374"/>
      <c r="O92" s="431"/>
      <c r="P92" s="157"/>
      <c r="Q92" s="404"/>
      <c r="R92" s="148"/>
      <c r="S92" s="242"/>
      <c r="T92" s="242"/>
      <c r="U92" s="242"/>
      <c r="V92" s="242"/>
      <c r="W92" s="242"/>
      <c r="X92" s="242"/>
      <c r="Y92" s="148"/>
      <c r="Z92" s="148"/>
    </row>
    <row r="93">
      <c r="A93" s="57"/>
      <c r="B93" s="57"/>
      <c r="C93" s="561" t="s">
        <v>769</v>
      </c>
      <c r="D93" s="157"/>
      <c r="E93" s="192" t="s">
        <v>900</v>
      </c>
      <c r="F93" s="546">
        <v>210.0</v>
      </c>
      <c r="G93" s="558" t="s">
        <v>426</v>
      </c>
      <c r="H93" s="419"/>
      <c r="I93" s="239"/>
      <c r="J93" s="456" t="s">
        <v>672</v>
      </c>
      <c r="K93" s="420"/>
      <c r="L93" s="150"/>
      <c r="M93" s="377"/>
      <c r="O93" s="431"/>
      <c r="P93" s="157"/>
      <c r="Q93" s="404"/>
      <c r="R93" s="148"/>
      <c r="S93" s="242"/>
      <c r="T93" s="242"/>
      <c r="U93" s="242"/>
      <c r="V93" s="242"/>
      <c r="W93" s="242"/>
      <c r="X93" s="242"/>
      <c r="Y93" s="148"/>
      <c r="Z93" s="148"/>
    </row>
    <row r="94">
      <c r="A94" s="57"/>
      <c r="B94" s="57"/>
      <c r="C94" s="561" t="s">
        <v>770</v>
      </c>
      <c r="D94" s="423"/>
      <c r="E94" s="192" t="s">
        <v>979</v>
      </c>
      <c r="F94" s="546">
        <v>200.0</v>
      </c>
      <c r="G94" s="578"/>
      <c r="H94" s="419"/>
      <c r="I94" s="57"/>
      <c r="J94" s="456" t="s">
        <v>675</v>
      </c>
      <c r="K94" s="420"/>
      <c r="L94" s="150"/>
      <c r="M94" s="382"/>
      <c r="O94" s="431"/>
      <c r="P94" s="157"/>
      <c r="Q94" s="404"/>
      <c r="R94" s="148"/>
      <c r="S94" s="242"/>
      <c r="T94" s="242"/>
      <c r="U94" s="242"/>
      <c r="V94" s="242"/>
      <c r="W94" s="242"/>
      <c r="X94" s="242"/>
      <c r="Y94" s="148"/>
      <c r="Z94" s="148"/>
    </row>
    <row r="95">
      <c r="A95" s="57"/>
      <c r="B95" s="57"/>
      <c r="C95" s="561" t="s">
        <v>793</v>
      </c>
      <c r="D95" s="423">
        <v>250.0</v>
      </c>
      <c r="E95" s="192" t="s">
        <v>820</v>
      </c>
      <c r="F95" s="546">
        <v>180.0</v>
      </c>
      <c r="G95" s="558" t="s">
        <v>980</v>
      </c>
      <c r="H95" s="419"/>
      <c r="I95" s="57"/>
      <c r="J95" s="456"/>
      <c r="K95" s="420"/>
      <c r="L95" s="150"/>
      <c r="M95" s="425"/>
      <c r="O95" s="431"/>
      <c r="P95" s="157"/>
      <c r="Q95" s="404"/>
      <c r="R95" s="148"/>
      <c r="S95" s="242"/>
      <c r="T95" s="242"/>
      <c r="U95" s="242"/>
      <c r="V95" s="242"/>
      <c r="W95" s="242"/>
      <c r="X95" s="242"/>
      <c r="Y95" s="148"/>
      <c r="Z95" s="148"/>
    </row>
    <row r="96">
      <c r="A96" s="239"/>
      <c r="B96" s="57"/>
      <c r="C96" s="561" t="s">
        <v>794</v>
      </c>
      <c r="D96" s="423"/>
      <c r="E96" s="192" t="s">
        <v>972</v>
      </c>
      <c r="F96" s="546">
        <v>280.0</v>
      </c>
      <c r="G96" s="558" t="s">
        <v>426</v>
      </c>
      <c r="H96" s="419"/>
      <c r="I96" s="57"/>
      <c r="J96" s="375"/>
      <c r="K96" s="420"/>
      <c r="L96" s="150"/>
      <c r="M96" s="425"/>
      <c r="O96" s="431"/>
      <c r="P96" s="157"/>
      <c r="Q96" s="404"/>
      <c r="R96" s="148"/>
      <c r="S96" s="242"/>
      <c r="T96" s="242"/>
      <c r="U96" s="242"/>
      <c r="V96" s="242"/>
      <c r="W96" s="242"/>
      <c r="X96" s="242"/>
      <c r="Y96" s="148"/>
      <c r="Z96" s="148"/>
    </row>
    <row r="97">
      <c r="A97" s="239"/>
      <c r="B97" s="57"/>
      <c r="C97" s="561" t="s">
        <v>18</v>
      </c>
      <c r="D97" s="423"/>
      <c r="E97" s="192" t="s">
        <v>981</v>
      </c>
      <c r="F97" s="546">
        <v>400.0</v>
      </c>
      <c r="G97" s="578"/>
      <c r="H97" s="419"/>
      <c r="I97" s="57"/>
      <c r="J97" s="375"/>
      <c r="K97" s="420"/>
      <c r="L97" s="193"/>
      <c r="M97" s="382"/>
      <c r="O97" s="431"/>
      <c r="P97" s="157"/>
      <c r="Q97" s="404"/>
      <c r="R97" s="148"/>
      <c r="S97" s="242"/>
      <c r="T97" s="242"/>
      <c r="U97" s="242"/>
      <c r="V97" s="242"/>
      <c r="W97" s="242"/>
      <c r="X97" s="242"/>
      <c r="Y97" s="148"/>
      <c r="Z97" s="148"/>
    </row>
    <row r="98">
      <c r="A98" s="239"/>
      <c r="B98" s="57"/>
      <c r="C98" s="561" t="s">
        <v>773</v>
      </c>
      <c r="D98" s="423"/>
      <c r="E98" s="192"/>
      <c r="F98" s="546"/>
      <c r="G98" s="579"/>
      <c r="H98" s="419"/>
      <c r="I98" s="57"/>
      <c r="J98" s="452"/>
      <c r="K98" s="420"/>
      <c r="L98" s="150"/>
      <c r="M98" s="425"/>
      <c r="O98" s="431"/>
      <c r="P98" s="157"/>
      <c r="Q98" s="404"/>
      <c r="R98" s="148"/>
      <c r="S98" s="242"/>
      <c r="T98" s="242"/>
      <c r="U98" s="242"/>
      <c r="V98" s="242"/>
      <c r="W98" s="242"/>
      <c r="X98" s="242"/>
      <c r="Y98" s="148"/>
      <c r="Z98" s="148"/>
    </row>
    <row r="99">
      <c r="A99" s="215" t="s">
        <v>982</v>
      </c>
      <c r="C99" s="561" t="s">
        <v>774</v>
      </c>
      <c r="D99" s="423">
        <v>650.0</v>
      </c>
      <c r="E99" s="192"/>
      <c r="F99" s="546"/>
      <c r="G99" s="578"/>
      <c r="H99" s="419"/>
      <c r="I99" s="57"/>
      <c r="J99" s="105"/>
      <c r="K99" s="420"/>
      <c r="L99" s="150"/>
      <c r="M99" s="425"/>
      <c r="O99" s="431"/>
      <c r="P99" s="157"/>
      <c r="Q99" s="404"/>
      <c r="R99" s="148"/>
      <c r="S99" s="242"/>
      <c r="T99" s="242"/>
      <c r="U99" s="242"/>
      <c r="V99" s="242"/>
      <c r="W99" s="242"/>
      <c r="X99" s="242"/>
      <c r="Y99" s="148"/>
      <c r="Z99" s="148"/>
    </row>
    <row r="100">
      <c r="A100" s="238" t="s">
        <v>983</v>
      </c>
      <c r="B100" s="239"/>
      <c r="C100" s="561" t="s">
        <v>775</v>
      </c>
      <c r="D100" s="423">
        <v>339.0</v>
      </c>
      <c r="E100" s="192"/>
      <c r="F100" s="546"/>
      <c r="G100" s="578"/>
      <c r="H100" s="419"/>
      <c r="I100" s="57"/>
      <c r="J100" s="378" t="s">
        <v>682</v>
      </c>
      <c r="K100" s="420"/>
      <c r="L100" s="193">
        <v>20.0</v>
      </c>
      <c r="M100" s="377" t="s">
        <v>984</v>
      </c>
      <c r="O100" s="431"/>
      <c r="P100" s="157"/>
      <c r="Q100" s="404"/>
      <c r="R100" s="148"/>
      <c r="S100" s="242"/>
      <c r="T100" s="242"/>
      <c r="U100" s="242"/>
      <c r="V100" s="242"/>
      <c r="W100" s="242"/>
      <c r="X100" s="242"/>
      <c r="Y100" s="148"/>
      <c r="Z100" s="148"/>
    </row>
    <row r="101">
      <c r="A101" s="239"/>
      <c r="B101" s="239"/>
      <c r="C101" s="561" t="s">
        <v>10</v>
      </c>
      <c r="D101" s="157"/>
      <c r="E101" s="192"/>
      <c r="F101" s="580"/>
      <c r="G101" s="581"/>
      <c r="H101" s="419"/>
      <c r="I101" s="57"/>
      <c r="J101" s="461" t="s">
        <v>684</v>
      </c>
      <c r="K101" s="420"/>
      <c r="L101" s="193">
        <v>100.0</v>
      </c>
      <c r="M101" s="377" t="s">
        <v>985</v>
      </c>
      <c r="O101" s="431"/>
      <c r="P101" s="157"/>
      <c r="Q101" s="404"/>
      <c r="R101" s="148"/>
      <c r="S101" s="242"/>
      <c r="T101" s="242"/>
      <c r="U101" s="242"/>
      <c r="V101" s="242"/>
      <c r="W101" s="242"/>
      <c r="X101" s="242"/>
      <c r="Y101" s="148"/>
      <c r="Z101" s="148"/>
    </row>
    <row r="102">
      <c r="A102" s="238" t="s">
        <v>986</v>
      </c>
      <c r="B102" s="239"/>
      <c r="C102" s="561" t="s">
        <v>6</v>
      </c>
      <c r="D102" s="423">
        <v>140.0</v>
      </c>
      <c r="E102" s="192"/>
      <c r="F102" s="546"/>
      <c r="G102" s="562"/>
      <c r="H102" s="455"/>
      <c r="I102" s="57"/>
      <c r="J102" s="461" t="s">
        <v>686</v>
      </c>
      <c r="K102" s="420"/>
      <c r="L102" s="193"/>
      <c r="M102" s="374"/>
      <c r="O102" s="463"/>
      <c r="P102" s="157"/>
      <c r="Q102" s="404"/>
      <c r="R102" s="148"/>
      <c r="S102" s="242"/>
      <c r="T102" s="242"/>
      <c r="U102" s="242"/>
      <c r="V102" s="242"/>
      <c r="W102" s="242"/>
      <c r="X102" s="242"/>
      <c r="Y102" s="148"/>
      <c r="Z102" s="148"/>
    </row>
    <row r="103">
      <c r="A103" s="57"/>
      <c r="B103" s="57"/>
      <c r="C103" s="561" t="s">
        <v>779</v>
      </c>
      <c r="D103" s="157"/>
      <c r="E103" s="228"/>
      <c r="F103" s="547"/>
      <c r="G103" s="579"/>
      <c r="H103" s="455"/>
      <c r="I103" s="239"/>
      <c r="J103" s="460" t="s">
        <v>202</v>
      </c>
      <c r="K103" s="420"/>
      <c r="L103" s="193"/>
      <c r="M103" s="377"/>
      <c r="O103" s="463"/>
      <c r="P103" s="157"/>
      <c r="Q103" s="404"/>
      <c r="R103" s="148"/>
      <c r="S103" s="242"/>
      <c r="T103" s="242"/>
      <c r="U103" s="242"/>
      <c r="V103" s="242"/>
      <c r="W103" s="242"/>
      <c r="X103" s="242"/>
      <c r="Y103" s="148"/>
      <c r="Z103" s="148"/>
    </row>
    <row r="104">
      <c r="A104" s="239"/>
      <c r="B104" s="239"/>
      <c r="C104" s="561" t="s">
        <v>780</v>
      </c>
      <c r="D104" s="423"/>
      <c r="E104" s="228"/>
      <c r="F104" s="547"/>
      <c r="G104" s="579"/>
      <c r="H104" s="455"/>
      <c r="I104" s="57"/>
      <c r="J104" s="460" t="s">
        <v>274</v>
      </c>
      <c r="K104" s="420"/>
      <c r="L104" s="193">
        <v>213.0</v>
      </c>
      <c r="M104" s="374"/>
      <c r="O104" s="463"/>
      <c r="P104" s="157"/>
      <c r="Q104" s="404"/>
      <c r="R104" s="148"/>
      <c r="S104" s="242"/>
      <c r="T104" s="242"/>
      <c r="U104" s="242"/>
      <c r="V104" s="242"/>
      <c r="W104" s="242"/>
      <c r="X104" s="242"/>
      <c r="Y104" s="148"/>
      <c r="Z104" s="148"/>
    </row>
    <row r="105">
      <c r="A105" s="238" t="s">
        <v>987</v>
      </c>
      <c r="B105" s="239"/>
      <c r="C105" s="561" t="s">
        <v>781</v>
      </c>
      <c r="D105" s="423">
        <v>42.0</v>
      </c>
      <c r="E105" s="228"/>
      <c r="F105" s="547"/>
      <c r="G105" s="579"/>
      <c r="H105" s="419"/>
      <c r="I105" s="239"/>
      <c r="J105" s="568"/>
      <c r="K105" s="420"/>
      <c r="L105" s="150"/>
      <c r="M105" s="374"/>
      <c r="O105" s="431"/>
      <c r="P105" s="157"/>
      <c r="Q105" s="404"/>
      <c r="R105" s="148"/>
      <c r="S105" s="242"/>
      <c r="T105" s="242"/>
      <c r="U105" s="242"/>
      <c r="V105" s="242"/>
      <c r="W105" s="242"/>
      <c r="X105" s="242"/>
      <c r="Y105" s="148"/>
      <c r="Z105" s="148"/>
    </row>
    <row r="106">
      <c r="A106" s="239"/>
      <c r="B106" s="157"/>
      <c r="C106" s="561"/>
      <c r="D106" s="157"/>
      <c r="E106" s="569"/>
      <c r="F106" s="547"/>
      <c r="G106" s="578"/>
      <c r="H106" s="419"/>
      <c r="I106" s="57"/>
      <c r="J106" s="374"/>
      <c r="K106" s="420"/>
      <c r="L106" s="193"/>
      <c r="M106" s="377"/>
      <c r="O106" s="431"/>
      <c r="P106" s="157"/>
      <c r="Q106" s="404"/>
      <c r="R106" s="148"/>
      <c r="S106" s="242"/>
      <c r="T106" s="242"/>
      <c r="U106" s="242"/>
      <c r="V106" s="242"/>
      <c r="W106" s="242"/>
      <c r="X106" s="242"/>
      <c r="Y106" s="148"/>
      <c r="Z106" s="148"/>
    </row>
    <row r="107">
      <c r="A107" s="239"/>
      <c r="B107" s="157"/>
      <c r="C107" s="561"/>
      <c r="D107" s="157"/>
      <c r="E107" s="228"/>
      <c r="F107" s="547"/>
      <c r="G107" s="578"/>
      <c r="H107" s="419"/>
      <c r="I107" s="239"/>
      <c r="J107" s="596" t="s">
        <v>955</v>
      </c>
      <c r="K107" s="420"/>
      <c r="L107" s="193">
        <v>1745.0</v>
      </c>
      <c r="M107" s="377" t="s">
        <v>988</v>
      </c>
      <c r="O107" s="431"/>
      <c r="P107" s="157"/>
      <c r="Q107" s="404"/>
      <c r="R107" s="148"/>
      <c r="S107" s="242"/>
      <c r="T107" s="242"/>
      <c r="U107" s="242"/>
      <c r="V107" s="242"/>
      <c r="W107" s="242"/>
      <c r="X107" s="242"/>
      <c r="Y107" s="148"/>
      <c r="Z107" s="148"/>
    </row>
    <row r="108">
      <c r="A108" s="239"/>
      <c r="B108" s="157"/>
      <c r="C108" s="561"/>
      <c r="D108" s="157"/>
      <c r="E108" s="570"/>
      <c r="F108" s="547"/>
      <c r="G108" s="578"/>
      <c r="H108" s="419"/>
      <c r="I108" s="239"/>
      <c r="J108" s="568"/>
      <c r="K108" s="420"/>
      <c r="L108" s="193"/>
      <c r="M108" s="374"/>
      <c r="O108" s="431"/>
      <c r="P108" s="157"/>
      <c r="Q108" s="404"/>
      <c r="R108" s="148"/>
      <c r="S108" s="242"/>
      <c r="T108" s="242"/>
      <c r="U108" s="242"/>
      <c r="V108" s="242"/>
      <c r="W108" s="242"/>
      <c r="X108" s="242"/>
      <c r="Y108" s="148"/>
      <c r="Z108" s="148"/>
    </row>
    <row r="109">
      <c r="C109" s="571"/>
      <c r="D109" s="157"/>
      <c r="E109" s="570"/>
      <c r="F109" s="547"/>
      <c r="G109" s="578"/>
      <c r="H109" s="419"/>
      <c r="I109" s="239"/>
      <c r="J109" s="464" t="s">
        <v>692</v>
      </c>
      <c r="K109" s="420"/>
      <c r="L109" s="150"/>
      <c r="M109" s="377"/>
      <c r="O109" s="431"/>
      <c r="P109" s="157"/>
      <c r="Q109" s="404"/>
      <c r="R109" s="148"/>
      <c r="S109" s="242"/>
      <c r="T109" s="242"/>
      <c r="U109" s="242"/>
      <c r="V109" s="242"/>
      <c r="W109" s="242"/>
      <c r="X109" s="242"/>
      <c r="Y109" s="148"/>
      <c r="Z109" s="148"/>
    </row>
    <row r="110">
      <c r="C110" s="571"/>
      <c r="D110" s="157"/>
      <c r="E110" s="570"/>
      <c r="F110" s="547"/>
      <c r="G110" s="578"/>
      <c r="H110" s="419"/>
      <c r="I110" s="239"/>
      <c r="J110" s="464" t="s">
        <v>694</v>
      </c>
      <c r="K110" s="420"/>
      <c r="L110" s="193"/>
      <c r="M110" s="374"/>
      <c r="O110" s="431"/>
      <c r="P110" s="157"/>
      <c r="Q110" s="404"/>
      <c r="R110" s="148"/>
      <c r="S110" s="242"/>
      <c r="T110" s="242"/>
      <c r="U110" s="242"/>
      <c r="V110" s="242"/>
      <c r="W110" s="242"/>
      <c r="X110" s="242"/>
      <c r="Y110" s="148"/>
      <c r="Z110" s="148"/>
    </row>
    <row r="111">
      <c r="C111" s="571"/>
      <c r="D111" s="423"/>
      <c r="E111" s="570"/>
      <c r="F111" s="546"/>
      <c r="G111" s="578"/>
      <c r="H111" s="419"/>
      <c r="I111" s="57"/>
      <c r="J111" s="105"/>
      <c r="K111" s="57"/>
      <c r="L111" s="193"/>
      <c r="M111" s="57"/>
      <c r="N111" s="57"/>
      <c r="O111" s="57"/>
      <c r="P111" s="157"/>
      <c r="Q111" s="404"/>
      <c r="R111" s="148"/>
      <c r="S111" s="242"/>
      <c r="T111" s="242"/>
      <c r="U111" s="242"/>
      <c r="V111" s="242"/>
      <c r="W111" s="242"/>
      <c r="X111" s="242"/>
      <c r="Y111" s="148"/>
      <c r="Z111" s="148"/>
    </row>
    <row r="112">
      <c r="A112" s="125" t="s">
        <v>798</v>
      </c>
      <c r="B112" s="572">
        <f>C85-B89</f>
        <v>-591.31</v>
      </c>
      <c r="D112" s="157"/>
      <c r="E112" s="570"/>
      <c r="F112" s="573"/>
      <c r="G112" s="581"/>
      <c r="H112" s="419"/>
      <c r="I112" s="239"/>
      <c r="J112" s="568"/>
      <c r="K112" s="57"/>
      <c r="L112" s="150"/>
      <c r="M112" s="57"/>
      <c r="N112" s="57"/>
      <c r="O112" s="57"/>
      <c r="P112" s="157"/>
      <c r="Q112" s="404"/>
      <c r="R112" s="148"/>
      <c r="S112" s="242"/>
      <c r="T112" s="242"/>
      <c r="U112" s="242"/>
      <c r="V112" s="242"/>
      <c r="W112" s="242"/>
      <c r="X112" s="242"/>
      <c r="Y112" s="148"/>
      <c r="Z112" s="148"/>
    </row>
    <row r="113">
      <c r="A113" s="274" t="s">
        <v>783</v>
      </c>
      <c r="B113" s="109">
        <v>732.0</v>
      </c>
      <c r="C113" s="395"/>
      <c r="D113" s="157"/>
      <c r="E113" s="570"/>
      <c r="F113" s="573"/>
      <c r="G113" s="581"/>
      <c r="H113" s="419"/>
      <c r="I113" s="239"/>
      <c r="J113" s="568"/>
      <c r="K113" s="57"/>
      <c r="L113" s="150"/>
      <c r="M113" s="57"/>
      <c r="N113" s="57"/>
      <c r="O113" s="57"/>
      <c r="P113" s="157"/>
      <c r="Q113" s="404"/>
      <c r="R113" s="148"/>
      <c r="S113" s="242"/>
      <c r="T113" s="242"/>
      <c r="U113" s="242"/>
      <c r="V113" s="242"/>
      <c r="W113" s="242"/>
      <c r="X113" s="242"/>
      <c r="Y113" s="148"/>
      <c r="Z113" s="148"/>
    </row>
    <row r="114">
      <c r="A114" s="274" t="s">
        <v>784</v>
      </c>
      <c r="B114" s="109">
        <v>6550.0</v>
      </c>
      <c r="C114" s="395"/>
      <c r="D114" s="157"/>
      <c r="E114" s="570"/>
      <c r="F114" s="573"/>
      <c r="G114" s="581"/>
      <c r="H114" s="419"/>
      <c r="I114" s="239"/>
      <c r="J114" s="568"/>
      <c r="K114" s="57"/>
      <c r="L114" s="150"/>
      <c r="M114" s="57"/>
      <c r="N114" s="57"/>
      <c r="O114" s="57"/>
      <c r="P114" s="157"/>
      <c r="Q114" s="404"/>
      <c r="R114" s="148"/>
      <c r="S114" s="242"/>
      <c r="T114" s="242"/>
      <c r="U114" s="242"/>
      <c r="V114" s="242"/>
      <c r="W114" s="242"/>
      <c r="X114" s="242"/>
      <c r="Y114" s="148"/>
      <c r="Z114" s="148"/>
    </row>
    <row r="115">
      <c r="A115" s="274" t="s">
        <v>785</v>
      </c>
      <c r="B115" s="109"/>
      <c r="C115" s="395"/>
      <c r="D115" s="157"/>
      <c r="E115" s="570"/>
      <c r="F115" s="573"/>
      <c r="G115" s="581"/>
      <c r="H115" s="419"/>
      <c r="I115" s="239"/>
      <c r="J115" s="568"/>
      <c r="K115" s="57"/>
      <c r="L115" s="150"/>
      <c r="M115" s="57"/>
      <c r="N115" s="57"/>
      <c r="O115" s="57"/>
      <c r="P115" s="157"/>
      <c r="Q115" s="404"/>
      <c r="R115" s="148"/>
      <c r="S115" s="242"/>
      <c r="T115" s="242"/>
      <c r="U115" s="242"/>
      <c r="V115" s="242"/>
      <c r="W115" s="242"/>
      <c r="X115" s="242"/>
      <c r="Y115" s="148"/>
      <c r="Z115" s="148"/>
    </row>
    <row r="116">
      <c r="A116" s="402"/>
      <c r="B116" s="403"/>
      <c r="C116" s="403"/>
      <c r="D116" s="403"/>
      <c r="E116" s="574"/>
      <c r="F116" s="575"/>
      <c r="G116" s="576"/>
      <c r="H116" s="159"/>
      <c r="I116" s="159"/>
      <c r="J116" s="576"/>
      <c r="K116" s="159"/>
      <c r="L116" s="162"/>
      <c r="M116" s="402"/>
      <c r="N116" s="402"/>
      <c r="O116" s="159"/>
      <c r="P116" s="403"/>
      <c r="Q116" s="577"/>
      <c r="R116" s="148"/>
      <c r="S116" s="242"/>
      <c r="T116" s="242"/>
      <c r="U116" s="242"/>
      <c r="V116" s="242"/>
      <c r="W116" s="242"/>
      <c r="X116" s="242"/>
      <c r="Y116" s="148"/>
      <c r="Z116" s="148"/>
    </row>
    <row r="117">
      <c r="A117" s="400"/>
      <c r="B117" s="148"/>
      <c r="C117" s="148"/>
      <c r="D117" s="245"/>
      <c r="E117" s="585"/>
      <c r="F117" s="586"/>
      <c r="G117" s="243"/>
      <c r="H117" s="148"/>
      <c r="I117" s="251"/>
      <c r="J117" s="243"/>
      <c r="K117" s="148"/>
      <c r="L117" s="277"/>
      <c r="M117" s="252"/>
      <c r="N117" s="250"/>
      <c r="O117" s="253"/>
      <c r="P117" s="240"/>
      <c r="Q117" s="148"/>
      <c r="R117" s="148"/>
      <c r="S117" s="242"/>
      <c r="T117" s="242"/>
      <c r="U117" s="242"/>
      <c r="V117" s="242"/>
      <c r="W117" s="242"/>
      <c r="X117" s="242"/>
      <c r="Y117" s="148"/>
      <c r="Z117" s="148"/>
    </row>
    <row r="118">
      <c r="A118" s="169" t="s">
        <v>71</v>
      </c>
      <c r="B118" s="539"/>
      <c r="C118" s="540"/>
      <c r="D118" s="405"/>
      <c r="E118" s="541"/>
      <c r="F118" s="542"/>
      <c r="G118" s="467" t="s">
        <v>333</v>
      </c>
      <c r="H118" s="361"/>
      <c r="I118" s="57"/>
      <c r="J118" s="105"/>
      <c r="K118" s="57"/>
      <c r="L118" s="150"/>
      <c r="M118" s="239"/>
      <c r="N118" s="239"/>
      <c r="O118" s="57"/>
      <c r="P118" s="157"/>
      <c r="Q118" s="404"/>
      <c r="R118" s="148"/>
      <c r="S118" s="242"/>
      <c r="T118" s="242"/>
      <c r="U118" s="242"/>
      <c r="V118" s="242"/>
      <c r="W118" s="242"/>
      <c r="X118" s="242"/>
      <c r="Y118" s="148"/>
      <c r="Z118" s="148"/>
    </row>
    <row r="119">
      <c r="A119" s="468"/>
      <c r="B119" s="157"/>
      <c r="C119" s="466"/>
      <c r="D119" s="405"/>
      <c r="E119" s="543" t="s">
        <v>335</v>
      </c>
      <c r="F119" s="544" t="s">
        <v>237</v>
      </c>
      <c r="G119" s="412" t="s">
        <v>336</v>
      </c>
      <c r="H119" s="413" t="s">
        <v>337</v>
      </c>
      <c r="I119" s="239"/>
      <c r="J119" s="145" t="s">
        <v>60</v>
      </c>
      <c r="K119" s="57"/>
      <c r="L119" s="150"/>
      <c r="M119" s="414"/>
      <c r="N119" s="414"/>
      <c r="O119" s="57" t="s">
        <v>334</v>
      </c>
      <c r="P119" s="157"/>
      <c r="Q119" s="404"/>
      <c r="R119" s="148"/>
      <c r="S119" s="242"/>
      <c r="T119" s="242"/>
      <c r="U119" s="242"/>
      <c r="V119" s="242"/>
      <c r="W119" s="242"/>
      <c r="X119" s="242"/>
      <c r="Y119" s="148"/>
      <c r="Z119" s="148"/>
    </row>
    <row r="120">
      <c r="A120" s="470" t="s">
        <v>179</v>
      </c>
      <c r="C120" s="416">
        <f>SUM(F120:F154)</f>
        <v>5400</v>
      </c>
      <c r="D120" s="405"/>
      <c r="E120" s="545"/>
      <c r="F120" s="546"/>
      <c r="G120" s="578"/>
      <c r="H120" s="419"/>
      <c r="I120" s="57"/>
      <c r="K120" s="57"/>
      <c r="L120" s="150"/>
      <c r="M120" s="377" t="s">
        <v>366</v>
      </c>
      <c r="P120" s="157"/>
      <c r="Q120" s="404"/>
      <c r="R120" s="148"/>
      <c r="S120" s="242"/>
      <c r="T120" s="242"/>
      <c r="U120" s="242"/>
      <c r="V120" s="242"/>
      <c r="W120" s="242"/>
      <c r="X120" s="242"/>
      <c r="Y120" s="148"/>
      <c r="Z120" s="148"/>
    </row>
    <row r="121">
      <c r="A121" s="421" t="s">
        <v>343</v>
      </c>
      <c r="B121" s="422" t="s">
        <v>321</v>
      </c>
      <c r="C121" s="416">
        <f>SUM(P121:P154)</f>
        <v>1660</v>
      </c>
      <c r="D121" s="157"/>
      <c r="E121" s="545"/>
      <c r="F121" s="546"/>
      <c r="G121" s="578"/>
      <c r="H121" s="419"/>
      <c r="I121" s="239"/>
      <c r="J121" s="471" t="s">
        <v>341</v>
      </c>
      <c r="K121" s="420"/>
      <c r="L121" s="150"/>
      <c r="M121" s="374"/>
      <c r="O121" s="426" t="s">
        <v>989</v>
      </c>
      <c r="P121" s="423">
        <v>1500.0</v>
      </c>
      <c r="Q121" s="404"/>
      <c r="R121" s="148"/>
      <c r="S121" s="242"/>
      <c r="T121" s="242"/>
      <c r="U121" s="242"/>
      <c r="V121" s="242"/>
      <c r="W121" s="242"/>
      <c r="X121" s="242"/>
      <c r="Y121" s="148"/>
      <c r="Z121" s="148"/>
    </row>
    <row r="122">
      <c r="A122" s="427" t="s">
        <v>201</v>
      </c>
      <c r="C122" s="204">
        <f>SUM(L121:L154)</f>
        <v>2833.79</v>
      </c>
      <c r="D122" s="157"/>
      <c r="E122" s="545"/>
      <c r="F122" s="546"/>
      <c r="G122" s="578"/>
      <c r="H122" s="419"/>
      <c r="I122" s="239"/>
      <c r="J122" s="472" t="s">
        <v>345</v>
      </c>
      <c r="K122" s="420"/>
      <c r="L122" s="193">
        <v>134.13</v>
      </c>
      <c r="M122" s="377" t="s">
        <v>858</v>
      </c>
      <c r="O122" s="426" t="s">
        <v>971</v>
      </c>
      <c r="P122" s="423">
        <v>160.0</v>
      </c>
      <c r="Q122" s="404"/>
      <c r="R122" s="148"/>
      <c r="S122" s="242"/>
      <c r="T122" s="242"/>
      <c r="U122" s="242"/>
      <c r="V122" s="242"/>
      <c r="W122" s="242"/>
      <c r="X122" s="242"/>
      <c r="Y122" s="148"/>
      <c r="Z122" s="148"/>
    </row>
    <row r="123">
      <c r="A123" s="548" t="s">
        <v>761</v>
      </c>
      <c r="B123" s="549">
        <v>0.4</v>
      </c>
      <c r="C123" s="191">
        <v>664.0</v>
      </c>
      <c r="D123" s="157"/>
      <c r="E123" s="550" t="s">
        <v>695</v>
      </c>
      <c r="F123" s="546">
        <v>680.0</v>
      </c>
      <c r="G123" s="562"/>
      <c r="H123" s="419"/>
      <c r="I123" s="239"/>
      <c r="J123" s="433" t="s">
        <v>656</v>
      </c>
      <c r="K123" s="420"/>
      <c r="L123" s="193">
        <v>114.64</v>
      </c>
      <c r="M123" s="377" t="s">
        <v>443</v>
      </c>
      <c r="O123" s="426"/>
      <c r="P123" s="423"/>
      <c r="Q123" s="404"/>
      <c r="R123" s="148"/>
      <c r="S123" s="242"/>
      <c r="T123" s="242"/>
      <c r="U123" s="242"/>
      <c r="V123" s="242"/>
      <c r="W123" s="242"/>
      <c r="X123" s="242"/>
      <c r="Y123" s="148"/>
      <c r="Z123" s="148"/>
    </row>
    <row r="124">
      <c r="A124" s="434" t="s">
        <v>350</v>
      </c>
      <c r="C124" s="551">
        <f>C120-C122-C123</f>
        <v>1902.21</v>
      </c>
      <c r="D124" s="157"/>
      <c r="E124" s="192" t="s">
        <v>340</v>
      </c>
      <c r="F124" s="546">
        <v>2000.0</v>
      </c>
      <c r="G124" s="579"/>
      <c r="H124" s="419"/>
      <c r="I124" s="57"/>
      <c r="J124" s="444" t="s">
        <v>658</v>
      </c>
      <c r="K124" s="420"/>
      <c r="L124" s="193">
        <v>53.0</v>
      </c>
      <c r="M124" s="377"/>
      <c r="O124" s="431"/>
      <c r="P124" s="157"/>
      <c r="Q124" s="404"/>
      <c r="R124" s="148"/>
      <c r="S124" s="242"/>
      <c r="T124" s="242"/>
      <c r="U124" s="242"/>
      <c r="V124" s="242"/>
      <c r="W124" s="242"/>
      <c r="X124" s="242"/>
      <c r="Y124" s="148"/>
      <c r="Z124" s="148"/>
    </row>
    <row r="125">
      <c r="A125" s="554"/>
      <c r="B125" s="555"/>
      <c r="C125" s="447"/>
      <c r="D125" s="157"/>
      <c r="E125" s="192" t="s">
        <v>795</v>
      </c>
      <c r="F125" s="546">
        <v>250.0</v>
      </c>
      <c r="G125" s="578"/>
      <c r="H125" s="419"/>
      <c r="I125" s="57"/>
      <c r="J125" s="444" t="s">
        <v>660</v>
      </c>
      <c r="K125" s="420"/>
      <c r="L125" s="193">
        <v>120.0</v>
      </c>
      <c r="M125" s="377" t="s">
        <v>990</v>
      </c>
      <c r="O125" s="431"/>
      <c r="P125" s="157"/>
      <c r="Q125" s="404"/>
      <c r="R125" s="148"/>
      <c r="S125" s="242"/>
      <c r="T125" s="242"/>
      <c r="U125" s="242"/>
      <c r="V125" s="242"/>
      <c r="W125" s="242"/>
      <c r="X125" s="242"/>
      <c r="Y125" s="148"/>
      <c r="Z125" s="148"/>
    </row>
    <row r="126">
      <c r="A126" s="556"/>
      <c r="C126" s="395"/>
      <c r="D126" s="157"/>
      <c r="E126" s="192" t="s">
        <v>991</v>
      </c>
      <c r="F126" s="546">
        <v>1500.0</v>
      </c>
      <c r="G126" s="558" t="s">
        <v>426</v>
      </c>
      <c r="H126" s="419"/>
      <c r="I126" s="239"/>
      <c r="J126" s="370" t="s">
        <v>662</v>
      </c>
      <c r="K126" s="420"/>
      <c r="L126" s="193"/>
      <c r="M126" s="377"/>
      <c r="O126" s="431"/>
      <c r="P126" s="157"/>
      <c r="Q126" s="404"/>
      <c r="R126" s="148"/>
      <c r="S126" s="242"/>
      <c r="T126" s="242"/>
      <c r="U126" s="242"/>
      <c r="V126" s="242"/>
      <c r="W126" s="242"/>
      <c r="X126" s="242"/>
      <c r="Y126" s="148"/>
      <c r="Z126" s="148"/>
    </row>
    <row r="127">
      <c r="A127" s="557"/>
      <c r="B127" s="109"/>
      <c r="C127" s="395"/>
      <c r="D127" s="373"/>
      <c r="E127" s="192" t="s">
        <v>992</v>
      </c>
      <c r="F127" s="546">
        <v>300.0</v>
      </c>
      <c r="G127" s="578"/>
      <c r="H127" s="419"/>
      <c r="I127" s="239"/>
      <c r="J127" s="433" t="s">
        <v>666</v>
      </c>
      <c r="K127" s="420"/>
      <c r="L127" s="150"/>
      <c r="M127" s="374"/>
      <c r="O127" s="431"/>
      <c r="P127" s="157"/>
      <c r="Q127" s="404"/>
      <c r="R127" s="148"/>
      <c r="S127" s="242"/>
      <c r="T127" s="242"/>
      <c r="U127" s="242"/>
      <c r="V127" s="242"/>
      <c r="W127" s="242"/>
      <c r="X127" s="242"/>
      <c r="Y127" s="148"/>
      <c r="Z127" s="148"/>
    </row>
    <row r="128">
      <c r="A128" s="559" t="s">
        <v>765</v>
      </c>
      <c r="B128" s="560">
        <f>SUM(D128:D154)</f>
        <v>2074</v>
      </c>
      <c r="C128" s="477" t="s">
        <v>366</v>
      </c>
      <c r="D128" s="157"/>
      <c r="E128" s="192" t="s">
        <v>886</v>
      </c>
      <c r="F128" s="546">
        <v>250.0</v>
      </c>
      <c r="G128" s="578"/>
      <c r="H128" s="419"/>
      <c r="I128" s="239"/>
      <c r="J128" s="433" t="s">
        <v>668</v>
      </c>
      <c r="K128" s="420"/>
      <c r="L128" s="150"/>
      <c r="M128" s="377"/>
      <c r="O128" s="431"/>
      <c r="P128" s="157"/>
      <c r="Q128" s="404"/>
      <c r="R128" s="148"/>
      <c r="S128" s="242"/>
      <c r="T128" s="242"/>
      <c r="U128" s="242"/>
      <c r="V128" s="242"/>
      <c r="W128" s="242"/>
      <c r="X128" s="242"/>
      <c r="Y128" s="148"/>
      <c r="Z128" s="148"/>
    </row>
    <row r="129">
      <c r="A129" s="453" t="s">
        <v>369</v>
      </c>
      <c r="C129" s="561" t="s">
        <v>766</v>
      </c>
      <c r="D129" s="423">
        <v>396.0</v>
      </c>
      <c r="E129" s="192" t="s">
        <v>873</v>
      </c>
      <c r="F129" s="546">
        <v>260.0</v>
      </c>
      <c r="G129" s="562"/>
      <c r="H129" s="419"/>
      <c r="I129" s="239"/>
      <c r="J129" s="433" t="s">
        <v>670</v>
      </c>
      <c r="K129" s="458"/>
      <c r="L129" s="193">
        <v>1250.0</v>
      </c>
      <c r="M129" s="377"/>
      <c r="O129" s="431"/>
      <c r="P129" s="157"/>
      <c r="Q129" s="404"/>
      <c r="R129" s="148"/>
      <c r="S129" s="242"/>
      <c r="T129" s="242"/>
      <c r="U129" s="242"/>
      <c r="V129" s="242"/>
      <c r="W129" s="242"/>
      <c r="X129" s="242"/>
      <c r="Y129" s="148"/>
      <c r="Z129" s="148"/>
    </row>
    <row r="130">
      <c r="C130" s="561" t="s">
        <v>767</v>
      </c>
      <c r="D130" s="157"/>
      <c r="E130" s="192" t="s">
        <v>971</v>
      </c>
      <c r="F130" s="546">
        <v>160.0</v>
      </c>
      <c r="G130" s="558" t="s">
        <v>426</v>
      </c>
      <c r="H130" s="419"/>
      <c r="I130" s="239"/>
      <c r="J130" s="433" t="s">
        <v>217</v>
      </c>
      <c r="K130" s="458"/>
      <c r="L130" s="150"/>
      <c r="M130" s="377"/>
      <c r="O130" s="431"/>
      <c r="P130" s="157"/>
      <c r="Q130" s="404"/>
      <c r="R130" s="148"/>
      <c r="S130" s="242"/>
      <c r="T130" s="242"/>
      <c r="U130" s="242"/>
      <c r="V130" s="242"/>
      <c r="W130" s="242"/>
      <c r="X130" s="242"/>
      <c r="Y130" s="148"/>
      <c r="Z130" s="148"/>
    </row>
    <row r="131">
      <c r="A131" s="57"/>
      <c r="B131" s="57"/>
      <c r="C131" s="561" t="s">
        <v>768</v>
      </c>
      <c r="D131" s="423"/>
      <c r="E131" s="192"/>
      <c r="F131" s="546"/>
      <c r="G131" s="578"/>
      <c r="H131" s="419"/>
      <c r="I131" s="239"/>
      <c r="J131" s="109"/>
      <c r="K131" s="420"/>
      <c r="L131" s="193"/>
      <c r="M131" s="374"/>
      <c r="O131" s="431"/>
      <c r="P131" s="157"/>
      <c r="Q131" s="404"/>
      <c r="R131" s="148"/>
      <c r="S131" s="242"/>
      <c r="T131" s="242"/>
      <c r="U131" s="242"/>
      <c r="V131" s="242"/>
      <c r="W131" s="242"/>
      <c r="X131" s="242"/>
      <c r="Y131" s="148"/>
      <c r="Z131" s="148"/>
    </row>
    <row r="132">
      <c r="A132" s="662" t="s">
        <v>993</v>
      </c>
      <c r="B132" s="57"/>
      <c r="C132" s="561" t="s">
        <v>769</v>
      </c>
      <c r="D132" s="423">
        <v>48.0</v>
      </c>
      <c r="E132" s="192"/>
      <c r="F132" s="546"/>
      <c r="G132" s="578"/>
      <c r="H132" s="419"/>
      <c r="I132" s="239"/>
      <c r="J132" s="456" t="s">
        <v>672</v>
      </c>
      <c r="K132" s="420"/>
      <c r="L132" s="193">
        <v>87.02</v>
      </c>
      <c r="M132" s="377" t="s">
        <v>994</v>
      </c>
      <c r="O132" s="431"/>
      <c r="P132" s="157"/>
      <c r="Q132" s="404"/>
      <c r="R132" s="148"/>
      <c r="S132" s="242"/>
      <c r="T132" s="242"/>
      <c r="U132" s="242"/>
      <c r="V132" s="242"/>
      <c r="W132" s="242"/>
      <c r="X132" s="242"/>
      <c r="Y132" s="148"/>
      <c r="Z132" s="148"/>
    </row>
    <row r="133">
      <c r="A133" s="659"/>
      <c r="B133" s="57"/>
      <c r="C133" s="561" t="s">
        <v>770</v>
      </c>
      <c r="D133" s="423"/>
      <c r="E133" s="192"/>
      <c r="F133" s="546"/>
      <c r="G133" s="578"/>
      <c r="H133" s="419"/>
      <c r="I133" s="57"/>
      <c r="J133" s="456" t="s">
        <v>675</v>
      </c>
      <c r="K133" s="420"/>
      <c r="L133" s="193"/>
      <c r="M133" s="382"/>
      <c r="O133" s="431"/>
      <c r="P133" s="157"/>
      <c r="Q133" s="404"/>
      <c r="R133" s="148"/>
      <c r="S133" s="242"/>
      <c r="T133" s="242"/>
      <c r="U133" s="242"/>
      <c r="V133" s="242"/>
      <c r="W133" s="242"/>
      <c r="X133" s="242"/>
      <c r="Y133" s="148"/>
      <c r="Z133" s="148"/>
    </row>
    <row r="134">
      <c r="A134" s="659"/>
      <c r="B134" s="57"/>
      <c r="C134" s="561" t="s">
        <v>793</v>
      </c>
      <c r="D134" s="423">
        <v>220.0</v>
      </c>
      <c r="E134" s="192"/>
      <c r="F134" s="546"/>
      <c r="G134" s="562"/>
      <c r="H134" s="419"/>
      <c r="I134" s="57"/>
      <c r="J134" s="456"/>
      <c r="K134" s="420"/>
      <c r="L134" s="150"/>
      <c r="M134" s="425"/>
      <c r="O134" s="431"/>
      <c r="P134" s="157"/>
      <c r="Q134" s="404"/>
      <c r="R134" s="148"/>
      <c r="S134" s="242"/>
      <c r="T134" s="242"/>
      <c r="U134" s="242"/>
      <c r="V134" s="242"/>
      <c r="W134" s="242"/>
      <c r="X134" s="242"/>
      <c r="Y134" s="148"/>
      <c r="Z134" s="148"/>
    </row>
    <row r="135">
      <c r="A135" s="660"/>
      <c r="B135" s="57"/>
      <c r="C135" s="561" t="s">
        <v>794</v>
      </c>
      <c r="D135" s="423">
        <v>40.0</v>
      </c>
      <c r="E135" s="192"/>
      <c r="F135" s="547"/>
      <c r="G135" s="578"/>
      <c r="H135" s="419"/>
      <c r="I135" s="57"/>
      <c r="J135" s="375"/>
      <c r="K135" s="420"/>
      <c r="L135" s="150"/>
      <c r="M135" s="425"/>
      <c r="O135" s="431"/>
      <c r="P135" s="157"/>
      <c r="Q135" s="404"/>
      <c r="R135" s="148"/>
      <c r="S135" s="242"/>
      <c r="T135" s="242"/>
      <c r="U135" s="242"/>
      <c r="V135" s="242"/>
      <c r="W135" s="242"/>
      <c r="X135" s="242"/>
      <c r="Y135" s="148"/>
      <c r="Z135" s="148"/>
    </row>
    <row r="136">
      <c r="A136" s="660"/>
      <c r="B136" s="57"/>
      <c r="C136" s="561" t="s">
        <v>18</v>
      </c>
      <c r="D136" s="423"/>
      <c r="E136" s="228"/>
      <c r="F136" s="547"/>
      <c r="G136" s="578"/>
      <c r="H136" s="419"/>
      <c r="I136" s="57"/>
      <c r="J136" s="375"/>
      <c r="K136" s="420"/>
      <c r="L136" s="193"/>
      <c r="M136" s="382"/>
      <c r="O136" s="431"/>
      <c r="P136" s="157"/>
      <c r="Q136" s="404"/>
      <c r="R136" s="148"/>
      <c r="S136" s="242"/>
      <c r="T136" s="242"/>
      <c r="U136" s="242"/>
      <c r="V136" s="242"/>
      <c r="W136" s="242"/>
      <c r="X136" s="242"/>
      <c r="Y136" s="148"/>
      <c r="Z136" s="148"/>
    </row>
    <row r="137">
      <c r="A137" s="209" t="s">
        <v>995</v>
      </c>
      <c r="B137" s="57"/>
      <c r="C137" s="561" t="s">
        <v>773</v>
      </c>
      <c r="D137" s="423">
        <v>283.0</v>
      </c>
      <c r="E137" s="228"/>
      <c r="F137" s="547"/>
      <c r="G137" s="579"/>
      <c r="H137" s="419"/>
      <c r="I137" s="57"/>
      <c r="J137" s="452"/>
      <c r="K137" s="420"/>
      <c r="L137" s="150"/>
      <c r="M137" s="425"/>
      <c r="O137" s="431"/>
      <c r="P137" s="157"/>
      <c r="Q137" s="404"/>
      <c r="R137" s="148"/>
      <c r="S137" s="242"/>
      <c r="T137" s="242"/>
      <c r="U137" s="242"/>
      <c r="V137" s="242"/>
      <c r="W137" s="242"/>
      <c r="X137" s="242"/>
      <c r="Y137" s="148"/>
      <c r="Z137" s="148"/>
    </row>
    <row r="138">
      <c r="A138" s="662" t="s">
        <v>996</v>
      </c>
      <c r="B138" s="57"/>
      <c r="C138" s="561" t="s">
        <v>774</v>
      </c>
      <c r="D138" s="423">
        <v>80.0</v>
      </c>
      <c r="E138" s="228"/>
      <c r="F138" s="547"/>
      <c r="G138" s="578"/>
      <c r="H138" s="419"/>
      <c r="I138" s="57"/>
      <c r="J138" s="105"/>
      <c r="K138" s="420"/>
      <c r="L138" s="150"/>
      <c r="M138" s="382" t="s">
        <v>267</v>
      </c>
      <c r="O138" s="431"/>
      <c r="P138" s="157"/>
      <c r="Q138" s="404"/>
      <c r="R138" s="148"/>
      <c r="S138" s="242"/>
      <c r="T138" s="242"/>
      <c r="U138" s="242"/>
      <c r="V138" s="242"/>
      <c r="W138" s="242"/>
      <c r="X138" s="242"/>
      <c r="Y138" s="148"/>
      <c r="Z138" s="148"/>
    </row>
    <row r="139">
      <c r="A139" s="209" t="s">
        <v>997</v>
      </c>
      <c r="B139" s="239"/>
      <c r="C139" s="561" t="s">
        <v>775</v>
      </c>
      <c r="D139" s="423">
        <v>640.0</v>
      </c>
      <c r="E139" s="192"/>
      <c r="F139" s="547"/>
      <c r="G139" s="578"/>
      <c r="H139" s="419"/>
      <c r="I139" s="57"/>
      <c r="J139" s="378" t="s">
        <v>682</v>
      </c>
      <c r="K139" s="420"/>
      <c r="L139" s="193"/>
      <c r="M139" s="377"/>
      <c r="O139" s="431"/>
      <c r="P139" s="157"/>
      <c r="Q139" s="404"/>
      <c r="R139" s="148"/>
      <c r="S139" s="242"/>
      <c r="T139" s="242"/>
      <c r="U139" s="242"/>
      <c r="V139" s="242"/>
      <c r="W139" s="242"/>
      <c r="X139" s="242"/>
      <c r="Y139" s="148"/>
      <c r="Z139" s="148"/>
    </row>
    <row r="140">
      <c r="A140" s="662" t="s">
        <v>998</v>
      </c>
      <c r="B140" s="239"/>
      <c r="C140" s="561" t="s">
        <v>10</v>
      </c>
      <c r="D140" s="423">
        <v>135.0</v>
      </c>
      <c r="E140" s="206"/>
      <c r="F140" s="564"/>
      <c r="G140" s="581"/>
      <c r="H140" s="419"/>
      <c r="I140" s="57"/>
      <c r="J140" s="461" t="s">
        <v>684</v>
      </c>
      <c r="K140" s="420"/>
      <c r="L140" s="193"/>
      <c r="M140" s="377"/>
      <c r="O140" s="431"/>
      <c r="P140" s="157"/>
      <c r="Q140" s="404"/>
      <c r="R140" s="148"/>
      <c r="S140" s="242"/>
      <c r="T140" s="242"/>
      <c r="U140" s="242"/>
      <c r="V140" s="242"/>
      <c r="W140" s="242"/>
      <c r="X140" s="242"/>
      <c r="Y140" s="148"/>
      <c r="Z140" s="148"/>
    </row>
    <row r="141">
      <c r="A141" s="662" t="s">
        <v>999</v>
      </c>
      <c r="B141" s="239"/>
      <c r="C141" s="561" t="s">
        <v>6</v>
      </c>
      <c r="D141" s="423">
        <v>150.0</v>
      </c>
      <c r="E141" s="206"/>
      <c r="F141" s="547"/>
      <c r="G141" s="579"/>
      <c r="H141" s="455"/>
      <c r="I141" s="57"/>
      <c r="J141" s="461" t="s">
        <v>686</v>
      </c>
      <c r="K141" s="420"/>
      <c r="L141" s="150"/>
      <c r="M141" s="374"/>
      <c r="O141" s="463"/>
      <c r="P141" s="157"/>
      <c r="Q141" s="404"/>
      <c r="R141" s="148"/>
      <c r="S141" s="242"/>
      <c r="T141" s="242"/>
      <c r="U141" s="242"/>
      <c r="V141" s="242"/>
      <c r="W141" s="242"/>
      <c r="X141" s="242"/>
      <c r="Y141" s="148"/>
      <c r="Z141" s="148"/>
    </row>
    <row r="142">
      <c r="A142" s="659"/>
      <c r="B142" s="57"/>
      <c r="C142" s="561" t="s">
        <v>779</v>
      </c>
      <c r="D142" s="157"/>
      <c r="E142" s="228"/>
      <c r="F142" s="547"/>
      <c r="G142" s="579"/>
      <c r="H142" s="455"/>
      <c r="I142" s="239"/>
      <c r="J142" s="460" t="s">
        <v>202</v>
      </c>
      <c r="K142" s="420"/>
      <c r="L142" s="193"/>
      <c r="M142" s="377"/>
      <c r="O142" s="463"/>
      <c r="P142" s="157"/>
      <c r="Q142" s="404"/>
      <c r="R142" s="148"/>
      <c r="S142" s="242"/>
      <c r="T142" s="242"/>
      <c r="U142" s="242"/>
      <c r="V142" s="242"/>
      <c r="W142" s="242"/>
      <c r="X142" s="242"/>
      <c r="Y142" s="148"/>
      <c r="Z142" s="148"/>
    </row>
    <row r="143">
      <c r="A143" s="660"/>
      <c r="B143" s="239"/>
      <c r="C143" s="561" t="s">
        <v>780</v>
      </c>
      <c r="D143" s="423"/>
      <c r="E143" s="228"/>
      <c r="F143" s="547"/>
      <c r="G143" s="579"/>
      <c r="H143" s="455"/>
      <c r="I143" s="57"/>
      <c r="J143" s="460" t="s">
        <v>274</v>
      </c>
      <c r="K143" s="420"/>
      <c r="L143" s="150"/>
      <c r="M143" s="374"/>
      <c r="O143" s="463"/>
      <c r="P143" s="157"/>
      <c r="Q143" s="404"/>
      <c r="R143" s="148"/>
      <c r="S143" s="242"/>
      <c r="T143" s="242"/>
      <c r="U143" s="242"/>
      <c r="V143" s="242"/>
      <c r="W143" s="242"/>
      <c r="X143" s="242"/>
      <c r="Y143" s="148"/>
      <c r="Z143" s="148"/>
    </row>
    <row r="144">
      <c r="A144" s="662" t="s">
        <v>1000</v>
      </c>
      <c r="B144" s="239"/>
      <c r="C144" s="561" t="s">
        <v>781</v>
      </c>
      <c r="D144" s="423">
        <v>82.0</v>
      </c>
      <c r="E144" s="228"/>
      <c r="F144" s="547"/>
      <c r="G144" s="579"/>
      <c r="H144" s="419"/>
      <c r="I144" s="239"/>
      <c r="J144" s="568"/>
      <c r="K144" s="420"/>
      <c r="L144" s="150"/>
      <c r="M144" s="374"/>
      <c r="O144" s="431"/>
      <c r="P144" s="157"/>
      <c r="Q144" s="404"/>
      <c r="R144" s="148"/>
      <c r="S144" s="242"/>
      <c r="T144" s="242"/>
      <c r="U144" s="242"/>
      <c r="V144" s="242"/>
      <c r="W144" s="242"/>
      <c r="X144" s="242"/>
      <c r="Y144" s="148"/>
      <c r="Z144" s="148"/>
    </row>
    <row r="145">
      <c r="A145" s="239"/>
      <c r="B145" s="157"/>
      <c r="C145" s="561"/>
      <c r="D145" s="157"/>
      <c r="E145" s="569"/>
      <c r="F145" s="547"/>
      <c r="G145" s="578"/>
      <c r="H145" s="419"/>
      <c r="I145" s="57"/>
      <c r="J145" s="374"/>
      <c r="K145" s="420"/>
      <c r="L145" s="193"/>
      <c r="M145" s="377"/>
      <c r="O145" s="431"/>
      <c r="P145" s="157"/>
      <c r="Q145" s="404"/>
      <c r="R145" s="148"/>
      <c r="S145" s="242"/>
      <c r="T145" s="242"/>
      <c r="U145" s="242"/>
      <c r="V145" s="242"/>
      <c r="W145" s="242"/>
      <c r="X145" s="242"/>
      <c r="Y145" s="148"/>
      <c r="Z145" s="148"/>
    </row>
    <row r="146">
      <c r="A146" s="239"/>
      <c r="B146" s="157"/>
      <c r="C146" s="561"/>
      <c r="D146" s="157"/>
      <c r="E146" s="228"/>
      <c r="F146" s="547"/>
      <c r="G146" s="578"/>
      <c r="H146" s="419"/>
      <c r="I146" s="239"/>
      <c r="J146" s="596" t="s">
        <v>1001</v>
      </c>
      <c r="K146" s="420"/>
      <c r="L146" s="193">
        <v>1075.0</v>
      </c>
      <c r="M146" s="377" t="s">
        <v>1002</v>
      </c>
      <c r="O146" s="431"/>
      <c r="P146" s="157"/>
      <c r="Q146" s="404"/>
      <c r="R146" s="148"/>
      <c r="S146" s="242"/>
      <c r="T146" s="242"/>
      <c r="U146" s="242"/>
      <c r="V146" s="242"/>
      <c r="W146" s="242"/>
      <c r="X146" s="242"/>
      <c r="Y146" s="148"/>
      <c r="Z146" s="148"/>
    </row>
    <row r="147">
      <c r="A147" s="239"/>
      <c r="B147" s="157"/>
      <c r="C147" s="561"/>
      <c r="D147" s="157"/>
      <c r="E147" s="570"/>
      <c r="F147" s="547"/>
      <c r="G147" s="578"/>
      <c r="H147" s="419"/>
      <c r="I147" s="239"/>
      <c r="J147" s="568"/>
      <c r="K147" s="420"/>
      <c r="L147" s="193"/>
      <c r="M147" s="374"/>
      <c r="O147" s="431"/>
      <c r="P147" s="157"/>
      <c r="Q147" s="404"/>
      <c r="R147" s="148"/>
      <c r="S147" s="242"/>
      <c r="T147" s="242"/>
      <c r="U147" s="242"/>
      <c r="V147" s="242"/>
      <c r="W147" s="242"/>
      <c r="X147" s="242"/>
      <c r="Y147" s="148"/>
      <c r="Z147" s="148"/>
    </row>
    <row r="148">
      <c r="C148" s="571"/>
      <c r="D148" s="157"/>
      <c r="E148" s="570"/>
      <c r="F148" s="547"/>
      <c r="G148" s="578"/>
      <c r="H148" s="419"/>
      <c r="I148" s="239"/>
      <c r="J148" s="464" t="s">
        <v>692</v>
      </c>
      <c r="K148" s="420"/>
      <c r="L148" s="150"/>
      <c r="M148" s="377"/>
      <c r="O148" s="431"/>
      <c r="P148" s="157"/>
      <c r="Q148" s="404"/>
      <c r="R148" s="148"/>
      <c r="S148" s="242"/>
      <c r="T148" s="242"/>
      <c r="U148" s="242"/>
      <c r="V148" s="242"/>
      <c r="W148" s="242"/>
      <c r="X148" s="242"/>
      <c r="Y148" s="148"/>
      <c r="Z148" s="148"/>
    </row>
    <row r="149">
      <c r="C149" s="571"/>
      <c r="D149" s="157"/>
      <c r="E149" s="570"/>
      <c r="F149" s="547"/>
      <c r="G149" s="578"/>
      <c r="H149" s="419"/>
      <c r="I149" s="239"/>
      <c r="J149" s="464" t="s">
        <v>694</v>
      </c>
      <c r="K149" s="420"/>
      <c r="L149" s="150"/>
      <c r="M149" s="374"/>
      <c r="O149" s="431"/>
      <c r="P149" s="157"/>
      <c r="Q149" s="404"/>
      <c r="R149" s="148"/>
      <c r="S149" s="242"/>
      <c r="T149" s="242"/>
      <c r="U149" s="242"/>
      <c r="V149" s="242"/>
      <c r="W149" s="242"/>
      <c r="X149" s="242"/>
      <c r="Y149" s="148"/>
      <c r="Z149" s="148"/>
    </row>
    <row r="150">
      <c r="C150" s="571"/>
      <c r="D150" s="423"/>
      <c r="E150" s="570"/>
      <c r="F150" s="546"/>
      <c r="G150" s="578"/>
      <c r="H150" s="419"/>
      <c r="I150" s="57"/>
      <c r="J150" s="105"/>
      <c r="K150" s="57"/>
      <c r="L150" s="150"/>
      <c r="M150" s="57"/>
      <c r="N150" s="57"/>
      <c r="O150" s="57"/>
      <c r="P150" s="157"/>
      <c r="Q150" s="404"/>
      <c r="R150" s="148"/>
      <c r="S150" s="242"/>
      <c r="T150" s="242"/>
      <c r="U150" s="242"/>
      <c r="V150" s="242"/>
      <c r="W150" s="242"/>
      <c r="X150" s="242"/>
      <c r="Y150" s="148"/>
      <c r="Z150" s="148"/>
    </row>
    <row r="151">
      <c r="A151" s="125" t="s">
        <v>798</v>
      </c>
      <c r="B151" s="588">
        <f>C124-B128</f>
        <v>-171.79</v>
      </c>
      <c r="D151" s="157"/>
      <c r="E151" s="570"/>
      <c r="F151" s="573"/>
      <c r="G151" s="581"/>
      <c r="H151" s="419"/>
      <c r="I151" s="239"/>
      <c r="J151" s="568"/>
      <c r="K151" s="57"/>
      <c r="L151" s="150"/>
      <c r="M151" s="57"/>
      <c r="N151" s="57"/>
      <c r="O151" s="57"/>
      <c r="P151" s="157"/>
      <c r="Q151" s="404"/>
      <c r="R151" s="148"/>
      <c r="S151" s="242"/>
      <c r="T151" s="242"/>
      <c r="U151" s="242"/>
      <c r="V151" s="242"/>
      <c r="W151" s="242"/>
      <c r="X151" s="242"/>
      <c r="Y151" s="148"/>
      <c r="Z151" s="148"/>
    </row>
    <row r="152">
      <c r="A152" s="274" t="s">
        <v>783</v>
      </c>
      <c r="B152" s="109">
        <v>570.0</v>
      </c>
      <c r="C152" s="395"/>
      <c r="D152" s="157"/>
      <c r="E152" s="570"/>
      <c r="F152" s="573"/>
      <c r="G152" s="581"/>
      <c r="H152" s="419"/>
      <c r="I152" s="239"/>
      <c r="J152" s="568"/>
      <c r="K152" s="57"/>
      <c r="L152" s="150"/>
      <c r="M152" s="57"/>
      <c r="N152" s="57"/>
      <c r="O152" s="57"/>
      <c r="P152" s="157"/>
      <c r="Q152" s="404"/>
      <c r="R152" s="148"/>
      <c r="S152" s="242"/>
      <c r="T152" s="242"/>
      <c r="U152" s="242"/>
      <c r="V152" s="242"/>
      <c r="W152" s="242"/>
      <c r="X152" s="242"/>
      <c r="Y152" s="148"/>
      <c r="Z152" s="148"/>
    </row>
    <row r="153">
      <c r="A153" s="274" t="s">
        <v>784</v>
      </c>
      <c r="B153" s="109">
        <v>5600.0</v>
      </c>
      <c r="C153" s="395"/>
      <c r="D153" s="157"/>
      <c r="E153" s="570"/>
      <c r="F153" s="573"/>
      <c r="G153" s="581"/>
      <c r="H153" s="419"/>
      <c r="I153" s="239"/>
      <c r="J153" s="568"/>
      <c r="K153" s="57"/>
      <c r="L153" s="150"/>
      <c r="M153" s="57"/>
      <c r="N153" s="57"/>
      <c r="O153" s="57"/>
      <c r="P153" s="157"/>
      <c r="Q153" s="404"/>
      <c r="R153" s="148"/>
      <c r="S153" s="242"/>
      <c r="T153" s="242"/>
      <c r="U153" s="242"/>
      <c r="V153" s="242"/>
      <c r="W153" s="242"/>
      <c r="X153" s="242"/>
      <c r="Y153" s="148"/>
      <c r="Z153" s="148"/>
    </row>
    <row r="154">
      <c r="A154" s="274" t="s">
        <v>785</v>
      </c>
      <c r="B154" s="109"/>
      <c r="C154" s="395"/>
      <c r="D154" s="157"/>
      <c r="E154" s="570"/>
      <c r="F154" s="573"/>
      <c r="G154" s="581"/>
      <c r="H154" s="419"/>
      <c r="I154" s="239"/>
      <c r="J154" s="568"/>
      <c r="K154" s="57"/>
      <c r="L154" s="150"/>
      <c r="M154" s="57"/>
      <c r="N154" s="57"/>
      <c r="O154" s="57"/>
      <c r="P154" s="157"/>
      <c r="Q154" s="404"/>
      <c r="R154" s="148"/>
      <c r="S154" s="242"/>
      <c r="T154" s="242"/>
      <c r="U154" s="242"/>
      <c r="V154" s="242"/>
      <c r="W154" s="242"/>
      <c r="X154" s="242"/>
      <c r="Y154" s="148"/>
      <c r="Z154" s="148"/>
    </row>
    <row r="155">
      <c r="A155" s="402"/>
      <c r="B155" s="403"/>
      <c r="C155" s="403"/>
      <c r="D155" s="403"/>
      <c r="E155" s="574"/>
      <c r="F155" s="575"/>
      <c r="G155" s="576"/>
      <c r="H155" s="159"/>
      <c r="I155" s="159"/>
      <c r="J155" s="576"/>
      <c r="K155" s="159"/>
      <c r="L155" s="162"/>
      <c r="M155" s="402"/>
      <c r="N155" s="402"/>
      <c r="O155" s="159"/>
      <c r="P155" s="403"/>
      <c r="Q155" s="577"/>
      <c r="R155" s="148"/>
      <c r="S155" s="242"/>
      <c r="T155" s="242"/>
      <c r="U155" s="242"/>
      <c r="V155" s="242"/>
      <c r="W155" s="242"/>
      <c r="X155" s="242"/>
      <c r="Y155" s="148"/>
      <c r="Z155" s="148"/>
    </row>
    <row r="156">
      <c r="A156" s="148"/>
      <c r="B156" s="148"/>
      <c r="C156" s="148"/>
      <c r="D156" s="245"/>
      <c r="E156" s="585"/>
      <c r="F156" s="586"/>
      <c r="G156" s="243"/>
      <c r="H156" s="148"/>
      <c r="I156" s="251"/>
      <c r="J156" s="243"/>
      <c r="K156" s="148"/>
      <c r="L156" s="277"/>
      <c r="M156" s="252"/>
      <c r="N156" s="250"/>
      <c r="O156" s="253"/>
      <c r="P156" s="240"/>
      <c r="Q156" s="148"/>
      <c r="R156" s="148"/>
      <c r="S156" s="242"/>
      <c r="T156" s="242"/>
      <c r="U156" s="242"/>
      <c r="V156" s="242"/>
      <c r="W156" s="242"/>
      <c r="X156" s="242"/>
      <c r="Y156" s="148"/>
      <c r="Z156" s="148"/>
    </row>
    <row r="157">
      <c r="A157" s="169" t="s">
        <v>75</v>
      </c>
      <c r="B157" s="539"/>
      <c r="C157" s="540"/>
      <c r="D157" s="405"/>
      <c r="E157" s="541"/>
      <c r="F157" s="542"/>
      <c r="G157" s="467" t="s">
        <v>333</v>
      </c>
      <c r="H157" s="361"/>
      <c r="I157" s="57"/>
      <c r="J157" s="105"/>
      <c r="K157" s="57"/>
      <c r="L157" s="150"/>
      <c r="M157" s="239"/>
      <c r="N157" s="239"/>
      <c r="O157" s="57"/>
      <c r="P157" s="157"/>
      <c r="Q157" s="404"/>
      <c r="R157" s="148"/>
      <c r="S157" s="242"/>
      <c r="T157" s="242"/>
      <c r="U157" s="242"/>
      <c r="V157" s="242"/>
      <c r="W157" s="242"/>
      <c r="X157" s="242"/>
      <c r="Y157" s="148"/>
      <c r="Z157" s="148"/>
    </row>
    <row r="158">
      <c r="A158" s="468"/>
      <c r="B158" s="157"/>
      <c r="C158" s="466"/>
      <c r="D158" s="405"/>
      <c r="E158" s="543" t="s">
        <v>335</v>
      </c>
      <c r="F158" s="544" t="s">
        <v>237</v>
      </c>
      <c r="G158" s="412" t="s">
        <v>336</v>
      </c>
      <c r="H158" s="413" t="s">
        <v>337</v>
      </c>
      <c r="I158" s="239"/>
      <c r="J158" s="145" t="s">
        <v>60</v>
      </c>
      <c r="K158" s="57"/>
      <c r="L158" s="150"/>
      <c r="M158" s="414"/>
      <c r="N158" s="414"/>
      <c r="O158" s="57" t="s">
        <v>334</v>
      </c>
      <c r="P158" s="157"/>
      <c r="Q158" s="404"/>
      <c r="R158" s="148"/>
      <c r="S158" s="242"/>
      <c r="T158" s="242"/>
      <c r="U158" s="242"/>
      <c r="V158" s="242"/>
      <c r="W158" s="242"/>
      <c r="X158" s="242"/>
      <c r="Y158" s="148"/>
      <c r="Z158" s="148"/>
    </row>
    <row r="159">
      <c r="A159" s="470" t="s">
        <v>179</v>
      </c>
      <c r="C159" s="416">
        <f>SUM(F159:F193)</f>
        <v>6485</v>
      </c>
      <c r="D159" s="405"/>
      <c r="E159" s="545"/>
      <c r="F159" s="546"/>
      <c r="G159" s="578"/>
      <c r="H159" s="419"/>
      <c r="I159" s="57"/>
      <c r="K159" s="57"/>
      <c r="L159" s="150"/>
      <c r="M159" s="377" t="s">
        <v>366</v>
      </c>
      <c r="P159" s="157"/>
      <c r="Q159" s="404"/>
      <c r="R159" s="148"/>
      <c r="S159" s="242"/>
      <c r="T159" s="242"/>
      <c r="U159" s="242"/>
      <c r="V159" s="242"/>
      <c r="W159" s="242"/>
      <c r="X159" s="242"/>
      <c r="Y159" s="148"/>
      <c r="Z159" s="148"/>
    </row>
    <row r="160">
      <c r="A160" s="421" t="s">
        <v>343</v>
      </c>
      <c r="B160" s="422" t="s">
        <v>321</v>
      </c>
      <c r="C160" s="416">
        <f>SUM(P160:P193)</f>
        <v>600</v>
      </c>
      <c r="D160" s="157"/>
      <c r="E160" s="545"/>
      <c r="F160" s="546"/>
      <c r="G160" s="578"/>
      <c r="H160" s="419"/>
      <c r="I160" s="239"/>
      <c r="J160" s="471" t="s">
        <v>341</v>
      </c>
      <c r="K160" s="420"/>
      <c r="L160" s="150"/>
      <c r="M160" s="374"/>
      <c r="O160" s="591" t="s">
        <v>1003</v>
      </c>
      <c r="P160" s="423">
        <v>80.0</v>
      </c>
      <c r="Q160" s="404"/>
      <c r="R160" s="148"/>
      <c r="S160" s="242"/>
      <c r="T160" s="242"/>
      <c r="U160" s="242"/>
      <c r="V160" s="242"/>
      <c r="W160" s="242"/>
      <c r="X160" s="242"/>
      <c r="Y160" s="148"/>
      <c r="Z160" s="148"/>
    </row>
    <row r="161">
      <c r="A161" s="427" t="s">
        <v>201</v>
      </c>
      <c r="C161" s="204">
        <f>SUM(L160:L193)</f>
        <v>3605</v>
      </c>
      <c r="D161" s="157"/>
      <c r="E161" s="545"/>
      <c r="F161" s="546"/>
      <c r="G161" s="578"/>
      <c r="H161" s="419"/>
      <c r="I161" s="239"/>
      <c r="J161" s="472" t="s">
        <v>345</v>
      </c>
      <c r="K161" s="420"/>
      <c r="L161" s="193"/>
      <c r="M161" s="374"/>
      <c r="O161" s="591" t="s">
        <v>1004</v>
      </c>
      <c r="P161" s="423">
        <v>520.0</v>
      </c>
      <c r="Q161" s="404"/>
      <c r="R161" s="148"/>
      <c r="S161" s="242"/>
      <c r="T161" s="242"/>
      <c r="U161" s="242"/>
      <c r="V161" s="242"/>
      <c r="W161" s="242"/>
      <c r="X161" s="242"/>
      <c r="Y161" s="148"/>
      <c r="Z161" s="148"/>
    </row>
    <row r="162">
      <c r="A162" s="548" t="s">
        <v>761</v>
      </c>
      <c r="B162" s="549">
        <v>0.4</v>
      </c>
      <c r="C162" s="191">
        <v>240.0</v>
      </c>
      <c r="D162" s="157"/>
      <c r="E162" s="550" t="s">
        <v>695</v>
      </c>
      <c r="F162" s="546">
        <v>1130.0</v>
      </c>
      <c r="G162" s="562"/>
      <c r="H162" s="419"/>
      <c r="I162" s="239"/>
      <c r="J162" s="433" t="s">
        <v>656</v>
      </c>
      <c r="K162" s="420"/>
      <c r="L162" s="193">
        <v>83.0</v>
      </c>
      <c r="M162" s="377" t="s">
        <v>1005</v>
      </c>
      <c r="O162" s="431"/>
      <c r="P162" s="423"/>
      <c r="Q162" s="404"/>
      <c r="R162" s="148"/>
      <c r="S162" s="242"/>
      <c r="T162" s="242"/>
      <c r="U162" s="242"/>
      <c r="V162" s="242"/>
      <c r="W162" s="242"/>
      <c r="X162" s="242"/>
      <c r="Y162" s="148"/>
      <c r="Z162" s="148"/>
    </row>
    <row r="163">
      <c r="A163" s="434" t="s">
        <v>350</v>
      </c>
      <c r="C163" s="551">
        <f>C159-C161-C162</f>
        <v>2640</v>
      </c>
      <c r="D163" s="157"/>
      <c r="E163" s="192" t="s">
        <v>1003</v>
      </c>
      <c r="F163" s="546">
        <v>80.0</v>
      </c>
      <c r="G163" s="558" t="s">
        <v>426</v>
      </c>
      <c r="H163" s="419"/>
      <c r="I163" s="57"/>
      <c r="J163" s="444" t="s">
        <v>658</v>
      </c>
      <c r="K163" s="420"/>
      <c r="L163" s="193">
        <v>53.0</v>
      </c>
      <c r="M163" s="377"/>
      <c r="O163" s="431"/>
      <c r="P163" s="157"/>
      <c r="Q163" s="404"/>
      <c r="R163" s="148"/>
      <c r="S163" s="242"/>
      <c r="T163" s="242"/>
      <c r="U163" s="242"/>
      <c r="V163" s="242"/>
      <c r="W163" s="242"/>
      <c r="X163" s="242"/>
      <c r="Y163" s="148"/>
      <c r="Z163" s="148"/>
    </row>
    <row r="164">
      <c r="A164" s="554"/>
      <c r="B164" s="555"/>
      <c r="C164" s="447"/>
      <c r="D164" s="157"/>
      <c r="E164" s="192" t="s">
        <v>795</v>
      </c>
      <c r="F164" s="546">
        <v>300.0</v>
      </c>
      <c r="G164" s="562"/>
      <c r="H164" s="419"/>
      <c r="I164" s="57"/>
      <c r="J164" s="444" t="s">
        <v>660</v>
      </c>
      <c r="K164" s="420"/>
      <c r="L164" s="193">
        <v>200.0</v>
      </c>
      <c r="M164" s="377"/>
      <c r="O164" s="431"/>
      <c r="P164" s="157"/>
      <c r="Q164" s="404"/>
      <c r="R164" s="148"/>
      <c r="S164" s="242"/>
      <c r="T164" s="242"/>
      <c r="U164" s="242"/>
      <c r="V164" s="242"/>
      <c r="W164" s="242"/>
      <c r="X164" s="242"/>
      <c r="Y164" s="148"/>
      <c r="Z164" s="148"/>
    </row>
    <row r="165">
      <c r="A165" s="556"/>
      <c r="C165" s="395"/>
      <c r="D165" s="157"/>
      <c r="E165" s="192" t="s">
        <v>862</v>
      </c>
      <c r="F165" s="546">
        <v>150.0</v>
      </c>
      <c r="G165" s="579"/>
      <c r="H165" s="419"/>
      <c r="I165" s="239"/>
      <c r="J165" s="370" t="s">
        <v>662</v>
      </c>
      <c r="K165" s="420"/>
      <c r="L165" s="193">
        <v>94.0</v>
      </c>
      <c r="M165" s="377" t="s">
        <v>1006</v>
      </c>
      <c r="O165" s="431"/>
      <c r="P165" s="157"/>
      <c r="Q165" s="404"/>
      <c r="R165" s="148"/>
      <c r="S165" s="242"/>
      <c r="T165" s="242"/>
      <c r="U165" s="242"/>
      <c r="V165" s="242"/>
      <c r="W165" s="242"/>
      <c r="X165" s="242"/>
      <c r="Y165" s="148"/>
      <c r="Z165" s="148"/>
    </row>
    <row r="166">
      <c r="A166" s="557"/>
      <c r="B166" s="109"/>
      <c r="C166" s="395"/>
      <c r="D166" s="373"/>
      <c r="E166" s="192" t="s">
        <v>567</v>
      </c>
      <c r="F166" s="546">
        <v>600.0</v>
      </c>
      <c r="G166" s="578"/>
      <c r="H166" s="419"/>
      <c r="I166" s="239"/>
      <c r="J166" s="433" t="s">
        <v>666</v>
      </c>
      <c r="K166" s="420"/>
      <c r="L166" s="193">
        <v>200.0</v>
      </c>
      <c r="M166" s="377" t="s">
        <v>1007</v>
      </c>
      <c r="O166" s="431"/>
      <c r="P166" s="157"/>
      <c r="Q166" s="404"/>
      <c r="R166" s="148"/>
      <c r="S166" s="242"/>
      <c r="T166" s="242"/>
      <c r="U166" s="242"/>
      <c r="V166" s="242"/>
      <c r="W166" s="242"/>
      <c r="X166" s="242"/>
      <c r="Y166" s="148"/>
      <c r="Z166" s="148"/>
    </row>
    <row r="167">
      <c r="A167" s="559" t="s">
        <v>765</v>
      </c>
      <c r="B167" s="560">
        <f>SUM(D167:D193)</f>
        <v>2410.59</v>
      </c>
      <c r="C167" s="477" t="s">
        <v>366</v>
      </c>
      <c r="D167" s="157"/>
      <c r="E167" s="192" t="s">
        <v>1008</v>
      </c>
      <c r="F167" s="546">
        <v>1225.0</v>
      </c>
      <c r="G167" s="578"/>
      <c r="H167" s="419"/>
      <c r="I167" s="239"/>
      <c r="J167" s="433" t="s">
        <v>668</v>
      </c>
      <c r="K167" s="420"/>
      <c r="L167" s="150"/>
      <c r="M167" s="377"/>
      <c r="O167" s="431"/>
      <c r="P167" s="157"/>
      <c r="Q167" s="404"/>
      <c r="R167" s="148"/>
      <c r="S167" s="242"/>
      <c r="T167" s="242"/>
      <c r="U167" s="242"/>
      <c r="V167" s="242"/>
      <c r="W167" s="242"/>
      <c r="X167" s="242"/>
      <c r="Y167" s="148"/>
      <c r="Z167" s="148"/>
    </row>
    <row r="168">
      <c r="A168" s="453" t="s">
        <v>369</v>
      </c>
      <c r="C168" s="561" t="s">
        <v>766</v>
      </c>
      <c r="D168" s="423">
        <v>396.46</v>
      </c>
      <c r="E168" s="192" t="s">
        <v>873</v>
      </c>
      <c r="F168" s="546">
        <v>260.0</v>
      </c>
      <c r="G168" s="666" t="s">
        <v>426</v>
      </c>
      <c r="H168" s="361"/>
      <c r="I168" s="239"/>
      <c r="J168" s="433" t="s">
        <v>670</v>
      </c>
      <c r="K168" s="458"/>
      <c r="L168" s="193">
        <v>1250.0</v>
      </c>
      <c r="M168" s="377"/>
      <c r="O168" s="431"/>
      <c r="P168" s="157"/>
      <c r="Q168" s="404"/>
      <c r="R168" s="148"/>
      <c r="S168" s="242"/>
      <c r="T168" s="242"/>
      <c r="U168" s="242"/>
      <c r="V168" s="242"/>
      <c r="W168" s="242"/>
      <c r="X168" s="242"/>
      <c r="Y168" s="148"/>
      <c r="Z168" s="148"/>
    </row>
    <row r="169">
      <c r="C169" s="561" t="s">
        <v>1009</v>
      </c>
      <c r="D169" s="423">
        <v>170.13</v>
      </c>
      <c r="E169" s="667" t="s">
        <v>1010</v>
      </c>
      <c r="F169" s="546">
        <v>750.0</v>
      </c>
      <c r="G169" s="668"/>
      <c r="H169" s="419"/>
      <c r="I169" s="239"/>
      <c r="J169" s="433" t="s">
        <v>217</v>
      </c>
      <c r="K169" s="458"/>
      <c r="L169" s="150"/>
      <c r="M169" s="377"/>
      <c r="O169" s="431"/>
      <c r="P169" s="157"/>
      <c r="Q169" s="404"/>
      <c r="R169" s="148"/>
      <c r="S169" s="242"/>
      <c r="T169" s="242"/>
      <c r="U169" s="242"/>
      <c r="V169" s="242"/>
      <c r="W169" s="242"/>
      <c r="X169" s="242"/>
      <c r="Y169" s="148"/>
      <c r="Z169" s="148"/>
    </row>
    <row r="170">
      <c r="A170" s="659"/>
      <c r="B170" s="57"/>
      <c r="C170" s="561" t="s">
        <v>768</v>
      </c>
      <c r="D170" s="423"/>
      <c r="E170" s="192" t="s">
        <v>975</v>
      </c>
      <c r="F170" s="546">
        <v>730.0</v>
      </c>
      <c r="G170" s="578"/>
      <c r="H170" s="419"/>
      <c r="I170" s="239"/>
      <c r="J170" s="109"/>
      <c r="K170" s="420"/>
      <c r="L170" s="193"/>
      <c r="M170" s="374"/>
      <c r="O170" s="431"/>
      <c r="P170" s="157"/>
      <c r="Q170" s="404"/>
      <c r="R170" s="148"/>
      <c r="S170" s="242"/>
      <c r="T170" s="242"/>
      <c r="U170" s="242"/>
      <c r="V170" s="242"/>
      <c r="W170" s="242"/>
      <c r="X170" s="242"/>
      <c r="Y170" s="148"/>
      <c r="Z170" s="148"/>
    </row>
    <row r="171">
      <c r="A171" s="659"/>
      <c r="B171" s="57"/>
      <c r="C171" s="561" t="s">
        <v>769</v>
      </c>
      <c r="D171" s="157"/>
      <c r="E171" s="192" t="s">
        <v>1011</v>
      </c>
      <c r="F171" s="546">
        <v>260.0</v>
      </c>
      <c r="G171" s="562"/>
      <c r="H171" s="419"/>
      <c r="I171" s="239"/>
      <c r="J171" s="456" t="s">
        <v>672</v>
      </c>
      <c r="K171" s="420"/>
      <c r="L171" s="150"/>
      <c r="M171" s="377"/>
      <c r="O171" s="431"/>
      <c r="P171" s="157"/>
      <c r="Q171" s="404"/>
      <c r="R171" s="148"/>
      <c r="S171" s="242"/>
      <c r="T171" s="242"/>
      <c r="U171" s="242"/>
      <c r="V171" s="242"/>
      <c r="W171" s="242"/>
      <c r="X171" s="242"/>
      <c r="Y171" s="148"/>
      <c r="Z171" s="148"/>
    </row>
    <row r="172">
      <c r="A172" s="659"/>
      <c r="B172" s="57"/>
      <c r="C172" s="561" t="s">
        <v>770</v>
      </c>
      <c r="D172" s="423"/>
      <c r="E172" s="192" t="s">
        <v>569</v>
      </c>
      <c r="F172" s="546">
        <v>1000.0</v>
      </c>
      <c r="G172" s="578"/>
      <c r="H172" s="419"/>
      <c r="I172" s="57"/>
      <c r="J172" s="456" t="s">
        <v>675</v>
      </c>
      <c r="K172" s="420"/>
      <c r="L172" s="150"/>
      <c r="M172" s="382"/>
      <c r="O172" s="431"/>
      <c r="P172" s="157"/>
      <c r="Q172" s="404"/>
      <c r="R172" s="148"/>
      <c r="S172" s="242"/>
      <c r="T172" s="242"/>
      <c r="U172" s="242"/>
      <c r="V172" s="242"/>
      <c r="W172" s="242"/>
      <c r="X172" s="242"/>
      <c r="Y172" s="148"/>
      <c r="Z172" s="148"/>
    </row>
    <row r="173">
      <c r="A173" s="659"/>
      <c r="B173" s="57"/>
      <c r="C173" s="561" t="s">
        <v>793</v>
      </c>
      <c r="D173" s="423">
        <v>300.0</v>
      </c>
      <c r="E173" s="192"/>
      <c r="F173" s="546"/>
      <c r="G173" s="579"/>
      <c r="H173" s="419"/>
      <c r="I173" s="57"/>
      <c r="J173" s="456"/>
      <c r="K173" s="420"/>
      <c r="L173" s="150"/>
      <c r="M173" s="425"/>
      <c r="O173" s="431"/>
      <c r="P173" s="157"/>
      <c r="Q173" s="404"/>
      <c r="R173" s="148"/>
      <c r="S173" s="242"/>
      <c r="T173" s="242"/>
      <c r="U173" s="242"/>
      <c r="V173" s="242"/>
      <c r="W173" s="242"/>
      <c r="X173" s="242"/>
      <c r="Y173" s="148"/>
      <c r="Z173" s="148"/>
    </row>
    <row r="174">
      <c r="A174" s="660"/>
      <c r="B174" s="57"/>
      <c r="C174" s="561" t="s">
        <v>794</v>
      </c>
      <c r="D174" s="423"/>
      <c r="E174" s="192"/>
      <c r="F174" s="546"/>
      <c r="G174" s="578"/>
      <c r="H174" s="419"/>
      <c r="I174" s="57"/>
      <c r="J174" s="375"/>
      <c r="K174" s="420"/>
      <c r="L174" s="150"/>
      <c r="M174" s="425"/>
      <c r="O174" s="431"/>
      <c r="P174" s="157"/>
      <c r="Q174" s="404"/>
      <c r="R174" s="148"/>
      <c r="S174" s="242"/>
      <c r="T174" s="242"/>
      <c r="U174" s="242"/>
      <c r="V174" s="242"/>
      <c r="W174" s="242"/>
      <c r="X174" s="242"/>
      <c r="Y174" s="148"/>
      <c r="Z174" s="148"/>
    </row>
    <row r="175">
      <c r="A175" s="660"/>
      <c r="B175" s="57"/>
      <c r="C175" s="561" t="s">
        <v>18</v>
      </c>
      <c r="D175" s="423"/>
      <c r="E175" s="192"/>
      <c r="F175" s="546"/>
      <c r="G175" s="578"/>
      <c r="H175" s="419"/>
      <c r="I175" s="57"/>
      <c r="J175" s="375"/>
      <c r="K175" s="420"/>
      <c r="L175" s="193"/>
      <c r="M175" s="382"/>
      <c r="O175" s="431"/>
      <c r="P175" s="157"/>
      <c r="Q175" s="404"/>
      <c r="R175" s="148"/>
      <c r="S175" s="242"/>
      <c r="T175" s="242"/>
      <c r="U175" s="242"/>
      <c r="V175" s="242"/>
      <c r="W175" s="242"/>
      <c r="X175" s="242"/>
      <c r="Y175" s="148"/>
      <c r="Z175" s="148"/>
    </row>
    <row r="176">
      <c r="A176" s="662" t="s">
        <v>1012</v>
      </c>
      <c r="B176" s="57"/>
      <c r="C176" s="561" t="s">
        <v>773</v>
      </c>
      <c r="D176" s="423">
        <v>495.0</v>
      </c>
      <c r="E176" s="192"/>
      <c r="F176" s="546"/>
      <c r="G176" s="579"/>
      <c r="H176" s="419"/>
      <c r="I176" s="57"/>
      <c r="J176" s="452"/>
      <c r="K176" s="420"/>
      <c r="L176" s="150"/>
      <c r="M176" s="425"/>
      <c r="O176" s="431"/>
      <c r="P176" s="157"/>
      <c r="Q176" s="404"/>
      <c r="R176" s="148"/>
      <c r="S176" s="242"/>
      <c r="T176" s="242"/>
      <c r="U176" s="242"/>
      <c r="V176" s="242"/>
      <c r="W176" s="242"/>
      <c r="X176" s="242"/>
      <c r="Y176" s="148"/>
      <c r="Z176" s="148"/>
    </row>
    <row r="177">
      <c r="A177" s="662" t="s">
        <v>1013</v>
      </c>
      <c r="B177" s="57"/>
      <c r="C177" s="561" t="s">
        <v>774</v>
      </c>
      <c r="D177" s="423">
        <v>100.0</v>
      </c>
      <c r="E177" s="192"/>
      <c r="F177" s="546"/>
      <c r="G177" s="578"/>
      <c r="H177" s="419"/>
      <c r="I177" s="57"/>
      <c r="J177" s="105"/>
      <c r="K177" s="420"/>
      <c r="L177" s="150"/>
      <c r="M177" s="425"/>
      <c r="O177" s="431"/>
      <c r="P177" s="157"/>
      <c r="Q177" s="404"/>
      <c r="R177" s="148"/>
      <c r="S177" s="242"/>
      <c r="T177" s="242"/>
      <c r="U177" s="242"/>
      <c r="V177" s="242"/>
      <c r="W177" s="242"/>
      <c r="X177" s="242"/>
      <c r="Y177" s="148"/>
      <c r="Z177" s="148"/>
    </row>
    <row r="178">
      <c r="A178" s="209" t="s">
        <v>1014</v>
      </c>
      <c r="B178" s="239"/>
      <c r="C178" s="561" t="s">
        <v>775</v>
      </c>
      <c r="D178" s="423">
        <v>535.0</v>
      </c>
      <c r="E178" s="192"/>
      <c r="F178" s="546"/>
      <c r="G178" s="578"/>
      <c r="H178" s="419"/>
      <c r="I178" s="57"/>
      <c r="J178" s="378" t="s">
        <v>682</v>
      </c>
      <c r="K178" s="420"/>
      <c r="L178" s="193">
        <v>42.0</v>
      </c>
      <c r="M178" s="377" t="s">
        <v>1015</v>
      </c>
      <c r="O178" s="431"/>
      <c r="P178" s="157"/>
      <c r="Q178" s="404"/>
      <c r="R178" s="148"/>
      <c r="S178" s="242"/>
      <c r="T178" s="242"/>
      <c r="U178" s="242"/>
      <c r="V178" s="242"/>
      <c r="W178" s="242"/>
      <c r="X178" s="242"/>
      <c r="Y178" s="148"/>
      <c r="Z178" s="148"/>
    </row>
    <row r="179">
      <c r="A179" s="660"/>
      <c r="B179" s="239"/>
      <c r="C179" s="561" t="s">
        <v>10</v>
      </c>
      <c r="D179" s="157"/>
      <c r="E179" s="192"/>
      <c r="F179" s="580"/>
      <c r="G179" s="589"/>
      <c r="H179" s="419"/>
      <c r="I179" s="57"/>
      <c r="J179" s="461" t="s">
        <v>684</v>
      </c>
      <c r="K179" s="420"/>
      <c r="L179" s="193"/>
      <c r="M179" s="377"/>
      <c r="O179" s="431"/>
      <c r="P179" s="157"/>
      <c r="Q179" s="404"/>
      <c r="R179" s="148"/>
      <c r="S179" s="242"/>
      <c r="T179" s="242"/>
      <c r="U179" s="242"/>
      <c r="V179" s="242"/>
      <c r="W179" s="242"/>
      <c r="X179" s="242"/>
      <c r="Y179" s="148"/>
      <c r="Z179" s="148"/>
    </row>
    <row r="180">
      <c r="A180" s="662" t="s">
        <v>1016</v>
      </c>
      <c r="B180" s="239"/>
      <c r="C180" s="561" t="s">
        <v>6</v>
      </c>
      <c r="D180" s="423">
        <v>70.0</v>
      </c>
      <c r="E180" s="192"/>
      <c r="F180" s="546"/>
      <c r="G180" s="579"/>
      <c r="H180" s="455"/>
      <c r="I180" s="57"/>
      <c r="J180" s="461" t="s">
        <v>686</v>
      </c>
      <c r="K180" s="420"/>
      <c r="L180" s="150"/>
      <c r="M180" s="377"/>
      <c r="O180" s="463"/>
      <c r="P180" s="157"/>
      <c r="Q180" s="404"/>
      <c r="R180" s="148"/>
      <c r="S180" s="242"/>
      <c r="T180" s="242"/>
      <c r="U180" s="242"/>
      <c r="V180" s="242"/>
      <c r="W180" s="242"/>
      <c r="X180" s="242"/>
      <c r="Y180" s="148"/>
      <c r="Z180" s="148"/>
    </row>
    <row r="181">
      <c r="A181" s="659"/>
      <c r="B181" s="57"/>
      <c r="C181" s="561" t="s">
        <v>779</v>
      </c>
      <c r="D181" s="157"/>
      <c r="E181" s="192"/>
      <c r="F181" s="546"/>
      <c r="G181" s="579"/>
      <c r="H181" s="455"/>
      <c r="I181" s="239"/>
      <c r="J181" s="460" t="s">
        <v>202</v>
      </c>
      <c r="K181" s="420"/>
      <c r="L181" s="193"/>
      <c r="M181" s="377"/>
      <c r="O181" s="463"/>
      <c r="P181" s="157"/>
      <c r="Q181" s="404"/>
      <c r="R181" s="148"/>
      <c r="S181" s="242"/>
      <c r="T181" s="242"/>
      <c r="U181" s="242"/>
      <c r="V181" s="242"/>
      <c r="W181" s="242"/>
      <c r="X181" s="242"/>
      <c r="Y181" s="148"/>
      <c r="Z181" s="148"/>
    </row>
    <row r="182">
      <c r="A182" s="660"/>
      <c r="B182" s="239"/>
      <c r="C182" s="561" t="s">
        <v>780</v>
      </c>
      <c r="D182" s="423">
        <v>100.0</v>
      </c>
      <c r="E182" s="228"/>
      <c r="F182" s="547"/>
      <c r="G182" s="579"/>
      <c r="H182" s="455"/>
      <c r="I182" s="57"/>
      <c r="J182" s="460" t="s">
        <v>274</v>
      </c>
      <c r="K182" s="420"/>
      <c r="L182" s="193">
        <v>213.0</v>
      </c>
      <c r="M182" s="374"/>
      <c r="O182" s="463"/>
      <c r="P182" s="157"/>
      <c r="Q182" s="404"/>
      <c r="R182" s="148"/>
      <c r="S182" s="242"/>
      <c r="T182" s="242"/>
      <c r="U182" s="242"/>
      <c r="V182" s="242"/>
      <c r="W182" s="242"/>
      <c r="X182" s="242"/>
      <c r="Y182" s="148"/>
      <c r="Z182" s="148"/>
    </row>
    <row r="183">
      <c r="A183" s="662" t="s">
        <v>1017</v>
      </c>
      <c r="B183" s="239"/>
      <c r="C183" s="561" t="s">
        <v>781</v>
      </c>
      <c r="D183" s="423">
        <v>244.0</v>
      </c>
      <c r="E183" s="192"/>
      <c r="F183" s="547"/>
      <c r="G183" s="579"/>
      <c r="H183" s="419"/>
      <c r="I183" s="239"/>
      <c r="J183" s="568"/>
      <c r="K183" s="420"/>
      <c r="L183" s="150"/>
      <c r="M183" s="374"/>
      <c r="O183" s="431"/>
      <c r="P183" s="157"/>
      <c r="Q183" s="404"/>
      <c r="R183" s="148"/>
      <c r="S183" s="242"/>
      <c r="T183" s="242"/>
      <c r="U183" s="242"/>
      <c r="V183" s="242"/>
      <c r="W183" s="242"/>
      <c r="X183" s="242"/>
      <c r="Y183" s="148"/>
      <c r="Z183" s="148"/>
    </row>
    <row r="184">
      <c r="A184" s="660"/>
      <c r="B184" s="157"/>
      <c r="C184" s="561"/>
      <c r="D184" s="157"/>
      <c r="E184" s="569"/>
      <c r="F184" s="547"/>
      <c r="G184" s="578"/>
      <c r="H184" s="419"/>
      <c r="I184" s="57"/>
      <c r="J184" s="374"/>
      <c r="K184" s="420"/>
      <c r="L184" s="193"/>
      <c r="M184" s="377"/>
      <c r="O184" s="431"/>
      <c r="P184" s="157"/>
      <c r="Q184" s="404"/>
      <c r="R184" s="148"/>
      <c r="S184" s="242"/>
      <c r="T184" s="242"/>
      <c r="U184" s="242"/>
      <c r="V184" s="242"/>
      <c r="W184" s="242"/>
      <c r="X184" s="242"/>
      <c r="Y184" s="148"/>
      <c r="Z184" s="148"/>
    </row>
    <row r="185">
      <c r="A185" s="660"/>
      <c r="B185" s="157"/>
      <c r="C185" s="561"/>
      <c r="D185" s="157"/>
      <c r="E185" s="228"/>
      <c r="F185" s="547"/>
      <c r="G185" s="578"/>
      <c r="H185" s="419"/>
      <c r="I185" s="239"/>
      <c r="J185" s="596" t="s">
        <v>1001</v>
      </c>
      <c r="K185" s="420"/>
      <c r="L185" s="193">
        <v>1470.0</v>
      </c>
      <c r="M185" s="377" t="s">
        <v>1018</v>
      </c>
      <c r="O185" s="431"/>
      <c r="P185" s="157"/>
      <c r="Q185" s="404"/>
      <c r="R185" s="148"/>
      <c r="S185" s="242"/>
      <c r="T185" s="242"/>
      <c r="U185" s="242"/>
      <c r="V185" s="242"/>
      <c r="W185" s="242"/>
      <c r="X185" s="242"/>
      <c r="Y185" s="148"/>
      <c r="Z185" s="148"/>
    </row>
    <row r="186">
      <c r="A186" s="239"/>
      <c r="B186" s="157"/>
      <c r="C186" s="561"/>
      <c r="D186" s="157"/>
      <c r="E186" s="570"/>
      <c r="F186" s="547"/>
      <c r="G186" s="578"/>
      <c r="H186" s="419"/>
      <c r="I186" s="239"/>
      <c r="J186" s="568"/>
      <c r="K186" s="420"/>
      <c r="L186" s="193"/>
      <c r="M186" s="374"/>
      <c r="O186" s="431"/>
      <c r="P186" s="157"/>
      <c r="Q186" s="404"/>
      <c r="R186" s="148"/>
      <c r="S186" s="242"/>
      <c r="T186" s="242"/>
      <c r="U186" s="242"/>
      <c r="V186" s="242"/>
      <c r="W186" s="242"/>
      <c r="X186" s="242"/>
      <c r="Y186" s="148"/>
      <c r="Z186" s="148"/>
    </row>
    <row r="187">
      <c r="C187" s="571"/>
      <c r="D187" s="157"/>
      <c r="E187" s="570"/>
      <c r="F187" s="547"/>
      <c r="G187" s="578"/>
      <c r="H187" s="419"/>
      <c r="I187" s="239"/>
      <c r="J187" s="464" t="s">
        <v>692</v>
      </c>
      <c r="K187" s="420"/>
      <c r="L187" s="150"/>
      <c r="M187" s="377"/>
      <c r="O187" s="431"/>
      <c r="P187" s="157"/>
      <c r="Q187" s="404"/>
      <c r="R187" s="148"/>
      <c r="S187" s="242"/>
      <c r="T187" s="242"/>
      <c r="U187" s="242"/>
      <c r="V187" s="242"/>
      <c r="W187" s="242"/>
      <c r="X187" s="242"/>
      <c r="Y187" s="148"/>
      <c r="Z187" s="148"/>
    </row>
    <row r="188">
      <c r="C188" s="571"/>
      <c r="D188" s="157"/>
      <c r="E188" s="570"/>
      <c r="F188" s="547"/>
      <c r="G188" s="578"/>
      <c r="H188" s="419"/>
      <c r="I188" s="239"/>
      <c r="J188" s="464" t="s">
        <v>694</v>
      </c>
      <c r="K188" s="420"/>
      <c r="L188" s="193"/>
      <c r="M188" s="377"/>
      <c r="O188" s="431"/>
      <c r="P188" s="157"/>
      <c r="Q188" s="404"/>
      <c r="R188" s="148"/>
      <c r="S188" s="242"/>
      <c r="T188" s="242"/>
      <c r="U188" s="242"/>
      <c r="V188" s="242"/>
      <c r="W188" s="242"/>
      <c r="X188" s="242"/>
      <c r="Y188" s="148"/>
      <c r="Z188" s="148"/>
    </row>
    <row r="189">
      <c r="C189" s="571"/>
      <c r="D189" s="423"/>
      <c r="E189" s="570"/>
      <c r="F189" s="546"/>
      <c r="G189" s="578"/>
      <c r="H189" s="419"/>
      <c r="I189" s="57"/>
      <c r="J189" s="105"/>
      <c r="K189" s="57"/>
      <c r="L189" s="150"/>
      <c r="M189" s="57"/>
      <c r="N189" s="57"/>
      <c r="O189" s="57"/>
      <c r="P189" s="157"/>
      <c r="Q189" s="404"/>
      <c r="R189" s="148"/>
      <c r="S189" s="242"/>
      <c r="T189" s="242"/>
      <c r="U189" s="242"/>
      <c r="V189" s="242"/>
      <c r="W189" s="242"/>
      <c r="X189" s="242"/>
      <c r="Y189" s="148"/>
      <c r="Z189" s="148"/>
    </row>
    <row r="190">
      <c r="A190" s="125" t="s">
        <v>798</v>
      </c>
      <c r="B190" s="572">
        <f>C163-B167</f>
        <v>229.41</v>
      </c>
      <c r="D190" s="157"/>
      <c r="E190" s="570"/>
      <c r="F190" s="573"/>
      <c r="G190" s="581"/>
      <c r="H190" s="419"/>
      <c r="I190" s="239"/>
      <c r="J190" s="568"/>
      <c r="K190" s="57"/>
      <c r="L190" s="150"/>
      <c r="M190" s="57"/>
      <c r="N190" s="57"/>
      <c r="O190" s="57"/>
      <c r="P190" s="157"/>
      <c r="Q190" s="404"/>
      <c r="R190" s="148"/>
      <c r="S190" s="242"/>
      <c r="T190" s="242"/>
      <c r="U190" s="242"/>
      <c r="V190" s="242"/>
      <c r="W190" s="242"/>
      <c r="X190" s="242"/>
      <c r="Y190" s="148"/>
      <c r="Z190" s="148"/>
    </row>
    <row r="191">
      <c r="A191" s="274" t="s">
        <v>783</v>
      </c>
      <c r="B191" s="109">
        <v>1300.0</v>
      </c>
      <c r="C191" s="395"/>
      <c r="D191" s="157"/>
      <c r="E191" s="570"/>
      <c r="F191" s="573"/>
      <c r="G191" s="581"/>
      <c r="H191" s="419"/>
      <c r="I191" s="239"/>
      <c r="J191" s="568"/>
      <c r="K191" s="57"/>
      <c r="L191" s="150"/>
      <c r="M191" s="57"/>
      <c r="N191" s="57"/>
      <c r="O191" s="57"/>
      <c r="P191" s="157"/>
      <c r="Q191" s="404"/>
      <c r="R191" s="148"/>
      <c r="S191" s="242"/>
      <c r="T191" s="242"/>
      <c r="U191" s="242"/>
      <c r="V191" s="242"/>
      <c r="W191" s="242"/>
      <c r="X191" s="242"/>
      <c r="Y191" s="148"/>
      <c r="Z191" s="148"/>
    </row>
    <row r="192">
      <c r="A192" s="274" t="s">
        <v>784</v>
      </c>
      <c r="B192" s="109">
        <v>8300.0</v>
      </c>
      <c r="C192" s="669" t="s">
        <v>1019</v>
      </c>
      <c r="D192" s="157"/>
      <c r="E192" s="570"/>
      <c r="F192" s="573"/>
      <c r="G192" s="581"/>
      <c r="H192" s="419"/>
      <c r="I192" s="239"/>
      <c r="J192" s="568"/>
      <c r="K192" s="57"/>
      <c r="L192" s="150"/>
      <c r="M192" s="57"/>
      <c r="N192" s="57"/>
      <c r="O192" s="57"/>
      <c r="P192" s="157"/>
      <c r="Q192" s="404"/>
      <c r="R192" s="148"/>
      <c r="S192" s="242"/>
      <c r="T192" s="242"/>
      <c r="U192" s="242"/>
      <c r="V192" s="242"/>
      <c r="W192" s="242"/>
      <c r="X192" s="242"/>
      <c r="Y192" s="148"/>
      <c r="Z192" s="148"/>
    </row>
    <row r="193">
      <c r="A193" s="274" t="s">
        <v>785</v>
      </c>
      <c r="B193" s="109"/>
      <c r="C193" s="395"/>
      <c r="D193" s="157"/>
      <c r="E193" s="570"/>
      <c r="F193" s="573"/>
      <c r="G193" s="581"/>
      <c r="H193" s="419"/>
      <c r="I193" s="239"/>
      <c r="J193" s="568"/>
      <c r="K193" s="57"/>
      <c r="L193" s="150"/>
      <c r="M193" s="57"/>
      <c r="N193" s="57"/>
      <c r="O193" s="57"/>
      <c r="P193" s="157"/>
      <c r="Q193" s="404"/>
      <c r="R193" s="148"/>
      <c r="S193" s="242"/>
      <c r="T193" s="242"/>
      <c r="U193" s="242"/>
      <c r="V193" s="242"/>
      <c r="W193" s="242"/>
      <c r="X193" s="242"/>
      <c r="Y193" s="148"/>
      <c r="Z193" s="148"/>
    </row>
    <row r="194">
      <c r="A194" s="402"/>
      <c r="B194" s="403"/>
      <c r="C194" s="403"/>
      <c r="D194" s="403"/>
      <c r="E194" s="574"/>
      <c r="F194" s="575"/>
      <c r="G194" s="576"/>
      <c r="H194" s="159"/>
      <c r="I194" s="159"/>
      <c r="J194" s="576"/>
      <c r="K194" s="159"/>
      <c r="L194" s="162"/>
      <c r="M194" s="402"/>
      <c r="N194" s="402"/>
      <c r="O194" s="159"/>
      <c r="P194" s="403"/>
      <c r="Q194" s="577"/>
      <c r="R194" s="148"/>
      <c r="S194" s="242"/>
      <c r="T194" s="242"/>
      <c r="U194" s="242"/>
      <c r="V194" s="242"/>
      <c r="W194" s="242"/>
      <c r="X194" s="242"/>
      <c r="Y194" s="148"/>
      <c r="Z194" s="148"/>
    </row>
    <row r="195">
      <c r="A195" s="148"/>
      <c r="B195" s="148"/>
      <c r="C195" s="148"/>
      <c r="D195" s="245"/>
      <c r="E195" s="585"/>
      <c r="F195" s="586"/>
      <c r="G195" s="243"/>
      <c r="H195" s="148"/>
      <c r="I195" s="251"/>
      <c r="J195" s="243"/>
      <c r="K195" s="148"/>
      <c r="L195" s="277"/>
      <c r="M195" s="252"/>
      <c r="N195" s="250"/>
      <c r="O195" s="253"/>
      <c r="P195" s="240"/>
      <c r="Q195" s="148"/>
      <c r="R195" s="148"/>
      <c r="S195" s="242"/>
      <c r="T195" s="242"/>
      <c r="U195" s="242"/>
      <c r="V195" s="242"/>
      <c r="W195" s="242"/>
      <c r="X195" s="242"/>
      <c r="Y195" s="148"/>
      <c r="Z195" s="148"/>
    </row>
    <row r="196">
      <c r="A196" s="169" t="s">
        <v>79</v>
      </c>
      <c r="B196" s="670" t="s">
        <v>1020</v>
      </c>
      <c r="C196" s="220"/>
      <c r="D196" s="405"/>
      <c r="E196" s="541"/>
      <c r="F196" s="542"/>
      <c r="G196" s="467" t="s">
        <v>333</v>
      </c>
      <c r="H196" s="361"/>
      <c r="I196" s="57"/>
      <c r="J196" s="105"/>
      <c r="K196" s="57"/>
      <c r="L196" s="150"/>
      <c r="M196" s="239"/>
      <c r="N196" s="239"/>
      <c r="O196" s="57"/>
      <c r="P196" s="157"/>
      <c r="Q196" s="404"/>
      <c r="R196" s="148"/>
      <c r="S196" s="242"/>
      <c r="T196" s="242"/>
      <c r="U196" s="242"/>
      <c r="V196" s="242"/>
      <c r="W196" s="242"/>
      <c r="X196" s="242"/>
      <c r="Y196" s="148"/>
      <c r="Z196" s="148"/>
    </row>
    <row r="197">
      <c r="A197" s="468"/>
      <c r="B197" s="157"/>
      <c r="C197" s="466"/>
      <c r="D197" s="405"/>
      <c r="E197" s="543" t="s">
        <v>335</v>
      </c>
      <c r="F197" s="544" t="s">
        <v>237</v>
      </c>
      <c r="G197" s="412" t="s">
        <v>336</v>
      </c>
      <c r="H197" s="413" t="s">
        <v>337</v>
      </c>
      <c r="I197" s="239"/>
      <c r="J197" s="145" t="s">
        <v>60</v>
      </c>
      <c r="K197" s="57"/>
      <c r="L197" s="150"/>
      <c r="M197" s="414"/>
      <c r="N197" s="414"/>
      <c r="O197" s="57" t="s">
        <v>334</v>
      </c>
      <c r="P197" s="157"/>
      <c r="Q197" s="404"/>
      <c r="R197" s="148"/>
      <c r="S197" s="242"/>
      <c r="T197" s="242"/>
      <c r="U197" s="242"/>
      <c r="V197" s="242"/>
      <c r="W197" s="242"/>
      <c r="X197" s="242"/>
      <c r="Y197" s="148"/>
      <c r="Z197" s="148"/>
    </row>
    <row r="198">
      <c r="A198" s="470" t="s">
        <v>179</v>
      </c>
      <c r="C198" s="416">
        <f>SUM(F198:F232)</f>
        <v>7963.8</v>
      </c>
      <c r="D198" s="417"/>
      <c r="E198" s="545"/>
      <c r="F198" s="546"/>
      <c r="G198" s="578"/>
      <c r="H198" s="419"/>
      <c r="I198" s="57"/>
      <c r="K198" s="57"/>
      <c r="L198" s="150"/>
      <c r="M198" s="377" t="s">
        <v>366</v>
      </c>
      <c r="P198" s="157"/>
      <c r="Q198" s="404"/>
      <c r="R198" s="148"/>
      <c r="S198" s="242"/>
      <c r="T198" s="242"/>
      <c r="U198" s="242"/>
      <c r="V198" s="242"/>
      <c r="W198" s="242"/>
      <c r="X198" s="242"/>
      <c r="Y198" s="148"/>
      <c r="Z198" s="148"/>
    </row>
    <row r="199">
      <c r="A199" s="421" t="s">
        <v>343</v>
      </c>
      <c r="B199" s="422" t="s">
        <v>321</v>
      </c>
      <c r="C199" s="416">
        <f>SUM(P199:P232)</f>
        <v>858.8</v>
      </c>
      <c r="D199" s="157"/>
      <c r="E199" s="545"/>
      <c r="F199" s="546"/>
      <c r="G199" s="578"/>
      <c r="H199" s="419"/>
      <c r="I199" s="239"/>
      <c r="J199" s="471" t="s">
        <v>341</v>
      </c>
      <c r="K199" s="420"/>
      <c r="L199" s="150"/>
      <c r="M199" s="374"/>
      <c r="O199" s="426" t="s">
        <v>1021</v>
      </c>
      <c r="P199" s="423">
        <v>210.0</v>
      </c>
      <c r="Q199" s="404"/>
      <c r="R199" s="148"/>
      <c r="S199" s="242"/>
      <c r="T199" s="242"/>
      <c r="U199" s="242"/>
      <c r="V199" s="242"/>
      <c r="W199" s="242"/>
      <c r="X199" s="242"/>
      <c r="Y199" s="148"/>
      <c r="Z199" s="148"/>
    </row>
    <row r="200">
      <c r="A200" s="427" t="s">
        <v>201</v>
      </c>
      <c r="C200" s="204">
        <f>SUM(L199:L232)</f>
        <v>3462.12</v>
      </c>
      <c r="D200" s="157"/>
      <c r="E200" s="545"/>
      <c r="F200" s="546"/>
      <c r="G200" s="578"/>
      <c r="H200" s="419"/>
      <c r="I200" s="239"/>
      <c r="J200" s="472" t="s">
        <v>345</v>
      </c>
      <c r="K200" s="420"/>
      <c r="L200" s="193">
        <v>100.12</v>
      </c>
      <c r="M200" s="377" t="s">
        <v>1022</v>
      </c>
      <c r="O200" s="426" t="s">
        <v>971</v>
      </c>
      <c r="P200" s="423">
        <v>170.0</v>
      </c>
      <c r="Q200" s="404"/>
      <c r="R200" s="148"/>
      <c r="S200" s="242"/>
      <c r="T200" s="242"/>
      <c r="U200" s="242"/>
      <c r="V200" s="242"/>
      <c r="W200" s="242"/>
      <c r="X200" s="242"/>
      <c r="Y200" s="148"/>
      <c r="Z200" s="148"/>
    </row>
    <row r="201">
      <c r="A201" s="548" t="s">
        <v>761</v>
      </c>
      <c r="B201" s="549">
        <v>0.4</v>
      </c>
      <c r="C201" s="191">
        <v>343.0</v>
      </c>
      <c r="D201" s="157"/>
      <c r="E201" s="550" t="s">
        <v>695</v>
      </c>
      <c r="F201" s="546">
        <v>710.0</v>
      </c>
      <c r="G201" s="562"/>
      <c r="H201" s="419"/>
      <c r="I201" s="239"/>
      <c r="J201" s="433" t="s">
        <v>656</v>
      </c>
      <c r="K201" s="420"/>
      <c r="L201" s="193">
        <v>80.0</v>
      </c>
      <c r="M201" s="377" t="s">
        <v>1023</v>
      </c>
      <c r="O201" s="426" t="s">
        <v>559</v>
      </c>
      <c r="P201" s="423">
        <v>300.0</v>
      </c>
      <c r="Q201" s="404"/>
      <c r="R201" s="148"/>
      <c r="S201" s="242"/>
      <c r="T201" s="242"/>
      <c r="U201" s="242"/>
      <c r="V201" s="242"/>
      <c r="W201" s="242"/>
      <c r="X201" s="242"/>
      <c r="Y201" s="148"/>
      <c r="Z201" s="148"/>
    </row>
    <row r="202">
      <c r="A202" s="434" t="s">
        <v>350</v>
      </c>
      <c r="C202" s="551">
        <f>C198-C200-C201</f>
        <v>4158.68</v>
      </c>
      <c r="D202" s="157"/>
      <c r="E202" s="655" t="s">
        <v>433</v>
      </c>
      <c r="F202" s="671">
        <v>130.0</v>
      </c>
      <c r="G202" s="579"/>
      <c r="H202" s="419"/>
      <c r="I202" s="57"/>
      <c r="J202" s="444" t="s">
        <v>658</v>
      </c>
      <c r="K202" s="420"/>
      <c r="L202" s="193">
        <v>28.0</v>
      </c>
      <c r="M202" s="377"/>
      <c r="O202" s="426" t="s">
        <v>1003</v>
      </c>
      <c r="P202" s="423">
        <v>178.8</v>
      </c>
      <c r="Q202" s="404"/>
      <c r="R202" s="148"/>
      <c r="S202" s="242"/>
      <c r="T202" s="242"/>
      <c r="U202" s="242"/>
      <c r="V202" s="242"/>
      <c r="W202" s="242"/>
      <c r="X202" s="242"/>
      <c r="Y202" s="148"/>
      <c r="Z202" s="148"/>
    </row>
    <row r="203">
      <c r="A203" s="554"/>
      <c r="B203" s="555"/>
      <c r="C203" s="447"/>
      <c r="D203" s="157"/>
      <c r="E203" s="192" t="s">
        <v>812</v>
      </c>
      <c r="F203" s="546">
        <v>160.0</v>
      </c>
      <c r="G203" s="562"/>
      <c r="H203" s="419"/>
      <c r="I203" s="57"/>
      <c r="J203" s="444" t="s">
        <v>660</v>
      </c>
      <c r="K203" s="420"/>
      <c r="L203" s="193"/>
      <c r="M203" s="377"/>
      <c r="O203" s="431"/>
      <c r="P203" s="157"/>
      <c r="Q203" s="404"/>
      <c r="R203" s="148"/>
      <c r="S203" s="242"/>
      <c r="T203" s="242"/>
      <c r="U203" s="242"/>
      <c r="V203" s="242"/>
      <c r="W203" s="242"/>
      <c r="X203" s="242"/>
      <c r="Y203" s="148"/>
      <c r="Z203" s="148"/>
    </row>
    <row r="204">
      <c r="A204" s="556"/>
      <c r="C204" s="395"/>
      <c r="D204" s="157"/>
      <c r="E204" s="192" t="s">
        <v>1024</v>
      </c>
      <c r="F204" s="546">
        <v>1200.0</v>
      </c>
      <c r="G204" s="579"/>
      <c r="H204" s="419"/>
      <c r="I204" s="239"/>
      <c r="J204" s="370" t="s">
        <v>662</v>
      </c>
      <c r="K204" s="420"/>
      <c r="L204" s="193"/>
      <c r="M204" s="377"/>
      <c r="O204" s="431"/>
      <c r="P204" s="157"/>
      <c r="Q204" s="404"/>
      <c r="R204" s="148"/>
      <c r="S204" s="242"/>
      <c r="T204" s="242"/>
      <c r="U204" s="242"/>
      <c r="V204" s="242"/>
      <c r="W204" s="242"/>
      <c r="X204" s="242"/>
      <c r="Y204" s="148"/>
      <c r="Z204" s="148"/>
    </row>
    <row r="205">
      <c r="A205" s="557"/>
      <c r="B205" s="109"/>
      <c r="C205" s="395"/>
      <c r="D205" s="373"/>
      <c r="E205" s="192" t="s">
        <v>1025</v>
      </c>
      <c r="F205" s="546">
        <v>75.0</v>
      </c>
      <c r="G205" s="578"/>
      <c r="H205" s="419"/>
      <c r="I205" s="239"/>
      <c r="J205" s="433" t="s">
        <v>666</v>
      </c>
      <c r="K205" s="420"/>
      <c r="L205" s="150"/>
      <c r="M205" s="374"/>
      <c r="O205" s="431"/>
      <c r="P205" s="157"/>
      <c r="Q205" s="404"/>
      <c r="R205" s="148"/>
      <c r="S205" s="242"/>
      <c r="T205" s="242"/>
      <c r="U205" s="242"/>
      <c r="V205" s="242"/>
      <c r="W205" s="242"/>
      <c r="X205" s="242"/>
      <c r="Y205" s="148"/>
      <c r="Z205" s="148"/>
    </row>
    <row r="206">
      <c r="A206" s="559" t="s">
        <v>765</v>
      </c>
      <c r="B206" s="560">
        <f>SUM(D206:D232)</f>
        <v>2083</v>
      </c>
      <c r="C206" s="477" t="s">
        <v>366</v>
      </c>
      <c r="D206" s="157"/>
      <c r="E206" s="192" t="s">
        <v>669</v>
      </c>
      <c r="F206" s="546">
        <v>700.0</v>
      </c>
      <c r="G206" s="578"/>
      <c r="H206" s="419"/>
      <c r="I206" s="239"/>
      <c r="J206" s="433" t="s">
        <v>668</v>
      </c>
      <c r="K206" s="420"/>
      <c r="L206" s="150"/>
      <c r="M206" s="377"/>
      <c r="O206" s="431"/>
      <c r="P206" s="157"/>
      <c r="Q206" s="404"/>
      <c r="R206" s="148"/>
      <c r="S206" s="242"/>
      <c r="T206" s="242"/>
      <c r="U206" s="242"/>
      <c r="V206" s="242"/>
      <c r="W206" s="242"/>
      <c r="X206" s="242"/>
      <c r="Y206" s="148"/>
      <c r="Z206" s="148"/>
    </row>
    <row r="207">
      <c r="A207" s="453" t="s">
        <v>369</v>
      </c>
      <c r="C207" s="561" t="s">
        <v>1026</v>
      </c>
      <c r="D207" s="423">
        <v>396.0</v>
      </c>
      <c r="E207" s="192" t="s">
        <v>971</v>
      </c>
      <c r="F207" s="546">
        <v>170.0</v>
      </c>
      <c r="G207" s="562" t="s">
        <v>426</v>
      </c>
      <c r="H207" s="419"/>
      <c r="I207" s="239"/>
      <c r="J207" s="433" t="s">
        <v>670</v>
      </c>
      <c r="K207" s="458"/>
      <c r="L207" s="193">
        <v>1250.0</v>
      </c>
      <c r="M207" s="377"/>
      <c r="O207" s="431"/>
      <c r="P207" s="157"/>
      <c r="Q207" s="404"/>
      <c r="R207" s="148"/>
      <c r="S207" s="242"/>
      <c r="T207" s="242"/>
      <c r="U207" s="242"/>
      <c r="V207" s="242"/>
      <c r="W207" s="242"/>
      <c r="X207" s="242"/>
      <c r="Y207" s="148"/>
      <c r="Z207" s="148"/>
    </row>
    <row r="208">
      <c r="C208" s="561" t="s">
        <v>767</v>
      </c>
      <c r="D208" s="157"/>
      <c r="E208" s="192" t="s">
        <v>1021</v>
      </c>
      <c r="F208" s="546">
        <v>210.0</v>
      </c>
      <c r="G208" s="558" t="s">
        <v>426</v>
      </c>
      <c r="H208" s="419"/>
      <c r="I208" s="239"/>
      <c r="J208" s="433" t="s">
        <v>217</v>
      </c>
      <c r="K208" s="458"/>
      <c r="L208" s="150"/>
      <c r="M208" s="377"/>
      <c r="O208" s="431"/>
      <c r="P208" s="157"/>
      <c r="Q208" s="404"/>
      <c r="R208" s="148"/>
      <c r="S208" s="242"/>
      <c r="T208" s="242"/>
      <c r="U208" s="242"/>
      <c r="V208" s="242"/>
      <c r="W208" s="242"/>
      <c r="X208" s="242"/>
      <c r="Y208" s="148"/>
      <c r="Z208" s="148"/>
    </row>
    <row r="209">
      <c r="A209" s="57"/>
      <c r="B209" s="57"/>
      <c r="C209" s="561" t="s">
        <v>768</v>
      </c>
      <c r="D209" s="423">
        <v>38.0</v>
      </c>
      <c r="E209" s="192" t="s">
        <v>340</v>
      </c>
      <c r="F209" s="546">
        <v>2000.0</v>
      </c>
      <c r="G209" s="578"/>
      <c r="H209" s="419"/>
      <c r="I209" s="239"/>
      <c r="J209" s="109"/>
      <c r="K209" s="420"/>
      <c r="L209" s="193"/>
      <c r="M209" s="374"/>
      <c r="O209" s="431"/>
      <c r="P209" s="157"/>
      <c r="Q209" s="404"/>
      <c r="R209" s="148"/>
      <c r="S209" s="242"/>
      <c r="T209" s="242"/>
      <c r="U209" s="242"/>
      <c r="V209" s="242"/>
      <c r="W209" s="242"/>
      <c r="X209" s="242"/>
      <c r="Y209" s="148"/>
      <c r="Z209" s="148"/>
    </row>
    <row r="210">
      <c r="A210" s="57"/>
      <c r="B210" s="57"/>
      <c r="C210" s="561" t="s">
        <v>769</v>
      </c>
      <c r="D210" s="157"/>
      <c r="E210" s="192" t="s">
        <v>960</v>
      </c>
      <c r="F210" s="546">
        <v>270.0</v>
      </c>
      <c r="G210" s="562"/>
      <c r="H210" s="419"/>
      <c r="I210" s="239"/>
      <c r="J210" s="456" t="s">
        <v>672</v>
      </c>
      <c r="K210" s="420"/>
      <c r="L210" s="150"/>
      <c r="M210" s="377"/>
      <c r="O210" s="431"/>
      <c r="P210" s="157"/>
      <c r="Q210" s="404"/>
      <c r="R210" s="148"/>
      <c r="S210" s="242"/>
      <c r="T210" s="242"/>
      <c r="U210" s="242"/>
      <c r="V210" s="242"/>
      <c r="W210" s="242"/>
      <c r="X210" s="242"/>
      <c r="Y210" s="148"/>
      <c r="Z210" s="148"/>
    </row>
    <row r="211">
      <c r="A211" s="57"/>
      <c r="B211" s="57"/>
      <c r="C211" s="561" t="s">
        <v>770</v>
      </c>
      <c r="D211" s="423"/>
      <c r="E211" s="192" t="s">
        <v>1027</v>
      </c>
      <c r="F211" s="546">
        <v>300.0</v>
      </c>
      <c r="G211" s="672" t="s">
        <v>426</v>
      </c>
      <c r="H211" s="419"/>
      <c r="I211" s="57"/>
      <c r="J211" s="456" t="s">
        <v>675</v>
      </c>
      <c r="K211" s="420"/>
      <c r="L211" s="150"/>
      <c r="M211" s="382"/>
      <c r="O211" s="431"/>
      <c r="P211" s="157"/>
      <c r="Q211" s="404"/>
      <c r="R211" s="148"/>
      <c r="S211" s="242"/>
      <c r="T211" s="242"/>
      <c r="U211" s="242"/>
      <c r="V211" s="242"/>
      <c r="W211" s="242"/>
      <c r="X211" s="242"/>
      <c r="Y211" s="148"/>
      <c r="Z211" s="148"/>
    </row>
    <row r="212">
      <c r="A212" s="57"/>
      <c r="B212" s="57"/>
      <c r="C212" s="561" t="s">
        <v>793</v>
      </c>
      <c r="D212" s="423">
        <v>240.0</v>
      </c>
      <c r="E212" s="192" t="s">
        <v>1003</v>
      </c>
      <c r="F212" s="546">
        <v>178.8</v>
      </c>
      <c r="G212" s="558" t="s">
        <v>426</v>
      </c>
      <c r="H212" s="419"/>
      <c r="I212" s="57"/>
      <c r="J212" s="456"/>
      <c r="K212" s="420"/>
      <c r="L212" s="150"/>
      <c r="M212" s="425"/>
      <c r="O212" s="431"/>
      <c r="P212" s="157"/>
      <c r="Q212" s="404"/>
      <c r="R212" s="148"/>
      <c r="S212" s="242"/>
      <c r="T212" s="242"/>
      <c r="U212" s="242"/>
      <c r="V212" s="242"/>
      <c r="W212" s="242"/>
      <c r="X212" s="242"/>
      <c r="Y212" s="148"/>
      <c r="Z212" s="148"/>
    </row>
    <row r="213">
      <c r="A213" s="239"/>
      <c r="B213" s="57"/>
      <c r="C213" s="561" t="s">
        <v>794</v>
      </c>
      <c r="D213" s="423">
        <v>25.0</v>
      </c>
      <c r="E213" s="192" t="s">
        <v>873</v>
      </c>
      <c r="F213" s="546">
        <v>260.0</v>
      </c>
      <c r="G213" s="558" t="s">
        <v>426</v>
      </c>
      <c r="H213" s="419"/>
      <c r="I213" s="57"/>
      <c r="J213" s="375"/>
      <c r="K213" s="420"/>
      <c r="L213" s="150"/>
      <c r="M213" s="425"/>
      <c r="O213" s="431"/>
      <c r="P213" s="157"/>
      <c r="Q213" s="404"/>
      <c r="R213" s="148"/>
      <c r="S213" s="242"/>
      <c r="T213" s="242"/>
      <c r="U213" s="242"/>
      <c r="V213" s="242"/>
      <c r="W213" s="242"/>
      <c r="X213" s="242"/>
      <c r="Y213" s="148"/>
      <c r="Z213" s="148"/>
    </row>
    <row r="214">
      <c r="A214" s="239"/>
      <c r="B214" s="57"/>
      <c r="C214" s="561" t="s">
        <v>18</v>
      </c>
      <c r="D214" s="423">
        <v>320.0</v>
      </c>
      <c r="E214" s="192" t="s">
        <v>567</v>
      </c>
      <c r="F214" s="546">
        <v>600.0</v>
      </c>
      <c r="G214" s="578"/>
      <c r="H214" s="419"/>
      <c r="I214" s="57"/>
      <c r="J214" s="375"/>
      <c r="K214" s="420"/>
      <c r="L214" s="193"/>
      <c r="M214" s="382"/>
      <c r="O214" s="431"/>
      <c r="P214" s="157"/>
      <c r="Q214" s="404"/>
      <c r="R214" s="148"/>
      <c r="S214" s="242"/>
      <c r="T214" s="242"/>
      <c r="U214" s="242"/>
      <c r="V214" s="242"/>
      <c r="W214" s="242"/>
      <c r="X214" s="242"/>
      <c r="Y214" s="148"/>
      <c r="Z214" s="148"/>
    </row>
    <row r="215">
      <c r="A215" s="239"/>
      <c r="B215" s="57"/>
      <c r="C215" s="561" t="s">
        <v>773</v>
      </c>
      <c r="D215" s="423"/>
      <c r="E215" s="192" t="s">
        <v>1028</v>
      </c>
      <c r="F215" s="546">
        <v>1000.0</v>
      </c>
      <c r="G215" s="579"/>
      <c r="H215" s="419"/>
      <c r="I215" s="57"/>
      <c r="J215" s="452"/>
      <c r="K215" s="420"/>
      <c r="L215" s="150"/>
      <c r="M215" s="425"/>
      <c r="O215" s="431"/>
      <c r="P215" s="157"/>
      <c r="Q215" s="404"/>
      <c r="R215" s="148"/>
      <c r="S215" s="242"/>
      <c r="T215" s="242"/>
      <c r="U215" s="242"/>
      <c r="V215" s="242"/>
      <c r="W215" s="242"/>
      <c r="X215" s="242"/>
      <c r="Y215" s="148"/>
      <c r="Z215" s="148"/>
    </row>
    <row r="216">
      <c r="A216" s="238" t="s">
        <v>1029</v>
      </c>
      <c r="B216" s="57"/>
      <c r="C216" s="561" t="s">
        <v>774</v>
      </c>
      <c r="D216" s="423">
        <v>300.0</v>
      </c>
      <c r="E216" s="192"/>
      <c r="F216" s="546"/>
      <c r="G216" s="578"/>
      <c r="H216" s="419"/>
      <c r="I216" s="57"/>
      <c r="J216" s="105"/>
      <c r="K216" s="420"/>
      <c r="L216" s="150"/>
      <c r="M216" s="425"/>
      <c r="O216" s="431"/>
      <c r="P216" s="157"/>
      <c r="Q216" s="404"/>
      <c r="R216" s="148"/>
      <c r="S216" s="242"/>
      <c r="T216" s="242"/>
      <c r="U216" s="242"/>
      <c r="V216" s="242"/>
      <c r="W216" s="242"/>
      <c r="X216" s="242"/>
      <c r="Y216" s="148"/>
      <c r="Z216" s="148"/>
    </row>
    <row r="217">
      <c r="A217" s="238" t="s">
        <v>1030</v>
      </c>
      <c r="B217" s="239"/>
      <c r="C217" s="561" t="s">
        <v>775</v>
      </c>
      <c r="D217" s="423">
        <v>430.0</v>
      </c>
      <c r="E217" s="192"/>
      <c r="F217" s="546"/>
      <c r="G217" s="578"/>
      <c r="H217" s="419"/>
      <c r="I217" s="57"/>
      <c r="J217" s="378" t="s">
        <v>682</v>
      </c>
      <c r="K217" s="420"/>
      <c r="L217" s="193"/>
      <c r="M217" s="377"/>
      <c r="O217" s="431"/>
      <c r="P217" s="157"/>
      <c r="Q217" s="404"/>
      <c r="R217" s="148"/>
      <c r="S217" s="242"/>
      <c r="T217" s="242"/>
      <c r="U217" s="242"/>
      <c r="V217" s="242"/>
      <c r="W217" s="242"/>
      <c r="X217" s="242"/>
      <c r="Y217" s="148"/>
      <c r="Z217" s="148"/>
    </row>
    <row r="218">
      <c r="A218" s="239"/>
      <c r="B218" s="239"/>
      <c r="C218" s="561" t="s">
        <v>10</v>
      </c>
      <c r="D218" s="157"/>
      <c r="E218" s="192"/>
      <c r="F218" s="580"/>
      <c r="G218" s="581"/>
      <c r="H218" s="419"/>
      <c r="I218" s="57"/>
      <c r="J218" s="461" t="s">
        <v>684</v>
      </c>
      <c r="K218" s="420"/>
      <c r="L218" s="193"/>
      <c r="M218" s="377"/>
      <c r="O218" s="431"/>
      <c r="P218" s="157"/>
      <c r="Q218" s="404"/>
      <c r="R218" s="148"/>
      <c r="S218" s="242"/>
      <c r="T218" s="242"/>
      <c r="U218" s="242"/>
      <c r="V218" s="242"/>
      <c r="W218" s="242"/>
      <c r="X218" s="242"/>
      <c r="Y218" s="148"/>
      <c r="Z218" s="148"/>
    </row>
    <row r="219">
      <c r="A219" s="238" t="s">
        <v>1031</v>
      </c>
      <c r="B219" s="239"/>
      <c r="C219" s="561" t="s">
        <v>6</v>
      </c>
      <c r="D219" s="423">
        <v>140.0</v>
      </c>
      <c r="E219" s="206"/>
      <c r="F219" s="546"/>
      <c r="G219" s="579"/>
      <c r="H219" s="455"/>
      <c r="I219" s="57"/>
      <c r="J219" s="461" t="s">
        <v>686</v>
      </c>
      <c r="K219" s="420"/>
      <c r="L219" s="150"/>
      <c r="M219" s="374"/>
      <c r="O219" s="463"/>
      <c r="P219" s="157"/>
      <c r="Q219" s="404"/>
      <c r="R219" s="148"/>
      <c r="S219" s="242"/>
      <c r="T219" s="242"/>
      <c r="U219" s="242"/>
      <c r="V219" s="242"/>
      <c r="W219" s="242"/>
      <c r="X219" s="242"/>
      <c r="Y219" s="148"/>
      <c r="Z219" s="148"/>
    </row>
    <row r="220">
      <c r="A220" s="57"/>
      <c r="B220" s="57"/>
      <c r="C220" s="561" t="s">
        <v>779</v>
      </c>
      <c r="D220" s="423"/>
      <c r="E220" s="228"/>
      <c r="F220" s="546"/>
      <c r="G220" s="579"/>
      <c r="H220" s="455"/>
      <c r="I220" s="239"/>
      <c r="J220" s="460"/>
      <c r="K220" s="420"/>
      <c r="L220" s="193"/>
      <c r="M220" s="377"/>
      <c r="O220" s="463"/>
      <c r="P220" s="157"/>
      <c r="Q220" s="404"/>
      <c r="R220" s="148"/>
      <c r="S220" s="242"/>
      <c r="T220" s="242"/>
      <c r="U220" s="242"/>
      <c r="V220" s="242"/>
      <c r="W220" s="242"/>
      <c r="X220" s="242"/>
      <c r="Y220" s="148"/>
      <c r="Z220" s="148"/>
    </row>
    <row r="221">
      <c r="A221" s="239"/>
      <c r="B221" s="239"/>
      <c r="C221" s="561" t="s">
        <v>780</v>
      </c>
      <c r="D221" s="423"/>
      <c r="E221" s="228"/>
      <c r="F221" s="546"/>
      <c r="G221" s="579"/>
      <c r="H221" s="455"/>
      <c r="I221" s="57"/>
      <c r="J221" s="460" t="s">
        <v>274</v>
      </c>
      <c r="K221" s="420"/>
      <c r="L221" s="193">
        <v>216.0</v>
      </c>
      <c r="M221" s="377"/>
      <c r="O221" s="463"/>
      <c r="P221" s="157"/>
      <c r="Q221" s="404"/>
      <c r="R221" s="148"/>
      <c r="S221" s="242"/>
      <c r="T221" s="242"/>
      <c r="U221" s="242"/>
      <c r="V221" s="242"/>
      <c r="W221" s="242"/>
      <c r="X221" s="242"/>
      <c r="Y221" s="148"/>
      <c r="Z221" s="148"/>
    </row>
    <row r="222">
      <c r="A222" s="302" t="s">
        <v>1032</v>
      </c>
      <c r="B222" s="239"/>
      <c r="C222" s="561" t="s">
        <v>781</v>
      </c>
      <c r="D222" s="423">
        <v>194.0</v>
      </c>
      <c r="E222" s="228"/>
      <c r="F222" s="547"/>
      <c r="G222" s="579"/>
      <c r="H222" s="419"/>
      <c r="I222" s="239"/>
      <c r="J222" s="568"/>
      <c r="K222" s="420"/>
      <c r="L222" s="150"/>
      <c r="M222" s="374"/>
      <c r="O222" s="431"/>
      <c r="P222" s="157"/>
      <c r="Q222" s="404"/>
      <c r="R222" s="148"/>
      <c r="S222" s="242"/>
      <c r="T222" s="242"/>
      <c r="U222" s="242"/>
      <c r="V222" s="242"/>
      <c r="W222" s="242"/>
      <c r="X222" s="242"/>
      <c r="Y222" s="148"/>
      <c r="Z222" s="148"/>
    </row>
    <row r="223">
      <c r="A223" s="239"/>
      <c r="B223" s="157"/>
      <c r="C223" s="561"/>
      <c r="D223" s="423"/>
      <c r="E223" s="569"/>
      <c r="F223" s="547"/>
      <c r="G223" s="578"/>
      <c r="H223" s="419"/>
      <c r="I223" s="57"/>
      <c r="J223" s="374"/>
      <c r="K223" s="420"/>
      <c r="L223" s="193"/>
      <c r="M223" s="377"/>
      <c r="O223" s="431"/>
      <c r="P223" s="157"/>
      <c r="Q223" s="404"/>
      <c r="R223" s="148"/>
      <c r="S223" s="242"/>
      <c r="T223" s="242"/>
      <c r="U223" s="242"/>
      <c r="V223" s="242"/>
      <c r="W223" s="242"/>
      <c r="X223" s="242"/>
      <c r="Y223" s="148"/>
      <c r="Z223" s="148"/>
    </row>
    <row r="224">
      <c r="A224" s="239"/>
      <c r="B224" s="157"/>
      <c r="C224" s="561"/>
      <c r="D224" s="157"/>
      <c r="E224" s="228"/>
      <c r="F224" s="547"/>
      <c r="G224" s="578"/>
      <c r="H224" s="419"/>
      <c r="I224" s="239"/>
      <c r="J224" s="596" t="s">
        <v>1001</v>
      </c>
      <c r="K224" s="420"/>
      <c r="L224" s="193">
        <v>1445.0</v>
      </c>
      <c r="M224" s="377" t="s">
        <v>1033</v>
      </c>
      <c r="O224" s="431"/>
      <c r="P224" s="157"/>
      <c r="Q224" s="404"/>
      <c r="R224" s="148"/>
      <c r="S224" s="242"/>
      <c r="T224" s="242"/>
      <c r="U224" s="242"/>
      <c r="V224" s="242"/>
      <c r="W224" s="242"/>
      <c r="X224" s="242"/>
      <c r="Y224" s="148"/>
      <c r="Z224" s="148"/>
    </row>
    <row r="225">
      <c r="A225" s="239"/>
      <c r="B225" s="157"/>
      <c r="C225" s="561"/>
      <c r="D225" s="157"/>
      <c r="E225" s="570"/>
      <c r="F225" s="547"/>
      <c r="G225" s="578"/>
      <c r="H225" s="419"/>
      <c r="I225" s="239"/>
      <c r="J225" s="568"/>
      <c r="K225" s="420"/>
      <c r="L225" s="193"/>
      <c r="M225" s="374"/>
      <c r="O225" s="431"/>
      <c r="P225" s="157"/>
      <c r="Q225" s="404"/>
      <c r="R225" s="148"/>
      <c r="S225" s="242"/>
      <c r="T225" s="242"/>
      <c r="U225" s="242"/>
      <c r="V225" s="242"/>
      <c r="W225" s="242"/>
      <c r="X225" s="242"/>
      <c r="Y225" s="148"/>
      <c r="Z225" s="148"/>
    </row>
    <row r="226">
      <c r="C226" s="571"/>
      <c r="D226" s="157"/>
      <c r="E226" s="570"/>
      <c r="F226" s="547"/>
      <c r="G226" s="578"/>
      <c r="H226" s="419"/>
      <c r="I226" s="239"/>
      <c r="J226" s="464" t="s">
        <v>692</v>
      </c>
      <c r="K226" s="420"/>
      <c r="L226" s="193"/>
      <c r="M226" s="377"/>
      <c r="O226" s="431"/>
      <c r="P226" s="157"/>
      <c r="Q226" s="404"/>
      <c r="R226" s="148"/>
      <c r="S226" s="242"/>
      <c r="T226" s="242"/>
      <c r="U226" s="242"/>
      <c r="V226" s="242"/>
      <c r="W226" s="242"/>
      <c r="X226" s="242"/>
      <c r="Y226" s="148"/>
      <c r="Z226" s="148"/>
    </row>
    <row r="227">
      <c r="C227" s="571"/>
      <c r="D227" s="157"/>
      <c r="E227" s="570"/>
      <c r="F227" s="547"/>
      <c r="G227" s="578"/>
      <c r="H227" s="419"/>
      <c r="I227" s="239"/>
      <c r="J227" s="464" t="s">
        <v>694</v>
      </c>
      <c r="K227" s="420"/>
      <c r="L227" s="193">
        <v>343.0</v>
      </c>
      <c r="M227" s="377" t="s">
        <v>1034</v>
      </c>
      <c r="O227" s="431"/>
      <c r="P227" s="157"/>
      <c r="Q227" s="404"/>
      <c r="R227" s="148"/>
      <c r="S227" s="242"/>
      <c r="T227" s="242"/>
      <c r="U227" s="242"/>
      <c r="V227" s="242"/>
      <c r="W227" s="242"/>
      <c r="X227" s="242"/>
      <c r="Y227" s="148"/>
      <c r="Z227" s="148"/>
    </row>
    <row r="228">
      <c r="C228" s="571"/>
      <c r="D228" s="423"/>
      <c r="E228" s="570"/>
      <c r="F228" s="546"/>
      <c r="G228" s="578"/>
      <c r="H228" s="419"/>
      <c r="I228" s="57"/>
      <c r="J228" s="105"/>
      <c r="K228" s="57"/>
      <c r="L228" s="150"/>
      <c r="M228" s="57"/>
      <c r="N228" s="57"/>
      <c r="O228" s="57"/>
      <c r="P228" s="157"/>
      <c r="Q228" s="404"/>
      <c r="R228" s="148"/>
      <c r="S228" s="242"/>
      <c r="T228" s="242"/>
      <c r="U228" s="242"/>
      <c r="V228" s="242"/>
      <c r="W228" s="242"/>
      <c r="X228" s="242"/>
      <c r="Y228" s="148"/>
      <c r="Z228" s="148"/>
    </row>
    <row r="229">
      <c r="A229" s="125" t="s">
        <v>798</v>
      </c>
      <c r="B229" s="572">
        <f>C202-B206</f>
        <v>2075.68</v>
      </c>
      <c r="D229" s="157"/>
      <c r="E229" s="570"/>
      <c r="F229" s="573"/>
      <c r="G229" s="581"/>
      <c r="H229" s="419"/>
      <c r="I229" s="239"/>
      <c r="J229" s="568"/>
      <c r="K229" s="57"/>
      <c r="L229" s="150"/>
      <c r="M229" s="57"/>
      <c r="N229" s="57"/>
      <c r="O229" s="57"/>
      <c r="P229" s="157"/>
      <c r="Q229" s="404"/>
      <c r="R229" s="148"/>
      <c r="S229" s="242"/>
      <c r="T229" s="242"/>
      <c r="U229" s="242"/>
      <c r="V229" s="242"/>
      <c r="W229" s="242"/>
      <c r="X229" s="242"/>
      <c r="Y229" s="148"/>
      <c r="Z229" s="148"/>
    </row>
    <row r="230">
      <c r="A230" s="274" t="s">
        <v>783</v>
      </c>
      <c r="B230" s="109">
        <v>904.0</v>
      </c>
      <c r="C230" s="395"/>
      <c r="D230" s="157"/>
      <c r="E230" s="570"/>
      <c r="F230" s="573"/>
      <c r="G230" s="581"/>
      <c r="H230" s="419"/>
      <c r="I230" s="239"/>
      <c r="J230" s="568"/>
      <c r="K230" s="57"/>
      <c r="L230" s="150"/>
      <c r="M230" s="57"/>
      <c r="N230" s="57"/>
      <c r="O230" s="57"/>
      <c r="P230" s="157"/>
      <c r="Q230" s="404"/>
      <c r="R230" s="148"/>
      <c r="S230" s="242"/>
      <c r="T230" s="242"/>
      <c r="U230" s="242"/>
      <c r="V230" s="242"/>
      <c r="W230" s="242"/>
      <c r="X230" s="242"/>
      <c r="Y230" s="148"/>
      <c r="Z230" s="148"/>
    </row>
    <row r="231">
      <c r="A231" s="274" t="s">
        <v>784</v>
      </c>
      <c r="B231" s="109">
        <v>11000.0</v>
      </c>
      <c r="C231" s="109"/>
      <c r="D231" s="157"/>
      <c r="E231" s="570"/>
      <c r="F231" s="573"/>
      <c r="G231" s="581"/>
      <c r="H231" s="419"/>
      <c r="I231" s="239"/>
      <c r="J231" s="568"/>
      <c r="K231" s="57"/>
      <c r="L231" s="150"/>
      <c r="M231" s="57"/>
      <c r="N231" s="57"/>
      <c r="O231" s="57"/>
      <c r="P231" s="157"/>
      <c r="Q231" s="404"/>
      <c r="R231" s="148"/>
      <c r="S231" s="242"/>
      <c r="T231" s="242"/>
      <c r="U231" s="242"/>
      <c r="V231" s="242"/>
      <c r="W231" s="242"/>
      <c r="X231" s="242"/>
      <c r="Y231" s="148"/>
      <c r="Z231" s="148"/>
    </row>
    <row r="232">
      <c r="A232" s="274" t="s">
        <v>785</v>
      </c>
      <c r="B232" s="109"/>
      <c r="C232" s="395"/>
      <c r="D232" s="157"/>
      <c r="E232" s="570"/>
      <c r="F232" s="573"/>
      <c r="G232" s="581"/>
      <c r="H232" s="419"/>
      <c r="I232" s="239"/>
      <c r="J232" s="568"/>
      <c r="K232" s="57"/>
      <c r="L232" s="150"/>
      <c r="M232" s="57"/>
      <c r="N232" s="57"/>
      <c r="O232" s="57"/>
      <c r="P232" s="157"/>
      <c r="Q232" s="404"/>
      <c r="R232" s="148"/>
      <c r="S232" s="242"/>
      <c r="T232" s="242"/>
      <c r="U232" s="242"/>
      <c r="V232" s="242"/>
      <c r="W232" s="242"/>
      <c r="X232" s="242"/>
      <c r="Y232" s="148"/>
      <c r="Z232" s="148"/>
    </row>
    <row r="233">
      <c r="A233" s="402"/>
      <c r="B233" s="403"/>
      <c r="C233" s="403"/>
      <c r="D233" s="403"/>
      <c r="E233" s="574"/>
      <c r="F233" s="575"/>
      <c r="G233" s="576"/>
      <c r="H233" s="159"/>
      <c r="I233" s="159"/>
      <c r="J233" s="576"/>
      <c r="K233" s="159"/>
      <c r="L233" s="162"/>
      <c r="M233" s="402"/>
      <c r="N233" s="402"/>
      <c r="O233" s="159"/>
      <c r="P233" s="403"/>
      <c r="Q233" s="577"/>
      <c r="R233" s="148"/>
      <c r="S233" s="242"/>
      <c r="T233" s="242"/>
      <c r="U233" s="242"/>
      <c r="V233" s="242"/>
      <c r="W233" s="242"/>
      <c r="X233" s="242"/>
      <c r="Y233" s="148"/>
      <c r="Z233" s="148"/>
    </row>
    <row r="234">
      <c r="A234" s="148"/>
      <c r="B234" s="148"/>
      <c r="C234" s="148"/>
      <c r="D234" s="245"/>
      <c r="E234" s="585"/>
      <c r="F234" s="586"/>
      <c r="G234" s="243"/>
      <c r="H234" s="148"/>
      <c r="I234" s="251"/>
      <c r="J234" s="243"/>
      <c r="K234" s="148"/>
      <c r="L234" s="277"/>
      <c r="M234" s="252"/>
      <c r="N234" s="250"/>
      <c r="O234" s="253"/>
      <c r="P234" s="240"/>
      <c r="Q234" s="148"/>
      <c r="R234" s="148"/>
      <c r="S234" s="242"/>
      <c r="T234" s="242"/>
      <c r="U234" s="242"/>
      <c r="V234" s="242"/>
      <c r="W234" s="242"/>
      <c r="X234" s="242"/>
      <c r="Y234" s="148"/>
      <c r="Z234" s="148"/>
    </row>
    <row r="235">
      <c r="A235" s="169" t="s">
        <v>85</v>
      </c>
      <c r="B235" s="539"/>
      <c r="C235" s="540"/>
      <c r="D235" s="405"/>
      <c r="E235" s="541"/>
      <c r="F235" s="542"/>
      <c r="G235" s="467" t="s">
        <v>333</v>
      </c>
      <c r="H235" s="361"/>
      <c r="I235" s="57"/>
      <c r="J235" s="105"/>
      <c r="K235" s="57"/>
      <c r="L235" s="150"/>
      <c r="M235" s="239"/>
      <c r="N235" s="239"/>
      <c r="O235" s="57"/>
      <c r="P235" s="157"/>
      <c r="Q235" s="404"/>
      <c r="R235" s="148"/>
      <c r="S235" s="242"/>
      <c r="T235" s="242"/>
      <c r="U235" s="242"/>
      <c r="V235" s="242"/>
      <c r="W235" s="242"/>
      <c r="X235" s="242"/>
      <c r="Y235" s="148"/>
      <c r="Z235" s="148"/>
    </row>
    <row r="236">
      <c r="A236" s="468"/>
      <c r="B236" s="157"/>
      <c r="C236" s="466"/>
      <c r="D236" s="405"/>
      <c r="E236" s="543" t="s">
        <v>335</v>
      </c>
      <c r="F236" s="544" t="s">
        <v>237</v>
      </c>
      <c r="G236" s="412" t="s">
        <v>336</v>
      </c>
      <c r="H236" s="413" t="s">
        <v>337</v>
      </c>
      <c r="I236" s="239"/>
      <c r="J236" s="145" t="s">
        <v>60</v>
      </c>
      <c r="K236" s="57"/>
      <c r="L236" s="150"/>
      <c r="M236" s="414"/>
      <c r="N236" s="414"/>
      <c r="O236" s="57" t="s">
        <v>334</v>
      </c>
      <c r="P236" s="157"/>
      <c r="Q236" s="404"/>
      <c r="R236" s="148"/>
      <c r="S236" s="242"/>
      <c r="T236" s="242"/>
      <c r="U236" s="242"/>
      <c r="V236" s="242"/>
      <c r="W236" s="242"/>
      <c r="X236" s="242"/>
      <c r="Y236" s="148"/>
      <c r="Z236" s="148"/>
    </row>
    <row r="237">
      <c r="A237" s="470" t="s">
        <v>179</v>
      </c>
      <c r="C237" s="416">
        <f>SUM(F237:F271)</f>
        <v>4810</v>
      </c>
      <c r="D237" s="405"/>
      <c r="E237" s="545"/>
      <c r="F237" s="546"/>
      <c r="G237" s="578"/>
      <c r="H237" s="419"/>
      <c r="I237" s="57"/>
      <c r="K237" s="57"/>
      <c r="L237" s="150"/>
      <c r="M237" s="377" t="s">
        <v>366</v>
      </c>
      <c r="P237" s="157"/>
      <c r="Q237" s="404"/>
      <c r="R237" s="148"/>
      <c r="S237" s="242"/>
      <c r="T237" s="242"/>
      <c r="U237" s="242"/>
      <c r="V237" s="242"/>
      <c r="W237" s="242"/>
      <c r="X237" s="242"/>
      <c r="Y237" s="148"/>
      <c r="Z237" s="148"/>
    </row>
    <row r="238">
      <c r="A238" s="421" t="s">
        <v>343</v>
      </c>
      <c r="B238" s="422" t="s">
        <v>321</v>
      </c>
      <c r="C238" s="416">
        <f>SUM(P238:P271)</f>
        <v>1500</v>
      </c>
      <c r="D238" s="157"/>
      <c r="E238" s="545"/>
      <c r="F238" s="546"/>
      <c r="G238" s="578"/>
      <c r="H238" s="419"/>
      <c r="I238" s="239"/>
      <c r="J238" s="471" t="s">
        <v>341</v>
      </c>
      <c r="K238" s="420"/>
      <c r="L238" s="150"/>
      <c r="M238" s="374"/>
      <c r="O238" s="426" t="s">
        <v>991</v>
      </c>
      <c r="P238" s="423">
        <v>1500.0</v>
      </c>
      <c r="Q238" s="404"/>
      <c r="R238" s="148"/>
      <c r="S238" s="242"/>
      <c r="T238" s="242"/>
      <c r="U238" s="242"/>
      <c r="V238" s="242"/>
      <c r="W238" s="242"/>
      <c r="X238" s="242"/>
      <c r="Y238" s="148"/>
      <c r="Z238" s="148"/>
    </row>
    <row r="239">
      <c r="A239" s="427" t="s">
        <v>201</v>
      </c>
      <c r="C239" s="204">
        <f>SUM(L238:L271)</f>
        <v>5882.77</v>
      </c>
      <c r="D239" s="157"/>
      <c r="E239" s="545"/>
      <c r="F239" s="546"/>
      <c r="G239" s="578"/>
      <c r="H239" s="419"/>
      <c r="I239" s="239"/>
      <c r="J239" s="472" t="s">
        <v>345</v>
      </c>
      <c r="K239" s="420"/>
      <c r="L239" s="193">
        <v>25.47</v>
      </c>
      <c r="M239" s="377" t="s">
        <v>1035</v>
      </c>
      <c r="O239" s="426"/>
      <c r="P239" s="423"/>
      <c r="Q239" s="404"/>
      <c r="R239" s="148"/>
      <c r="S239" s="242"/>
      <c r="T239" s="242"/>
      <c r="U239" s="242"/>
      <c r="V239" s="242"/>
      <c r="W239" s="242"/>
      <c r="X239" s="242"/>
      <c r="Y239" s="148"/>
      <c r="Z239" s="148"/>
    </row>
    <row r="240">
      <c r="A240" s="548" t="s">
        <v>761</v>
      </c>
      <c r="B240" s="549">
        <v>0.4</v>
      </c>
      <c r="C240" s="191"/>
      <c r="D240" s="157"/>
      <c r="E240" s="550" t="s">
        <v>695</v>
      </c>
      <c r="F240" s="546">
        <v>985.0</v>
      </c>
      <c r="G240" s="562"/>
      <c r="H240" s="419"/>
      <c r="I240" s="239"/>
      <c r="J240" s="433" t="s">
        <v>656</v>
      </c>
      <c r="K240" s="420"/>
      <c r="L240" s="193">
        <v>89.35</v>
      </c>
      <c r="M240" s="377" t="s">
        <v>443</v>
      </c>
      <c r="O240" s="426"/>
      <c r="P240" s="423"/>
      <c r="Q240" s="404"/>
      <c r="R240" s="148"/>
      <c r="S240" s="242"/>
      <c r="T240" s="242"/>
      <c r="U240" s="242"/>
      <c r="V240" s="242"/>
      <c r="W240" s="242"/>
      <c r="X240" s="242"/>
      <c r="Y240" s="148"/>
      <c r="Z240" s="148"/>
    </row>
    <row r="241">
      <c r="A241" s="434" t="s">
        <v>350</v>
      </c>
      <c r="C241" s="551">
        <f>C237-C239-C240</f>
        <v>-1072.77</v>
      </c>
      <c r="D241" s="157"/>
      <c r="E241" s="192" t="s">
        <v>795</v>
      </c>
      <c r="F241" s="546">
        <v>250.0</v>
      </c>
      <c r="G241" s="579"/>
      <c r="H241" s="419"/>
      <c r="I241" s="57"/>
      <c r="J241" s="444" t="s">
        <v>658</v>
      </c>
      <c r="K241" s="420"/>
      <c r="L241" s="193">
        <v>53.0</v>
      </c>
      <c r="M241" s="377"/>
      <c r="O241" s="431"/>
      <c r="P241" s="423"/>
      <c r="Q241" s="404"/>
      <c r="R241" s="148"/>
      <c r="S241" s="242"/>
      <c r="T241" s="242"/>
      <c r="U241" s="242"/>
      <c r="V241" s="242"/>
      <c r="W241" s="242"/>
      <c r="X241" s="242"/>
      <c r="Y241" s="148"/>
      <c r="Z241" s="148"/>
    </row>
    <row r="242">
      <c r="A242" s="554"/>
      <c r="B242" s="555"/>
      <c r="C242" s="447"/>
      <c r="D242" s="157"/>
      <c r="E242" s="192" t="s">
        <v>991</v>
      </c>
      <c r="F242" s="546">
        <v>750.0</v>
      </c>
      <c r="G242" s="558" t="s">
        <v>426</v>
      </c>
      <c r="H242" s="419"/>
      <c r="I242" s="57"/>
      <c r="J242" s="444" t="s">
        <v>660</v>
      </c>
      <c r="K242" s="420"/>
      <c r="L242" s="193">
        <v>470.0</v>
      </c>
      <c r="M242" s="377"/>
      <c r="O242" s="431"/>
      <c r="P242" s="423"/>
      <c r="Q242" s="404"/>
      <c r="R242" s="148"/>
      <c r="S242" s="242"/>
      <c r="T242" s="242"/>
      <c r="U242" s="242"/>
      <c r="V242" s="242"/>
      <c r="W242" s="242"/>
      <c r="X242" s="242"/>
      <c r="Y242" s="148"/>
      <c r="Z242" s="148"/>
    </row>
    <row r="243">
      <c r="A243" s="556"/>
      <c r="C243" s="395"/>
      <c r="D243" s="157"/>
      <c r="E243" s="192" t="s">
        <v>862</v>
      </c>
      <c r="F243" s="546">
        <v>45.0</v>
      </c>
      <c r="G243" s="562"/>
      <c r="H243" s="419"/>
      <c r="I243" s="239"/>
      <c r="J243" s="370" t="s">
        <v>662</v>
      </c>
      <c r="K243" s="420"/>
      <c r="L243" s="193"/>
      <c r="M243" s="374"/>
      <c r="O243" s="431"/>
      <c r="P243" s="423"/>
      <c r="Q243" s="404"/>
      <c r="R243" s="148"/>
      <c r="S243" s="242"/>
      <c r="T243" s="242"/>
      <c r="U243" s="242"/>
      <c r="V243" s="242"/>
      <c r="W243" s="242"/>
      <c r="X243" s="242"/>
      <c r="Y243" s="148"/>
      <c r="Z243" s="148"/>
    </row>
    <row r="244">
      <c r="A244" s="557"/>
      <c r="B244" s="109"/>
      <c r="C244" s="395"/>
      <c r="D244" s="373"/>
      <c r="E244" s="192" t="s">
        <v>559</v>
      </c>
      <c r="F244" s="546">
        <v>300.0</v>
      </c>
      <c r="G244" s="672" t="s">
        <v>426</v>
      </c>
      <c r="H244" s="419"/>
      <c r="I244" s="239"/>
      <c r="J244" s="433" t="s">
        <v>666</v>
      </c>
      <c r="K244" s="420"/>
      <c r="L244" s="193">
        <v>67.0</v>
      </c>
      <c r="M244" s="673" t="s">
        <v>1036</v>
      </c>
      <c r="N244" s="377"/>
      <c r="O244" s="431"/>
      <c r="P244" s="423"/>
      <c r="Q244" s="404"/>
      <c r="R244" s="148"/>
      <c r="S244" s="242"/>
      <c r="T244" s="242"/>
      <c r="U244" s="242"/>
      <c r="V244" s="242"/>
      <c r="W244" s="242"/>
      <c r="X244" s="242"/>
      <c r="Y244" s="148"/>
      <c r="Z244" s="148"/>
    </row>
    <row r="245">
      <c r="A245" s="559" t="s">
        <v>765</v>
      </c>
      <c r="B245" s="560">
        <f>SUM(D245:D271)</f>
        <v>2657.73</v>
      </c>
      <c r="C245" s="477" t="s">
        <v>366</v>
      </c>
      <c r="D245" s="157"/>
      <c r="E245" s="192" t="s">
        <v>1037</v>
      </c>
      <c r="F245" s="546">
        <v>1050.0</v>
      </c>
      <c r="G245" s="562"/>
      <c r="H245" s="419"/>
      <c r="I245" s="239"/>
      <c r="J245" s="433" t="s">
        <v>668</v>
      </c>
      <c r="K245" s="420"/>
      <c r="L245" s="193">
        <v>783.0</v>
      </c>
      <c r="M245" s="377" t="s">
        <v>1038</v>
      </c>
      <c r="O245" s="431"/>
      <c r="P245" s="423"/>
      <c r="Q245" s="404"/>
      <c r="R245" s="148"/>
      <c r="S245" s="242"/>
      <c r="T245" s="242"/>
      <c r="U245" s="242"/>
      <c r="V245" s="242"/>
      <c r="W245" s="242"/>
      <c r="X245" s="242"/>
      <c r="Y245" s="148"/>
      <c r="Z245" s="148"/>
    </row>
    <row r="246">
      <c r="A246" s="453" t="s">
        <v>369</v>
      </c>
      <c r="C246" s="561" t="s">
        <v>766</v>
      </c>
      <c r="D246" s="423">
        <v>397.5</v>
      </c>
      <c r="E246" s="192" t="s">
        <v>1024</v>
      </c>
      <c r="F246" s="546">
        <v>1180.0</v>
      </c>
      <c r="G246" s="562"/>
      <c r="H246" s="419"/>
      <c r="I246" s="239"/>
      <c r="J246" s="433" t="s">
        <v>670</v>
      </c>
      <c r="K246" s="458"/>
      <c r="L246" s="193">
        <v>1400.0</v>
      </c>
      <c r="M246" s="377" t="s">
        <v>1039</v>
      </c>
      <c r="O246" s="431"/>
      <c r="P246" s="423"/>
      <c r="Q246" s="404"/>
      <c r="R246" s="148"/>
      <c r="S246" s="242"/>
      <c r="T246" s="242"/>
      <c r="U246" s="242"/>
      <c r="V246" s="242"/>
      <c r="W246" s="242"/>
      <c r="X246" s="242"/>
      <c r="Y246" s="148"/>
      <c r="Z246" s="148"/>
    </row>
    <row r="247">
      <c r="C247" s="561" t="s">
        <v>767</v>
      </c>
      <c r="D247" s="423">
        <v>105.23</v>
      </c>
      <c r="E247" s="192" t="s">
        <v>826</v>
      </c>
      <c r="F247" s="546">
        <v>50.0</v>
      </c>
      <c r="G247" s="578"/>
      <c r="H247" s="419"/>
      <c r="I247" s="239"/>
      <c r="J247" s="433" t="s">
        <v>217</v>
      </c>
      <c r="K247" s="458"/>
      <c r="L247" s="150"/>
      <c r="M247" s="377"/>
      <c r="O247" s="431"/>
      <c r="P247" s="157"/>
      <c r="Q247" s="404"/>
      <c r="R247" s="148"/>
      <c r="S247" s="242"/>
      <c r="T247" s="242"/>
      <c r="U247" s="242"/>
      <c r="V247" s="242"/>
      <c r="W247" s="242"/>
      <c r="X247" s="242"/>
      <c r="Y247" s="148"/>
      <c r="Z247" s="148"/>
    </row>
    <row r="248">
      <c r="A248" s="659"/>
      <c r="B248" s="57"/>
      <c r="C248" s="561" t="s">
        <v>768</v>
      </c>
      <c r="D248" s="423"/>
      <c r="E248" s="192" t="s">
        <v>826</v>
      </c>
      <c r="F248" s="546">
        <v>200.0</v>
      </c>
      <c r="G248" s="562"/>
      <c r="H248" s="419"/>
      <c r="I248" s="239"/>
      <c r="J248" s="109"/>
      <c r="K248" s="420"/>
      <c r="L248" s="193"/>
      <c r="M248" s="377"/>
      <c r="O248" s="431"/>
      <c r="P248" s="157"/>
      <c r="Q248" s="404"/>
      <c r="R248" s="148"/>
      <c r="S248" s="242"/>
      <c r="T248" s="242"/>
      <c r="U248" s="242"/>
      <c r="V248" s="242"/>
      <c r="W248" s="242"/>
      <c r="X248" s="242"/>
      <c r="Y248" s="148"/>
      <c r="Z248" s="148"/>
    </row>
    <row r="249">
      <c r="A249" s="659"/>
      <c r="B249" s="57"/>
      <c r="C249" s="561" t="s">
        <v>769</v>
      </c>
      <c r="D249" s="157"/>
      <c r="E249" s="192"/>
      <c r="F249" s="546"/>
      <c r="G249" s="562"/>
      <c r="H249" s="419"/>
      <c r="I249" s="239"/>
      <c r="J249" s="456" t="s">
        <v>672</v>
      </c>
      <c r="K249" s="420"/>
      <c r="L249" s="150"/>
      <c r="M249" s="377"/>
      <c r="O249" s="431"/>
      <c r="P249" s="157"/>
      <c r="Q249" s="404"/>
      <c r="R249" s="148"/>
      <c r="S249" s="242"/>
      <c r="T249" s="242"/>
      <c r="U249" s="242"/>
      <c r="V249" s="242"/>
      <c r="W249" s="242"/>
      <c r="X249" s="242"/>
      <c r="Y249" s="148"/>
      <c r="Z249" s="148"/>
    </row>
    <row r="250">
      <c r="A250" s="659"/>
      <c r="B250" s="57"/>
      <c r="C250" s="561" t="s">
        <v>770</v>
      </c>
      <c r="D250" s="423"/>
      <c r="E250" s="192"/>
      <c r="F250" s="546"/>
      <c r="G250" s="578"/>
      <c r="H250" s="419"/>
      <c r="I250" s="57"/>
      <c r="J250" s="456" t="s">
        <v>675</v>
      </c>
      <c r="K250" s="420"/>
      <c r="L250" s="193">
        <v>79.0</v>
      </c>
      <c r="M250" s="382" t="s">
        <v>1040</v>
      </c>
      <c r="O250" s="431"/>
      <c r="P250" s="157"/>
      <c r="Q250" s="404"/>
      <c r="R250" s="148"/>
      <c r="S250" s="242"/>
      <c r="T250" s="242"/>
      <c r="U250" s="242"/>
      <c r="V250" s="242"/>
      <c r="W250" s="242"/>
      <c r="X250" s="242"/>
      <c r="Y250" s="148"/>
      <c r="Z250" s="148"/>
    </row>
    <row r="251">
      <c r="A251" s="659"/>
      <c r="B251" s="57"/>
      <c r="C251" s="561" t="s">
        <v>793</v>
      </c>
      <c r="D251" s="423">
        <v>310.0</v>
      </c>
      <c r="E251" s="192"/>
      <c r="F251" s="546"/>
      <c r="G251" s="562"/>
      <c r="H251" s="419"/>
      <c r="I251" s="57"/>
      <c r="J251" s="456"/>
      <c r="K251" s="420"/>
      <c r="L251" s="150"/>
      <c r="M251" s="425"/>
      <c r="O251" s="431"/>
      <c r="P251" s="157"/>
      <c r="Q251" s="404"/>
      <c r="R251" s="148"/>
      <c r="S251" s="242"/>
      <c r="T251" s="242"/>
      <c r="U251" s="242"/>
      <c r="V251" s="242"/>
      <c r="W251" s="242"/>
      <c r="X251" s="242"/>
      <c r="Y251" s="148"/>
      <c r="Z251" s="148"/>
    </row>
    <row r="252">
      <c r="A252" s="660"/>
      <c r="B252" s="57"/>
      <c r="C252" s="561" t="s">
        <v>794</v>
      </c>
      <c r="D252" s="423">
        <v>22.0</v>
      </c>
      <c r="E252" s="192"/>
      <c r="F252" s="546"/>
      <c r="G252" s="562"/>
      <c r="H252" s="419"/>
      <c r="I252" s="57"/>
      <c r="J252" s="375"/>
      <c r="K252" s="420"/>
      <c r="L252" s="150"/>
      <c r="M252" s="425"/>
      <c r="O252" s="431"/>
      <c r="P252" s="157"/>
      <c r="Q252" s="404"/>
      <c r="R252" s="148"/>
      <c r="S252" s="242"/>
      <c r="T252" s="242"/>
      <c r="U252" s="242"/>
      <c r="V252" s="242"/>
      <c r="W252" s="242"/>
      <c r="X252" s="242"/>
      <c r="Y252" s="148"/>
      <c r="Z252" s="148"/>
    </row>
    <row r="253">
      <c r="A253" s="662"/>
      <c r="B253" s="57"/>
      <c r="C253" s="561" t="s">
        <v>18</v>
      </c>
      <c r="D253" s="157"/>
      <c r="E253" s="192"/>
      <c r="F253" s="546"/>
      <c r="G253" s="562"/>
      <c r="H253" s="419"/>
      <c r="I253" s="57"/>
      <c r="J253" s="375"/>
      <c r="K253" s="420"/>
      <c r="L253" s="193"/>
      <c r="M253" s="382"/>
      <c r="O253" s="431"/>
      <c r="P253" s="157"/>
      <c r="Q253" s="404"/>
      <c r="R253" s="148"/>
      <c r="S253" s="242"/>
      <c r="T253" s="242"/>
      <c r="U253" s="242"/>
      <c r="V253" s="242"/>
      <c r="W253" s="242"/>
      <c r="X253" s="242"/>
      <c r="Y253" s="148"/>
      <c r="Z253" s="148"/>
    </row>
    <row r="254">
      <c r="A254" s="662" t="s">
        <v>1041</v>
      </c>
      <c r="B254" s="57"/>
      <c r="C254" s="561" t="s">
        <v>773</v>
      </c>
      <c r="D254" s="423">
        <v>150.0</v>
      </c>
      <c r="E254" s="192"/>
      <c r="F254" s="546"/>
      <c r="G254" s="579"/>
      <c r="H254" s="419"/>
      <c r="I254" s="57"/>
      <c r="J254" s="452"/>
      <c r="K254" s="420"/>
      <c r="L254" s="150"/>
      <c r="M254" s="425"/>
      <c r="O254" s="431"/>
      <c r="P254" s="157"/>
      <c r="Q254" s="404"/>
      <c r="R254" s="148"/>
      <c r="S254" s="242"/>
      <c r="T254" s="242"/>
      <c r="U254" s="242"/>
      <c r="V254" s="242"/>
      <c r="W254" s="242"/>
      <c r="X254" s="242"/>
      <c r="Y254" s="148"/>
      <c r="Z254" s="148"/>
    </row>
    <row r="255">
      <c r="A255" s="209" t="s">
        <v>1042</v>
      </c>
      <c r="B255" s="57"/>
      <c r="C255" s="561" t="s">
        <v>774</v>
      </c>
      <c r="D255" s="423">
        <v>751.0</v>
      </c>
      <c r="E255" s="192"/>
      <c r="F255" s="546"/>
      <c r="G255" s="578"/>
      <c r="H255" s="419"/>
      <c r="I255" s="57"/>
      <c r="J255" s="105"/>
      <c r="K255" s="420"/>
      <c r="L255" s="150"/>
      <c r="M255" s="425"/>
      <c r="O255" s="431"/>
      <c r="P255" s="157"/>
      <c r="Q255" s="404"/>
      <c r="R255" s="148"/>
      <c r="S255" s="242"/>
      <c r="T255" s="242"/>
      <c r="U255" s="242"/>
      <c r="V255" s="242"/>
      <c r="W255" s="242"/>
      <c r="X255" s="242"/>
      <c r="Y255" s="148"/>
      <c r="Z255" s="148"/>
    </row>
    <row r="256">
      <c r="A256" s="662" t="s">
        <v>1043</v>
      </c>
      <c r="B256" s="239"/>
      <c r="C256" s="561" t="s">
        <v>775</v>
      </c>
      <c r="D256" s="423">
        <v>590.0</v>
      </c>
      <c r="E256" s="228"/>
      <c r="F256" s="547"/>
      <c r="G256" s="578"/>
      <c r="H256" s="419"/>
      <c r="I256" s="57"/>
      <c r="J256" s="378" t="s">
        <v>682</v>
      </c>
      <c r="K256" s="420"/>
      <c r="L256" s="193"/>
      <c r="M256" s="377"/>
      <c r="O256" s="431"/>
      <c r="P256" s="157"/>
      <c r="Q256" s="404"/>
      <c r="R256" s="148"/>
      <c r="S256" s="242"/>
      <c r="T256" s="242"/>
      <c r="U256" s="242"/>
      <c r="V256" s="242"/>
      <c r="W256" s="242"/>
      <c r="X256" s="242"/>
      <c r="Y256" s="148"/>
      <c r="Z256" s="148"/>
    </row>
    <row r="257">
      <c r="A257" s="660"/>
      <c r="B257" s="239"/>
      <c r="C257" s="561" t="s">
        <v>10</v>
      </c>
      <c r="D257" s="157"/>
      <c r="E257" s="206"/>
      <c r="F257" s="564"/>
      <c r="G257" s="581"/>
      <c r="H257" s="419"/>
      <c r="I257" s="57"/>
      <c r="J257" s="461" t="s">
        <v>684</v>
      </c>
      <c r="K257" s="420"/>
      <c r="L257" s="193"/>
      <c r="M257" s="377"/>
      <c r="O257" s="431"/>
      <c r="P257" s="157"/>
      <c r="Q257" s="404"/>
      <c r="R257" s="148"/>
      <c r="S257" s="242"/>
      <c r="T257" s="242"/>
      <c r="U257" s="242"/>
      <c r="V257" s="242"/>
      <c r="W257" s="242"/>
      <c r="X257" s="242"/>
      <c r="Y257" s="148"/>
      <c r="Z257" s="148"/>
    </row>
    <row r="258">
      <c r="A258" s="662" t="s">
        <v>1044</v>
      </c>
      <c r="B258" s="239"/>
      <c r="C258" s="561" t="s">
        <v>6</v>
      </c>
      <c r="D258" s="423">
        <v>332.0</v>
      </c>
      <c r="E258" s="206"/>
      <c r="F258" s="547"/>
      <c r="G258" s="579"/>
      <c r="H258" s="455"/>
      <c r="I258" s="57"/>
      <c r="J258" s="461" t="s">
        <v>686</v>
      </c>
      <c r="K258" s="420"/>
      <c r="L258" s="150"/>
      <c r="M258" s="374"/>
      <c r="O258" s="463"/>
      <c r="P258" s="157"/>
      <c r="Q258" s="404"/>
      <c r="R258" s="148"/>
      <c r="S258" s="242"/>
      <c r="T258" s="242"/>
      <c r="U258" s="242"/>
      <c r="V258" s="242"/>
      <c r="W258" s="242"/>
      <c r="X258" s="242"/>
      <c r="Y258" s="148"/>
      <c r="Z258" s="148"/>
    </row>
    <row r="259">
      <c r="A259" s="659"/>
      <c r="B259" s="57"/>
      <c r="C259" s="561" t="s">
        <v>779</v>
      </c>
      <c r="D259" s="423"/>
      <c r="E259" s="228"/>
      <c r="F259" s="547"/>
      <c r="G259" s="579"/>
      <c r="H259" s="455"/>
      <c r="I259" s="239"/>
      <c r="J259" s="460" t="s">
        <v>202</v>
      </c>
      <c r="K259" s="420"/>
      <c r="L259" s="193"/>
      <c r="M259" s="377"/>
      <c r="O259" s="463"/>
      <c r="P259" s="157"/>
      <c r="Q259" s="404"/>
      <c r="R259" s="148"/>
      <c r="S259" s="242"/>
      <c r="T259" s="242"/>
      <c r="U259" s="242"/>
      <c r="V259" s="242"/>
      <c r="W259" s="242"/>
      <c r="X259" s="242"/>
      <c r="Y259" s="148"/>
      <c r="Z259" s="148"/>
    </row>
    <row r="260">
      <c r="A260" s="660"/>
      <c r="B260" s="239"/>
      <c r="C260" s="561" t="s">
        <v>780</v>
      </c>
      <c r="D260" s="157"/>
      <c r="E260" s="228"/>
      <c r="F260" s="547"/>
      <c r="G260" s="579"/>
      <c r="H260" s="455"/>
      <c r="I260" s="57"/>
      <c r="J260" s="460" t="s">
        <v>274</v>
      </c>
      <c r="K260" s="420"/>
      <c r="L260" s="193">
        <v>254.0</v>
      </c>
      <c r="M260" s="377"/>
      <c r="O260" s="463"/>
      <c r="P260" s="157"/>
      <c r="Q260" s="404"/>
      <c r="R260" s="148"/>
      <c r="S260" s="242"/>
      <c r="T260" s="242"/>
      <c r="U260" s="242"/>
      <c r="V260" s="242"/>
      <c r="W260" s="242"/>
      <c r="X260" s="242"/>
      <c r="Y260" s="148"/>
      <c r="Z260" s="148"/>
    </row>
    <row r="261">
      <c r="A261" s="660"/>
      <c r="B261" s="239"/>
      <c r="C261" s="561" t="s">
        <v>781</v>
      </c>
      <c r="D261" s="423"/>
      <c r="E261" s="228"/>
      <c r="F261" s="547"/>
      <c r="G261" s="579"/>
      <c r="H261" s="419"/>
      <c r="I261" s="239"/>
      <c r="J261" s="568"/>
      <c r="K261" s="420"/>
      <c r="L261" s="150"/>
      <c r="M261" s="374"/>
      <c r="O261" s="431"/>
      <c r="P261" s="157"/>
      <c r="Q261" s="404"/>
      <c r="R261" s="148"/>
      <c r="S261" s="242"/>
      <c r="T261" s="242"/>
      <c r="U261" s="242"/>
      <c r="V261" s="242"/>
      <c r="W261" s="242"/>
      <c r="X261" s="242"/>
      <c r="Y261" s="148"/>
      <c r="Z261" s="148"/>
    </row>
    <row r="262">
      <c r="A262" s="660"/>
      <c r="B262" s="157"/>
      <c r="C262" s="561"/>
      <c r="D262" s="157"/>
      <c r="E262" s="569"/>
      <c r="F262" s="547"/>
      <c r="G262" s="578"/>
      <c r="H262" s="419"/>
      <c r="I262" s="57"/>
      <c r="J262" s="374"/>
      <c r="K262" s="420"/>
      <c r="L262" s="193"/>
      <c r="M262" s="377"/>
      <c r="O262" s="431"/>
      <c r="P262" s="157"/>
      <c r="Q262" s="404"/>
      <c r="R262" s="148"/>
      <c r="S262" s="242"/>
      <c r="T262" s="242"/>
      <c r="U262" s="242"/>
      <c r="V262" s="242"/>
      <c r="W262" s="242"/>
      <c r="X262" s="242"/>
      <c r="Y262" s="148"/>
      <c r="Z262" s="148"/>
    </row>
    <row r="263">
      <c r="A263" s="660"/>
      <c r="B263" s="157"/>
      <c r="C263" s="561"/>
      <c r="D263" s="157"/>
      <c r="E263" s="228"/>
      <c r="F263" s="547"/>
      <c r="G263" s="578"/>
      <c r="H263" s="419"/>
      <c r="I263" s="239"/>
      <c r="J263" s="596" t="s">
        <v>1001</v>
      </c>
      <c r="K263" s="420"/>
      <c r="L263" s="193">
        <v>1330.0</v>
      </c>
      <c r="M263" s="377" t="s">
        <v>1045</v>
      </c>
      <c r="O263" s="431"/>
      <c r="P263" s="157"/>
      <c r="Q263" s="404"/>
      <c r="R263" s="148"/>
      <c r="S263" s="242"/>
      <c r="T263" s="242"/>
      <c r="U263" s="242"/>
      <c r="V263" s="242"/>
      <c r="W263" s="242"/>
      <c r="X263" s="242"/>
      <c r="Y263" s="148"/>
      <c r="Z263" s="148"/>
    </row>
    <row r="264">
      <c r="A264" s="660"/>
      <c r="B264" s="157"/>
      <c r="C264" s="561"/>
      <c r="D264" s="157"/>
      <c r="E264" s="570"/>
      <c r="F264" s="547"/>
      <c r="G264" s="578"/>
      <c r="H264" s="419"/>
      <c r="I264" s="239"/>
      <c r="J264" s="568"/>
      <c r="K264" s="420"/>
      <c r="L264" s="193"/>
      <c r="M264" s="374"/>
      <c r="O264" s="431"/>
      <c r="P264" s="157"/>
      <c r="Q264" s="404"/>
      <c r="R264" s="148"/>
      <c r="S264" s="242"/>
      <c r="T264" s="242"/>
      <c r="U264" s="242"/>
      <c r="V264" s="242"/>
      <c r="W264" s="242"/>
      <c r="X264" s="242"/>
      <c r="Y264" s="148"/>
      <c r="Z264" s="148"/>
    </row>
    <row r="265">
      <c r="A265" s="665"/>
      <c r="C265" s="571"/>
      <c r="D265" s="157"/>
      <c r="E265" s="570"/>
      <c r="F265" s="547"/>
      <c r="G265" s="578"/>
      <c r="H265" s="419"/>
      <c r="I265" s="239"/>
      <c r="J265" s="464" t="s">
        <v>692</v>
      </c>
      <c r="K265" s="420"/>
      <c r="L265" s="674">
        <v>600.0</v>
      </c>
      <c r="M265" s="675" t="s">
        <v>1046</v>
      </c>
      <c r="N265" s="26"/>
      <c r="O265" s="431"/>
      <c r="P265" s="157"/>
      <c r="Q265" s="404"/>
      <c r="R265" s="148"/>
      <c r="S265" s="242"/>
      <c r="T265" s="242"/>
      <c r="U265" s="242"/>
      <c r="V265" s="242"/>
      <c r="W265" s="242"/>
      <c r="X265" s="242"/>
      <c r="Y265" s="148"/>
      <c r="Z265" s="148"/>
    </row>
    <row r="266">
      <c r="A266" s="665"/>
      <c r="C266" s="571"/>
      <c r="D266" s="157"/>
      <c r="E266" s="570"/>
      <c r="F266" s="547"/>
      <c r="G266" s="578"/>
      <c r="H266" s="419"/>
      <c r="I266" s="239"/>
      <c r="J266" s="464" t="s">
        <v>694</v>
      </c>
      <c r="K266" s="420"/>
      <c r="L266" s="193">
        <v>731.95</v>
      </c>
      <c r="M266" s="676" t="s">
        <v>1047</v>
      </c>
      <c r="O266" s="431"/>
      <c r="P266" s="157"/>
      <c r="Q266" s="404"/>
      <c r="R266" s="148"/>
      <c r="S266" s="242"/>
      <c r="T266" s="242"/>
      <c r="U266" s="242"/>
      <c r="V266" s="242"/>
      <c r="W266" s="242"/>
      <c r="X266" s="242"/>
      <c r="Y266" s="148"/>
      <c r="Z266" s="148"/>
    </row>
    <row r="267">
      <c r="A267" s="665"/>
      <c r="C267" s="571"/>
      <c r="D267" s="423"/>
      <c r="E267" s="570"/>
      <c r="F267" s="546"/>
      <c r="G267" s="578"/>
      <c r="H267" s="419"/>
      <c r="I267" s="57"/>
      <c r="J267" s="105"/>
      <c r="K267" s="57"/>
      <c r="L267" s="150"/>
      <c r="M267" s="57"/>
      <c r="N267" s="57"/>
      <c r="O267" s="57"/>
      <c r="P267" s="157"/>
      <c r="Q267" s="404"/>
      <c r="R267" s="148"/>
      <c r="S267" s="242"/>
      <c r="T267" s="242"/>
      <c r="U267" s="242"/>
      <c r="V267" s="242"/>
      <c r="W267" s="242"/>
      <c r="X267" s="242"/>
      <c r="Y267" s="148"/>
      <c r="Z267" s="148"/>
    </row>
    <row r="268">
      <c r="A268" s="125" t="s">
        <v>798</v>
      </c>
      <c r="B268" s="572">
        <f>C241-B245</f>
        <v>-3730.5</v>
      </c>
      <c r="D268" s="157"/>
      <c r="E268" s="570"/>
      <c r="F268" s="573"/>
      <c r="G268" s="581"/>
      <c r="H268" s="419"/>
      <c r="I268" s="239"/>
      <c r="J268" s="568"/>
      <c r="K268" s="57"/>
      <c r="L268" s="150"/>
      <c r="M268" s="57"/>
      <c r="N268" s="57"/>
      <c r="O268" s="57"/>
      <c r="P268" s="157"/>
      <c r="Q268" s="404"/>
      <c r="R268" s="148"/>
      <c r="S268" s="242"/>
      <c r="T268" s="242"/>
      <c r="U268" s="242"/>
      <c r="V268" s="242"/>
      <c r="W268" s="242"/>
      <c r="X268" s="242"/>
      <c r="Y268" s="148"/>
      <c r="Z268" s="148"/>
    </row>
    <row r="269">
      <c r="A269" s="274" t="s">
        <v>783</v>
      </c>
      <c r="B269" s="109">
        <v>470.0</v>
      </c>
      <c r="C269" s="395"/>
      <c r="D269" s="157"/>
      <c r="E269" s="570"/>
      <c r="F269" s="573"/>
      <c r="G269" s="581"/>
      <c r="H269" s="419"/>
      <c r="I269" s="239"/>
      <c r="J269" s="568"/>
      <c r="K269" s="57"/>
      <c r="L269" s="150"/>
      <c r="M269" s="57"/>
      <c r="N269" s="57"/>
      <c r="O269" s="57"/>
      <c r="P269" s="157"/>
      <c r="Q269" s="404"/>
      <c r="R269" s="148"/>
      <c r="S269" s="242"/>
      <c r="T269" s="242"/>
      <c r="U269" s="242"/>
      <c r="V269" s="242"/>
      <c r="W269" s="242"/>
      <c r="X269" s="242"/>
      <c r="Y269" s="148"/>
      <c r="Z269" s="148"/>
    </row>
    <row r="270">
      <c r="A270" s="274" t="s">
        <v>784</v>
      </c>
      <c r="B270" s="109">
        <v>10000.0</v>
      </c>
      <c r="C270" s="395"/>
      <c r="D270" s="157"/>
      <c r="E270" s="570"/>
      <c r="F270" s="573"/>
      <c r="G270" s="581"/>
      <c r="H270" s="419"/>
      <c r="I270" s="239"/>
      <c r="J270" s="568"/>
      <c r="K270" s="57"/>
      <c r="L270" s="150"/>
      <c r="M270" s="57"/>
      <c r="N270" s="57"/>
      <c r="O270" s="57"/>
      <c r="P270" s="157"/>
      <c r="Q270" s="404"/>
      <c r="R270" s="148"/>
      <c r="S270" s="242"/>
      <c r="T270" s="242"/>
      <c r="U270" s="242"/>
      <c r="V270" s="242"/>
      <c r="W270" s="242"/>
      <c r="X270" s="242"/>
      <c r="Y270" s="148"/>
      <c r="Z270" s="148"/>
    </row>
    <row r="271">
      <c r="A271" s="274" t="s">
        <v>785</v>
      </c>
      <c r="B271" s="109"/>
      <c r="C271" s="395"/>
      <c r="D271" s="157"/>
      <c r="E271" s="570"/>
      <c r="F271" s="573"/>
      <c r="G271" s="581"/>
      <c r="H271" s="419"/>
      <c r="I271" s="239"/>
      <c r="J271" s="568"/>
      <c r="K271" s="57"/>
      <c r="L271" s="150"/>
      <c r="M271" s="57"/>
      <c r="N271" s="57"/>
      <c r="O271" s="57"/>
      <c r="P271" s="157"/>
      <c r="Q271" s="404"/>
      <c r="R271" s="148"/>
      <c r="S271" s="242"/>
      <c r="T271" s="242"/>
      <c r="U271" s="242"/>
      <c r="V271" s="242"/>
      <c r="W271" s="242"/>
      <c r="X271" s="242"/>
      <c r="Y271" s="148"/>
      <c r="Z271" s="148"/>
    </row>
    <row r="272">
      <c r="A272" s="402"/>
      <c r="B272" s="403"/>
      <c r="C272" s="403"/>
      <c r="D272" s="403"/>
      <c r="E272" s="574"/>
      <c r="F272" s="575"/>
      <c r="G272" s="576"/>
      <c r="H272" s="159"/>
      <c r="I272" s="159"/>
      <c r="J272" s="576"/>
      <c r="K272" s="159"/>
      <c r="L272" s="162"/>
      <c r="M272" s="402"/>
      <c r="N272" s="402"/>
      <c r="O272" s="159"/>
      <c r="P272" s="403"/>
      <c r="Q272" s="577"/>
      <c r="R272" s="148"/>
      <c r="S272" s="242"/>
      <c r="T272" s="242"/>
      <c r="U272" s="242"/>
      <c r="V272" s="242"/>
      <c r="W272" s="242"/>
      <c r="X272" s="242"/>
      <c r="Y272" s="148"/>
      <c r="Z272" s="148"/>
    </row>
    <row r="273">
      <c r="A273" s="148"/>
      <c r="B273" s="148"/>
      <c r="C273" s="148"/>
      <c r="D273" s="245"/>
      <c r="E273" s="585"/>
      <c r="F273" s="586"/>
      <c r="G273" s="243"/>
      <c r="H273" s="148"/>
      <c r="I273" s="251"/>
      <c r="J273" s="243"/>
      <c r="K273" s="148"/>
      <c r="L273" s="277"/>
      <c r="M273" s="252"/>
      <c r="N273" s="250"/>
      <c r="O273" s="253"/>
      <c r="P273" s="240"/>
      <c r="Q273" s="148"/>
      <c r="R273" s="148"/>
      <c r="S273" s="242"/>
      <c r="T273" s="242"/>
      <c r="U273" s="242"/>
      <c r="V273" s="242"/>
      <c r="W273" s="242"/>
      <c r="X273" s="242"/>
      <c r="Y273" s="148"/>
      <c r="Z273" s="148"/>
    </row>
    <row r="274">
      <c r="A274" s="169" t="s">
        <v>857</v>
      </c>
      <c r="B274" s="539"/>
      <c r="C274" s="540"/>
      <c r="D274" s="405"/>
      <c r="E274" s="541"/>
      <c r="F274" s="542"/>
      <c r="G274" s="467" t="s">
        <v>333</v>
      </c>
      <c r="H274" s="361"/>
      <c r="I274" s="57"/>
      <c r="J274" s="105"/>
      <c r="K274" s="57"/>
      <c r="L274" s="150"/>
      <c r="M274" s="239"/>
      <c r="N274" s="239"/>
      <c r="O274" s="57"/>
      <c r="P274" s="157"/>
      <c r="Q274" s="404"/>
      <c r="R274" s="148"/>
      <c r="S274" s="242"/>
      <c r="T274" s="242"/>
      <c r="U274" s="242"/>
      <c r="V274" s="242"/>
      <c r="W274" s="242"/>
      <c r="X274" s="242"/>
      <c r="Y274" s="148"/>
      <c r="Z274" s="148"/>
    </row>
    <row r="275">
      <c r="A275" s="468"/>
      <c r="B275" s="157"/>
      <c r="C275" s="466"/>
      <c r="D275" s="405"/>
      <c r="E275" s="543" t="s">
        <v>335</v>
      </c>
      <c r="F275" s="544" t="s">
        <v>237</v>
      </c>
      <c r="G275" s="412" t="s">
        <v>336</v>
      </c>
      <c r="H275" s="413" t="s">
        <v>337</v>
      </c>
      <c r="I275" s="239"/>
      <c r="J275" s="145" t="s">
        <v>60</v>
      </c>
      <c r="K275" s="57"/>
      <c r="L275" s="150"/>
      <c r="M275" s="414"/>
      <c r="N275" s="414"/>
      <c r="O275" s="57" t="s">
        <v>334</v>
      </c>
      <c r="P275" s="157"/>
      <c r="Q275" s="404"/>
      <c r="R275" s="148"/>
      <c r="S275" s="242"/>
      <c r="T275" s="242"/>
      <c r="U275" s="242"/>
      <c r="V275" s="242"/>
      <c r="W275" s="242"/>
      <c r="X275" s="242"/>
      <c r="Y275" s="148"/>
      <c r="Z275" s="148"/>
    </row>
    <row r="276">
      <c r="A276" s="470" t="s">
        <v>179</v>
      </c>
      <c r="C276" s="416">
        <f>SUM(F276:F310)</f>
        <v>0</v>
      </c>
      <c r="D276" s="405"/>
      <c r="E276" s="545"/>
      <c r="F276" s="546"/>
      <c r="G276" s="578"/>
      <c r="H276" s="419"/>
      <c r="I276" s="57"/>
      <c r="K276" s="57"/>
      <c r="L276" s="150"/>
      <c r="M276" s="377" t="s">
        <v>366</v>
      </c>
      <c r="P276" s="157"/>
      <c r="Q276" s="404"/>
      <c r="R276" s="148"/>
      <c r="S276" s="242"/>
      <c r="T276" s="242"/>
      <c r="U276" s="242"/>
      <c r="V276" s="242"/>
      <c r="W276" s="242"/>
      <c r="X276" s="242"/>
      <c r="Y276" s="148"/>
      <c r="Z276" s="148"/>
    </row>
    <row r="277">
      <c r="A277" s="421" t="s">
        <v>343</v>
      </c>
      <c r="B277" s="422" t="s">
        <v>321</v>
      </c>
      <c r="C277" s="416">
        <f>SUM(P277:P310)</f>
        <v>0</v>
      </c>
      <c r="D277" s="157"/>
      <c r="E277" s="545"/>
      <c r="F277" s="546"/>
      <c r="G277" s="578"/>
      <c r="H277" s="419"/>
      <c r="I277" s="239"/>
      <c r="J277" s="471" t="s">
        <v>341</v>
      </c>
      <c r="K277" s="420"/>
      <c r="L277" s="150"/>
      <c r="M277" s="374"/>
      <c r="O277" s="431"/>
      <c r="P277" s="423"/>
      <c r="Q277" s="404"/>
      <c r="R277" s="148"/>
      <c r="S277" s="242"/>
      <c r="T277" s="242"/>
      <c r="U277" s="242"/>
      <c r="V277" s="242"/>
      <c r="W277" s="242"/>
      <c r="X277" s="242"/>
      <c r="Y277" s="148"/>
      <c r="Z277" s="148"/>
    </row>
    <row r="278">
      <c r="A278" s="427" t="s">
        <v>201</v>
      </c>
      <c r="C278" s="204">
        <f>SUM(L277:L310)</f>
        <v>3021.43</v>
      </c>
      <c r="D278" s="157"/>
      <c r="E278" s="545"/>
      <c r="F278" s="547"/>
      <c r="G278" s="578"/>
      <c r="H278" s="419"/>
      <c r="I278" s="239"/>
      <c r="J278" s="472" t="s">
        <v>345</v>
      </c>
      <c r="K278" s="420"/>
      <c r="L278" s="193">
        <v>101.62</v>
      </c>
      <c r="M278" s="377" t="s">
        <v>1048</v>
      </c>
      <c r="O278" s="431"/>
      <c r="P278" s="423"/>
      <c r="Q278" s="404"/>
      <c r="R278" s="148"/>
      <c r="S278" s="242"/>
      <c r="T278" s="242"/>
      <c r="U278" s="242"/>
      <c r="V278" s="242"/>
      <c r="W278" s="242"/>
      <c r="X278" s="242"/>
      <c r="Y278" s="148"/>
      <c r="Z278" s="148"/>
    </row>
    <row r="279">
      <c r="A279" s="548" t="s">
        <v>761</v>
      </c>
      <c r="B279" s="549">
        <v>0.4</v>
      </c>
      <c r="C279" s="191"/>
      <c r="D279" s="157"/>
      <c r="E279" s="550" t="s">
        <v>695</v>
      </c>
      <c r="F279" s="546"/>
      <c r="G279" s="578"/>
      <c r="H279" s="419"/>
      <c r="I279" s="239"/>
      <c r="J279" s="433" t="s">
        <v>656</v>
      </c>
      <c r="K279" s="420"/>
      <c r="L279" s="193">
        <v>94.81</v>
      </c>
      <c r="M279" s="377" t="s">
        <v>443</v>
      </c>
      <c r="O279" s="431"/>
      <c r="P279" s="423"/>
      <c r="Q279" s="404"/>
      <c r="R279" s="148"/>
      <c r="S279" s="242"/>
      <c r="T279" s="242"/>
      <c r="U279" s="242"/>
      <c r="V279" s="242"/>
      <c r="W279" s="242"/>
      <c r="X279" s="242"/>
      <c r="Y279" s="148"/>
      <c r="Z279" s="148"/>
    </row>
    <row r="280">
      <c r="A280" s="434" t="s">
        <v>350</v>
      </c>
      <c r="C280" s="551">
        <f>C276-C278-C279</f>
        <v>-3021.43</v>
      </c>
      <c r="D280" s="157"/>
      <c r="E280" s="228"/>
      <c r="F280" s="547"/>
      <c r="G280" s="579"/>
      <c r="H280" s="419"/>
      <c r="I280" s="57"/>
      <c r="J280" s="444" t="s">
        <v>658</v>
      </c>
      <c r="K280" s="420"/>
      <c r="L280" s="193">
        <v>28.0</v>
      </c>
      <c r="M280" s="377"/>
      <c r="O280" s="431"/>
      <c r="P280" s="157"/>
      <c r="Q280" s="404"/>
      <c r="R280" s="148"/>
      <c r="S280" s="242"/>
      <c r="T280" s="242"/>
      <c r="U280" s="242"/>
      <c r="V280" s="242"/>
      <c r="W280" s="242"/>
      <c r="X280" s="242"/>
      <c r="Y280" s="148"/>
      <c r="Z280" s="148"/>
    </row>
    <row r="281">
      <c r="A281" s="554"/>
      <c r="B281" s="555"/>
      <c r="C281" s="447"/>
      <c r="D281" s="157"/>
      <c r="E281" s="228"/>
      <c r="F281" s="547"/>
      <c r="G281" s="578"/>
      <c r="H281" s="419"/>
      <c r="I281" s="57"/>
      <c r="J281" s="444" t="s">
        <v>660</v>
      </c>
      <c r="K281" s="420"/>
      <c r="L281" s="193"/>
      <c r="M281" s="377"/>
      <c r="O281" s="431"/>
      <c r="P281" s="157"/>
      <c r="Q281" s="404"/>
      <c r="R281" s="148"/>
      <c r="S281" s="242"/>
      <c r="T281" s="242"/>
      <c r="U281" s="242"/>
      <c r="V281" s="242"/>
      <c r="W281" s="242"/>
      <c r="X281" s="242"/>
      <c r="Y281" s="148"/>
      <c r="Z281" s="148"/>
    </row>
    <row r="282">
      <c r="A282" s="556"/>
      <c r="C282" s="395"/>
      <c r="D282" s="157"/>
      <c r="E282" s="228"/>
      <c r="F282" s="546"/>
      <c r="G282" s="579"/>
      <c r="H282" s="419"/>
      <c r="I282" s="239"/>
      <c r="J282" s="370" t="s">
        <v>662</v>
      </c>
      <c r="K282" s="420"/>
      <c r="L282" s="193">
        <v>20.0</v>
      </c>
      <c r="M282" s="377" t="s">
        <v>1049</v>
      </c>
      <c r="O282" s="431"/>
      <c r="P282" s="157"/>
      <c r="Q282" s="404"/>
      <c r="R282" s="148"/>
      <c r="S282" s="242"/>
      <c r="T282" s="242"/>
      <c r="U282" s="242"/>
      <c r="V282" s="242"/>
      <c r="W282" s="242"/>
      <c r="X282" s="242"/>
      <c r="Y282" s="148"/>
      <c r="Z282" s="148"/>
    </row>
    <row r="283">
      <c r="A283" s="557"/>
      <c r="B283" s="109"/>
      <c r="C283" s="395"/>
      <c r="D283" s="373"/>
      <c r="E283" s="228"/>
      <c r="F283" s="547"/>
      <c r="G283" s="578"/>
      <c r="H283" s="419"/>
      <c r="I283" s="239"/>
      <c r="J283" s="433" t="s">
        <v>666</v>
      </c>
      <c r="K283" s="420"/>
      <c r="L283" s="150"/>
      <c r="M283" s="374"/>
      <c r="O283" s="431"/>
      <c r="P283" s="157"/>
      <c r="Q283" s="404"/>
      <c r="R283" s="148"/>
      <c r="S283" s="242"/>
      <c r="T283" s="242"/>
      <c r="U283" s="242"/>
      <c r="V283" s="242"/>
      <c r="W283" s="242"/>
      <c r="X283" s="242"/>
      <c r="Y283" s="148"/>
      <c r="Z283" s="148"/>
    </row>
    <row r="284">
      <c r="A284" s="559" t="s">
        <v>765</v>
      </c>
      <c r="B284" s="560">
        <f>SUM(D284:D310)</f>
        <v>2024.5</v>
      </c>
      <c r="C284" s="477" t="s">
        <v>366</v>
      </c>
      <c r="D284" s="157"/>
      <c r="E284" s="228"/>
      <c r="F284" s="547"/>
      <c r="G284" s="578"/>
      <c r="H284" s="419"/>
      <c r="I284" s="239"/>
      <c r="J284" s="433" t="s">
        <v>668</v>
      </c>
      <c r="K284" s="420"/>
      <c r="L284" s="193">
        <v>460.0</v>
      </c>
      <c r="M284" s="377" t="s">
        <v>1050</v>
      </c>
      <c r="O284" s="431"/>
      <c r="P284" s="157"/>
      <c r="Q284" s="404"/>
      <c r="R284" s="148"/>
      <c r="S284" s="242"/>
      <c r="T284" s="242"/>
      <c r="U284" s="242"/>
      <c r="V284" s="242"/>
      <c r="W284" s="242"/>
      <c r="X284" s="242"/>
      <c r="Y284" s="148"/>
      <c r="Z284" s="148"/>
    </row>
    <row r="285">
      <c r="A285" s="453" t="s">
        <v>369</v>
      </c>
      <c r="C285" s="561" t="s">
        <v>766</v>
      </c>
      <c r="D285" s="423">
        <v>350.0</v>
      </c>
      <c r="E285" s="228"/>
      <c r="F285" s="547"/>
      <c r="G285" s="578"/>
      <c r="H285" s="419"/>
      <c r="I285" s="239"/>
      <c r="J285" s="433" t="s">
        <v>670</v>
      </c>
      <c r="K285" s="458"/>
      <c r="L285" s="193">
        <v>1250.0</v>
      </c>
      <c r="M285" s="377"/>
      <c r="O285" s="431"/>
      <c r="P285" s="157"/>
      <c r="Q285" s="404"/>
      <c r="R285" s="148"/>
      <c r="S285" s="242"/>
      <c r="T285" s="242"/>
      <c r="U285" s="242"/>
      <c r="V285" s="242"/>
      <c r="W285" s="242"/>
      <c r="X285" s="242"/>
      <c r="Y285" s="148"/>
      <c r="Z285" s="148"/>
    </row>
    <row r="286">
      <c r="C286" s="561" t="s">
        <v>767</v>
      </c>
      <c r="D286" s="157"/>
      <c r="E286" s="228"/>
      <c r="F286" s="547"/>
      <c r="G286" s="578"/>
      <c r="H286" s="419"/>
      <c r="I286" s="239"/>
      <c r="J286" s="433" t="s">
        <v>217</v>
      </c>
      <c r="K286" s="458"/>
      <c r="L286" s="150"/>
      <c r="M286" s="377"/>
      <c r="O286" s="431"/>
      <c r="P286" s="157"/>
      <c r="Q286" s="404"/>
      <c r="R286" s="148"/>
      <c r="S286" s="242"/>
      <c r="T286" s="242"/>
      <c r="U286" s="242"/>
      <c r="V286" s="242"/>
      <c r="W286" s="242"/>
      <c r="X286" s="242"/>
      <c r="Y286" s="148"/>
      <c r="Z286" s="148"/>
    </row>
    <row r="287">
      <c r="A287" s="57"/>
      <c r="B287" s="57"/>
      <c r="C287" s="561" t="s">
        <v>768</v>
      </c>
      <c r="D287" s="423"/>
      <c r="E287" s="228"/>
      <c r="F287" s="547"/>
      <c r="G287" s="578"/>
      <c r="H287" s="419"/>
      <c r="I287" s="239"/>
      <c r="J287" s="109"/>
      <c r="K287" s="420"/>
      <c r="L287" s="193"/>
      <c r="M287" s="374"/>
      <c r="O287" s="431"/>
      <c r="P287" s="157"/>
      <c r="Q287" s="404"/>
      <c r="R287" s="148"/>
      <c r="S287" s="242"/>
      <c r="T287" s="242"/>
      <c r="U287" s="242"/>
      <c r="V287" s="242"/>
      <c r="W287" s="242"/>
      <c r="X287" s="242"/>
      <c r="Y287" s="148"/>
      <c r="Z287" s="148"/>
    </row>
    <row r="288">
      <c r="A288" s="57"/>
      <c r="B288" s="57"/>
      <c r="C288" s="561" t="s">
        <v>769</v>
      </c>
      <c r="D288" s="157"/>
      <c r="E288" s="228"/>
      <c r="F288" s="547"/>
      <c r="G288" s="578"/>
      <c r="H288" s="419"/>
      <c r="I288" s="239"/>
      <c r="J288" s="456" t="s">
        <v>672</v>
      </c>
      <c r="K288" s="420"/>
      <c r="L288" s="150"/>
      <c r="M288" s="377"/>
      <c r="O288" s="431"/>
      <c r="P288" s="157"/>
      <c r="Q288" s="404"/>
      <c r="R288" s="148"/>
      <c r="S288" s="242"/>
      <c r="T288" s="242"/>
      <c r="U288" s="242"/>
      <c r="V288" s="242"/>
      <c r="W288" s="242"/>
      <c r="X288" s="242"/>
      <c r="Y288" s="148"/>
      <c r="Z288" s="148"/>
    </row>
    <row r="289">
      <c r="A289" s="57"/>
      <c r="B289" s="57"/>
      <c r="C289" s="561" t="s">
        <v>770</v>
      </c>
      <c r="D289" s="423"/>
      <c r="E289" s="228"/>
      <c r="F289" s="547"/>
      <c r="G289" s="578"/>
      <c r="H289" s="419"/>
      <c r="I289" s="57"/>
      <c r="J289" s="456" t="s">
        <v>675</v>
      </c>
      <c r="K289" s="420"/>
      <c r="L289" s="150"/>
      <c r="M289" s="382"/>
      <c r="O289" s="431"/>
      <c r="P289" s="157"/>
      <c r="Q289" s="404"/>
      <c r="R289" s="148"/>
      <c r="S289" s="242"/>
      <c r="T289" s="242"/>
      <c r="U289" s="242"/>
      <c r="V289" s="242"/>
      <c r="W289" s="242"/>
      <c r="X289" s="242"/>
      <c r="Y289" s="148"/>
      <c r="Z289" s="148"/>
    </row>
    <row r="290">
      <c r="A290" s="57"/>
      <c r="B290" s="57"/>
      <c r="C290" s="561" t="s">
        <v>793</v>
      </c>
      <c r="D290" s="423">
        <v>320.0</v>
      </c>
      <c r="E290" s="228"/>
      <c r="F290" s="547"/>
      <c r="G290" s="579"/>
      <c r="H290" s="419"/>
      <c r="I290" s="57"/>
      <c r="J290" s="456"/>
      <c r="K290" s="420"/>
      <c r="L290" s="150"/>
      <c r="M290" s="425"/>
      <c r="O290" s="431"/>
      <c r="P290" s="157"/>
      <c r="Q290" s="404"/>
      <c r="R290" s="148"/>
      <c r="S290" s="242"/>
      <c r="T290" s="242"/>
      <c r="U290" s="242"/>
      <c r="V290" s="242"/>
      <c r="W290" s="242"/>
      <c r="X290" s="242"/>
      <c r="Y290" s="148"/>
      <c r="Z290" s="148"/>
    </row>
    <row r="291">
      <c r="A291" s="239"/>
      <c r="B291" s="57"/>
      <c r="C291" s="561" t="s">
        <v>794</v>
      </c>
      <c r="D291" s="423"/>
      <c r="E291" s="228"/>
      <c r="F291" s="547"/>
      <c r="G291" s="578"/>
      <c r="H291" s="419"/>
      <c r="I291" s="57"/>
      <c r="J291" s="375"/>
      <c r="K291" s="420"/>
      <c r="L291" s="150"/>
      <c r="M291" s="425"/>
      <c r="O291" s="431"/>
      <c r="P291" s="157"/>
      <c r="Q291" s="404"/>
      <c r="R291" s="148"/>
      <c r="S291" s="242"/>
      <c r="T291" s="242"/>
      <c r="U291" s="242"/>
      <c r="V291" s="242"/>
      <c r="W291" s="242"/>
      <c r="X291" s="242"/>
      <c r="Y291" s="148"/>
      <c r="Z291" s="148"/>
    </row>
    <row r="292">
      <c r="A292" s="239"/>
      <c r="B292" s="57"/>
      <c r="C292" s="561" t="s">
        <v>18</v>
      </c>
      <c r="D292" s="423"/>
      <c r="E292" s="228"/>
      <c r="F292" s="547"/>
      <c r="G292" s="578"/>
      <c r="H292" s="419"/>
      <c r="I292" s="57"/>
      <c r="J292" s="375"/>
      <c r="K292" s="420"/>
      <c r="L292" s="193"/>
      <c r="M292" s="382"/>
      <c r="O292" s="431"/>
      <c r="P292" s="157"/>
      <c r="Q292" s="404"/>
      <c r="R292" s="148"/>
      <c r="S292" s="242"/>
      <c r="T292" s="242"/>
      <c r="U292" s="242"/>
      <c r="V292" s="242"/>
      <c r="W292" s="242"/>
      <c r="X292" s="242"/>
      <c r="Y292" s="148"/>
      <c r="Z292" s="148"/>
    </row>
    <row r="293">
      <c r="A293" s="239"/>
      <c r="B293" s="57"/>
      <c r="C293" s="561" t="s">
        <v>773</v>
      </c>
      <c r="D293" s="423"/>
      <c r="E293" s="228"/>
      <c r="F293" s="547"/>
      <c r="G293" s="579"/>
      <c r="H293" s="419"/>
      <c r="I293" s="57"/>
      <c r="J293" s="452"/>
      <c r="K293" s="420"/>
      <c r="L293" s="150"/>
      <c r="M293" s="425"/>
      <c r="O293" s="431"/>
      <c r="P293" s="157"/>
      <c r="Q293" s="404"/>
      <c r="R293" s="148"/>
      <c r="S293" s="242"/>
      <c r="T293" s="242"/>
      <c r="U293" s="242"/>
      <c r="V293" s="242"/>
      <c r="W293" s="242"/>
      <c r="X293" s="242"/>
      <c r="Y293" s="148"/>
      <c r="Z293" s="148"/>
    </row>
    <row r="294">
      <c r="A294" s="209" t="s">
        <v>1051</v>
      </c>
      <c r="B294" s="57"/>
      <c r="C294" s="561" t="s">
        <v>774</v>
      </c>
      <c r="D294" s="423">
        <v>1001.0</v>
      </c>
      <c r="E294" s="192"/>
      <c r="F294" s="547"/>
      <c r="G294" s="578"/>
      <c r="H294" s="419"/>
      <c r="I294" s="57"/>
      <c r="J294" s="105"/>
      <c r="K294" s="420"/>
      <c r="L294" s="193"/>
      <c r="M294" s="425"/>
      <c r="O294" s="431"/>
      <c r="P294" s="157"/>
      <c r="Q294" s="404"/>
      <c r="R294" s="148"/>
      <c r="S294" s="242"/>
      <c r="T294" s="242"/>
      <c r="U294" s="242"/>
      <c r="V294" s="242"/>
      <c r="W294" s="242"/>
      <c r="X294" s="242"/>
      <c r="Y294" s="148"/>
      <c r="Z294" s="148"/>
    </row>
    <row r="295">
      <c r="A295" s="238" t="s">
        <v>1052</v>
      </c>
      <c r="B295" s="239"/>
      <c r="C295" s="561" t="s">
        <v>775</v>
      </c>
      <c r="D295" s="423">
        <v>265.0</v>
      </c>
      <c r="E295" s="228"/>
      <c r="F295" s="547"/>
      <c r="G295" s="578"/>
      <c r="H295" s="419"/>
      <c r="I295" s="57"/>
      <c r="J295" s="378" t="s">
        <v>682</v>
      </c>
      <c r="K295" s="420"/>
      <c r="L295" s="193">
        <v>80.0</v>
      </c>
      <c r="M295" s="377" t="s">
        <v>1053</v>
      </c>
      <c r="O295" s="431"/>
      <c r="P295" s="157"/>
      <c r="Q295" s="404"/>
      <c r="R295" s="148"/>
      <c r="S295" s="242"/>
      <c r="T295" s="242"/>
      <c r="U295" s="242"/>
      <c r="V295" s="242"/>
      <c r="W295" s="242"/>
      <c r="X295" s="242"/>
      <c r="Y295" s="148"/>
      <c r="Z295" s="148"/>
    </row>
    <row r="296">
      <c r="A296" s="239"/>
      <c r="B296" s="239"/>
      <c r="C296" s="561" t="s">
        <v>10</v>
      </c>
      <c r="D296" s="157"/>
      <c r="E296" s="206"/>
      <c r="F296" s="564"/>
      <c r="G296" s="581"/>
      <c r="H296" s="419"/>
      <c r="I296" s="57"/>
      <c r="J296" s="461" t="s">
        <v>684</v>
      </c>
      <c r="K296" s="420"/>
      <c r="L296" s="193"/>
      <c r="M296" s="377"/>
      <c r="O296" s="431"/>
      <c r="P296" s="157"/>
      <c r="Q296" s="404"/>
      <c r="R296" s="148"/>
      <c r="S296" s="242"/>
      <c r="T296" s="242"/>
      <c r="U296" s="242"/>
      <c r="V296" s="242"/>
      <c r="W296" s="242"/>
      <c r="X296" s="242"/>
      <c r="Y296" s="148"/>
      <c r="Z296" s="148"/>
    </row>
    <row r="297">
      <c r="A297" s="239"/>
      <c r="B297" s="239"/>
      <c r="C297" s="561" t="s">
        <v>6</v>
      </c>
      <c r="D297" s="157"/>
      <c r="E297" s="206"/>
      <c r="F297" s="547"/>
      <c r="G297" s="579"/>
      <c r="H297" s="455"/>
      <c r="I297" s="57"/>
      <c r="J297" s="461" t="s">
        <v>686</v>
      </c>
      <c r="K297" s="420"/>
      <c r="L297" s="150"/>
      <c r="M297" s="374"/>
      <c r="O297" s="463"/>
      <c r="P297" s="157"/>
      <c r="Q297" s="404"/>
      <c r="R297" s="148"/>
      <c r="S297" s="242"/>
      <c r="T297" s="242"/>
      <c r="U297" s="242"/>
      <c r="V297" s="242"/>
      <c r="W297" s="242"/>
      <c r="X297" s="242"/>
      <c r="Y297" s="148"/>
      <c r="Z297" s="148"/>
    </row>
    <row r="298">
      <c r="A298" s="57"/>
      <c r="B298" s="57"/>
      <c r="C298" s="561" t="s">
        <v>779</v>
      </c>
      <c r="D298" s="157"/>
      <c r="E298" s="228"/>
      <c r="F298" s="547"/>
      <c r="G298" s="579"/>
      <c r="H298" s="455"/>
      <c r="I298" s="239"/>
      <c r="J298" s="460" t="s">
        <v>202</v>
      </c>
      <c r="K298" s="420"/>
      <c r="L298" s="193"/>
      <c r="M298" s="377"/>
      <c r="O298" s="463"/>
      <c r="P298" s="157"/>
      <c r="Q298" s="404"/>
      <c r="R298" s="148"/>
      <c r="S298" s="242"/>
      <c r="T298" s="242"/>
      <c r="U298" s="242"/>
      <c r="V298" s="242"/>
      <c r="W298" s="242"/>
      <c r="X298" s="242"/>
      <c r="Y298" s="148"/>
      <c r="Z298" s="148"/>
    </row>
    <row r="299">
      <c r="A299" s="239"/>
      <c r="B299" s="239"/>
      <c r="C299" s="561" t="s">
        <v>780</v>
      </c>
      <c r="D299" s="157"/>
      <c r="E299" s="228"/>
      <c r="F299" s="547"/>
      <c r="G299" s="579"/>
      <c r="H299" s="455"/>
      <c r="I299" s="57"/>
      <c r="J299" s="460" t="s">
        <v>274</v>
      </c>
      <c r="K299" s="420"/>
      <c r="L299" s="193">
        <v>254.0</v>
      </c>
      <c r="M299" s="374"/>
      <c r="O299" s="463"/>
      <c r="P299" s="157"/>
      <c r="Q299" s="404"/>
      <c r="R299" s="148"/>
      <c r="S299" s="242"/>
      <c r="T299" s="242"/>
      <c r="U299" s="242"/>
      <c r="V299" s="242"/>
      <c r="W299" s="242"/>
      <c r="X299" s="242"/>
      <c r="Y299" s="148"/>
      <c r="Z299" s="148"/>
    </row>
    <row r="300">
      <c r="A300" s="209" t="s">
        <v>1054</v>
      </c>
      <c r="B300" s="239"/>
      <c r="C300" s="561" t="s">
        <v>781</v>
      </c>
      <c r="D300" s="423">
        <v>88.5</v>
      </c>
      <c r="E300" s="228"/>
      <c r="F300" s="547"/>
      <c r="G300" s="579"/>
      <c r="H300" s="419"/>
      <c r="I300" s="239"/>
      <c r="J300" s="568"/>
      <c r="K300" s="420"/>
      <c r="L300" s="150"/>
      <c r="M300" s="374"/>
      <c r="O300" s="431"/>
      <c r="P300" s="157"/>
      <c r="Q300" s="404"/>
      <c r="R300" s="148"/>
      <c r="S300" s="242"/>
      <c r="T300" s="242"/>
      <c r="U300" s="242"/>
      <c r="V300" s="242"/>
      <c r="W300" s="242"/>
      <c r="X300" s="242"/>
      <c r="Y300" s="148"/>
      <c r="Z300" s="148"/>
    </row>
    <row r="301">
      <c r="A301" s="239"/>
      <c r="B301" s="157"/>
      <c r="C301" s="561"/>
      <c r="D301" s="157"/>
      <c r="E301" s="569"/>
      <c r="F301" s="547"/>
      <c r="G301" s="578"/>
      <c r="H301" s="419"/>
      <c r="I301" s="57"/>
      <c r="J301" s="374"/>
      <c r="K301" s="420"/>
      <c r="L301" s="193"/>
      <c r="M301" s="374"/>
      <c r="O301" s="431"/>
      <c r="P301" s="157"/>
      <c r="Q301" s="404"/>
      <c r="R301" s="148"/>
      <c r="S301" s="242"/>
      <c r="T301" s="242"/>
      <c r="U301" s="242"/>
      <c r="V301" s="242"/>
      <c r="W301" s="242"/>
      <c r="X301" s="242"/>
      <c r="Y301" s="148"/>
      <c r="Z301" s="148"/>
    </row>
    <row r="302">
      <c r="A302" s="239"/>
      <c r="B302" s="157"/>
      <c r="C302" s="561"/>
      <c r="D302" s="157"/>
      <c r="E302" s="228"/>
      <c r="F302" s="547"/>
      <c r="G302" s="578"/>
      <c r="H302" s="419"/>
      <c r="I302" s="239"/>
      <c r="J302" s="596" t="s">
        <v>1001</v>
      </c>
      <c r="K302" s="420"/>
      <c r="L302" s="193"/>
      <c r="M302" s="377"/>
      <c r="O302" s="431"/>
      <c r="P302" s="157"/>
      <c r="Q302" s="404"/>
      <c r="R302" s="148"/>
      <c r="S302" s="242"/>
      <c r="T302" s="242"/>
      <c r="U302" s="242"/>
      <c r="V302" s="242"/>
      <c r="W302" s="242"/>
      <c r="X302" s="242"/>
      <c r="Y302" s="148"/>
      <c r="Z302" s="148"/>
    </row>
    <row r="303">
      <c r="A303" s="239"/>
      <c r="B303" s="157"/>
      <c r="C303" s="561"/>
      <c r="D303" s="157"/>
      <c r="E303" s="570"/>
      <c r="F303" s="547"/>
      <c r="G303" s="578"/>
      <c r="H303" s="419"/>
      <c r="I303" s="239"/>
      <c r="J303" s="568"/>
      <c r="K303" s="420"/>
      <c r="L303" s="193"/>
      <c r="M303" s="374"/>
      <c r="O303" s="431"/>
      <c r="P303" s="157"/>
      <c r="Q303" s="404"/>
      <c r="R303" s="148"/>
      <c r="S303" s="242"/>
      <c r="T303" s="242"/>
      <c r="U303" s="242"/>
      <c r="V303" s="242"/>
      <c r="W303" s="242"/>
      <c r="X303" s="242"/>
      <c r="Y303" s="148"/>
      <c r="Z303" s="148"/>
    </row>
    <row r="304">
      <c r="C304" s="571"/>
      <c r="D304" s="157"/>
      <c r="E304" s="570"/>
      <c r="F304" s="547"/>
      <c r="G304" s="578"/>
      <c r="H304" s="419"/>
      <c r="I304" s="239"/>
      <c r="J304" s="464" t="s">
        <v>692</v>
      </c>
      <c r="K304" s="420"/>
      <c r="O304" s="431"/>
      <c r="P304" s="157"/>
      <c r="Q304" s="404"/>
      <c r="R304" s="148"/>
      <c r="S304" s="242"/>
      <c r="T304" s="242"/>
      <c r="U304" s="242"/>
      <c r="V304" s="242"/>
      <c r="W304" s="242"/>
      <c r="X304" s="242"/>
      <c r="Y304" s="148"/>
      <c r="Z304" s="148"/>
    </row>
    <row r="305">
      <c r="C305" s="571"/>
      <c r="D305" s="157"/>
      <c r="E305" s="570"/>
      <c r="F305" s="547"/>
      <c r="G305" s="578"/>
      <c r="H305" s="419"/>
      <c r="I305" s="239"/>
      <c r="J305" s="464" t="s">
        <v>694</v>
      </c>
      <c r="K305" s="420"/>
      <c r="L305" s="193">
        <v>733.0</v>
      </c>
      <c r="M305" s="676" t="s">
        <v>1055</v>
      </c>
      <c r="O305" s="431"/>
      <c r="P305" s="157"/>
      <c r="Q305" s="404"/>
      <c r="R305" s="148"/>
      <c r="S305" s="242"/>
      <c r="T305" s="242"/>
      <c r="U305" s="242"/>
      <c r="V305" s="242"/>
      <c r="W305" s="242"/>
      <c r="X305" s="242"/>
      <c r="Y305" s="148"/>
      <c r="Z305" s="148"/>
    </row>
    <row r="306">
      <c r="C306" s="571"/>
      <c r="D306" s="423"/>
      <c r="E306" s="570"/>
      <c r="F306" s="546"/>
      <c r="G306" s="578"/>
      <c r="H306" s="419"/>
      <c r="I306" s="57"/>
      <c r="J306" s="105"/>
      <c r="K306" s="57"/>
      <c r="L306" s="150"/>
      <c r="M306" s="57"/>
      <c r="N306" s="57"/>
      <c r="O306" s="57"/>
      <c r="P306" s="157"/>
      <c r="Q306" s="404"/>
      <c r="R306" s="148"/>
      <c r="S306" s="242"/>
      <c r="T306" s="242"/>
      <c r="U306" s="242"/>
      <c r="V306" s="242"/>
      <c r="W306" s="242"/>
      <c r="X306" s="242"/>
      <c r="Y306" s="148"/>
      <c r="Z306" s="148"/>
    </row>
    <row r="307">
      <c r="A307" s="125" t="s">
        <v>798</v>
      </c>
      <c r="B307" s="572">
        <f>C280-B284</f>
        <v>-5045.93</v>
      </c>
      <c r="D307" s="157"/>
      <c r="E307" s="570"/>
      <c r="F307" s="573"/>
      <c r="G307" s="581"/>
      <c r="H307" s="419"/>
      <c r="I307" s="239"/>
      <c r="J307" s="568"/>
      <c r="K307" s="57"/>
      <c r="L307" s="150"/>
      <c r="M307" s="57"/>
      <c r="N307" s="57"/>
      <c r="O307" s="57"/>
      <c r="P307" s="157"/>
      <c r="Q307" s="404"/>
      <c r="R307" s="148"/>
      <c r="S307" s="242"/>
      <c r="T307" s="242"/>
      <c r="U307" s="242"/>
      <c r="V307" s="242"/>
      <c r="W307" s="242"/>
      <c r="X307" s="242"/>
      <c r="Y307" s="148"/>
      <c r="Z307" s="148"/>
    </row>
    <row r="308">
      <c r="A308" s="274" t="s">
        <v>783</v>
      </c>
      <c r="B308" s="109"/>
      <c r="C308" s="395"/>
      <c r="D308" s="157"/>
      <c r="E308" s="570"/>
      <c r="F308" s="573"/>
      <c r="G308" s="581"/>
      <c r="H308" s="419"/>
      <c r="I308" s="239"/>
      <c r="J308" s="568"/>
      <c r="K308" s="57"/>
      <c r="L308" s="150"/>
      <c r="M308" s="57"/>
      <c r="N308" s="57"/>
      <c r="O308" s="57"/>
      <c r="P308" s="157"/>
      <c r="Q308" s="404"/>
      <c r="R308" s="148"/>
      <c r="S308" s="242"/>
      <c r="T308" s="242"/>
      <c r="U308" s="242"/>
      <c r="V308" s="242"/>
      <c r="W308" s="242"/>
      <c r="X308" s="242"/>
      <c r="Y308" s="148"/>
      <c r="Z308" s="148"/>
    </row>
    <row r="309">
      <c r="A309" s="274" t="s">
        <v>784</v>
      </c>
      <c r="B309" s="109"/>
      <c r="C309" s="395"/>
      <c r="D309" s="157"/>
      <c r="E309" s="570"/>
      <c r="F309" s="573"/>
      <c r="G309" s="581"/>
      <c r="H309" s="419"/>
      <c r="I309" s="239"/>
      <c r="J309" s="568"/>
      <c r="K309" s="57"/>
      <c r="L309" s="150"/>
      <c r="M309" s="57"/>
      <c r="N309" s="57"/>
      <c r="O309" s="57"/>
      <c r="P309" s="157"/>
      <c r="Q309" s="404"/>
      <c r="R309" s="148"/>
      <c r="S309" s="242"/>
      <c r="T309" s="242"/>
      <c r="U309" s="242"/>
      <c r="V309" s="242"/>
      <c r="W309" s="242"/>
      <c r="X309" s="242"/>
      <c r="Y309" s="148"/>
      <c r="Z309" s="148"/>
    </row>
    <row r="310">
      <c r="A310" s="274" t="s">
        <v>785</v>
      </c>
      <c r="B310" s="109"/>
      <c r="C310" s="395"/>
      <c r="D310" s="157"/>
      <c r="E310" s="570"/>
      <c r="F310" s="573"/>
      <c r="G310" s="581"/>
      <c r="H310" s="419"/>
      <c r="I310" s="239"/>
      <c r="J310" s="568"/>
      <c r="K310" s="57"/>
      <c r="L310" s="150"/>
      <c r="M310" s="57"/>
      <c r="N310" s="57"/>
      <c r="O310" s="57"/>
      <c r="P310" s="157"/>
      <c r="Q310" s="404"/>
      <c r="R310" s="148"/>
      <c r="S310" s="242"/>
      <c r="T310" s="242"/>
      <c r="U310" s="242"/>
      <c r="V310" s="242"/>
      <c r="W310" s="242"/>
      <c r="X310" s="242"/>
      <c r="Y310" s="148"/>
      <c r="Z310" s="148"/>
    </row>
    <row r="311">
      <c r="A311" s="402"/>
      <c r="B311" s="403"/>
      <c r="C311" s="403"/>
      <c r="D311" s="403"/>
      <c r="E311" s="574"/>
      <c r="F311" s="575"/>
      <c r="G311" s="576"/>
      <c r="H311" s="159"/>
      <c r="I311" s="159"/>
      <c r="J311" s="576"/>
      <c r="K311" s="159"/>
      <c r="L311" s="162"/>
      <c r="M311" s="402"/>
      <c r="N311" s="402"/>
      <c r="O311" s="159"/>
      <c r="P311" s="403"/>
      <c r="Q311" s="577"/>
      <c r="R311" s="148"/>
      <c r="S311" s="242"/>
      <c r="T311" s="242"/>
      <c r="U311" s="242"/>
      <c r="V311" s="242"/>
      <c r="W311" s="242"/>
      <c r="X311" s="242"/>
      <c r="Y311" s="148"/>
      <c r="Z311" s="148"/>
    </row>
    <row r="312">
      <c r="A312" s="148"/>
      <c r="B312" s="148"/>
      <c r="C312" s="148"/>
      <c r="D312" s="245"/>
      <c r="E312" s="585"/>
      <c r="F312" s="586"/>
      <c r="G312" s="243"/>
      <c r="H312" s="148"/>
      <c r="I312" s="251"/>
      <c r="J312" s="243"/>
      <c r="K312" s="148"/>
      <c r="L312" s="277"/>
      <c r="M312" s="252"/>
      <c r="N312" s="250"/>
      <c r="O312" s="253"/>
      <c r="P312" s="240"/>
      <c r="Q312" s="148"/>
      <c r="R312" s="148"/>
      <c r="S312" s="242"/>
      <c r="T312" s="242"/>
      <c r="U312" s="242"/>
      <c r="V312" s="242"/>
      <c r="W312" s="242"/>
      <c r="X312" s="242"/>
      <c r="Y312" s="148"/>
      <c r="Z312" s="148"/>
    </row>
    <row r="313">
      <c r="A313" s="169" t="s">
        <v>150</v>
      </c>
      <c r="B313" s="539"/>
      <c r="C313" s="540"/>
      <c r="D313" s="405"/>
      <c r="E313" s="541"/>
      <c r="F313" s="542"/>
      <c r="G313" s="467" t="s">
        <v>333</v>
      </c>
      <c r="H313" s="361"/>
      <c r="I313" s="57"/>
      <c r="J313" s="105"/>
      <c r="K313" s="57"/>
      <c r="L313" s="150"/>
      <c r="M313" s="239"/>
      <c r="N313" s="239"/>
      <c r="O313" s="57"/>
      <c r="P313" s="157"/>
      <c r="Q313" s="404"/>
      <c r="R313" s="148"/>
      <c r="S313" s="242"/>
      <c r="T313" s="242"/>
      <c r="U313" s="242"/>
      <c r="V313" s="242"/>
      <c r="W313" s="242"/>
      <c r="X313" s="242"/>
      <c r="Y313" s="148"/>
      <c r="Z313" s="148"/>
    </row>
    <row r="314">
      <c r="A314" s="468"/>
      <c r="B314" s="157"/>
      <c r="C314" s="466"/>
      <c r="D314" s="405"/>
      <c r="E314" s="543" t="s">
        <v>335</v>
      </c>
      <c r="F314" s="544" t="s">
        <v>237</v>
      </c>
      <c r="G314" s="412" t="s">
        <v>336</v>
      </c>
      <c r="H314" s="413" t="s">
        <v>337</v>
      </c>
      <c r="I314" s="239"/>
      <c r="J314" s="145" t="s">
        <v>60</v>
      </c>
      <c r="K314" s="57"/>
      <c r="L314" s="150"/>
      <c r="M314" s="414"/>
      <c r="N314" s="414"/>
      <c r="O314" s="57" t="s">
        <v>334</v>
      </c>
      <c r="P314" s="157"/>
      <c r="Q314" s="404"/>
      <c r="R314" s="148"/>
      <c r="S314" s="242"/>
      <c r="T314" s="242"/>
      <c r="U314" s="242"/>
      <c r="V314" s="242"/>
      <c r="W314" s="242"/>
      <c r="X314" s="242"/>
      <c r="Y314" s="148"/>
      <c r="Z314" s="148"/>
    </row>
    <row r="315">
      <c r="A315" s="470" t="s">
        <v>179</v>
      </c>
      <c r="C315" s="416">
        <f>SUM(F315:F349)</f>
        <v>5888.4</v>
      </c>
      <c r="D315" s="405"/>
      <c r="E315" s="545"/>
      <c r="F315" s="546"/>
      <c r="G315" s="578"/>
      <c r="H315" s="419"/>
      <c r="I315" s="57"/>
      <c r="K315" s="57"/>
      <c r="L315" s="150"/>
      <c r="M315" s="377" t="s">
        <v>366</v>
      </c>
      <c r="P315" s="157"/>
      <c r="Q315" s="404"/>
      <c r="R315" s="148"/>
      <c r="S315" s="242"/>
      <c r="T315" s="242"/>
      <c r="U315" s="242"/>
      <c r="V315" s="242"/>
      <c r="W315" s="242"/>
      <c r="X315" s="242"/>
      <c r="Y315" s="148"/>
      <c r="Z315" s="148"/>
    </row>
    <row r="316">
      <c r="A316" s="421" t="s">
        <v>343</v>
      </c>
      <c r="B316" s="422" t="s">
        <v>321</v>
      </c>
      <c r="C316" s="416">
        <f>SUM(P316:P349)</f>
        <v>2168.4</v>
      </c>
      <c r="D316" s="157"/>
      <c r="E316" s="545"/>
      <c r="F316" s="546"/>
      <c r="G316" s="578"/>
      <c r="H316" s="419"/>
      <c r="I316" s="239"/>
      <c r="J316" s="471" t="s">
        <v>341</v>
      </c>
      <c r="K316" s="420"/>
      <c r="L316" s="150"/>
      <c r="M316" s="374"/>
      <c r="O316" s="591" t="s">
        <v>971</v>
      </c>
      <c r="P316" s="423">
        <v>168.4</v>
      </c>
      <c r="Q316" s="404"/>
      <c r="R316" s="148"/>
      <c r="S316" s="242"/>
      <c r="T316" s="242"/>
      <c r="U316" s="242"/>
      <c r="V316" s="242"/>
      <c r="W316" s="242"/>
      <c r="X316" s="242"/>
      <c r="Y316" s="148"/>
      <c r="Z316" s="148"/>
    </row>
    <row r="317">
      <c r="A317" s="427" t="s">
        <v>201</v>
      </c>
      <c r="C317" s="204">
        <f>SUM(L316:L349)</f>
        <v>5369.66</v>
      </c>
      <c r="D317" s="157"/>
      <c r="E317" s="545"/>
      <c r="F317" s="546"/>
      <c r="G317" s="578"/>
      <c r="H317" s="419"/>
      <c r="I317" s="239"/>
      <c r="J317" s="472" t="s">
        <v>345</v>
      </c>
      <c r="K317" s="420"/>
      <c r="L317" s="193">
        <v>50.0</v>
      </c>
      <c r="M317" s="377" t="s">
        <v>858</v>
      </c>
      <c r="O317" s="591" t="s">
        <v>1056</v>
      </c>
      <c r="P317" s="423">
        <v>2000.0</v>
      </c>
      <c r="Q317" s="404"/>
      <c r="R317" s="148"/>
      <c r="S317" s="242"/>
      <c r="T317" s="242"/>
      <c r="U317" s="242"/>
      <c r="V317" s="242"/>
      <c r="W317" s="242"/>
      <c r="X317" s="242"/>
      <c r="Y317" s="148"/>
      <c r="Z317" s="148"/>
    </row>
    <row r="318">
      <c r="A318" s="548" t="s">
        <v>761</v>
      </c>
      <c r="B318" s="549">
        <v>0.4</v>
      </c>
      <c r="C318" s="191">
        <v>867.0</v>
      </c>
      <c r="D318" s="157"/>
      <c r="E318" s="550" t="s">
        <v>695</v>
      </c>
      <c r="F318" s="546">
        <v>520.0</v>
      </c>
      <c r="G318" s="562"/>
      <c r="H318" s="419"/>
      <c r="I318" s="239"/>
      <c r="J318" s="433" t="s">
        <v>656</v>
      </c>
      <c r="K318" s="420"/>
      <c r="L318" s="193">
        <v>143.66</v>
      </c>
      <c r="M318" s="377" t="s">
        <v>1057</v>
      </c>
      <c r="O318" s="426"/>
      <c r="P318" s="423"/>
      <c r="Q318" s="404"/>
      <c r="R318" s="148"/>
      <c r="S318" s="242"/>
      <c r="T318" s="242"/>
      <c r="U318" s="242"/>
      <c r="V318" s="242"/>
      <c r="W318" s="242"/>
      <c r="X318" s="242"/>
      <c r="Y318" s="148"/>
      <c r="Z318" s="148"/>
    </row>
    <row r="319">
      <c r="A319" s="434" t="s">
        <v>350</v>
      </c>
      <c r="C319" s="551">
        <f>C315-C317-C318</f>
        <v>-348.26</v>
      </c>
      <c r="D319" s="157"/>
      <c r="E319" s="192" t="s">
        <v>1058</v>
      </c>
      <c r="F319" s="546">
        <v>730.0</v>
      </c>
      <c r="G319" s="579"/>
      <c r="H319" s="419"/>
      <c r="I319" s="57"/>
      <c r="J319" s="444" t="s">
        <v>658</v>
      </c>
      <c r="K319" s="420"/>
      <c r="L319" s="193">
        <v>53.0</v>
      </c>
      <c r="M319" s="377"/>
      <c r="O319" s="431"/>
      <c r="P319" s="157"/>
      <c r="Q319" s="404"/>
      <c r="R319" s="148"/>
      <c r="S319" s="242"/>
      <c r="T319" s="242"/>
      <c r="U319" s="242"/>
      <c r="V319" s="242"/>
      <c r="W319" s="242"/>
      <c r="X319" s="242"/>
      <c r="Y319" s="148"/>
      <c r="Z319" s="148"/>
    </row>
    <row r="320">
      <c r="A320" s="554"/>
      <c r="B320" s="555"/>
      <c r="C320" s="447"/>
      <c r="D320" s="157"/>
      <c r="E320" s="192" t="s">
        <v>886</v>
      </c>
      <c r="F320" s="546">
        <v>250.0</v>
      </c>
      <c r="G320" s="578"/>
      <c r="H320" s="419"/>
      <c r="I320" s="57"/>
      <c r="J320" s="444" t="s">
        <v>660</v>
      </c>
      <c r="K320" s="420"/>
      <c r="L320" s="193">
        <v>220.0</v>
      </c>
      <c r="M320" s="377" t="s">
        <v>1059</v>
      </c>
      <c r="O320" s="431"/>
      <c r="P320" s="157"/>
      <c r="Q320" s="404"/>
      <c r="R320" s="148"/>
      <c r="S320" s="242"/>
      <c r="T320" s="242"/>
      <c r="U320" s="242"/>
      <c r="V320" s="242"/>
      <c r="W320" s="242"/>
      <c r="X320" s="242"/>
      <c r="Y320" s="148"/>
      <c r="Z320" s="148"/>
    </row>
    <row r="321">
      <c r="A321" s="556"/>
      <c r="C321" s="395"/>
      <c r="D321" s="157"/>
      <c r="E321" s="192" t="s">
        <v>957</v>
      </c>
      <c r="F321" s="546">
        <v>720.0</v>
      </c>
      <c r="G321" s="579"/>
      <c r="H321" s="419"/>
      <c r="I321" s="239"/>
      <c r="J321" s="370" t="s">
        <v>662</v>
      </c>
      <c r="K321" s="420"/>
      <c r="L321" s="193">
        <v>132.0</v>
      </c>
      <c r="M321" s="377" t="s">
        <v>1060</v>
      </c>
      <c r="O321" s="431"/>
      <c r="P321" s="157"/>
      <c r="Q321" s="404"/>
      <c r="R321" s="148"/>
      <c r="S321" s="242"/>
      <c r="T321" s="242"/>
      <c r="U321" s="242"/>
      <c r="V321" s="242"/>
      <c r="W321" s="242"/>
      <c r="X321" s="242"/>
      <c r="Y321" s="148"/>
      <c r="Z321" s="148"/>
    </row>
    <row r="322">
      <c r="A322" s="557"/>
      <c r="B322" s="109"/>
      <c r="C322" s="395"/>
      <c r="D322" s="373"/>
      <c r="E322" s="192" t="s">
        <v>1061</v>
      </c>
      <c r="F322" s="546">
        <v>140.0</v>
      </c>
      <c r="G322" s="578"/>
      <c r="H322" s="419"/>
      <c r="I322" s="239"/>
      <c r="J322" s="433" t="s">
        <v>666</v>
      </c>
      <c r="K322" s="420"/>
      <c r="L322" s="150"/>
      <c r="M322" s="374"/>
      <c r="O322" s="431"/>
      <c r="P322" s="157"/>
      <c r="Q322" s="404"/>
      <c r="R322" s="148"/>
      <c r="S322" s="242"/>
      <c r="T322" s="242"/>
      <c r="U322" s="242"/>
      <c r="V322" s="242"/>
      <c r="W322" s="242"/>
      <c r="X322" s="242"/>
      <c r="Y322" s="148"/>
      <c r="Z322" s="148"/>
    </row>
    <row r="323">
      <c r="A323" s="559" t="s">
        <v>765</v>
      </c>
      <c r="B323" s="560">
        <f>SUM(D323:D349)</f>
        <v>1840.01</v>
      </c>
      <c r="C323" s="477" t="s">
        <v>366</v>
      </c>
      <c r="D323" s="423"/>
      <c r="E323" s="192" t="s">
        <v>873</v>
      </c>
      <c r="F323" s="546">
        <v>260.0</v>
      </c>
      <c r="G323" s="558" t="s">
        <v>426</v>
      </c>
      <c r="H323" s="419"/>
      <c r="I323" s="239"/>
      <c r="J323" s="433" t="s">
        <v>668</v>
      </c>
      <c r="K323" s="420"/>
      <c r="L323" s="150"/>
      <c r="M323" s="377"/>
      <c r="O323" s="431"/>
      <c r="P323" s="157"/>
      <c r="Q323" s="404"/>
      <c r="R323" s="148"/>
      <c r="S323" s="242"/>
      <c r="T323" s="242"/>
      <c r="U323" s="242"/>
      <c r="V323" s="242"/>
      <c r="W323" s="242"/>
      <c r="X323" s="242"/>
      <c r="Y323" s="148"/>
      <c r="Z323" s="148"/>
    </row>
    <row r="324">
      <c r="A324" s="453" t="s">
        <v>369</v>
      </c>
      <c r="C324" s="561" t="s">
        <v>1062</v>
      </c>
      <c r="D324" s="423">
        <v>396.46</v>
      </c>
      <c r="E324" s="192" t="s">
        <v>1063</v>
      </c>
      <c r="F324" s="546">
        <v>1000.0</v>
      </c>
      <c r="G324" s="578"/>
      <c r="H324" s="419"/>
      <c r="I324" s="239"/>
      <c r="J324" s="433" t="s">
        <v>670</v>
      </c>
      <c r="K324" s="458"/>
      <c r="L324" s="193">
        <v>1250.0</v>
      </c>
      <c r="M324" s="377"/>
      <c r="O324" s="431"/>
      <c r="P324" s="157"/>
      <c r="Q324" s="404"/>
      <c r="R324" s="148"/>
      <c r="S324" s="242"/>
      <c r="T324" s="242"/>
      <c r="U324" s="242"/>
      <c r="V324" s="242"/>
      <c r="W324" s="242"/>
      <c r="X324" s="242"/>
      <c r="Y324" s="148"/>
      <c r="Z324" s="148"/>
    </row>
    <row r="325">
      <c r="C325" s="561" t="s">
        <v>767</v>
      </c>
      <c r="D325" s="423">
        <v>80.0</v>
      </c>
      <c r="E325" s="192" t="s">
        <v>971</v>
      </c>
      <c r="F325" s="546">
        <v>168.4</v>
      </c>
      <c r="G325" s="558" t="s">
        <v>426</v>
      </c>
      <c r="H325" s="419"/>
      <c r="I325" s="239"/>
      <c r="J325" s="433" t="s">
        <v>217</v>
      </c>
      <c r="K325" s="458"/>
      <c r="L325" s="193">
        <v>151.0</v>
      </c>
      <c r="M325" s="377"/>
      <c r="O325" s="431"/>
      <c r="P325" s="157"/>
      <c r="Q325" s="404"/>
      <c r="R325" s="148"/>
      <c r="S325" s="242"/>
      <c r="T325" s="242"/>
      <c r="U325" s="242"/>
      <c r="V325" s="242"/>
      <c r="W325" s="242"/>
      <c r="X325" s="242"/>
      <c r="Y325" s="148"/>
      <c r="Z325" s="148"/>
    </row>
    <row r="326">
      <c r="A326" s="57"/>
      <c r="B326" s="57"/>
      <c r="C326" s="561" t="s">
        <v>768</v>
      </c>
      <c r="D326" s="423">
        <v>70.55</v>
      </c>
      <c r="E326" s="192" t="s">
        <v>1064</v>
      </c>
      <c r="F326" s="546">
        <v>1000.0</v>
      </c>
      <c r="G326" s="558" t="s">
        <v>426</v>
      </c>
      <c r="H326" s="419"/>
      <c r="I326" s="239"/>
      <c r="J326" s="109"/>
      <c r="K326" s="420"/>
      <c r="L326" s="193"/>
      <c r="M326" s="374"/>
      <c r="O326" s="431"/>
      <c r="P326" s="157"/>
      <c r="Q326" s="404"/>
      <c r="R326" s="148"/>
      <c r="S326" s="242"/>
      <c r="T326" s="242"/>
      <c r="U326" s="242"/>
      <c r="V326" s="242"/>
      <c r="W326" s="242"/>
      <c r="X326" s="242"/>
      <c r="Y326" s="148"/>
      <c r="Z326" s="148"/>
    </row>
    <row r="327">
      <c r="A327" s="659"/>
      <c r="B327" s="238" t="s">
        <v>1065</v>
      </c>
      <c r="C327" s="561" t="s">
        <v>769</v>
      </c>
      <c r="D327" s="423">
        <v>48.0</v>
      </c>
      <c r="E327" s="192" t="s">
        <v>898</v>
      </c>
      <c r="F327" s="546">
        <v>500.0</v>
      </c>
      <c r="G327" s="562"/>
      <c r="H327" s="419"/>
      <c r="I327" s="239"/>
      <c r="J327" s="456" t="s">
        <v>672</v>
      </c>
      <c r="K327" s="420"/>
      <c r="L327" s="594"/>
      <c r="M327" s="377"/>
      <c r="O327" s="431"/>
      <c r="P327" s="157"/>
      <c r="Q327" s="404"/>
      <c r="R327" s="148"/>
      <c r="S327" s="242"/>
      <c r="T327" s="242"/>
      <c r="U327" s="242"/>
      <c r="V327" s="242"/>
      <c r="W327" s="242"/>
      <c r="X327" s="242"/>
      <c r="Y327" s="148"/>
      <c r="Z327" s="148"/>
    </row>
    <row r="328">
      <c r="A328" s="659"/>
      <c r="B328" s="57"/>
      <c r="C328" s="561" t="s">
        <v>770</v>
      </c>
      <c r="D328" s="423"/>
      <c r="E328" s="192" t="s">
        <v>567</v>
      </c>
      <c r="F328" s="546">
        <v>600.0</v>
      </c>
      <c r="G328" s="578"/>
      <c r="H328" s="419"/>
      <c r="I328" s="57"/>
      <c r="J328" s="456" t="s">
        <v>675</v>
      </c>
      <c r="K328" s="420"/>
      <c r="L328" s="150"/>
      <c r="M328" s="382"/>
      <c r="O328" s="431"/>
      <c r="P328" s="157"/>
      <c r="Q328" s="404"/>
      <c r="R328" s="148"/>
      <c r="S328" s="242"/>
      <c r="T328" s="242"/>
      <c r="U328" s="242"/>
      <c r="V328" s="242"/>
      <c r="W328" s="242"/>
      <c r="X328" s="242"/>
      <c r="Y328" s="148"/>
      <c r="Z328" s="148"/>
    </row>
    <row r="329">
      <c r="A329" s="659"/>
      <c r="B329" s="57"/>
      <c r="C329" s="561" t="s">
        <v>793</v>
      </c>
      <c r="D329" s="423">
        <v>290.0</v>
      </c>
      <c r="E329" s="192"/>
      <c r="F329" s="546"/>
      <c r="G329" s="562"/>
      <c r="H329" s="419"/>
      <c r="I329" s="57"/>
      <c r="J329" s="456"/>
      <c r="K329" s="420"/>
      <c r="L329" s="150"/>
      <c r="M329" s="425"/>
      <c r="O329" s="431"/>
      <c r="P329" s="157"/>
      <c r="Q329" s="404"/>
      <c r="R329" s="148"/>
      <c r="S329" s="242"/>
      <c r="T329" s="242"/>
      <c r="U329" s="242"/>
      <c r="V329" s="242"/>
      <c r="W329" s="242"/>
      <c r="X329" s="242"/>
      <c r="Y329" s="148"/>
      <c r="Z329" s="148"/>
    </row>
    <row r="330">
      <c r="A330" s="660"/>
      <c r="B330" s="57"/>
      <c r="C330" s="561" t="s">
        <v>794</v>
      </c>
      <c r="D330" s="423"/>
      <c r="E330" s="192"/>
      <c r="F330" s="546"/>
      <c r="G330" s="578"/>
      <c r="H330" s="419"/>
      <c r="I330" s="57"/>
      <c r="J330" s="375"/>
      <c r="K330" s="420"/>
      <c r="L330" s="150"/>
      <c r="M330" s="425"/>
      <c r="O330" s="431"/>
      <c r="P330" s="157"/>
      <c r="Q330" s="404"/>
      <c r="R330" s="148"/>
      <c r="S330" s="242"/>
      <c r="T330" s="242"/>
      <c r="U330" s="242"/>
      <c r="V330" s="242"/>
      <c r="W330" s="242"/>
      <c r="X330" s="242"/>
      <c r="Y330" s="148"/>
      <c r="Z330" s="148"/>
    </row>
    <row r="331">
      <c r="A331" s="660"/>
      <c r="B331" s="57"/>
      <c r="C331" s="561" t="s">
        <v>18</v>
      </c>
      <c r="D331" s="423"/>
      <c r="E331" s="192"/>
      <c r="F331" s="546"/>
      <c r="G331" s="578"/>
      <c r="H331" s="419"/>
      <c r="I331" s="57"/>
      <c r="J331" s="375"/>
      <c r="K331" s="420"/>
      <c r="L331" s="193"/>
      <c r="M331" s="382"/>
      <c r="O331" s="431"/>
      <c r="P331" s="157"/>
      <c r="Q331" s="404"/>
      <c r="R331" s="148"/>
      <c r="S331" s="242"/>
      <c r="T331" s="242"/>
      <c r="U331" s="242"/>
      <c r="V331" s="242"/>
      <c r="W331" s="242"/>
      <c r="X331" s="242"/>
      <c r="Y331" s="148"/>
      <c r="Z331" s="148"/>
    </row>
    <row r="332">
      <c r="A332" s="660"/>
      <c r="B332" s="57"/>
      <c r="C332" s="561" t="s">
        <v>773</v>
      </c>
      <c r="D332" s="157"/>
      <c r="E332" s="228"/>
      <c r="F332" s="547"/>
      <c r="G332" s="579"/>
      <c r="H332" s="419"/>
      <c r="I332" s="57"/>
      <c r="J332" s="452"/>
      <c r="K332" s="420"/>
      <c r="L332" s="150"/>
      <c r="M332" s="425"/>
      <c r="O332" s="431"/>
      <c r="P332" s="157"/>
      <c r="Q332" s="404"/>
      <c r="R332" s="148"/>
      <c r="S332" s="242"/>
      <c r="T332" s="242"/>
      <c r="U332" s="242"/>
      <c r="V332" s="242"/>
      <c r="W332" s="242"/>
      <c r="X332" s="242"/>
      <c r="Y332" s="148"/>
      <c r="Z332" s="148"/>
    </row>
    <row r="333">
      <c r="A333" s="662" t="s">
        <v>1066</v>
      </c>
      <c r="B333" s="57"/>
      <c r="C333" s="561" t="s">
        <v>774</v>
      </c>
      <c r="D333" s="423">
        <v>340.0</v>
      </c>
      <c r="E333" s="228"/>
      <c r="F333" s="547"/>
      <c r="G333" s="578"/>
      <c r="H333" s="419"/>
      <c r="I333" s="57"/>
      <c r="J333" s="105"/>
      <c r="K333" s="420"/>
      <c r="L333" s="193"/>
      <c r="M333" s="425"/>
      <c r="O333" s="431"/>
      <c r="P333" s="157"/>
      <c r="Q333" s="404"/>
      <c r="R333" s="148"/>
      <c r="S333" s="242"/>
      <c r="T333" s="242"/>
      <c r="U333" s="242"/>
      <c r="V333" s="242"/>
      <c r="W333" s="242"/>
      <c r="X333" s="242"/>
      <c r="Y333" s="148"/>
      <c r="Z333" s="148"/>
    </row>
    <row r="334">
      <c r="A334" s="662" t="s">
        <v>1067</v>
      </c>
      <c r="B334" s="239"/>
      <c r="C334" s="561" t="s">
        <v>775</v>
      </c>
      <c r="D334" s="423">
        <v>450.0</v>
      </c>
      <c r="E334" s="228"/>
      <c r="F334" s="547"/>
      <c r="G334" s="578"/>
      <c r="H334" s="419"/>
      <c r="I334" s="57"/>
      <c r="J334" s="378" t="s">
        <v>682</v>
      </c>
      <c r="K334" s="420"/>
      <c r="L334" s="193">
        <v>480.0</v>
      </c>
      <c r="M334" s="377" t="s">
        <v>1068</v>
      </c>
      <c r="O334" s="431"/>
      <c r="P334" s="157"/>
      <c r="Q334" s="404"/>
      <c r="R334" s="148"/>
      <c r="S334" s="242"/>
      <c r="T334" s="242"/>
      <c r="U334" s="242"/>
      <c r="V334" s="242"/>
      <c r="W334" s="242"/>
      <c r="X334" s="242"/>
      <c r="Y334" s="148"/>
      <c r="Z334" s="148"/>
    </row>
    <row r="335">
      <c r="A335" s="660"/>
      <c r="B335" s="239"/>
      <c r="C335" s="561" t="s">
        <v>10</v>
      </c>
      <c r="D335" s="157"/>
      <c r="E335" s="206"/>
      <c r="F335" s="564"/>
      <c r="G335" s="581"/>
      <c r="H335" s="419"/>
      <c r="I335" s="57"/>
      <c r="J335" s="461" t="s">
        <v>684</v>
      </c>
      <c r="K335" s="420"/>
      <c r="L335" s="193"/>
      <c r="M335" s="377"/>
      <c r="O335" s="431"/>
      <c r="P335" s="157"/>
      <c r="Q335" s="404"/>
      <c r="R335" s="148"/>
      <c r="S335" s="242"/>
      <c r="T335" s="242"/>
      <c r="U335" s="242"/>
      <c r="V335" s="242"/>
      <c r="W335" s="242"/>
      <c r="X335" s="242"/>
      <c r="Y335" s="148"/>
      <c r="Z335" s="148"/>
    </row>
    <row r="336">
      <c r="A336" s="660"/>
      <c r="B336" s="239"/>
      <c r="C336" s="561" t="s">
        <v>6</v>
      </c>
      <c r="D336" s="423"/>
      <c r="E336" s="595"/>
      <c r="F336" s="547"/>
      <c r="G336" s="579"/>
      <c r="H336" s="455"/>
      <c r="I336" s="57"/>
      <c r="J336" s="461" t="s">
        <v>686</v>
      </c>
      <c r="K336" s="420"/>
      <c r="L336" s="193"/>
      <c r="M336" s="377"/>
      <c r="O336" s="463"/>
      <c r="P336" s="157"/>
      <c r="Q336" s="404"/>
      <c r="R336" s="148"/>
      <c r="S336" s="242"/>
      <c r="T336" s="242"/>
      <c r="U336" s="242"/>
      <c r="V336" s="242"/>
      <c r="W336" s="242"/>
      <c r="X336" s="242"/>
      <c r="Y336" s="148"/>
      <c r="Z336" s="148"/>
    </row>
    <row r="337">
      <c r="A337" s="659"/>
      <c r="B337" s="57"/>
      <c r="C337" s="561" t="s">
        <v>779</v>
      </c>
      <c r="D337" s="157"/>
      <c r="E337" s="228"/>
      <c r="F337" s="547"/>
      <c r="G337" s="579"/>
      <c r="H337" s="455"/>
      <c r="I337" s="239"/>
      <c r="J337" s="460"/>
      <c r="K337" s="420"/>
      <c r="L337" s="193"/>
      <c r="M337" s="377"/>
      <c r="O337" s="463"/>
      <c r="P337" s="157"/>
      <c r="Q337" s="404"/>
      <c r="R337" s="148"/>
      <c r="S337" s="242"/>
      <c r="T337" s="242"/>
      <c r="U337" s="242"/>
      <c r="V337" s="242"/>
      <c r="W337" s="242"/>
      <c r="X337" s="242"/>
      <c r="Y337" s="148"/>
      <c r="Z337" s="148"/>
    </row>
    <row r="338">
      <c r="A338" s="660"/>
      <c r="B338" s="239"/>
      <c r="C338" s="561" t="s">
        <v>780</v>
      </c>
      <c r="D338" s="157"/>
      <c r="E338" s="228"/>
      <c r="F338" s="547"/>
      <c r="G338" s="579"/>
      <c r="H338" s="455"/>
      <c r="I338" s="57"/>
      <c r="J338" s="460" t="s">
        <v>274</v>
      </c>
      <c r="K338" s="420"/>
      <c r="L338" s="193">
        <v>255.0</v>
      </c>
      <c r="M338" s="377"/>
      <c r="O338" s="463"/>
      <c r="P338" s="157"/>
      <c r="Q338" s="404"/>
      <c r="R338" s="148"/>
      <c r="S338" s="242"/>
      <c r="T338" s="242"/>
      <c r="U338" s="242"/>
      <c r="V338" s="242"/>
      <c r="W338" s="242"/>
      <c r="X338" s="242"/>
      <c r="Y338" s="148"/>
      <c r="Z338" s="148"/>
    </row>
    <row r="339">
      <c r="A339" s="662" t="s">
        <v>1069</v>
      </c>
      <c r="B339" s="239"/>
      <c r="C339" s="561" t="s">
        <v>781</v>
      </c>
      <c r="D339" s="423">
        <v>165.0</v>
      </c>
      <c r="E339" s="228"/>
      <c r="F339" s="547"/>
      <c r="G339" s="579"/>
      <c r="H339" s="419"/>
      <c r="I339" s="239"/>
      <c r="J339" s="568"/>
      <c r="K339" s="420"/>
      <c r="L339" s="150"/>
      <c r="M339" s="374"/>
      <c r="O339" s="431"/>
      <c r="P339" s="157"/>
      <c r="Q339" s="404"/>
      <c r="R339" s="148"/>
      <c r="S339" s="242"/>
      <c r="T339" s="242"/>
      <c r="U339" s="242"/>
      <c r="V339" s="242"/>
      <c r="W339" s="242"/>
      <c r="X339" s="242"/>
      <c r="Y339" s="148"/>
      <c r="Z339" s="148"/>
    </row>
    <row r="340">
      <c r="A340" s="660"/>
      <c r="B340" s="157"/>
      <c r="C340" s="561"/>
      <c r="D340" s="157"/>
      <c r="E340" s="569"/>
      <c r="F340" s="547"/>
      <c r="G340" s="578"/>
      <c r="H340" s="419"/>
      <c r="I340" s="57"/>
      <c r="J340" s="374"/>
      <c r="K340" s="420"/>
      <c r="L340" s="193"/>
      <c r="M340" s="377"/>
      <c r="O340" s="431"/>
      <c r="P340" s="157"/>
      <c r="Q340" s="404"/>
      <c r="R340" s="148"/>
      <c r="S340" s="242"/>
      <c r="T340" s="242"/>
      <c r="U340" s="242"/>
      <c r="V340" s="242"/>
      <c r="W340" s="242"/>
      <c r="X340" s="242"/>
      <c r="Y340" s="148"/>
      <c r="Z340" s="148"/>
    </row>
    <row r="341">
      <c r="A341" s="660"/>
      <c r="B341" s="157"/>
      <c r="C341" s="561"/>
      <c r="D341" s="157"/>
      <c r="E341" s="228"/>
      <c r="F341" s="547"/>
      <c r="G341" s="578"/>
      <c r="H341" s="419"/>
      <c r="I341" s="239"/>
      <c r="J341" s="596" t="s">
        <v>1001</v>
      </c>
      <c r="K341" s="420"/>
      <c r="L341" s="193">
        <v>1900.0</v>
      </c>
      <c r="M341" s="377" t="s">
        <v>1070</v>
      </c>
      <c r="O341" s="431"/>
      <c r="P341" s="157"/>
      <c r="Q341" s="404"/>
      <c r="R341" s="148"/>
      <c r="S341" s="242"/>
      <c r="T341" s="242"/>
      <c r="U341" s="242"/>
      <c r="V341" s="242"/>
      <c r="W341" s="242"/>
      <c r="X341" s="242"/>
      <c r="Y341" s="148"/>
      <c r="Z341" s="148"/>
    </row>
    <row r="342">
      <c r="A342" s="660"/>
      <c r="B342" s="157"/>
      <c r="C342" s="561"/>
      <c r="D342" s="157"/>
      <c r="E342" s="570"/>
      <c r="F342" s="547"/>
      <c r="G342" s="578"/>
      <c r="H342" s="419"/>
      <c r="I342" s="239"/>
      <c r="J342" s="568"/>
      <c r="K342" s="420"/>
      <c r="L342" s="193"/>
      <c r="M342" s="374"/>
      <c r="O342" s="431"/>
      <c r="P342" s="157"/>
      <c r="Q342" s="404"/>
      <c r="R342" s="148"/>
      <c r="S342" s="242"/>
      <c r="T342" s="242"/>
      <c r="U342" s="242"/>
      <c r="V342" s="242"/>
      <c r="W342" s="242"/>
      <c r="X342" s="242"/>
      <c r="Y342" s="148"/>
      <c r="Z342" s="148"/>
    </row>
    <row r="343">
      <c r="A343" s="665"/>
      <c r="C343" s="571"/>
      <c r="D343" s="157"/>
      <c r="E343" s="570"/>
      <c r="F343" s="547"/>
      <c r="G343" s="578"/>
      <c r="H343" s="419"/>
      <c r="I343" s="239"/>
      <c r="J343" s="464" t="s">
        <v>692</v>
      </c>
      <c r="K343" s="420"/>
      <c r="L343" s="193"/>
      <c r="M343" s="377"/>
      <c r="O343" s="431"/>
      <c r="P343" s="157"/>
      <c r="Q343" s="404"/>
      <c r="R343" s="148"/>
      <c r="S343" s="242"/>
      <c r="T343" s="242"/>
      <c r="U343" s="242"/>
      <c r="V343" s="242"/>
      <c r="W343" s="242"/>
      <c r="X343" s="242"/>
      <c r="Y343" s="148"/>
      <c r="Z343" s="148"/>
    </row>
    <row r="344">
      <c r="C344" s="571"/>
      <c r="D344" s="157"/>
      <c r="E344" s="570"/>
      <c r="F344" s="547"/>
      <c r="G344" s="578"/>
      <c r="H344" s="419"/>
      <c r="I344" s="239"/>
      <c r="J344" s="464" t="s">
        <v>694</v>
      </c>
      <c r="K344" s="420"/>
      <c r="L344" s="193">
        <v>735.0</v>
      </c>
      <c r="M344" s="377"/>
      <c r="O344" s="431"/>
      <c r="P344" s="157"/>
      <c r="Q344" s="404"/>
      <c r="R344" s="148"/>
      <c r="S344" s="242"/>
      <c r="T344" s="242"/>
      <c r="U344" s="242"/>
      <c r="V344" s="242"/>
      <c r="W344" s="242"/>
      <c r="X344" s="242"/>
      <c r="Y344" s="148"/>
      <c r="Z344" s="148"/>
    </row>
    <row r="345">
      <c r="C345" s="571"/>
      <c r="D345" s="423"/>
      <c r="E345" s="570"/>
      <c r="F345" s="546"/>
      <c r="G345" s="578"/>
      <c r="H345" s="419"/>
      <c r="I345" s="57"/>
      <c r="J345" s="105"/>
      <c r="K345" s="57"/>
      <c r="L345" s="150"/>
      <c r="M345" s="57"/>
      <c r="N345" s="57"/>
      <c r="O345" s="57"/>
      <c r="P345" s="157"/>
      <c r="Q345" s="404"/>
      <c r="R345" s="148"/>
      <c r="S345" s="242"/>
      <c r="T345" s="242"/>
      <c r="U345" s="242"/>
      <c r="V345" s="242"/>
      <c r="W345" s="242"/>
      <c r="X345" s="242"/>
      <c r="Y345" s="148"/>
      <c r="Z345" s="148"/>
    </row>
    <row r="346">
      <c r="A346" s="125" t="s">
        <v>798</v>
      </c>
      <c r="B346" s="572">
        <f>C319-B323</f>
        <v>-2188.27</v>
      </c>
      <c r="D346" s="157"/>
      <c r="E346" s="570"/>
      <c r="F346" s="573"/>
      <c r="G346" s="581"/>
      <c r="H346" s="419"/>
      <c r="I346" s="239"/>
      <c r="J346" s="568"/>
      <c r="K346" s="57"/>
      <c r="L346" s="150"/>
      <c r="M346" s="57"/>
      <c r="N346" s="57"/>
      <c r="O346" s="57"/>
      <c r="P346" s="157"/>
      <c r="Q346" s="404"/>
      <c r="R346" s="148"/>
      <c r="S346" s="242"/>
      <c r="T346" s="242"/>
      <c r="U346" s="242"/>
      <c r="V346" s="242"/>
      <c r="W346" s="242"/>
      <c r="X346" s="242"/>
      <c r="Y346" s="148"/>
      <c r="Z346" s="148"/>
    </row>
    <row r="347">
      <c r="A347" s="274" t="s">
        <v>783</v>
      </c>
      <c r="B347" s="109">
        <v>810.0</v>
      </c>
      <c r="C347" s="395"/>
      <c r="D347" s="157"/>
      <c r="E347" s="570"/>
      <c r="F347" s="573"/>
      <c r="G347" s="581"/>
      <c r="H347" s="419"/>
      <c r="I347" s="239"/>
      <c r="J347" s="568"/>
      <c r="K347" s="57"/>
      <c r="L347" s="150"/>
      <c r="M347" s="57"/>
      <c r="N347" s="57"/>
      <c r="O347" s="57"/>
      <c r="P347" s="157"/>
      <c r="Q347" s="404"/>
      <c r="R347" s="148"/>
      <c r="S347" s="242"/>
      <c r="T347" s="242"/>
      <c r="U347" s="242"/>
      <c r="V347" s="242"/>
      <c r="W347" s="242"/>
      <c r="X347" s="242"/>
      <c r="Y347" s="148"/>
      <c r="Z347" s="148"/>
    </row>
    <row r="348">
      <c r="A348" s="274" t="s">
        <v>784</v>
      </c>
      <c r="B348" s="109">
        <v>1450.0</v>
      </c>
      <c r="C348" s="395"/>
      <c r="D348" s="157"/>
      <c r="E348" s="570"/>
      <c r="F348" s="573"/>
      <c r="G348" s="581"/>
      <c r="H348" s="419"/>
      <c r="I348" s="239"/>
      <c r="J348" s="568"/>
      <c r="K348" s="57"/>
      <c r="L348" s="150"/>
      <c r="M348" s="57"/>
      <c r="N348" s="57"/>
      <c r="O348" s="57"/>
      <c r="P348" s="157"/>
      <c r="Q348" s="404"/>
      <c r="R348" s="148"/>
      <c r="S348" s="242"/>
      <c r="T348" s="242"/>
      <c r="U348" s="242"/>
      <c r="V348" s="242"/>
      <c r="W348" s="242"/>
      <c r="X348" s="242"/>
      <c r="Y348" s="148"/>
      <c r="Z348" s="148"/>
    </row>
    <row r="349">
      <c r="A349" s="274" t="s">
        <v>785</v>
      </c>
      <c r="B349" s="109"/>
      <c r="C349" s="395"/>
      <c r="D349" s="157"/>
      <c r="E349" s="570"/>
      <c r="F349" s="573"/>
      <c r="G349" s="581"/>
      <c r="H349" s="419"/>
      <c r="I349" s="239"/>
      <c r="J349" s="568"/>
      <c r="K349" s="57"/>
      <c r="L349" s="150"/>
      <c r="M349" s="57"/>
      <c r="N349" s="57"/>
      <c r="O349" s="57"/>
      <c r="P349" s="157"/>
      <c r="Q349" s="404"/>
      <c r="R349" s="148"/>
      <c r="S349" s="242"/>
      <c r="T349" s="242"/>
      <c r="U349" s="242"/>
      <c r="V349" s="242"/>
      <c r="W349" s="242"/>
      <c r="X349" s="242"/>
      <c r="Y349" s="148"/>
      <c r="Z349" s="148"/>
    </row>
    <row r="350">
      <c r="A350" s="402"/>
      <c r="B350" s="403"/>
      <c r="C350" s="403"/>
      <c r="D350" s="403"/>
      <c r="E350" s="574"/>
      <c r="F350" s="575"/>
      <c r="G350" s="576"/>
      <c r="H350" s="159"/>
      <c r="I350" s="159"/>
      <c r="J350" s="576"/>
      <c r="K350" s="159"/>
      <c r="L350" s="162"/>
      <c r="M350" s="402"/>
      <c r="N350" s="402"/>
      <c r="O350" s="159"/>
      <c r="P350" s="403"/>
      <c r="Q350" s="577"/>
      <c r="R350" s="148"/>
      <c r="S350" s="242"/>
      <c r="T350" s="242"/>
      <c r="U350" s="242"/>
      <c r="V350" s="242"/>
      <c r="W350" s="242"/>
      <c r="X350" s="242"/>
      <c r="Y350" s="148"/>
      <c r="Z350" s="148"/>
    </row>
    <row r="351">
      <c r="A351" s="148"/>
      <c r="B351" s="148"/>
      <c r="C351" s="148"/>
      <c r="D351" s="245"/>
      <c r="E351" s="585"/>
      <c r="F351" s="586"/>
      <c r="G351" s="243"/>
      <c r="H351" s="148"/>
      <c r="I351" s="251"/>
      <c r="J351" s="243"/>
      <c r="K351" s="148"/>
      <c r="L351" s="277"/>
      <c r="M351" s="252"/>
      <c r="N351" s="250"/>
      <c r="O351" s="253"/>
      <c r="P351" s="240"/>
      <c r="Q351" s="148"/>
      <c r="R351" s="148"/>
      <c r="S351" s="242"/>
      <c r="T351" s="242"/>
      <c r="U351" s="242"/>
      <c r="V351" s="242"/>
      <c r="W351" s="242"/>
      <c r="X351" s="242"/>
      <c r="Y351" s="148"/>
      <c r="Z351" s="148"/>
    </row>
    <row r="352">
      <c r="A352" s="169" t="s">
        <v>98</v>
      </c>
      <c r="B352" s="539"/>
      <c r="C352" s="540"/>
      <c r="D352" s="405"/>
      <c r="E352" s="541"/>
      <c r="F352" s="542"/>
      <c r="G352" s="467" t="s">
        <v>333</v>
      </c>
      <c r="H352" s="361"/>
      <c r="I352" s="57"/>
      <c r="J352" s="105"/>
      <c r="K352" s="57"/>
      <c r="L352" s="150"/>
      <c r="M352" s="239"/>
      <c r="N352" s="239"/>
      <c r="O352" s="57"/>
      <c r="P352" s="157"/>
      <c r="Q352" s="404"/>
      <c r="R352" s="148"/>
      <c r="S352" s="242"/>
      <c r="T352" s="242"/>
      <c r="U352" s="242"/>
      <c r="V352" s="242"/>
      <c r="W352" s="242"/>
      <c r="X352" s="242"/>
      <c r="Y352" s="148"/>
      <c r="Z352" s="148"/>
    </row>
    <row r="353">
      <c r="A353" s="468"/>
      <c r="B353" s="157"/>
      <c r="C353" s="466"/>
      <c r="D353" s="405"/>
      <c r="E353" s="543" t="s">
        <v>335</v>
      </c>
      <c r="F353" s="544" t="s">
        <v>237</v>
      </c>
      <c r="G353" s="412" t="s">
        <v>336</v>
      </c>
      <c r="H353" s="413" t="s">
        <v>337</v>
      </c>
      <c r="I353" s="239"/>
      <c r="J353" s="145" t="s">
        <v>60</v>
      </c>
      <c r="K353" s="57"/>
      <c r="L353" s="150"/>
      <c r="M353" s="414"/>
      <c r="N353" s="414"/>
      <c r="O353" s="57" t="s">
        <v>334</v>
      </c>
      <c r="P353" s="157"/>
      <c r="Q353" s="404"/>
      <c r="R353" s="148"/>
      <c r="S353" s="242"/>
      <c r="T353" s="242"/>
      <c r="U353" s="242"/>
      <c r="V353" s="242"/>
      <c r="W353" s="242"/>
      <c r="X353" s="242"/>
      <c r="Y353" s="148"/>
      <c r="Z353" s="148"/>
    </row>
    <row r="354">
      <c r="A354" s="470" t="s">
        <v>179</v>
      </c>
      <c r="C354" s="416">
        <f>SUM(F354:F388)</f>
        <v>6379.6</v>
      </c>
      <c r="D354" s="405"/>
      <c r="E354" s="545"/>
      <c r="F354" s="546"/>
      <c r="G354" s="578"/>
      <c r="H354" s="419"/>
      <c r="I354" s="57"/>
      <c r="K354" s="57"/>
      <c r="L354" s="150"/>
      <c r="M354" s="377" t="s">
        <v>366</v>
      </c>
      <c r="P354" s="157"/>
      <c r="Q354" s="404"/>
      <c r="R354" s="148"/>
      <c r="S354" s="242"/>
      <c r="T354" s="242"/>
      <c r="U354" s="242"/>
      <c r="V354" s="242"/>
      <c r="W354" s="242"/>
      <c r="X354" s="242"/>
      <c r="Y354" s="148"/>
      <c r="Z354" s="148"/>
    </row>
    <row r="355">
      <c r="A355" s="421" t="s">
        <v>343</v>
      </c>
      <c r="B355" s="422" t="s">
        <v>321</v>
      </c>
      <c r="C355" s="416">
        <f>SUM(P355:P388)</f>
        <v>1320.4</v>
      </c>
      <c r="D355" s="157"/>
      <c r="E355" s="545"/>
      <c r="F355" s="546"/>
      <c r="G355" s="578"/>
      <c r="H355" s="419"/>
      <c r="I355" s="239"/>
      <c r="J355" s="471" t="s">
        <v>341</v>
      </c>
      <c r="K355" s="420"/>
      <c r="L355" s="150"/>
      <c r="M355" s="374"/>
      <c r="O355" s="426" t="s">
        <v>971</v>
      </c>
      <c r="P355" s="423">
        <v>85.0</v>
      </c>
      <c r="Q355" s="404"/>
      <c r="R355" s="148"/>
      <c r="S355" s="242"/>
      <c r="T355" s="242"/>
      <c r="U355" s="242"/>
      <c r="V355" s="242"/>
      <c r="W355" s="242"/>
      <c r="X355" s="242"/>
      <c r="Y355" s="148"/>
      <c r="Z355" s="148"/>
    </row>
    <row r="356">
      <c r="A356" s="427" t="s">
        <v>201</v>
      </c>
      <c r="C356" s="204">
        <f>SUM(L355:L388)</f>
        <v>3764.72</v>
      </c>
      <c r="D356" s="157"/>
      <c r="E356" s="545"/>
      <c r="F356" s="546"/>
      <c r="G356" s="578"/>
      <c r="H356" s="419"/>
      <c r="I356" s="239"/>
      <c r="J356" s="472" t="s">
        <v>345</v>
      </c>
      <c r="K356" s="420"/>
      <c r="L356" s="193">
        <v>23.82</v>
      </c>
      <c r="M356" s="377" t="s">
        <v>858</v>
      </c>
      <c r="O356" s="426" t="s">
        <v>611</v>
      </c>
      <c r="P356" s="423">
        <v>249.6</v>
      </c>
      <c r="Q356" s="404"/>
      <c r="R356" s="148"/>
      <c r="S356" s="242"/>
      <c r="T356" s="242"/>
      <c r="U356" s="242"/>
      <c r="V356" s="242"/>
      <c r="W356" s="242"/>
      <c r="X356" s="242"/>
      <c r="Y356" s="148"/>
      <c r="Z356" s="148"/>
    </row>
    <row r="357">
      <c r="A357" s="548" t="s">
        <v>761</v>
      </c>
      <c r="B357" s="549">
        <v>0.4</v>
      </c>
      <c r="C357" s="191">
        <v>528.0</v>
      </c>
      <c r="D357" s="157"/>
      <c r="E357" s="550" t="s">
        <v>695</v>
      </c>
      <c r="F357" s="546">
        <v>930.0</v>
      </c>
      <c r="G357" s="562"/>
      <c r="H357" s="419"/>
      <c r="I357" s="239"/>
      <c r="J357" s="433" t="s">
        <v>656</v>
      </c>
      <c r="K357" s="420"/>
      <c r="L357" s="193">
        <v>75.0</v>
      </c>
      <c r="M357" s="377" t="s">
        <v>1071</v>
      </c>
      <c r="O357" s="426" t="s">
        <v>1072</v>
      </c>
      <c r="P357" s="423">
        <v>90.0</v>
      </c>
      <c r="Q357" s="404"/>
      <c r="R357" s="148"/>
      <c r="S357" s="242"/>
      <c r="T357" s="242"/>
      <c r="U357" s="242"/>
      <c r="V357" s="242"/>
      <c r="W357" s="242"/>
      <c r="X357" s="242"/>
      <c r="Y357" s="148"/>
      <c r="Z357" s="148"/>
    </row>
    <row r="358">
      <c r="A358" s="434" t="s">
        <v>350</v>
      </c>
      <c r="C358" s="551">
        <f>C354-C356-C357</f>
        <v>2086.88</v>
      </c>
      <c r="D358" s="157"/>
      <c r="E358" s="334" t="s">
        <v>971</v>
      </c>
      <c r="F358" s="546">
        <v>85.0</v>
      </c>
      <c r="G358" s="558" t="s">
        <v>426</v>
      </c>
      <c r="H358" s="419"/>
      <c r="I358" s="57"/>
      <c r="J358" s="444" t="s">
        <v>658</v>
      </c>
      <c r="K358" s="420"/>
      <c r="L358" s="193">
        <v>53.9</v>
      </c>
      <c r="M358" s="377"/>
      <c r="O358" s="426" t="s">
        <v>1003</v>
      </c>
      <c r="P358" s="423">
        <v>100.8</v>
      </c>
      <c r="Q358" s="404"/>
      <c r="R358" s="148"/>
      <c r="S358" s="242"/>
      <c r="T358" s="242"/>
      <c r="U358" s="242"/>
      <c r="V358" s="242"/>
      <c r="W358" s="242"/>
      <c r="X358" s="242"/>
      <c r="Y358" s="148"/>
      <c r="Z358" s="148"/>
    </row>
    <row r="359">
      <c r="A359" s="554"/>
      <c r="B359" s="555"/>
      <c r="C359" s="447"/>
      <c r="D359" s="157"/>
      <c r="E359" s="192" t="s">
        <v>433</v>
      </c>
      <c r="F359" s="546">
        <v>40.0</v>
      </c>
      <c r="G359" s="578"/>
      <c r="H359" s="419"/>
      <c r="I359" s="57"/>
      <c r="J359" s="444" t="s">
        <v>660</v>
      </c>
      <c r="K359" s="420"/>
      <c r="L359" s="193">
        <v>120.0</v>
      </c>
      <c r="M359" s="377"/>
      <c r="O359" s="426" t="s">
        <v>1073</v>
      </c>
      <c r="P359" s="423">
        <v>795.0</v>
      </c>
      <c r="Q359" s="404"/>
      <c r="R359" s="148"/>
      <c r="S359" s="242"/>
      <c r="T359" s="242"/>
      <c r="U359" s="242"/>
      <c r="V359" s="242"/>
      <c r="W359" s="242"/>
      <c r="X359" s="242"/>
      <c r="Y359" s="148"/>
      <c r="Z359" s="148"/>
    </row>
    <row r="360">
      <c r="A360" s="556"/>
      <c r="C360" s="395"/>
      <c r="D360" s="157"/>
      <c r="E360" s="192" t="s">
        <v>1074</v>
      </c>
      <c r="F360" s="546">
        <v>300.0</v>
      </c>
      <c r="G360" s="677" t="s">
        <v>426</v>
      </c>
      <c r="H360" s="419"/>
      <c r="I360" s="239"/>
      <c r="J360" s="370" t="s">
        <v>662</v>
      </c>
      <c r="K360" s="420"/>
      <c r="L360" s="193"/>
      <c r="M360" s="377"/>
      <c r="O360" s="431"/>
      <c r="P360" s="157"/>
      <c r="Q360" s="404"/>
      <c r="R360" s="148"/>
      <c r="S360" s="242"/>
      <c r="T360" s="242"/>
      <c r="U360" s="242"/>
      <c r="V360" s="242"/>
      <c r="W360" s="242"/>
      <c r="X360" s="242"/>
      <c r="Y360" s="148"/>
      <c r="Z360" s="148"/>
    </row>
    <row r="361">
      <c r="A361" s="557"/>
      <c r="B361" s="109"/>
      <c r="C361" s="395"/>
      <c r="D361" s="373"/>
      <c r="E361" s="192" t="s">
        <v>1075</v>
      </c>
      <c r="F361" s="546">
        <v>249.6</v>
      </c>
      <c r="G361" s="558" t="s">
        <v>426</v>
      </c>
      <c r="H361" s="419"/>
      <c r="I361" s="239"/>
      <c r="J361" s="433" t="s">
        <v>666</v>
      </c>
      <c r="K361" s="420"/>
      <c r="L361" s="193"/>
      <c r="M361" s="377"/>
      <c r="O361" s="431"/>
      <c r="P361" s="157"/>
      <c r="Q361" s="404"/>
      <c r="R361" s="148"/>
      <c r="S361" s="242"/>
      <c r="T361" s="242"/>
      <c r="U361" s="242"/>
      <c r="V361" s="242"/>
      <c r="W361" s="242"/>
      <c r="X361" s="242"/>
      <c r="Y361" s="148"/>
      <c r="Z361" s="148"/>
    </row>
    <row r="362">
      <c r="A362" s="559" t="s">
        <v>765</v>
      </c>
      <c r="B362" s="560">
        <f>SUM(D362:D388)</f>
        <v>1265.03</v>
      </c>
      <c r="C362" s="477" t="s">
        <v>366</v>
      </c>
      <c r="D362" s="157"/>
      <c r="E362" s="192" t="s">
        <v>886</v>
      </c>
      <c r="F362" s="546">
        <v>250.0</v>
      </c>
      <c r="G362" s="578"/>
      <c r="H362" s="419"/>
      <c r="I362" s="239"/>
      <c r="J362" s="433" t="s">
        <v>668</v>
      </c>
      <c r="K362" s="420"/>
      <c r="L362" s="150"/>
      <c r="M362" s="377"/>
      <c r="O362" s="431"/>
      <c r="P362" s="157"/>
      <c r="Q362" s="404"/>
      <c r="R362" s="148"/>
      <c r="S362" s="242"/>
      <c r="T362" s="242"/>
      <c r="U362" s="242"/>
      <c r="V362" s="242"/>
      <c r="W362" s="242"/>
      <c r="X362" s="242"/>
      <c r="Y362" s="148"/>
      <c r="Z362" s="148"/>
    </row>
    <row r="363">
      <c r="A363" s="453" t="s">
        <v>369</v>
      </c>
      <c r="C363" s="561" t="s">
        <v>766</v>
      </c>
      <c r="D363" s="423">
        <v>397.0</v>
      </c>
      <c r="E363" s="192" t="s">
        <v>1076</v>
      </c>
      <c r="F363" s="546">
        <v>80.0</v>
      </c>
      <c r="G363" s="578"/>
      <c r="H363" s="419"/>
      <c r="I363" s="239"/>
      <c r="J363" s="433" t="s">
        <v>670</v>
      </c>
      <c r="K363" s="458"/>
      <c r="L363" s="193">
        <v>1250.0</v>
      </c>
      <c r="M363" s="377"/>
      <c r="O363" s="431"/>
      <c r="P363" s="157"/>
      <c r="Q363" s="404"/>
      <c r="R363" s="148"/>
      <c r="S363" s="242"/>
      <c r="T363" s="242"/>
      <c r="U363" s="242"/>
      <c r="V363" s="242"/>
      <c r="W363" s="242"/>
      <c r="X363" s="242"/>
      <c r="Y363" s="148"/>
      <c r="Z363" s="148"/>
    </row>
    <row r="364">
      <c r="C364" s="561" t="s">
        <v>767</v>
      </c>
      <c r="D364" s="423">
        <v>80.0</v>
      </c>
      <c r="E364" s="192" t="s">
        <v>902</v>
      </c>
      <c r="F364" s="546">
        <v>400.0</v>
      </c>
      <c r="G364" s="578"/>
      <c r="H364" s="419"/>
      <c r="I364" s="239"/>
      <c r="J364" s="433" t="s">
        <v>217</v>
      </c>
      <c r="K364" s="458"/>
      <c r="L364" s="150"/>
      <c r="M364" s="377"/>
      <c r="O364" s="431"/>
      <c r="P364" s="157"/>
      <c r="Q364" s="404"/>
      <c r="R364" s="148"/>
      <c r="S364" s="242"/>
      <c r="T364" s="242"/>
      <c r="U364" s="242"/>
      <c r="V364" s="242"/>
      <c r="W364" s="242"/>
      <c r="X364" s="242"/>
      <c r="Y364" s="148"/>
      <c r="Z364" s="148"/>
    </row>
    <row r="365">
      <c r="A365" s="57"/>
      <c r="B365" s="57"/>
      <c r="C365" s="561" t="s">
        <v>768</v>
      </c>
      <c r="D365" s="423"/>
      <c r="E365" s="192" t="s">
        <v>1077</v>
      </c>
      <c r="F365" s="546">
        <v>260.0</v>
      </c>
      <c r="G365" s="558" t="s">
        <v>426</v>
      </c>
      <c r="H365" s="419"/>
      <c r="I365" s="239"/>
      <c r="J365" s="109"/>
      <c r="K365" s="420"/>
      <c r="L365" s="193"/>
      <c r="M365" s="374"/>
      <c r="O365" s="431"/>
      <c r="P365" s="157"/>
      <c r="Q365" s="404"/>
      <c r="R365" s="148"/>
      <c r="S365" s="242"/>
      <c r="T365" s="242"/>
      <c r="U365" s="242"/>
      <c r="V365" s="242"/>
      <c r="W365" s="242"/>
      <c r="X365" s="242"/>
      <c r="Y365" s="148"/>
      <c r="Z365" s="148"/>
    </row>
    <row r="366">
      <c r="A366" s="57"/>
      <c r="B366" s="57"/>
      <c r="C366" s="561" t="s">
        <v>769</v>
      </c>
      <c r="D366" s="157"/>
      <c r="E366" s="192" t="s">
        <v>1078</v>
      </c>
      <c r="F366" s="546">
        <v>90.0</v>
      </c>
      <c r="G366" s="558" t="s">
        <v>426</v>
      </c>
      <c r="H366" s="419"/>
      <c r="I366" s="239"/>
      <c r="J366" s="456" t="s">
        <v>672</v>
      </c>
      <c r="K366" s="420"/>
      <c r="L366" s="150"/>
      <c r="M366" s="377"/>
      <c r="O366" s="431"/>
      <c r="P366" s="157"/>
      <c r="Q366" s="404"/>
      <c r="R366" s="148"/>
      <c r="S366" s="242"/>
      <c r="T366" s="242"/>
      <c r="U366" s="242"/>
      <c r="V366" s="242"/>
      <c r="W366" s="242"/>
      <c r="X366" s="242"/>
      <c r="Y366" s="148"/>
      <c r="Z366" s="148"/>
    </row>
    <row r="367">
      <c r="A367" s="57"/>
      <c r="B367" s="57"/>
      <c r="C367" s="561" t="s">
        <v>770</v>
      </c>
      <c r="D367" s="423"/>
      <c r="E367" s="192" t="s">
        <v>1003</v>
      </c>
      <c r="F367" s="546">
        <v>100.0</v>
      </c>
      <c r="G367" s="558" t="s">
        <v>426</v>
      </c>
      <c r="H367" s="419"/>
      <c r="I367" s="57"/>
      <c r="J367" s="456" t="s">
        <v>675</v>
      </c>
      <c r="K367" s="420"/>
      <c r="L367" s="150"/>
      <c r="M367" s="382"/>
      <c r="O367" s="431"/>
      <c r="P367" s="157"/>
      <c r="Q367" s="404"/>
      <c r="R367" s="148"/>
      <c r="S367" s="242"/>
      <c r="T367" s="242"/>
      <c r="U367" s="242"/>
      <c r="V367" s="242"/>
      <c r="W367" s="242"/>
      <c r="X367" s="242"/>
      <c r="Y367" s="148"/>
      <c r="Z367" s="148"/>
    </row>
    <row r="368">
      <c r="A368" s="57"/>
      <c r="B368" s="57"/>
      <c r="C368" s="561" t="s">
        <v>793</v>
      </c>
      <c r="D368" s="423">
        <v>250.0</v>
      </c>
      <c r="E368" s="192" t="s">
        <v>340</v>
      </c>
      <c r="F368" s="546">
        <v>2000.0</v>
      </c>
      <c r="G368" s="579"/>
      <c r="H368" s="419"/>
      <c r="I368" s="57"/>
      <c r="J368" s="456"/>
      <c r="K368" s="420"/>
      <c r="L368" s="150"/>
      <c r="M368" s="425"/>
      <c r="O368" s="431"/>
      <c r="P368" s="157"/>
      <c r="Q368" s="404"/>
      <c r="R368" s="148"/>
      <c r="S368" s="242"/>
      <c r="T368" s="242"/>
      <c r="U368" s="242"/>
      <c r="V368" s="242"/>
      <c r="W368" s="242"/>
      <c r="X368" s="242"/>
      <c r="Y368" s="148"/>
      <c r="Z368" s="148"/>
    </row>
    <row r="369">
      <c r="A369" s="239"/>
      <c r="B369" s="57"/>
      <c r="C369" s="561" t="s">
        <v>794</v>
      </c>
      <c r="D369" s="423"/>
      <c r="E369" s="192" t="s">
        <v>957</v>
      </c>
      <c r="F369" s="546">
        <v>720.0</v>
      </c>
      <c r="G369" s="578"/>
      <c r="H369" s="419"/>
      <c r="I369" s="57"/>
      <c r="J369" s="375"/>
      <c r="K369" s="420"/>
      <c r="L369" s="150"/>
      <c r="M369" s="425"/>
      <c r="O369" s="431"/>
      <c r="P369" s="157"/>
      <c r="Q369" s="404"/>
      <c r="R369" s="148"/>
      <c r="S369" s="242"/>
      <c r="T369" s="242"/>
      <c r="U369" s="242"/>
      <c r="V369" s="242"/>
      <c r="W369" s="242"/>
      <c r="X369" s="242"/>
      <c r="Y369" s="148"/>
      <c r="Z369" s="148"/>
    </row>
    <row r="370">
      <c r="A370" s="239"/>
      <c r="B370" s="57"/>
      <c r="C370" s="561" t="s">
        <v>18</v>
      </c>
      <c r="D370" s="423"/>
      <c r="E370" s="192" t="s">
        <v>433</v>
      </c>
      <c r="F370" s="546">
        <v>70.0</v>
      </c>
      <c r="G370" s="578"/>
      <c r="H370" s="419"/>
      <c r="I370" s="57"/>
      <c r="J370" s="375"/>
      <c r="K370" s="420"/>
      <c r="L370" s="193"/>
      <c r="M370" s="382"/>
      <c r="O370" s="431"/>
      <c r="P370" s="157"/>
      <c r="Q370" s="404"/>
      <c r="R370" s="148"/>
      <c r="S370" s="242"/>
      <c r="T370" s="242"/>
      <c r="U370" s="242"/>
      <c r="V370" s="242"/>
      <c r="W370" s="242"/>
      <c r="X370" s="242"/>
      <c r="Y370" s="148"/>
      <c r="Z370" s="148"/>
    </row>
    <row r="371">
      <c r="A371" s="239"/>
      <c r="B371" s="57"/>
      <c r="C371" s="561" t="s">
        <v>773</v>
      </c>
      <c r="D371" s="157"/>
      <c r="E371" s="192" t="s">
        <v>898</v>
      </c>
      <c r="F371" s="546">
        <v>500.0</v>
      </c>
      <c r="G371" s="579"/>
      <c r="H371" s="419"/>
      <c r="I371" s="57"/>
      <c r="J371" s="452"/>
      <c r="K371" s="420"/>
      <c r="L371" s="150"/>
      <c r="M371" s="425"/>
      <c r="O371" s="431"/>
      <c r="P371" s="157"/>
      <c r="Q371" s="404"/>
      <c r="R371" s="148"/>
      <c r="S371" s="242"/>
      <c r="T371" s="242"/>
      <c r="U371" s="242"/>
      <c r="V371" s="242"/>
      <c r="W371" s="242"/>
      <c r="X371" s="242"/>
      <c r="Y371" s="148"/>
      <c r="Z371" s="148"/>
    </row>
    <row r="372">
      <c r="A372" s="238" t="s">
        <v>1079</v>
      </c>
      <c r="B372" s="57"/>
      <c r="C372" s="561" t="s">
        <v>774</v>
      </c>
      <c r="D372" s="423">
        <v>47.8</v>
      </c>
      <c r="E372" s="192" t="s">
        <v>1037</v>
      </c>
      <c r="F372" s="546">
        <v>225.0</v>
      </c>
      <c r="G372" s="578"/>
      <c r="H372" s="419"/>
      <c r="I372" s="57"/>
      <c r="J372" s="105"/>
      <c r="K372" s="420"/>
      <c r="L372" s="150"/>
      <c r="M372" s="425"/>
      <c r="O372" s="431"/>
      <c r="P372" s="157"/>
      <c r="Q372" s="404"/>
      <c r="R372" s="148"/>
      <c r="S372" s="242"/>
      <c r="T372" s="242"/>
      <c r="U372" s="242"/>
      <c r="V372" s="242"/>
      <c r="W372" s="242"/>
      <c r="X372" s="242"/>
      <c r="Y372" s="148"/>
      <c r="Z372" s="148"/>
    </row>
    <row r="373">
      <c r="A373" s="238" t="s">
        <v>1080</v>
      </c>
      <c r="B373" s="239"/>
      <c r="C373" s="561" t="s">
        <v>775</v>
      </c>
      <c r="D373" s="423">
        <v>246.23</v>
      </c>
      <c r="E373" s="192" t="s">
        <v>1081</v>
      </c>
      <c r="F373" s="546">
        <v>80.0</v>
      </c>
      <c r="G373" s="578"/>
      <c r="H373" s="419"/>
      <c r="I373" s="57"/>
      <c r="J373" s="378" t="s">
        <v>682</v>
      </c>
      <c r="K373" s="420"/>
      <c r="L373" s="193"/>
      <c r="M373" s="377"/>
      <c r="O373" s="431"/>
      <c r="P373" s="157"/>
      <c r="Q373" s="404"/>
      <c r="R373" s="148"/>
      <c r="S373" s="242"/>
      <c r="T373" s="242"/>
      <c r="U373" s="242"/>
      <c r="V373" s="242"/>
      <c r="W373" s="242"/>
      <c r="X373" s="242"/>
      <c r="Y373" s="148"/>
      <c r="Z373" s="148"/>
    </row>
    <row r="374">
      <c r="A374" s="239"/>
      <c r="B374" s="239"/>
      <c r="C374" s="561" t="s">
        <v>10</v>
      </c>
      <c r="D374" s="423"/>
      <c r="E374" s="206"/>
      <c r="F374" s="564"/>
      <c r="G374" s="581"/>
      <c r="H374" s="419"/>
      <c r="I374" s="57"/>
      <c r="J374" s="461" t="s">
        <v>684</v>
      </c>
      <c r="K374" s="420"/>
      <c r="L374" s="193">
        <v>150.0</v>
      </c>
      <c r="M374" s="377" t="s">
        <v>1082</v>
      </c>
      <c r="O374" s="431"/>
      <c r="P374" s="157"/>
      <c r="Q374" s="404"/>
      <c r="R374" s="148"/>
      <c r="S374" s="242"/>
      <c r="T374" s="242"/>
      <c r="U374" s="242"/>
      <c r="V374" s="242"/>
      <c r="W374" s="242"/>
      <c r="X374" s="242"/>
      <c r="Y374" s="148"/>
      <c r="Z374" s="148"/>
    </row>
    <row r="375">
      <c r="A375" s="239"/>
      <c r="B375" s="239"/>
      <c r="C375" s="561" t="s">
        <v>6</v>
      </c>
      <c r="D375" s="423"/>
      <c r="E375" s="206"/>
      <c r="F375" s="547"/>
      <c r="G375" s="579"/>
      <c r="H375" s="455"/>
      <c r="I375" s="57"/>
      <c r="J375" s="461" t="s">
        <v>686</v>
      </c>
      <c r="K375" s="420"/>
      <c r="L375" s="193">
        <v>440.0</v>
      </c>
      <c r="M375" s="377" t="s">
        <v>1083</v>
      </c>
      <c r="O375" s="463"/>
      <c r="P375" s="157"/>
      <c r="Q375" s="404"/>
      <c r="R375" s="148"/>
      <c r="S375" s="242"/>
      <c r="T375" s="242"/>
      <c r="U375" s="242"/>
      <c r="V375" s="242"/>
      <c r="W375" s="242"/>
      <c r="X375" s="242"/>
      <c r="Y375" s="148"/>
      <c r="Z375" s="148"/>
    </row>
    <row r="376">
      <c r="A376" s="57"/>
      <c r="B376" s="57"/>
      <c r="C376" s="561" t="s">
        <v>779</v>
      </c>
      <c r="D376" s="157"/>
      <c r="E376" s="228"/>
      <c r="F376" s="547"/>
      <c r="G376" s="579"/>
      <c r="H376" s="455"/>
      <c r="I376" s="239"/>
      <c r="J376" s="460"/>
      <c r="K376" s="420"/>
      <c r="L376" s="193"/>
      <c r="M376" s="377"/>
      <c r="O376" s="463"/>
      <c r="P376" s="157"/>
      <c r="Q376" s="404"/>
      <c r="R376" s="148"/>
      <c r="S376" s="242"/>
      <c r="T376" s="242"/>
      <c r="U376" s="242"/>
      <c r="V376" s="242"/>
      <c r="W376" s="242"/>
      <c r="X376" s="242"/>
      <c r="Y376" s="148"/>
      <c r="Z376" s="148"/>
    </row>
    <row r="377">
      <c r="A377" s="239"/>
      <c r="B377" s="239"/>
      <c r="C377" s="561" t="s">
        <v>780</v>
      </c>
      <c r="D377" s="157"/>
      <c r="E377" s="228"/>
      <c r="F377" s="547"/>
      <c r="G377" s="579"/>
      <c r="H377" s="455"/>
      <c r="I377" s="57"/>
      <c r="J377" s="460" t="s">
        <v>274</v>
      </c>
      <c r="K377" s="420"/>
      <c r="L377" s="193">
        <v>257.0</v>
      </c>
      <c r="M377" s="374"/>
      <c r="O377" s="463"/>
      <c r="P377" s="157"/>
      <c r="Q377" s="404"/>
      <c r="R377" s="148"/>
      <c r="S377" s="242"/>
      <c r="T377" s="242"/>
      <c r="U377" s="242"/>
      <c r="V377" s="242"/>
      <c r="W377" s="242"/>
      <c r="X377" s="242"/>
      <c r="Y377" s="148"/>
      <c r="Z377" s="148"/>
    </row>
    <row r="378">
      <c r="A378" s="238" t="s">
        <v>1084</v>
      </c>
      <c r="B378" s="239"/>
      <c r="C378" s="561" t="s">
        <v>781</v>
      </c>
      <c r="D378" s="423">
        <v>244.0</v>
      </c>
      <c r="E378" s="228"/>
      <c r="F378" s="547"/>
      <c r="G378" s="579"/>
      <c r="H378" s="419"/>
      <c r="I378" s="239"/>
      <c r="J378" s="568"/>
      <c r="K378" s="420"/>
      <c r="L378" s="150"/>
      <c r="M378" s="374"/>
      <c r="O378" s="431"/>
      <c r="P378" s="157"/>
      <c r="Q378" s="404"/>
      <c r="R378" s="148"/>
      <c r="S378" s="242"/>
      <c r="T378" s="242"/>
      <c r="U378" s="242"/>
      <c r="V378" s="242"/>
      <c r="W378" s="242"/>
      <c r="X378" s="242"/>
      <c r="Y378" s="148"/>
      <c r="Z378" s="148"/>
    </row>
    <row r="379">
      <c r="A379" s="239"/>
      <c r="B379" s="157"/>
      <c r="C379" s="561"/>
      <c r="D379" s="157"/>
      <c r="E379" s="569"/>
      <c r="F379" s="547"/>
      <c r="G379" s="578"/>
      <c r="H379" s="419"/>
      <c r="I379" s="57"/>
      <c r="J379" s="374"/>
      <c r="K379" s="420"/>
      <c r="L379" s="193"/>
      <c r="M379" s="377"/>
      <c r="O379" s="431"/>
      <c r="P379" s="157"/>
      <c r="Q379" s="404"/>
      <c r="R379" s="148"/>
      <c r="S379" s="242"/>
      <c r="T379" s="242"/>
      <c r="U379" s="242"/>
      <c r="V379" s="242"/>
      <c r="W379" s="242"/>
      <c r="X379" s="242"/>
      <c r="Y379" s="148"/>
      <c r="Z379" s="148"/>
    </row>
    <row r="380">
      <c r="A380" s="239"/>
      <c r="B380" s="157"/>
      <c r="C380" s="561"/>
      <c r="D380" s="157"/>
      <c r="E380" s="228"/>
      <c r="F380" s="547"/>
      <c r="G380" s="578"/>
      <c r="H380" s="419"/>
      <c r="I380" s="239"/>
      <c r="J380" s="596" t="s">
        <v>1001</v>
      </c>
      <c r="K380" s="420"/>
      <c r="L380" s="193">
        <v>540.0</v>
      </c>
      <c r="M380" s="377" t="s">
        <v>1085</v>
      </c>
      <c r="O380" s="431"/>
      <c r="P380" s="157"/>
      <c r="Q380" s="404"/>
      <c r="R380" s="148"/>
      <c r="S380" s="242"/>
      <c r="T380" s="242"/>
      <c r="U380" s="242"/>
      <c r="V380" s="242"/>
      <c r="W380" s="242"/>
      <c r="X380" s="242"/>
      <c r="Y380" s="148"/>
      <c r="Z380" s="148"/>
    </row>
    <row r="381">
      <c r="A381" s="239"/>
      <c r="B381" s="157"/>
      <c r="C381" s="561"/>
      <c r="D381" s="157"/>
      <c r="E381" s="570"/>
      <c r="F381" s="547"/>
      <c r="G381" s="578"/>
      <c r="H381" s="419"/>
      <c r="I381" s="239"/>
      <c r="J381" s="568"/>
      <c r="K381" s="420"/>
      <c r="L381" s="193"/>
      <c r="M381" s="374"/>
      <c r="O381" s="431"/>
      <c r="P381" s="157"/>
      <c r="Q381" s="404"/>
      <c r="R381" s="148"/>
      <c r="S381" s="242"/>
      <c r="T381" s="242"/>
      <c r="U381" s="242"/>
      <c r="V381" s="242"/>
      <c r="W381" s="242"/>
      <c r="X381" s="242"/>
      <c r="Y381" s="148"/>
      <c r="Z381" s="148"/>
    </row>
    <row r="382">
      <c r="C382" s="571"/>
      <c r="D382" s="157"/>
      <c r="E382" s="570"/>
      <c r="F382" s="547"/>
      <c r="G382" s="578"/>
      <c r="H382" s="419"/>
      <c r="I382" s="239"/>
      <c r="J382" s="464" t="s">
        <v>692</v>
      </c>
      <c r="K382" s="420"/>
      <c r="L382" s="150"/>
      <c r="M382" s="377"/>
      <c r="O382" s="431"/>
      <c r="P382" s="157"/>
      <c r="Q382" s="404"/>
      <c r="R382" s="148"/>
      <c r="S382" s="242"/>
      <c r="T382" s="242"/>
      <c r="U382" s="242"/>
      <c r="V382" s="242"/>
      <c r="W382" s="242"/>
      <c r="X382" s="242"/>
      <c r="Y382" s="148"/>
      <c r="Z382" s="148"/>
    </row>
    <row r="383">
      <c r="C383" s="571"/>
      <c r="D383" s="157"/>
      <c r="E383" s="570"/>
      <c r="F383" s="547"/>
      <c r="G383" s="578"/>
      <c r="H383" s="419"/>
      <c r="I383" s="239"/>
      <c r="J383" s="464" t="s">
        <v>694</v>
      </c>
      <c r="K383" s="420"/>
      <c r="L383" s="193">
        <v>855.0</v>
      </c>
      <c r="M383" s="377" t="s">
        <v>1086</v>
      </c>
      <c r="O383" s="431"/>
      <c r="P383" s="157"/>
      <c r="Q383" s="404"/>
      <c r="R383" s="148"/>
      <c r="S383" s="242"/>
      <c r="T383" s="242"/>
      <c r="U383" s="242"/>
      <c r="V383" s="242"/>
      <c r="W383" s="242"/>
      <c r="X383" s="242"/>
      <c r="Y383" s="148"/>
      <c r="Z383" s="148"/>
    </row>
    <row r="384">
      <c r="C384" s="571"/>
      <c r="D384" s="423"/>
      <c r="E384" s="570"/>
      <c r="F384" s="546"/>
      <c r="G384" s="578"/>
      <c r="H384" s="419"/>
      <c r="I384" s="57"/>
      <c r="J384" s="105"/>
      <c r="K384" s="57"/>
      <c r="L384" s="193"/>
      <c r="M384" s="57"/>
      <c r="N384" s="57"/>
      <c r="O384" s="57"/>
      <c r="P384" s="157"/>
      <c r="Q384" s="404"/>
      <c r="R384" s="148"/>
      <c r="S384" s="242"/>
      <c r="T384" s="242"/>
      <c r="U384" s="242"/>
      <c r="V384" s="242"/>
      <c r="W384" s="242"/>
      <c r="X384" s="242"/>
      <c r="Y384" s="148"/>
      <c r="Z384" s="148"/>
    </row>
    <row r="385">
      <c r="A385" s="125" t="s">
        <v>798</v>
      </c>
      <c r="B385" s="572">
        <f>C358-B362</f>
        <v>821.85</v>
      </c>
      <c r="D385" s="157"/>
      <c r="E385" s="570"/>
      <c r="F385" s="573"/>
      <c r="G385" s="581"/>
      <c r="H385" s="419"/>
      <c r="I385" s="239"/>
      <c r="J385" s="568"/>
      <c r="K385" s="57"/>
      <c r="L385" s="150"/>
      <c r="M385" s="57"/>
      <c r="N385" s="57"/>
      <c r="O385" s="57"/>
      <c r="P385" s="157"/>
      <c r="Q385" s="404"/>
      <c r="R385" s="148"/>
      <c r="S385" s="242"/>
      <c r="T385" s="242"/>
      <c r="U385" s="242"/>
      <c r="V385" s="242"/>
      <c r="W385" s="242"/>
      <c r="X385" s="242"/>
      <c r="Y385" s="148"/>
      <c r="Z385" s="148"/>
    </row>
    <row r="386">
      <c r="A386" s="274" t="s">
        <v>783</v>
      </c>
      <c r="B386" s="109">
        <v>700.0</v>
      </c>
      <c r="C386" s="395"/>
      <c r="D386" s="157"/>
      <c r="E386" s="570"/>
      <c r="F386" s="573"/>
      <c r="G386" s="581"/>
      <c r="H386" s="419"/>
      <c r="I386" s="239"/>
      <c r="J386" s="568"/>
      <c r="K386" s="57"/>
      <c r="L386" s="150"/>
      <c r="M386" s="57"/>
      <c r="N386" s="57"/>
      <c r="O386" s="57"/>
      <c r="P386" s="157"/>
      <c r="Q386" s="404"/>
      <c r="R386" s="148"/>
      <c r="S386" s="242"/>
      <c r="T386" s="242"/>
      <c r="U386" s="242"/>
      <c r="V386" s="242"/>
      <c r="W386" s="242"/>
      <c r="X386" s="242"/>
      <c r="Y386" s="148"/>
      <c r="Z386" s="148"/>
    </row>
    <row r="387">
      <c r="A387" s="274" t="s">
        <v>784</v>
      </c>
      <c r="B387" s="109">
        <v>2650.0</v>
      </c>
      <c r="C387" s="395"/>
      <c r="D387" s="157"/>
      <c r="E387" s="570"/>
      <c r="F387" s="573"/>
      <c r="G387" s="581"/>
      <c r="H387" s="419"/>
      <c r="I387" s="239"/>
      <c r="J387" s="568"/>
      <c r="K387" s="57"/>
      <c r="L387" s="150"/>
      <c r="M387" s="57"/>
      <c r="N387" s="57"/>
      <c r="O387" s="57"/>
      <c r="P387" s="157"/>
      <c r="Q387" s="404"/>
      <c r="R387" s="148"/>
      <c r="S387" s="242"/>
      <c r="T387" s="242"/>
      <c r="U387" s="242"/>
      <c r="V387" s="242"/>
      <c r="W387" s="242"/>
      <c r="X387" s="242"/>
      <c r="Y387" s="148"/>
      <c r="Z387" s="148"/>
    </row>
    <row r="388">
      <c r="A388" s="274" t="s">
        <v>785</v>
      </c>
      <c r="B388" s="109"/>
      <c r="C388" s="395"/>
      <c r="D388" s="157"/>
      <c r="E388" s="570"/>
      <c r="F388" s="573"/>
      <c r="G388" s="581"/>
      <c r="H388" s="419"/>
      <c r="I388" s="239"/>
      <c r="J388" s="568"/>
      <c r="K388" s="57"/>
      <c r="L388" s="150"/>
      <c r="M388" s="57"/>
      <c r="N388" s="57"/>
      <c r="O388" s="57"/>
      <c r="P388" s="157"/>
      <c r="Q388" s="404"/>
      <c r="R388" s="148"/>
      <c r="S388" s="242"/>
      <c r="T388" s="242"/>
      <c r="U388" s="242"/>
      <c r="V388" s="242"/>
      <c r="W388" s="242"/>
      <c r="X388" s="242"/>
      <c r="Y388" s="148"/>
      <c r="Z388" s="148"/>
    </row>
    <row r="389">
      <c r="A389" s="402"/>
      <c r="B389" s="403"/>
      <c r="C389" s="403"/>
      <c r="D389" s="403"/>
      <c r="E389" s="574"/>
      <c r="F389" s="575"/>
      <c r="G389" s="576"/>
      <c r="H389" s="159"/>
      <c r="I389" s="159"/>
      <c r="J389" s="576"/>
      <c r="K389" s="159"/>
      <c r="L389" s="162"/>
      <c r="M389" s="402"/>
      <c r="N389" s="402"/>
      <c r="O389" s="159"/>
      <c r="P389" s="403"/>
      <c r="Q389" s="577"/>
      <c r="R389" s="148"/>
      <c r="S389" s="242"/>
      <c r="T389" s="242"/>
      <c r="U389" s="242"/>
      <c r="V389" s="242"/>
      <c r="W389" s="242"/>
      <c r="X389" s="242"/>
      <c r="Y389" s="148"/>
      <c r="Z389" s="148"/>
    </row>
    <row r="390">
      <c r="A390" s="148"/>
      <c r="B390" s="148"/>
      <c r="C390" s="148"/>
      <c r="D390" s="245"/>
      <c r="E390" s="585"/>
      <c r="F390" s="586"/>
      <c r="G390" s="243"/>
      <c r="H390" s="148"/>
      <c r="I390" s="251"/>
      <c r="J390" s="243"/>
      <c r="K390" s="148"/>
      <c r="L390" s="277"/>
      <c r="M390" s="252"/>
      <c r="N390" s="250"/>
      <c r="O390" s="253"/>
      <c r="P390" s="240"/>
      <c r="Q390" s="148"/>
      <c r="R390" s="148"/>
      <c r="S390" s="242"/>
      <c r="T390" s="242"/>
      <c r="U390" s="242"/>
      <c r="V390" s="242"/>
      <c r="W390" s="242"/>
      <c r="X390" s="242"/>
      <c r="Y390" s="148"/>
      <c r="Z390" s="148"/>
    </row>
    <row r="391">
      <c r="A391" s="169" t="s">
        <v>104</v>
      </c>
      <c r="B391" s="678" t="s">
        <v>1087</v>
      </c>
      <c r="C391" s="220"/>
      <c r="D391" s="405"/>
      <c r="E391" s="541"/>
      <c r="F391" s="542"/>
      <c r="G391" s="467" t="s">
        <v>333</v>
      </c>
      <c r="H391" s="361"/>
      <c r="I391" s="57"/>
      <c r="J391" s="105"/>
      <c r="K391" s="57"/>
      <c r="L391" s="150"/>
      <c r="M391" s="239"/>
      <c r="N391" s="239"/>
      <c r="O391" s="57"/>
      <c r="P391" s="157"/>
      <c r="Q391" s="404"/>
      <c r="R391" s="148"/>
      <c r="S391" s="242"/>
      <c r="T391" s="242"/>
      <c r="U391" s="242"/>
      <c r="V391" s="242"/>
      <c r="W391" s="242"/>
      <c r="X391" s="242"/>
      <c r="Y391" s="148"/>
      <c r="Z391" s="148"/>
    </row>
    <row r="392">
      <c r="A392" s="468"/>
      <c r="B392" s="157"/>
      <c r="C392" s="466"/>
      <c r="D392" s="405"/>
      <c r="E392" s="543" t="s">
        <v>335</v>
      </c>
      <c r="F392" s="544" t="s">
        <v>237</v>
      </c>
      <c r="G392" s="412" t="s">
        <v>336</v>
      </c>
      <c r="H392" s="413" t="s">
        <v>337</v>
      </c>
      <c r="I392" s="239"/>
      <c r="J392" s="145" t="s">
        <v>60</v>
      </c>
      <c r="K392" s="57"/>
      <c r="L392" s="150"/>
      <c r="M392" s="414"/>
      <c r="N392" s="414"/>
      <c r="O392" s="57" t="s">
        <v>334</v>
      </c>
      <c r="P392" s="157"/>
      <c r="Q392" s="404"/>
      <c r="R392" s="148"/>
      <c r="S392" s="242"/>
      <c r="T392" s="242"/>
      <c r="U392" s="242"/>
      <c r="V392" s="242"/>
      <c r="W392" s="242"/>
      <c r="X392" s="242"/>
      <c r="Y392" s="148"/>
      <c r="Z392" s="148"/>
    </row>
    <row r="393">
      <c r="A393" s="470" t="s">
        <v>179</v>
      </c>
      <c r="C393" s="416">
        <f>SUM(F393:F427)</f>
        <v>9160.8</v>
      </c>
      <c r="D393" s="405"/>
      <c r="E393" s="545"/>
      <c r="F393" s="546"/>
      <c r="G393" s="578"/>
      <c r="H393" s="419"/>
      <c r="I393" s="57"/>
      <c r="K393" s="57"/>
      <c r="L393" s="150"/>
      <c r="M393" s="377" t="s">
        <v>366</v>
      </c>
      <c r="P393" s="157"/>
      <c r="Q393" s="404"/>
      <c r="R393" s="148"/>
      <c r="S393" s="242"/>
      <c r="T393" s="242"/>
      <c r="U393" s="242"/>
      <c r="V393" s="242"/>
      <c r="W393" s="242"/>
      <c r="X393" s="242"/>
      <c r="Y393" s="148"/>
      <c r="Z393" s="148"/>
    </row>
    <row r="394">
      <c r="A394" s="421" t="s">
        <v>343</v>
      </c>
      <c r="B394" s="422" t="s">
        <v>321</v>
      </c>
      <c r="C394" s="416">
        <f>SUM(P394:P427)</f>
        <v>2360.8</v>
      </c>
      <c r="D394" s="157"/>
      <c r="E394" s="545"/>
      <c r="F394" s="546"/>
      <c r="G394" s="578"/>
      <c r="H394" s="419"/>
      <c r="I394" s="239"/>
      <c r="J394" s="471" t="s">
        <v>341</v>
      </c>
      <c r="K394" s="420"/>
      <c r="L394" s="150"/>
      <c r="M394" s="374"/>
      <c r="O394" s="426" t="s">
        <v>1088</v>
      </c>
      <c r="P394" s="679">
        <v>2082.0</v>
      </c>
      <c r="Q394" s="404"/>
      <c r="R394" s="148"/>
      <c r="S394" s="242"/>
      <c r="T394" s="242"/>
      <c r="U394" s="242"/>
      <c r="V394" s="242"/>
      <c r="W394" s="242"/>
      <c r="X394" s="242"/>
      <c r="Y394" s="148"/>
      <c r="Z394" s="148"/>
    </row>
    <row r="395">
      <c r="A395" s="427" t="s">
        <v>201</v>
      </c>
      <c r="C395" s="204">
        <f>SUM(L394:L427)</f>
        <v>4571</v>
      </c>
      <c r="D395" s="157"/>
      <c r="E395" s="545"/>
      <c r="F395" s="546"/>
      <c r="G395" s="578"/>
      <c r="H395" s="419"/>
      <c r="I395" s="239"/>
      <c r="J395" s="472" t="s">
        <v>345</v>
      </c>
      <c r="K395" s="420"/>
      <c r="L395" s="150"/>
      <c r="M395" s="377" t="s">
        <v>1089</v>
      </c>
      <c r="O395" s="426" t="s">
        <v>1090</v>
      </c>
      <c r="P395" s="679">
        <v>67.6</v>
      </c>
      <c r="Q395" s="404"/>
      <c r="R395" s="148"/>
      <c r="S395" s="242"/>
      <c r="T395" s="242"/>
      <c r="U395" s="242"/>
      <c r="V395" s="242"/>
      <c r="W395" s="242"/>
      <c r="X395" s="242"/>
      <c r="Y395" s="148"/>
      <c r="Z395" s="148"/>
    </row>
    <row r="396">
      <c r="A396" s="548" t="s">
        <v>761</v>
      </c>
      <c r="B396" s="549">
        <v>0.4</v>
      </c>
      <c r="C396" s="191">
        <v>944.0</v>
      </c>
      <c r="D396" s="157"/>
      <c r="E396" s="550" t="s">
        <v>695</v>
      </c>
      <c r="F396" s="546">
        <v>690.0</v>
      </c>
      <c r="G396" s="578"/>
      <c r="H396" s="419"/>
      <c r="I396" s="239"/>
      <c r="J396" s="433" t="s">
        <v>656</v>
      </c>
      <c r="K396" s="420"/>
      <c r="L396" s="193">
        <v>88.0</v>
      </c>
      <c r="M396" s="377"/>
      <c r="O396" s="426" t="s">
        <v>971</v>
      </c>
      <c r="P396" s="423">
        <v>111.2</v>
      </c>
      <c r="Q396" s="404"/>
      <c r="R396" s="148"/>
      <c r="S396" s="242"/>
      <c r="T396" s="242"/>
      <c r="U396" s="242"/>
      <c r="V396" s="242"/>
      <c r="W396" s="242"/>
      <c r="X396" s="242"/>
      <c r="Y396" s="148"/>
      <c r="Z396" s="148"/>
    </row>
    <row r="397">
      <c r="A397" s="434" t="s">
        <v>350</v>
      </c>
      <c r="C397" s="551">
        <f>C393-C395-C396</f>
        <v>3645.8</v>
      </c>
      <c r="D397" s="157"/>
      <c r="E397" s="192" t="s">
        <v>886</v>
      </c>
      <c r="F397" s="546">
        <v>200.0</v>
      </c>
      <c r="G397" s="579"/>
      <c r="H397" s="419"/>
      <c r="I397" s="57"/>
      <c r="J397" s="444" t="s">
        <v>658</v>
      </c>
      <c r="K397" s="420"/>
      <c r="L397" s="193">
        <v>28.0</v>
      </c>
      <c r="M397" s="377"/>
      <c r="O397" s="426" t="s">
        <v>1091</v>
      </c>
      <c r="P397" s="423">
        <v>100.0</v>
      </c>
      <c r="Q397" s="404"/>
      <c r="R397" s="148"/>
      <c r="S397" s="242"/>
      <c r="T397" s="242"/>
      <c r="U397" s="242"/>
      <c r="V397" s="242"/>
      <c r="W397" s="242"/>
      <c r="X397" s="242"/>
      <c r="Y397" s="148"/>
      <c r="Z397" s="148"/>
    </row>
    <row r="398">
      <c r="A398" s="554"/>
      <c r="B398" s="555"/>
      <c r="C398" s="447"/>
      <c r="D398" s="157"/>
      <c r="E398" s="192" t="s">
        <v>1092</v>
      </c>
      <c r="F398" s="546">
        <v>1000.0</v>
      </c>
      <c r="G398" s="562"/>
      <c r="H398" s="419"/>
      <c r="I398" s="57"/>
      <c r="J398" s="444" t="s">
        <v>660</v>
      </c>
      <c r="K398" s="420"/>
      <c r="L398" s="193">
        <v>30.0</v>
      </c>
      <c r="M398" s="377"/>
      <c r="O398" s="431"/>
      <c r="P398" s="157"/>
      <c r="Q398" s="404"/>
      <c r="R398" s="148"/>
      <c r="S398" s="242"/>
      <c r="T398" s="242"/>
      <c r="U398" s="242"/>
      <c r="V398" s="242"/>
      <c r="W398" s="242"/>
      <c r="X398" s="242"/>
      <c r="Y398" s="148"/>
      <c r="Z398" s="148"/>
    </row>
    <row r="399">
      <c r="A399" s="556"/>
      <c r="C399" s="395"/>
      <c r="D399" s="157"/>
      <c r="E399" s="192" t="s">
        <v>1093</v>
      </c>
      <c r="F399" s="546">
        <v>1000.0</v>
      </c>
      <c r="G399" s="579"/>
      <c r="H399" s="419"/>
      <c r="I399" s="239"/>
      <c r="J399" s="370" t="s">
        <v>662</v>
      </c>
      <c r="K399" s="420"/>
      <c r="L399" s="193"/>
      <c r="M399" s="374"/>
      <c r="O399" s="431"/>
      <c r="P399" s="157"/>
      <c r="Q399" s="404"/>
      <c r="R399" s="148"/>
      <c r="S399" s="242"/>
      <c r="T399" s="242"/>
      <c r="U399" s="242"/>
      <c r="V399" s="242"/>
      <c r="W399" s="242"/>
      <c r="X399" s="242"/>
      <c r="Y399" s="148"/>
      <c r="Z399" s="148"/>
    </row>
    <row r="400">
      <c r="A400" s="557"/>
      <c r="B400" s="109"/>
      <c r="C400" s="395"/>
      <c r="D400" s="373"/>
      <c r="E400" s="192" t="s">
        <v>669</v>
      </c>
      <c r="F400" s="546">
        <v>700.0</v>
      </c>
      <c r="G400" s="578"/>
      <c r="H400" s="419"/>
      <c r="I400" s="239"/>
      <c r="J400" s="433" t="s">
        <v>666</v>
      </c>
      <c r="K400" s="420"/>
      <c r="L400" s="150"/>
      <c r="M400" s="374"/>
      <c r="O400" s="431"/>
      <c r="P400" s="157"/>
      <c r="Q400" s="404"/>
      <c r="R400" s="148"/>
      <c r="S400" s="242"/>
      <c r="T400" s="242"/>
      <c r="U400" s="242"/>
      <c r="V400" s="242"/>
      <c r="W400" s="242"/>
      <c r="X400" s="242"/>
      <c r="Y400" s="148"/>
      <c r="Z400" s="148"/>
    </row>
    <row r="401">
      <c r="A401" s="559" t="s">
        <v>765</v>
      </c>
      <c r="B401" s="560">
        <f>SUM(D401:D427)</f>
        <v>2806.61</v>
      </c>
      <c r="C401" s="477" t="s">
        <v>366</v>
      </c>
      <c r="D401" s="157"/>
      <c r="E401" s="192" t="s">
        <v>567</v>
      </c>
      <c r="F401" s="546">
        <v>600.0</v>
      </c>
      <c r="G401" s="578"/>
      <c r="H401" s="419"/>
      <c r="I401" s="239"/>
      <c r="J401" s="433" t="s">
        <v>668</v>
      </c>
      <c r="K401" s="420"/>
      <c r="L401" s="193">
        <v>400.0</v>
      </c>
      <c r="M401" s="377" t="s">
        <v>1094</v>
      </c>
      <c r="O401" s="431"/>
      <c r="P401" s="157"/>
      <c r="Q401" s="404"/>
      <c r="R401" s="148"/>
      <c r="S401" s="242"/>
      <c r="T401" s="242"/>
      <c r="U401" s="242"/>
      <c r="V401" s="242"/>
      <c r="W401" s="242"/>
      <c r="X401" s="242"/>
      <c r="Y401" s="148"/>
      <c r="Z401" s="148"/>
    </row>
    <row r="402">
      <c r="A402" s="453" t="s">
        <v>369</v>
      </c>
      <c r="C402" s="561" t="s">
        <v>766</v>
      </c>
      <c r="D402" s="423">
        <v>397.0</v>
      </c>
      <c r="E402" s="192" t="s">
        <v>1088</v>
      </c>
      <c r="F402" s="546">
        <v>1082.0</v>
      </c>
      <c r="G402" s="558" t="s">
        <v>426</v>
      </c>
      <c r="H402" s="419"/>
      <c r="I402" s="239"/>
      <c r="J402" s="433" t="s">
        <v>670</v>
      </c>
      <c r="K402" s="458"/>
      <c r="L402" s="193">
        <v>1250.0</v>
      </c>
      <c r="M402" s="377"/>
      <c r="O402" s="431"/>
      <c r="P402" s="157"/>
      <c r="Q402" s="404"/>
      <c r="R402" s="148"/>
      <c r="S402" s="242"/>
      <c r="T402" s="242"/>
      <c r="U402" s="242"/>
      <c r="V402" s="242"/>
      <c r="W402" s="242"/>
      <c r="X402" s="242"/>
      <c r="Y402" s="148"/>
      <c r="Z402" s="148"/>
    </row>
    <row r="403">
      <c r="C403" s="561" t="s">
        <v>1095</v>
      </c>
      <c r="D403" s="423">
        <v>75.61</v>
      </c>
      <c r="E403" s="192" t="s">
        <v>1096</v>
      </c>
      <c r="F403" s="546">
        <v>67.6</v>
      </c>
      <c r="G403" s="558" t="s">
        <v>426</v>
      </c>
      <c r="H403" s="419"/>
      <c r="I403" s="239"/>
      <c r="J403" s="433" t="s">
        <v>217</v>
      </c>
      <c r="K403" s="458"/>
      <c r="L403" s="150"/>
      <c r="M403" s="377"/>
      <c r="O403" s="431"/>
      <c r="P403" s="157"/>
      <c r="Q403" s="404"/>
      <c r="R403" s="148"/>
      <c r="S403" s="242"/>
      <c r="T403" s="242"/>
      <c r="U403" s="242"/>
      <c r="V403" s="242"/>
      <c r="W403" s="242"/>
      <c r="X403" s="242"/>
      <c r="Y403" s="148"/>
      <c r="Z403" s="148"/>
    </row>
    <row r="404">
      <c r="A404" s="57"/>
      <c r="B404" s="272" t="s">
        <v>889</v>
      </c>
      <c r="C404" s="561" t="s">
        <v>768</v>
      </c>
      <c r="D404" s="423"/>
      <c r="E404" s="192" t="s">
        <v>1077</v>
      </c>
      <c r="F404" s="546">
        <v>260.0</v>
      </c>
      <c r="G404" s="562" t="s">
        <v>426</v>
      </c>
      <c r="H404" s="419"/>
      <c r="I404" s="239"/>
      <c r="J404" s="109"/>
      <c r="K404" s="420"/>
      <c r="L404" s="193"/>
      <c r="M404" s="374"/>
      <c r="O404" s="431"/>
      <c r="P404" s="157"/>
      <c r="Q404" s="404"/>
      <c r="R404" s="148"/>
      <c r="S404" s="242"/>
      <c r="T404" s="242"/>
      <c r="U404" s="242"/>
      <c r="V404" s="242"/>
      <c r="W404" s="242"/>
      <c r="X404" s="242"/>
      <c r="Y404" s="148"/>
      <c r="Z404" s="148"/>
    </row>
    <row r="405">
      <c r="A405" s="57"/>
      <c r="B405" s="57"/>
      <c r="C405" s="561" t="s">
        <v>769</v>
      </c>
      <c r="D405" s="157"/>
      <c r="E405" s="192" t="s">
        <v>957</v>
      </c>
      <c r="F405" s="546">
        <v>600.0</v>
      </c>
      <c r="G405" s="578"/>
      <c r="H405" s="419"/>
      <c r="I405" s="239"/>
      <c r="J405" s="456" t="s">
        <v>672</v>
      </c>
      <c r="K405" s="420"/>
      <c r="L405" s="150"/>
      <c r="M405" s="377"/>
      <c r="O405" s="431"/>
      <c r="P405" s="157"/>
      <c r="Q405" s="404"/>
      <c r="R405" s="148"/>
      <c r="S405" s="242"/>
      <c r="T405" s="242"/>
      <c r="U405" s="242"/>
      <c r="V405" s="242"/>
      <c r="W405" s="242"/>
      <c r="X405" s="242"/>
      <c r="Y405" s="148"/>
      <c r="Z405" s="148"/>
    </row>
    <row r="406">
      <c r="A406" s="597"/>
      <c r="C406" s="561" t="s">
        <v>770</v>
      </c>
      <c r="D406" s="423"/>
      <c r="E406" s="192" t="s">
        <v>971</v>
      </c>
      <c r="F406" s="546">
        <v>111.2</v>
      </c>
      <c r="G406" s="558" t="s">
        <v>426</v>
      </c>
      <c r="H406" s="419"/>
      <c r="I406" s="57"/>
      <c r="J406" s="456" t="s">
        <v>675</v>
      </c>
      <c r="K406" s="420"/>
      <c r="L406" s="150"/>
      <c r="M406" s="382"/>
      <c r="O406" s="431"/>
      <c r="P406" s="157"/>
      <c r="Q406" s="404"/>
      <c r="R406" s="148"/>
      <c r="S406" s="242"/>
      <c r="T406" s="242"/>
      <c r="U406" s="242"/>
      <c r="V406" s="242"/>
      <c r="W406" s="242"/>
      <c r="X406" s="242"/>
      <c r="Y406" s="148"/>
      <c r="Z406" s="148"/>
    </row>
    <row r="407">
      <c r="A407" s="57"/>
      <c r="B407" s="57"/>
      <c r="C407" s="561" t="s">
        <v>793</v>
      </c>
      <c r="D407" s="423">
        <v>180.0</v>
      </c>
      <c r="E407" s="192" t="s">
        <v>417</v>
      </c>
      <c r="F407" s="546">
        <v>1000.0</v>
      </c>
      <c r="G407" s="562"/>
      <c r="H407" s="419"/>
      <c r="I407" s="57"/>
      <c r="J407" s="456"/>
      <c r="K407" s="420"/>
      <c r="L407" s="150"/>
      <c r="M407" s="425"/>
      <c r="O407" s="431"/>
      <c r="P407" s="157"/>
      <c r="Q407" s="404"/>
      <c r="R407" s="148"/>
      <c r="S407" s="242"/>
      <c r="T407" s="242"/>
      <c r="U407" s="242"/>
      <c r="V407" s="242"/>
      <c r="W407" s="242"/>
      <c r="X407" s="242"/>
      <c r="Y407" s="148"/>
      <c r="Z407" s="148"/>
    </row>
    <row r="408">
      <c r="A408" s="239"/>
      <c r="B408" s="57"/>
      <c r="C408" s="561" t="s">
        <v>794</v>
      </c>
      <c r="D408" s="157"/>
      <c r="E408" s="192" t="s">
        <v>1097</v>
      </c>
      <c r="F408" s="546">
        <v>500.0</v>
      </c>
      <c r="G408" s="680" t="s">
        <v>426</v>
      </c>
      <c r="H408" s="419"/>
      <c r="I408" s="57"/>
      <c r="J408" s="375"/>
      <c r="K408" s="420"/>
      <c r="L408" s="150"/>
      <c r="M408" s="425"/>
      <c r="O408" s="431"/>
      <c r="P408" s="157"/>
      <c r="Q408" s="404"/>
      <c r="R408" s="148"/>
      <c r="S408" s="242"/>
      <c r="T408" s="242"/>
      <c r="U408" s="242"/>
      <c r="V408" s="242"/>
      <c r="W408" s="242"/>
      <c r="X408" s="242"/>
      <c r="Y408" s="148"/>
      <c r="Z408" s="148"/>
    </row>
    <row r="409">
      <c r="A409" s="238" t="s">
        <v>1098</v>
      </c>
      <c r="B409" s="57"/>
      <c r="C409" s="561" t="s">
        <v>18</v>
      </c>
      <c r="D409" s="423">
        <v>180.0</v>
      </c>
      <c r="E409" s="192" t="s">
        <v>898</v>
      </c>
      <c r="F409" s="546">
        <v>1250.0</v>
      </c>
      <c r="G409" s="578"/>
      <c r="H409" s="419"/>
      <c r="I409" s="57"/>
      <c r="J409" s="375"/>
      <c r="K409" s="420"/>
      <c r="L409" s="193"/>
      <c r="M409" s="382"/>
      <c r="O409" s="431"/>
      <c r="P409" s="157"/>
      <c r="Q409" s="404"/>
      <c r="R409" s="148"/>
      <c r="S409" s="242"/>
      <c r="T409" s="242"/>
      <c r="U409" s="242"/>
      <c r="V409" s="242"/>
      <c r="W409" s="242"/>
      <c r="X409" s="242"/>
      <c r="Y409" s="148"/>
      <c r="Z409" s="148"/>
    </row>
    <row r="410">
      <c r="A410" s="239"/>
      <c r="B410" s="57"/>
      <c r="C410" s="561" t="s">
        <v>773</v>
      </c>
      <c r="D410" s="157"/>
      <c r="E410" s="192" t="s">
        <v>1003</v>
      </c>
      <c r="F410" s="546">
        <v>100.0</v>
      </c>
      <c r="G410" s="558" t="s">
        <v>426</v>
      </c>
      <c r="H410" s="419"/>
      <c r="I410" s="57"/>
      <c r="J410" s="452"/>
      <c r="K410" s="420"/>
      <c r="L410" s="150"/>
      <c r="M410" s="425"/>
      <c r="O410" s="431"/>
      <c r="P410" s="157"/>
      <c r="Q410" s="404"/>
      <c r="R410" s="148"/>
      <c r="S410" s="242"/>
      <c r="T410" s="242"/>
      <c r="U410" s="242"/>
      <c r="V410" s="242"/>
      <c r="W410" s="242"/>
      <c r="X410" s="242"/>
      <c r="Y410" s="148"/>
      <c r="Z410" s="148"/>
    </row>
    <row r="411">
      <c r="A411" s="57"/>
      <c r="B411" s="57"/>
      <c r="C411" s="561" t="s">
        <v>774</v>
      </c>
      <c r="D411" s="423"/>
      <c r="E411" s="192"/>
      <c r="F411" s="546"/>
      <c r="G411" s="558"/>
      <c r="H411" s="419"/>
      <c r="I411" s="57"/>
      <c r="J411" s="105"/>
      <c r="K411" s="420"/>
      <c r="L411" s="150"/>
      <c r="M411" s="425"/>
      <c r="O411" s="431"/>
      <c r="P411" s="157"/>
      <c r="Q411" s="404"/>
      <c r="R411" s="148"/>
      <c r="S411" s="242"/>
      <c r="T411" s="242"/>
      <c r="U411" s="242"/>
      <c r="V411" s="242"/>
      <c r="W411" s="242"/>
      <c r="X411" s="242"/>
      <c r="Y411" s="148"/>
      <c r="Z411" s="148"/>
    </row>
    <row r="412">
      <c r="A412" s="238" t="s">
        <v>1099</v>
      </c>
      <c r="B412" s="239"/>
      <c r="C412" s="561" t="s">
        <v>775</v>
      </c>
      <c r="D412" s="423">
        <v>1460.0</v>
      </c>
      <c r="E412" s="228"/>
      <c r="F412" s="547"/>
      <c r="G412" s="578"/>
      <c r="H412" s="419"/>
      <c r="I412" s="57"/>
      <c r="J412" s="378" t="s">
        <v>682</v>
      </c>
      <c r="K412" s="420"/>
      <c r="L412" s="193"/>
      <c r="M412" s="377"/>
      <c r="O412" s="431"/>
      <c r="P412" s="157"/>
      <c r="Q412" s="404"/>
      <c r="R412" s="148"/>
      <c r="S412" s="242"/>
      <c r="T412" s="242"/>
      <c r="U412" s="242"/>
      <c r="V412" s="242"/>
      <c r="W412" s="242"/>
      <c r="X412" s="242"/>
      <c r="Y412" s="148"/>
      <c r="Z412" s="148"/>
    </row>
    <row r="413">
      <c r="A413" s="239"/>
      <c r="B413" s="239"/>
      <c r="C413" s="561" t="s">
        <v>10</v>
      </c>
      <c r="D413" s="157"/>
      <c r="E413" s="206"/>
      <c r="F413" s="564"/>
      <c r="G413" s="581"/>
      <c r="H413" s="419"/>
      <c r="I413" s="57"/>
      <c r="J413" s="461" t="s">
        <v>684</v>
      </c>
      <c r="K413" s="420"/>
      <c r="L413" s="193"/>
      <c r="M413" s="377"/>
      <c r="O413" s="431"/>
      <c r="P413" s="157"/>
      <c r="Q413" s="404"/>
      <c r="R413" s="148"/>
      <c r="S413" s="242"/>
      <c r="T413" s="242"/>
      <c r="U413" s="242"/>
      <c r="V413" s="242"/>
      <c r="W413" s="242"/>
      <c r="X413" s="242"/>
      <c r="Y413" s="148"/>
      <c r="Z413" s="148"/>
    </row>
    <row r="414">
      <c r="A414" s="238" t="s">
        <v>1100</v>
      </c>
      <c r="B414" s="239"/>
      <c r="C414" s="561" t="s">
        <v>6</v>
      </c>
      <c r="D414" s="423">
        <v>460.0</v>
      </c>
      <c r="E414" s="206"/>
      <c r="F414" s="547"/>
      <c r="G414" s="579"/>
      <c r="H414" s="455"/>
      <c r="I414" s="57"/>
      <c r="J414" s="461" t="s">
        <v>686</v>
      </c>
      <c r="K414" s="420"/>
      <c r="L414" s="150"/>
      <c r="M414" s="374"/>
      <c r="O414" s="463"/>
      <c r="P414" s="157"/>
      <c r="Q414" s="404"/>
      <c r="R414" s="148"/>
      <c r="S414" s="242"/>
      <c r="T414" s="242"/>
      <c r="U414" s="242"/>
      <c r="V414" s="242"/>
      <c r="W414" s="242"/>
      <c r="X414" s="242"/>
      <c r="Y414" s="148"/>
      <c r="Z414" s="148"/>
    </row>
    <row r="415">
      <c r="A415" s="57"/>
      <c r="B415" s="57"/>
      <c r="C415" s="561" t="s">
        <v>779</v>
      </c>
      <c r="D415" s="157"/>
      <c r="E415" s="228"/>
      <c r="F415" s="547"/>
      <c r="G415" s="579"/>
      <c r="H415" s="455"/>
      <c r="I415" s="239"/>
      <c r="J415" s="460"/>
      <c r="K415" s="420"/>
      <c r="L415" s="193"/>
      <c r="M415" s="377"/>
      <c r="O415" s="463"/>
      <c r="P415" s="157"/>
      <c r="Q415" s="404"/>
      <c r="R415" s="148"/>
      <c r="S415" s="242"/>
      <c r="T415" s="242"/>
      <c r="U415" s="242"/>
      <c r="V415" s="242"/>
      <c r="W415" s="242"/>
      <c r="X415" s="242"/>
      <c r="Y415" s="148"/>
      <c r="Z415" s="148"/>
    </row>
    <row r="416">
      <c r="A416" s="239"/>
      <c r="B416" s="239"/>
      <c r="C416" s="561" t="s">
        <v>780</v>
      </c>
      <c r="D416" s="423"/>
      <c r="E416" s="228"/>
      <c r="F416" s="547"/>
      <c r="G416" s="579"/>
      <c r="H416" s="455"/>
      <c r="I416" s="57"/>
      <c r="J416" s="460"/>
      <c r="K416" s="420"/>
      <c r="L416" s="193"/>
      <c r="M416" s="374"/>
      <c r="O416" s="463"/>
      <c r="P416" s="157"/>
      <c r="Q416" s="404"/>
      <c r="R416" s="148"/>
      <c r="S416" s="242"/>
      <c r="T416" s="242"/>
      <c r="U416" s="242"/>
      <c r="V416" s="242"/>
      <c r="W416" s="242"/>
      <c r="X416" s="242"/>
      <c r="Y416" s="148"/>
      <c r="Z416" s="148"/>
    </row>
    <row r="417">
      <c r="A417" s="238" t="s">
        <v>1101</v>
      </c>
      <c r="B417" s="239"/>
      <c r="C417" s="561" t="s">
        <v>781</v>
      </c>
      <c r="D417" s="423">
        <v>54.0</v>
      </c>
      <c r="E417" s="228"/>
      <c r="F417" s="547"/>
      <c r="G417" s="579"/>
      <c r="H417" s="419"/>
      <c r="I417" s="239"/>
      <c r="J417" s="568"/>
      <c r="K417" s="420"/>
      <c r="L417" s="150"/>
      <c r="M417" s="374"/>
      <c r="O417" s="431"/>
      <c r="P417" s="157"/>
      <c r="Q417" s="404"/>
      <c r="R417" s="148"/>
      <c r="S417" s="242"/>
      <c r="T417" s="242"/>
      <c r="U417" s="242"/>
      <c r="V417" s="242"/>
      <c r="W417" s="242"/>
      <c r="X417" s="242"/>
      <c r="Y417" s="148"/>
      <c r="Z417" s="148"/>
    </row>
    <row r="418">
      <c r="A418" s="239"/>
      <c r="B418" s="157"/>
      <c r="C418" s="561"/>
      <c r="D418" s="157"/>
      <c r="E418" s="569"/>
      <c r="F418" s="547"/>
      <c r="G418" s="578"/>
      <c r="H418" s="419"/>
      <c r="I418" s="57"/>
      <c r="J418" s="374"/>
      <c r="K418" s="420"/>
      <c r="L418" s="193"/>
      <c r="M418" s="377"/>
      <c r="O418" s="431"/>
      <c r="P418" s="157"/>
      <c r="Q418" s="404"/>
      <c r="R418" s="148"/>
      <c r="S418" s="242"/>
      <c r="T418" s="242"/>
      <c r="U418" s="242"/>
      <c r="V418" s="242"/>
      <c r="W418" s="242"/>
      <c r="X418" s="242"/>
      <c r="Y418" s="148"/>
      <c r="Z418" s="148"/>
    </row>
    <row r="419">
      <c r="A419" s="239"/>
      <c r="B419" s="157"/>
      <c r="C419" s="561"/>
      <c r="D419" s="157"/>
      <c r="E419" s="228"/>
      <c r="F419" s="547"/>
      <c r="G419" s="578"/>
      <c r="H419" s="419"/>
      <c r="I419" s="239"/>
      <c r="J419" s="596" t="s">
        <v>1102</v>
      </c>
      <c r="K419" s="420"/>
      <c r="L419" s="193">
        <v>135.0</v>
      </c>
      <c r="M419" s="377"/>
      <c r="O419" s="431"/>
      <c r="P419" s="157"/>
      <c r="Q419" s="404"/>
      <c r="R419" s="148"/>
      <c r="S419" s="242"/>
      <c r="T419" s="242"/>
      <c r="U419" s="242"/>
      <c r="V419" s="242"/>
      <c r="W419" s="242"/>
      <c r="X419" s="242"/>
      <c r="Y419" s="148"/>
      <c r="Z419" s="148"/>
    </row>
    <row r="420">
      <c r="A420" s="239"/>
      <c r="B420" s="157"/>
      <c r="C420" s="561"/>
      <c r="D420" s="157"/>
      <c r="E420" s="570"/>
      <c r="F420" s="547"/>
      <c r="G420" s="578"/>
      <c r="H420" s="419"/>
      <c r="I420" s="239"/>
      <c r="J420" s="568"/>
      <c r="K420" s="420"/>
      <c r="L420" s="193"/>
      <c r="M420" s="374"/>
      <c r="O420" s="431"/>
      <c r="P420" s="157"/>
      <c r="Q420" s="404"/>
      <c r="R420" s="148"/>
      <c r="S420" s="242"/>
      <c r="T420" s="242"/>
      <c r="U420" s="242"/>
      <c r="V420" s="242"/>
      <c r="W420" s="242"/>
      <c r="X420" s="242"/>
      <c r="Y420" s="148"/>
      <c r="Z420" s="148"/>
    </row>
    <row r="421">
      <c r="C421" s="571"/>
      <c r="D421" s="157"/>
      <c r="E421" s="570"/>
      <c r="F421" s="547"/>
      <c r="G421" s="578"/>
      <c r="H421" s="419"/>
      <c r="I421" s="239"/>
      <c r="J421" s="464" t="s">
        <v>692</v>
      </c>
      <c r="K421" s="420"/>
      <c r="L421" s="150"/>
      <c r="M421" s="377"/>
      <c r="O421" s="431"/>
      <c r="P421" s="157"/>
      <c r="Q421" s="404"/>
      <c r="R421" s="148"/>
      <c r="S421" s="242"/>
      <c r="T421" s="242"/>
      <c r="U421" s="242"/>
      <c r="V421" s="242"/>
      <c r="W421" s="242"/>
      <c r="X421" s="242"/>
      <c r="Y421" s="148"/>
      <c r="Z421" s="148"/>
    </row>
    <row r="422">
      <c r="C422" s="571"/>
      <c r="D422" s="157"/>
      <c r="E422" s="570"/>
      <c r="F422" s="547"/>
      <c r="G422" s="578"/>
      <c r="H422" s="419"/>
      <c r="I422" s="239"/>
      <c r="J422" s="464" t="s">
        <v>694</v>
      </c>
      <c r="K422" s="420"/>
      <c r="L422" s="193">
        <v>2640.0</v>
      </c>
      <c r="M422" s="374"/>
      <c r="O422" s="431"/>
      <c r="P422" s="157"/>
      <c r="Q422" s="404"/>
      <c r="R422" s="148"/>
      <c r="S422" s="242"/>
      <c r="T422" s="242"/>
      <c r="U422" s="242"/>
      <c r="V422" s="242"/>
      <c r="W422" s="242"/>
      <c r="X422" s="242"/>
      <c r="Y422" s="148"/>
      <c r="Z422" s="148"/>
    </row>
    <row r="423">
      <c r="C423" s="571"/>
      <c r="D423" s="423"/>
      <c r="E423" s="570"/>
      <c r="F423" s="546"/>
      <c r="G423" s="578"/>
      <c r="H423" s="419"/>
      <c r="I423" s="57"/>
      <c r="J423" s="105"/>
      <c r="K423" s="57"/>
      <c r="L423" s="193"/>
      <c r="M423" s="57"/>
      <c r="N423" s="57"/>
      <c r="O423" s="57"/>
      <c r="P423" s="157"/>
      <c r="Q423" s="404"/>
      <c r="R423" s="148"/>
      <c r="S423" s="242"/>
      <c r="T423" s="242"/>
      <c r="U423" s="242"/>
      <c r="V423" s="242"/>
      <c r="W423" s="242"/>
      <c r="X423" s="242"/>
      <c r="Y423" s="148"/>
      <c r="Z423" s="148"/>
    </row>
    <row r="424">
      <c r="A424" s="125" t="s">
        <v>798</v>
      </c>
      <c r="B424" s="572">
        <f>C397-B401</f>
        <v>839.19</v>
      </c>
      <c r="D424" s="157"/>
      <c r="E424" s="570"/>
      <c r="F424" s="573"/>
      <c r="G424" s="581"/>
      <c r="H424" s="419"/>
      <c r="I424" s="239"/>
      <c r="J424" s="568"/>
      <c r="K424" s="57"/>
      <c r="L424" s="150"/>
      <c r="M424" s="57"/>
      <c r="N424" s="57"/>
      <c r="O424" s="57"/>
      <c r="P424" s="157"/>
      <c r="Q424" s="404"/>
      <c r="R424" s="148"/>
      <c r="S424" s="242"/>
      <c r="T424" s="242"/>
      <c r="U424" s="242"/>
      <c r="V424" s="242"/>
      <c r="W424" s="242"/>
      <c r="X424" s="242"/>
      <c r="Y424" s="148"/>
      <c r="Z424" s="148"/>
    </row>
    <row r="425">
      <c r="A425" s="274" t="s">
        <v>783</v>
      </c>
      <c r="B425" s="109">
        <v>800.0</v>
      </c>
      <c r="C425" s="395"/>
      <c r="D425" s="157"/>
      <c r="E425" s="570"/>
      <c r="F425" s="573"/>
      <c r="G425" s="581"/>
      <c r="H425" s="419"/>
      <c r="I425" s="239"/>
      <c r="J425" s="568"/>
      <c r="K425" s="57"/>
      <c r="L425" s="150"/>
      <c r="M425" s="57"/>
      <c r="N425" s="57"/>
      <c r="O425" s="57"/>
      <c r="P425" s="157"/>
      <c r="Q425" s="404"/>
      <c r="R425" s="148"/>
      <c r="S425" s="242"/>
      <c r="T425" s="242"/>
      <c r="U425" s="242"/>
      <c r="V425" s="242"/>
      <c r="W425" s="242"/>
      <c r="X425" s="242"/>
      <c r="Y425" s="148"/>
      <c r="Z425" s="148"/>
    </row>
    <row r="426">
      <c r="A426" s="274" t="s">
        <v>784</v>
      </c>
      <c r="B426" s="109">
        <v>2500.0</v>
      </c>
      <c r="C426" s="395"/>
      <c r="D426" s="157"/>
      <c r="E426" s="570"/>
      <c r="F426" s="573"/>
      <c r="G426" s="581"/>
      <c r="H426" s="419"/>
      <c r="I426" s="239"/>
      <c r="J426" s="568"/>
      <c r="K426" s="57"/>
      <c r="L426" s="150"/>
      <c r="M426" s="57"/>
      <c r="N426" s="57"/>
      <c r="O426" s="57"/>
      <c r="P426" s="157"/>
      <c r="Q426" s="404"/>
      <c r="R426" s="148"/>
      <c r="S426" s="242"/>
      <c r="T426" s="242"/>
      <c r="U426" s="242"/>
      <c r="V426" s="242"/>
      <c r="W426" s="242"/>
      <c r="X426" s="242"/>
      <c r="Y426" s="148"/>
      <c r="Z426" s="148"/>
    </row>
    <row r="427">
      <c r="A427" s="274" t="s">
        <v>785</v>
      </c>
      <c r="B427" s="109"/>
      <c r="C427" s="395"/>
      <c r="D427" s="157"/>
      <c r="E427" s="570"/>
      <c r="F427" s="573"/>
      <c r="G427" s="581"/>
      <c r="H427" s="419"/>
      <c r="I427" s="239"/>
      <c r="J427" s="568"/>
      <c r="K427" s="57"/>
      <c r="L427" s="150"/>
      <c r="M427" s="57"/>
      <c r="N427" s="57"/>
      <c r="O427" s="57"/>
      <c r="P427" s="157"/>
      <c r="Q427" s="404"/>
      <c r="R427" s="148"/>
      <c r="S427" s="242"/>
      <c r="T427" s="242"/>
      <c r="U427" s="242"/>
      <c r="V427" s="242"/>
      <c r="W427" s="242"/>
      <c r="X427" s="242"/>
      <c r="Y427" s="148"/>
      <c r="Z427" s="148"/>
    </row>
    <row r="428">
      <c r="A428" s="402"/>
      <c r="B428" s="403"/>
      <c r="C428" s="403"/>
      <c r="D428" s="403"/>
      <c r="E428" s="574"/>
      <c r="F428" s="575"/>
      <c r="G428" s="576"/>
      <c r="H428" s="159"/>
      <c r="I428" s="159"/>
      <c r="J428" s="576"/>
      <c r="K428" s="159"/>
      <c r="L428" s="162"/>
      <c r="M428" s="402"/>
      <c r="N428" s="402"/>
      <c r="O428" s="159"/>
      <c r="P428" s="403"/>
      <c r="Q428" s="577"/>
      <c r="R428" s="148"/>
      <c r="S428" s="242"/>
      <c r="T428" s="242"/>
      <c r="U428" s="242"/>
      <c r="V428" s="242"/>
      <c r="W428" s="242"/>
      <c r="X428" s="242"/>
      <c r="Y428" s="148"/>
      <c r="Z428" s="148"/>
    </row>
    <row r="429">
      <c r="A429" s="148"/>
      <c r="B429" s="148"/>
      <c r="C429" s="148"/>
      <c r="D429" s="245"/>
      <c r="E429" s="585"/>
      <c r="F429" s="586"/>
      <c r="G429" s="243"/>
      <c r="H429" s="148"/>
      <c r="I429" s="251"/>
      <c r="J429" s="243"/>
      <c r="K429" s="148"/>
      <c r="L429" s="277"/>
      <c r="M429" s="252"/>
      <c r="N429" s="250"/>
      <c r="O429" s="253"/>
      <c r="P429" s="240"/>
      <c r="Q429" s="148"/>
      <c r="R429" s="148"/>
      <c r="S429" s="242"/>
      <c r="T429" s="242"/>
      <c r="U429" s="242"/>
      <c r="V429" s="242"/>
      <c r="W429" s="242"/>
      <c r="X429" s="242"/>
      <c r="Y429" s="148"/>
      <c r="Z429" s="148"/>
    </row>
    <row r="430">
      <c r="A430" s="169" t="s">
        <v>109</v>
      </c>
      <c r="B430" s="539"/>
      <c r="C430" s="540"/>
      <c r="D430" s="405"/>
      <c r="E430" s="541"/>
      <c r="F430" s="542"/>
      <c r="G430" s="467" t="s">
        <v>333</v>
      </c>
      <c r="H430" s="361"/>
      <c r="I430" s="57"/>
      <c r="J430" s="105"/>
      <c r="K430" s="57"/>
      <c r="L430" s="150"/>
      <c r="M430" s="239"/>
      <c r="N430" s="239"/>
      <c r="O430" s="57"/>
      <c r="P430" s="157"/>
      <c r="Q430" s="404"/>
      <c r="R430" s="148"/>
      <c r="S430" s="242"/>
      <c r="T430" s="242"/>
      <c r="U430" s="242"/>
      <c r="V430" s="242"/>
      <c r="W430" s="242"/>
      <c r="X430" s="242"/>
      <c r="Y430" s="148"/>
      <c r="Z430" s="148"/>
    </row>
    <row r="431">
      <c r="A431" s="468"/>
      <c r="B431" s="157"/>
      <c r="C431" s="466"/>
      <c r="D431" s="405"/>
      <c r="E431" s="543" t="s">
        <v>335</v>
      </c>
      <c r="F431" s="544" t="s">
        <v>237</v>
      </c>
      <c r="G431" s="412" t="s">
        <v>336</v>
      </c>
      <c r="H431" s="413" t="s">
        <v>337</v>
      </c>
      <c r="I431" s="239"/>
      <c r="J431" s="145" t="s">
        <v>60</v>
      </c>
      <c r="K431" s="57"/>
      <c r="L431" s="150"/>
      <c r="M431" s="414"/>
      <c r="N431" s="414"/>
      <c r="O431" s="57" t="s">
        <v>334</v>
      </c>
      <c r="P431" s="157"/>
      <c r="Q431" s="404"/>
      <c r="R431" s="148"/>
      <c r="S431" s="242"/>
      <c r="T431" s="242"/>
      <c r="U431" s="242"/>
      <c r="V431" s="242"/>
      <c r="W431" s="242"/>
      <c r="X431" s="242"/>
      <c r="Y431" s="148"/>
      <c r="Z431" s="148"/>
    </row>
    <row r="432">
      <c r="A432" s="470" t="s">
        <v>179</v>
      </c>
      <c r="C432" s="416">
        <f>SUM(F432:F466)</f>
        <v>3355.6</v>
      </c>
      <c r="D432" s="405"/>
      <c r="E432" s="545"/>
      <c r="F432" s="546"/>
      <c r="G432" s="578"/>
      <c r="H432" s="419"/>
      <c r="I432" s="57"/>
      <c r="K432" s="57"/>
      <c r="L432" s="150"/>
      <c r="M432" s="377" t="s">
        <v>366</v>
      </c>
      <c r="P432" s="157"/>
      <c r="Q432" s="404"/>
      <c r="R432" s="148"/>
      <c r="S432" s="242"/>
      <c r="T432" s="242"/>
      <c r="U432" s="242"/>
      <c r="V432" s="242"/>
      <c r="W432" s="242"/>
      <c r="X432" s="242"/>
      <c r="Y432" s="148"/>
      <c r="Z432" s="148"/>
    </row>
    <row r="433">
      <c r="A433" s="421" t="s">
        <v>343</v>
      </c>
      <c r="B433" s="422" t="s">
        <v>321</v>
      </c>
      <c r="C433" s="416">
        <f>SUM(P433:P466)</f>
        <v>652</v>
      </c>
      <c r="D433" s="157"/>
      <c r="E433" s="545"/>
      <c r="F433" s="546"/>
      <c r="G433" s="578"/>
      <c r="H433" s="419"/>
      <c r="I433" s="239"/>
      <c r="J433" s="471" t="s">
        <v>341</v>
      </c>
      <c r="K433" s="420"/>
      <c r="L433" s="150"/>
      <c r="M433" s="374"/>
      <c r="O433" s="426" t="s">
        <v>1021</v>
      </c>
      <c r="P433" s="423">
        <v>178.0</v>
      </c>
      <c r="Q433" s="404"/>
      <c r="R433" s="148"/>
      <c r="S433" s="242"/>
      <c r="T433" s="242"/>
      <c r="U433" s="242"/>
      <c r="V433" s="242"/>
      <c r="W433" s="242"/>
      <c r="X433" s="242"/>
      <c r="Y433" s="148"/>
      <c r="Z433" s="148"/>
    </row>
    <row r="434">
      <c r="A434" s="427" t="s">
        <v>201</v>
      </c>
      <c r="C434" s="204">
        <f>SUM(L433:L466)</f>
        <v>2113.78</v>
      </c>
      <c r="D434" s="157"/>
      <c r="E434" s="545"/>
      <c r="F434" s="546"/>
      <c r="G434" s="578"/>
      <c r="H434" s="419"/>
      <c r="I434" s="239"/>
      <c r="J434" s="472" t="s">
        <v>345</v>
      </c>
      <c r="K434" s="420"/>
      <c r="L434" s="193">
        <v>25.0</v>
      </c>
      <c r="M434" s="377" t="s">
        <v>1103</v>
      </c>
      <c r="O434" s="426" t="s">
        <v>1078</v>
      </c>
      <c r="P434" s="423">
        <v>90.4</v>
      </c>
      <c r="Q434" s="404"/>
      <c r="R434" s="148"/>
      <c r="S434" s="242"/>
      <c r="T434" s="242"/>
      <c r="U434" s="242"/>
      <c r="V434" s="242"/>
      <c r="W434" s="242"/>
      <c r="X434" s="242"/>
      <c r="Y434" s="148"/>
      <c r="Z434" s="148"/>
    </row>
    <row r="435">
      <c r="A435" s="548" t="s">
        <v>761</v>
      </c>
      <c r="B435" s="549">
        <v>0.4</v>
      </c>
      <c r="C435" s="191">
        <v>260.0</v>
      </c>
      <c r="D435" s="157"/>
      <c r="E435" s="550" t="s">
        <v>695</v>
      </c>
      <c r="F435" s="546">
        <v>500.0</v>
      </c>
      <c r="G435" s="578"/>
      <c r="H435" s="419"/>
      <c r="I435" s="239"/>
      <c r="J435" s="433" t="s">
        <v>656</v>
      </c>
      <c r="K435" s="420"/>
      <c r="L435" s="598">
        <v>92.75</v>
      </c>
      <c r="M435" s="377" t="s">
        <v>443</v>
      </c>
      <c r="O435" s="426" t="s">
        <v>1104</v>
      </c>
      <c r="P435" s="423">
        <v>210.0</v>
      </c>
      <c r="Q435" s="404"/>
      <c r="R435" s="148"/>
      <c r="S435" s="242"/>
      <c r="T435" s="242"/>
      <c r="U435" s="242"/>
      <c r="V435" s="242"/>
      <c r="W435" s="242"/>
      <c r="X435" s="242"/>
      <c r="Y435" s="148"/>
      <c r="Z435" s="148"/>
    </row>
    <row r="436">
      <c r="A436" s="434" t="s">
        <v>350</v>
      </c>
      <c r="C436" s="551">
        <f>C432-C434-C435</f>
        <v>981.82</v>
      </c>
      <c r="D436" s="157"/>
      <c r="E436" s="192" t="s">
        <v>1105</v>
      </c>
      <c r="F436" s="546">
        <v>850.0</v>
      </c>
      <c r="G436" s="562"/>
      <c r="H436" s="419"/>
      <c r="I436" s="57"/>
      <c r="J436" s="444" t="s">
        <v>658</v>
      </c>
      <c r="K436" s="420"/>
      <c r="L436" s="193">
        <v>57.0</v>
      </c>
      <c r="M436" s="377"/>
      <c r="O436" s="426" t="s">
        <v>1091</v>
      </c>
      <c r="P436" s="423">
        <v>173.6</v>
      </c>
      <c r="Q436" s="404"/>
      <c r="R436" s="148"/>
      <c r="S436" s="242"/>
      <c r="T436" s="242"/>
      <c r="U436" s="242"/>
      <c r="V436" s="242"/>
      <c r="W436" s="242"/>
      <c r="X436" s="242"/>
      <c r="Y436" s="148"/>
      <c r="Z436" s="148"/>
    </row>
    <row r="437">
      <c r="A437" s="554"/>
      <c r="B437" s="555"/>
      <c r="C437" s="447"/>
      <c r="D437" s="157"/>
      <c r="E437" s="192" t="s">
        <v>957</v>
      </c>
      <c r="F437" s="546">
        <v>100.0</v>
      </c>
      <c r="G437" s="562"/>
      <c r="H437" s="419"/>
      <c r="I437" s="57"/>
      <c r="J437" s="444" t="s">
        <v>660</v>
      </c>
      <c r="K437" s="420"/>
      <c r="L437" s="193">
        <v>80.0</v>
      </c>
      <c r="M437" s="377"/>
      <c r="O437" s="431"/>
      <c r="P437" s="157"/>
      <c r="Q437" s="404"/>
      <c r="R437" s="148"/>
      <c r="S437" s="242"/>
      <c r="T437" s="242"/>
      <c r="U437" s="242"/>
      <c r="V437" s="242"/>
      <c r="W437" s="242"/>
      <c r="X437" s="242"/>
      <c r="Y437" s="148"/>
      <c r="Z437" s="148"/>
    </row>
    <row r="438">
      <c r="A438" s="556"/>
      <c r="C438" s="395"/>
      <c r="D438" s="157"/>
      <c r="E438" s="192" t="s">
        <v>1021</v>
      </c>
      <c r="F438" s="546">
        <v>172.0</v>
      </c>
      <c r="G438" s="558" t="s">
        <v>426</v>
      </c>
      <c r="H438" s="419"/>
      <c r="I438" s="239"/>
      <c r="J438" s="370" t="s">
        <v>662</v>
      </c>
      <c r="K438" s="420"/>
      <c r="L438" s="193"/>
      <c r="M438" s="374"/>
      <c r="O438" s="431"/>
      <c r="P438" s="157"/>
      <c r="Q438" s="404"/>
      <c r="R438" s="148"/>
      <c r="S438" s="242"/>
      <c r="T438" s="242"/>
      <c r="U438" s="242"/>
      <c r="V438" s="242"/>
      <c r="W438" s="242"/>
      <c r="X438" s="242"/>
      <c r="Y438" s="148"/>
      <c r="Z438" s="148"/>
    </row>
    <row r="439">
      <c r="A439" s="557"/>
      <c r="B439" s="109"/>
      <c r="C439" s="395"/>
      <c r="D439" s="681"/>
      <c r="E439" s="192" t="s">
        <v>873</v>
      </c>
      <c r="F439" s="546">
        <v>260.0</v>
      </c>
      <c r="G439" s="562" t="s">
        <v>426</v>
      </c>
      <c r="H439" s="419"/>
      <c r="I439" s="239"/>
      <c r="J439" s="433" t="s">
        <v>666</v>
      </c>
      <c r="K439" s="420"/>
      <c r="L439" s="193">
        <v>196.43</v>
      </c>
      <c r="M439" s="377" t="s">
        <v>1106</v>
      </c>
      <c r="O439" s="431"/>
      <c r="P439" s="157"/>
      <c r="Q439" s="404"/>
      <c r="R439" s="148"/>
      <c r="S439" s="242"/>
      <c r="T439" s="242"/>
      <c r="U439" s="242"/>
      <c r="V439" s="242"/>
      <c r="W439" s="242"/>
      <c r="X439" s="242"/>
      <c r="Y439" s="148"/>
      <c r="Z439" s="148"/>
    </row>
    <row r="440">
      <c r="A440" s="559" t="s">
        <v>765</v>
      </c>
      <c r="B440" s="560">
        <f>SUM(D440:D466)</f>
        <v>1385</v>
      </c>
      <c r="C440" s="477" t="s">
        <v>366</v>
      </c>
      <c r="D440" s="157"/>
      <c r="E440" s="192" t="s">
        <v>1078</v>
      </c>
      <c r="F440" s="546">
        <v>90.0</v>
      </c>
      <c r="G440" s="558" t="s">
        <v>426</v>
      </c>
      <c r="H440" s="419"/>
      <c r="I440" s="239"/>
      <c r="J440" s="433" t="s">
        <v>668</v>
      </c>
      <c r="K440" s="420"/>
      <c r="L440" s="150"/>
      <c r="M440" s="377"/>
      <c r="O440" s="431"/>
      <c r="P440" s="157"/>
      <c r="Q440" s="404"/>
      <c r="R440" s="148"/>
      <c r="S440" s="242"/>
      <c r="T440" s="242"/>
      <c r="U440" s="242"/>
      <c r="V440" s="242"/>
      <c r="W440" s="242"/>
      <c r="X440" s="242"/>
      <c r="Y440" s="148"/>
      <c r="Z440" s="148"/>
    </row>
    <row r="441">
      <c r="A441" s="453" t="s">
        <v>369</v>
      </c>
      <c r="C441" s="561" t="s">
        <v>766</v>
      </c>
      <c r="D441" s="423">
        <v>350.0</v>
      </c>
      <c r="E441" s="192" t="s">
        <v>417</v>
      </c>
      <c r="F441" s="546">
        <v>1000.0</v>
      </c>
      <c r="G441" s="578"/>
      <c r="H441" s="419"/>
      <c r="I441" s="239"/>
      <c r="J441" s="433" t="s">
        <v>670</v>
      </c>
      <c r="K441" s="458"/>
      <c r="L441" s="193">
        <v>1250.0</v>
      </c>
      <c r="M441" s="377"/>
      <c r="O441" s="431"/>
      <c r="P441" s="157"/>
      <c r="Q441" s="404"/>
      <c r="R441" s="148"/>
      <c r="S441" s="242"/>
      <c r="T441" s="242"/>
      <c r="U441" s="242"/>
      <c r="V441" s="242"/>
      <c r="W441" s="242"/>
      <c r="X441" s="242"/>
      <c r="Y441" s="148"/>
      <c r="Z441" s="148"/>
    </row>
    <row r="442">
      <c r="C442" s="561" t="s">
        <v>767</v>
      </c>
      <c r="D442" s="423"/>
      <c r="E442" s="552" t="s">
        <v>611</v>
      </c>
      <c r="F442" s="590">
        <v>210.0</v>
      </c>
      <c r="G442" s="682" t="s">
        <v>426</v>
      </c>
      <c r="H442" s="419"/>
      <c r="I442" s="239"/>
      <c r="J442" s="433" t="s">
        <v>217</v>
      </c>
      <c r="K442" s="458"/>
      <c r="L442" s="150"/>
      <c r="M442" s="377"/>
      <c r="O442" s="431"/>
      <c r="P442" s="157"/>
      <c r="Q442" s="404"/>
      <c r="R442" s="148"/>
      <c r="S442" s="242"/>
      <c r="T442" s="242"/>
      <c r="U442" s="242"/>
      <c r="V442" s="242"/>
      <c r="W442" s="242"/>
      <c r="X442" s="242"/>
      <c r="Y442" s="148"/>
      <c r="Z442" s="148"/>
    </row>
    <row r="443">
      <c r="A443" s="57"/>
      <c r="B443" s="57"/>
      <c r="C443" s="561" t="s">
        <v>768</v>
      </c>
      <c r="D443" s="423"/>
      <c r="E443" s="192" t="s">
        <v>1107</v>
      </c>
      <c r="F443" s="546">
        <v>173.6</v>
      </c>
      <c r="G443" s="682" t="s">
        <v>426</v>
      </c>
      <c r="H443" s="419"/>
      <c r="I443" s="239"/>
      <c r="J443" s="109"/>
      <c r="K443" s="420"/>
      <c r="L443" s="193"/>
      <c r="M443" s="374"/>
      <c r="O443" s="431"/>
      <c r="P443" s="157"/>
      <c r="Q443" s="404"/>
      <c r="R443" s="148"/>
      <c r="S443" s="242"/>
      <c r="T443" s="242"/>
      <c r="U443" s="242"/>
      <c r="V443" s="242"/>
      <c r="W443" s="242"/>
      <c r="X443" s="242"/>
      <c r="Y443" s="148"/>
      <c r="Z443" s="148"/>
    </row>
    <row r="444">
      <c r="A444" s="57"/>
      <c r="B444" s="57"/>
      <c r="C444" s="561" t="s">
        <v>769</v>
      </c>
      <c r="D444" s="157"/>
      <c r="E444" s="192"/>
      <c r="F444" s="546"/>
      <c r="G444" s="562"/>
      <c r="H444" s="419"/>
      <c r="I444" s="239"/>
      <c r="J444" s="456" t="s">
        <v>672</v>
      </c>
      <c r="K444" s="420"/>
      <c r="L444" s="150"/>
      <c r="M444" s="377"/>
      <c r="O444" s="431"/>
      <c r="P444" s="157"/>
      <c r="Q444" s="404"/>
      <c r="R444" s="148"/>
      <c r="S444" s="242"/>
      <c r="T444" s="242"/>
      <c r="U444" s="242"/>
      <c r="V444" s="242"/>
      <c r="W444" s="242"/>
      <c r="X444" s="242"/>
      <c r="Y444" s="148"/>
      <c r="Z444" s="148"/>
    </row>
    <row r="445">
      <c r="A445" s="57"/>
      <c r="B445" s="57"/>
      <c r="C445" s="561" t="s">
        <v>770</v>
      </c>
      <c r="D445" s="423"/>
      <c r="E445" s="228"/>
      <c r="F445" s="547"/>
      <c r="G445" s="578"/>
      <c r="H445" s="419"/>
      <c r="I445" s="57"/>
      <c r="J445" s="456" t="s">
        <v>675</v>
      </c>
      <c r="K445" s="420"/>
      <c r="L445" s="150"/>
      <c r="M445" s="382"/>
      <c r="O445" s="431"/>
      <c r="P445" s="157"/>
      <c r="Q445" s="404"/>
      <c r="R445" s="148"/>
      <c r="S445" s="242"/>
      <c r="T445" s="242"/>
      <c r="U445" s="242"/>
      <c r="V445" s="242"/>
      <c r="W445" s="242"/>
      <c r="X445" s="242"/>
      <c r="Y445" s="148"/>
      <c r="Z445" s="148"/>
    </row>
    <row r="446">
      <c r="A446" s="57"/>
      <c r="B446" s="57"/>
      <c r="C446" s="561" t="s">
        <v>793</v>
      </c>
      <c r="D446" s="423">
        <v>200.0</v>
      </c>
      <c r="E446" s="228"/>
      <c r="F446" s="547"/>
      <c r="G446" s="579"/>
      <c r="H446" s="419"/>
      <c r="I446" s="57"/>
      <c r="J446" s="456"/>
      <c r="K446" s="420"/>
      <c r="L446" s="150"/>
      <c r="M446" s="425"/>
      <c r="O446" s="431"/>
      <c r="P446" s="157"/>
      <c r="Q446" s="404"/>
      <c r="R446" s="148"/>
      <c r="S446" s="242"/>
      <c r="T446" s="242"/>
      <c r="U446" s="242"/>
      <c r="V446" s="242"/>
      <c r="W446" s="242"/>
      <c r="X446" s="242"/>
      <c r="Y446" s="148"/>
      <c r="Z446" s="148"/>
    </row>
    <row r="447">
      <c r="A447" s="239"/>
      <c r="B447" s="57"/>
      <c r="C447" s="561" t="s">
        <v>794</v>
      </c>
      <c r="D447" s="157"/>
      <c r="E447" s="228"/>
      <c r="F447" s="547"/>
      <c r="G447" s="578"/>
      <c r="H447" s="419"/>
      <c r="I447" s="57"/>
      <c r="J447" s="375"/>
      <c r="K447" s="420"/>
      <c r="L447" s="150"/>
      <c r="M447" s="425"/>
      <c r="O447" s="431"/>
      <c r="P447" s="157"/>
      <c r="Q447" s="404"/>
      <c r="R447" s="148"/>
      <c r="S447" s="242"/>
      <c r="T447" s="242"/>
      <c r="U447" s="242"/>
      <c r="V447" s="242"/>
      <c r="W447" s="242"/>
      <c r="X447" s="242"/>
      <c r="Y447" s="148"/>
      <c r="Z447" s="148"/>
    </row>
    <row r="448">
      <c r="A448" s="238"/>
      <c r="B448" s="57"/>
      <c r="C448" s="561" t="s">
        <v>18</v>
      </c>
      <c r="D448" s="423"/>
      <c r="E448" s="228"/>
      <c r="F448" s="547"/>
      <c r="G448" s="578"/>
      <c r="H448" s="419"/>
      <c r="I448" s="57"/>
      <c r="J448" s="375"/>
      <c r="K448" s="420"/>
      <c r="L448" s="193"/>
      <c r="M448" s="382"/>
      <c r="O448" s="431"/>
      <c r="P448" s="157"/>
      <c r="Q448" s="404"/>
      <c r="R448" s="148"/>
      <c r="S448" s="242"/>
      <c r="T448" s="242"/>
      <c r="U448" s="242"/>
      <c r="V448" s="242"/>
      <c r="W448" s="242"/>
      <c r="X448" s="242"/>
      <c r="Y448" s="148"/>
      <c r="Z448" s="148"/>
    </row>
    <row r="449">
      <c r="A449" s="239"/>
      <c r="B449" s="57"/>
      <c r="C449" s="561" t="s">
        <v>773</v>
      </c>
      <c r="D449" s="157"/>
      <c r="E449" s="228"/>
      <c r="F449" s="547"/>
      <c r="G449" s="579"/>
      <c r="H449" s="419"/>
      <c r="I449" s="57"/>
      <c r="J449" s="452"/>
      <c r="K449" s="420"/>
      <c r="L449" s="150"/>
      <c r="M449" s="425"/>
      <c r="O449" s="431"/>
      <c r="P449" s="157"/>
      <c r="Q449" s="404"/>
      <c r="R449" s="148"/>
      <c r="S449" s="242"/>
      <c r="T449" s="242"/>
      <c r="U449" s="242"/>
      <c r="V449" s="242"/>
      <c r="W449" s="242"/>
      <c r="X449" s="242"/>
      <c r="Y449" s="148"/>
      <c r="Z449" s="148"/>
    </row>
    <row r="450">
      <c r="A450" s="238" t="s">
        <v>1108</v>
      </c>
      <c r="B450" s="57"/>
      <c r="C450" s="561" t="s">
        <v>774</v>
      </c>
      <c r="D450" s="423">
        <v>170.0</v>
      </c>
      <c r="E450" s="228"/>
      <c r="F450" s="547"/>
      <c r="G450" s="578"/>
      <c r="H450" s="419"/>
      <c r="I450" s="57"/>
      <c r="J450" s="105"/>
      <c r="K450" s="420"/>
      <c r="L450" s="150"/>
      <c r="M450" s="425"/>
      <c r="O450" s="431"/>
      <c r="P450" s="157"/>
      <c r="Q450" s="404"/>
      <c r="R450" s="148"/>
      <c r="S450" s="242"/>
      <c r="T450" s="242"/>
      <c r="U450" s="242"/>
      <c r="V450" s="242"/>
      <c r="W450" s="242"/>
      <c r="X450" s="242"/>
      <c r="Y450" s="148"/>
      <c r="Z450" s="148"/>
    </row>
    <row r="451">
      <c r="A451" s="238" t="s">
        <v>1109</v>
      </c>
      <c r="B451" s="239"/>
      <c r="C451" s="561" t="s">
        <v>775</v>
      </c>
      <c r="D451" s="423">
        <v>360.0</v>
      </c>
      <c r="E451" s="192"/>
      <c r="F451" s="547"/>
      <c r="G451" s="578"/>
      <c r="H451" s="419"/>
      <c r="I451" s="57"/>
      <c r="J451" s="378" t="s">
        <v>682</v>
      </c>
      <c r="K451" s="420"/>
      <c r="L451" s="193">
        <v>125.0</v>
      </c>
      <c r="M451" s="377" t="s">
        <v>1110</v>
      </c>
      <c r="O451" s="431"/>
      <c r="P451" s="157"/>
      <c r="Q451" s="404"/>
      <c r="R451" s="148"/>
      <c r="S451" s="242"/>
      <c r="T451" s="242"/>
      <c r="U451" s="242"/>
      <c r="V451" s="242"/>
      <c r="W451" s="242"/>
      <c r="X451" s="242"/>
      <c r="Y451" s="148"/>
      <c r="Z451" s="148"/>
    </row>
    <row r="452">
      <c r="A452" s="238"/>
      <c r="B452" s="239"/>
      <c r="C452" s="561" t="s">
        <v>10</v>
      </c>
      <c r="D452" s="423"/>
      <c r="E452" s="206"/>
      <c r="F452" s="564"/>
      <c r="G452" s="581"/>
      <c r="H452" s="419"/>
      <c r="I452" s="57"/>
      <c r="J452" s="461" t="s">
        <v>684</v>
      </c>
      <c r="K452" s="420"/>
      <c r="L452" s="193"/>
      <c r="M452" s="377"/>
      <c r="O452" s="431"/>
      <c r="P452" s="157"/>
      <c r="Q452" s="404"/>
      <c r="R452" s="148"/>
      <c r="S452" s="242"/>
      <c r="T452" s="242"/>
      <c r="U452" s="242"/>
      <c r="V452" s="242"/>
      <c r="W452" s="242"/>
      <c r="X452" s="242"/>
      <c r="Y452" s="148"/>
      <c r="Z452" s="148"/>
    </row>
    <row r="453">
      <c r="A453" s="662" t="s">
        <v>1111</v>
      </c>
      <c r="B453" s="239"/>
      <c r="C453" s="561" t="s">
        <v>6</v>
      </c>
      <c r="D453" s="423">
        <v>305.0</v>
      </c>
      <c r="E453" s="206"/>
      <c r="F453" s="547"/>
      <c r="G453" s="579"/>
      <c r="H453" s="455"/>
      <c r="I453" s="57"/>
      <c r="J453" s="461" t="s">
        <v>686</v>
      </c>
      <c r="K453" s="420"/>
      <c r="L453" s="150"/>
      <c r="M453" s="374"/>
      <c r="O453" s="463"/>
      <c r="P453" s="157"/>
      <c r="Q453" s="404"/>
      <c r="R453" s="148"/>
      <c r="S453" s="242"/>
      <c r="T453" s="242"/>
      <c r="U453" s="242"/>
      <c r="V453" s="242"/>
      <c r="W453" s="242"/>
      <c r="X453" s="242"/>
      <c r="Y453" s="148"/>
      <c r="Z453" s="148"/>
    </row>
    <row r="454">
      <c r="A454" s="57"/>
      <c r="B454" s="57"/>
      <c r="C454" s="561" t="s">
        <v>779</v>
      </c>
      <c r="D454" s="157"/>
      <c r="E454" s="228"/>
      <c r="F454" s="547"/>
      <c r="G454" s="579"/>
      <c r="H454" s="455"/>
      <c r="I454" s="239"/>
      <c r="J454" s="460"/>
      <c r="K454" s="420"/>
      <c r="L454" s="193"/>
      <c r="M454" s="377"/>
      <c r="O454" s="463"/>
      <c r="P454" s="157"/>
      <c r="Q454" s="404"/>
      <c r="R454" s="148"/>
      <c r="S454" s="242"/>
      <c r="T454" s="242"/>
      <c r="U454" s="242"/>
      <c r="V454" s="242"/>
      <c r="W454" s="242"/>
      <c r="X454" s="242"/>
      <c r="Y454" s="148"/>
      <c r="Z454" s="148"/>
    </row>
    <row r="455">
      <c r="A455" s="239"/>
      <c r="B455" s="239"/>
      <c r="C455" s="561" t="s">
        <v>780</v>
      </c>
      <c r="D455" s="423"/>
      <c r="E455" s="228"/>
      <c r="F455" s="547"/>
      <c r="G455" s="579"/>
      <c r="H455" s="455"/>
      <c r="I455" s="57"/>
      <c r="J455" s="460"/>
      <c r="K455" s="420"/>
      <c r="L455" s="193"/>
      <c r="M455" s="374"/>
      <c r="O455" s="463"/>
      <c r="P455" s="157"/>
      <c r="Q455" s="404"/>
      <c r="R455" s="148"/>
      <c r="S455" s="242"/>
      <c r="T455" s="242"/>
      <c r="U455" s="242"/>
      <c r="V455" s="242"/>
      <c r="W455" s="242"/>
      <c r="X455" s="242"/>
      <c r="Y455" s="148"/>
      <c r="Z455" s="148"/>
    </row>
    <row r="456">
      <c r="A456" s="215"/>
      <c r="B456" s="239"/>
      <c r="C456" s="561" t="s">
        <v>781</v>
      </c>
      <c r="D456" s="423"/>
      <c r="E456" s="192"/>
      <c r="F456" s="547"/>
      <c r="G456" s="579"/>
      <c r="H456" s="419"/>
      <c r="I456" s="239"/>
      <c r="J456" s="568"/>
      <c r="K456" s="420"/>
      <c r="L456" s="150"/>
      <c r="M456" s="374"/>
      <c r="O456" s="431"/>
      <c r="P456" s="157"/>
      <c r="Q456" s="404"/>
      <c r="R456" s="148"/>
      <c r="S456" s="242"/>
      <c r="T456" s="242"/>
      <c r="U456" s="242"/>
      <c r="V456" s="242"/>
      <c r="W456" s="242"/>
      <c r="X456" s="242"/>
      <c r="Y456" s="148"/>
      <c r="Z456" s="148"/>
    </row>
    <row r="457">
      <c r="A457" s="239"/>
      <c r="B457" s="157"/>
      <c r="C457" s="561"/>
      <c r="D457" s="157"/>
      <c r="E457" s="569"/>
      <c r="F457" s="547"/>
      <c r="G457" s="578"/>
      <c r="H457" s="419"/>
      <c r="I457" s="57"/>
      <c r="J457" s="374"/>
      <c r="K457" s="420"/>
      <c r="L457" s="193"/>
      <c r="M457" s="377"/>
      <c r="O457" s="431"/>
      <c r="P457" s="157"/>
      <c r="Q457" s="404"/>
      <c r="R457" s="148"/>
      <c r="S457" s="242"/>
      <c r="T457" s="242"/>
      <c r="U457" s="242"/>
      <c r="V457" s="242"/>
      <c r="W457" s="242"/>
      <c r="X457" s="242"/>
      <c r="Y457" s="148"/>
      <c r="Z457" s="148"/>
    </row>
    <row r="458">
      <c r="A458" s="239"/>
      <c r="B458" s="157"/>
      <c r="C458" s="561"/>
      <c r="D458" s="157"/>
      <c r="E458" s="228"/>
      <c r="F458" s="547"/>
      <c r="G458" s="578"/>
      <c r="H458" s="419"/>
      <c r="I458" s="239"/>
      <c r="J458" s="596" t="s">
        <v>1001</v>
      </c>
      <c r="K458" s="420"/>
      <c r="L458" s="193">
        <v>190.0</v>
      </c>
      <c r="M458" s="377"/>
      <c r="O458" s="431"/>
      <c r="P458" s="157"/>
      <c r="Q458" s="404"/>
      <c r="R458" s="148"/>
      <c r="S458" s="242"/>
      <c r="T458" s="242"/>
      <c r="U458" s="242"/>
      <c r="V458" s="242"/>
      <c r="W458" s="242"/>
      <c r="X458" s="242"/>
      <c r="Y458" s="148"/>
      <c r="Z458" s="148"/>
    </row>
    <row r="459">
      <c r="A459" s="239"/>
      <c r="B459" s="157"/>
      <c r="C459" s="561"/>
      <c r="D459" s="157"/>
      <c r="E459" s="570"/>
      <c r="F459" s="547"/>
      <c r="G459" s="578"/>
      <c r="H459" s="419"/>
      <c r="I459" s="239"/>
      <c r="J459" s="568"/>
      <c r="K459" s="420"/>
      <c r="L459" s="193"/>
      <c r="M459" s="374"/>
      <c r="O459" s="431"/>
      <c r="P459" s="157"/>
      <c r="Q459" s="404"/>
      <c r="R459" s="148"/>
      <c r="S459" s="242"/>
      <c r="T459" s="242"/>
      <c r="U459" s="242"/>
      <c r="V459" s="242"/>
      <c r="W459" s="242"/>
      <c r="X459" s="242"/>
      <c r="Y459" s="148"/>
      <c r="Z459" s="148"/>
    </row>
    <row r="460">
      <c r="C460" s="571"/>
      <c r="D460" s="157"/>
      <c r="E460" s="570"/>
      <c r="F460" s="547"/>
      <c r="G460" s="578"/>
      <c r="H460" s="419"/>
      <c r="I460" s="239"/>
      <c r="J460" s="464" t="s">
        <v>692</v>
      </c>
      <c r="K460" s="420"/>
      <c r="L460" s="193">
        <v>97.6</v>
      </c>
      <c r="M460" s="377" t="s">
        <v>1112</v>
      </c>
      <c r="O460" s="431"/>
      <c r="P460" s="157"/>
      <c r="Q460" s="404"/>
      <c r="R460" s="148"/>
      <c r="S460" s="242"/>
      <c r="T460" s="242"/>
      <c r="U460" s="242"/>
      <c r="V460" s="242"/>
      <c r="W460" s="242"/>
      <c r="X460" s="242"/>
      <c r="Y460" s="148"/>
      <c r="Z460" s="148"/>
    </row>
    <row r="461">
      <c r="C461" s="571"/>
      <c r="D461" s="157"/>
      <c r="E461" s="570"/>
      <c r="F461" s="547"/>
      <c r="G461" s="578"/>
      <c r="H461" s="419"/>
      <c r="I461" s="239"/>
      <c r="J461" s="464" t="s">
        <v>694</v>
      </c>
      <c r="K461" s="420"/>
      <c r="L461" s="150"/>
      <c r="M461" s="374"/>
      <c r="O461" s="431"/>
      <c r="P461" s="157"/>
      <c r="Q461" s="404"/>
      <c r="R461" s="148"/>
      <c r="S461" s="242"/>
      <c r="T461" s="242"/>
      <c r="U461" s="242"/>
      <c r="V461" s="242"/>
      <c r="W461" s="242"/>
      <c r="X461" s="242"/>
      <c r="Y461" s="148"/>
      <c r="Z461" s="148"/>
    </row>
    <row r="462">
      <c r="C462" s="571"/>
      <c r="D462" s="423"/>
      <c r="E462" s="570"/>
      <c r="F462" s="546"/>
      <c r="G462" s="578"/>
      <c r="H462" s="419"/>
      <c r="I462" s="57"/>
      <c r="J462" s="105"/>
      <c r="K462" s="57"/>
      <c r="L462" s="150"/>
      <c r="M462" s="57"/>
      <c r="N462" s="57"/>
      <c r="O462" s="57"/>
      <c r="P462" s="157"/>
      <c r="Q462" s="404"/>
      <c r="R462" s="148"/>
      <c r="S462" s="242"/>
      <c r="T462" s="242"/>
      <c r="U462" s="242"/>
      <c r="V462" s="242"/>
      <c r="W462" s="242"/>
      <c r="X462" s="242"/>
      <c r="Y462" s="148"/>
      <c r="Z462" s="148"/>
    </row>
    <row r="463">
      <c r="A463" s="125" t="s">
        <v>798</v>
      </c>
      <c r="B463" s="572">
        <f>C436-B440</f>
        <v>-403.18</v>
      </c>
      <c r="D463" s="157"/>
      <c r="E463" s="570"/>
      <c r="F463" s="573"/>
      <c r="G463" s="581"/>
      <c r="H463" s="419"/>
      <c r="I463" s="239"/>
      <c r="J463" s="568"/>
      <c r="K463" s="57"/>
      <c r="L463" s="150"/>
      <c r="M463" s="57"/>
      <c r="N463" s="57"/>
      <c r="O463" s="57"/>
      <c r="P463" s="157"/>
      <c r="Q463" s="404"/>
      <c r="R463" s="148"/>
      <c r="S463" s="242"/>
      <c r="T463" s="242"/>
      <c r="U463" s="242"/>
      <c r="V463" s="242"/>
      <c r="W463" s="242"/>
      <c r="X463" s="242"/>
      <c r="Y463" s="148"/>
      <c r="Z463" s="148"/>
    </row>
    <row r="464">
      <c r="A464" s="274" t="s">
        <v>783</v>
      </c>
      <c r="B464" s="109">
        <v>670.0</v>
      </c>
      <c r="C464" s="395"/>
      <c r="D464" s="157"/>
      <c r="E464" s="570"/>
      <c r="F464" s="573"/>
      <c r="G464" s="581"/>
      <c r="H464" s="419"/>
      <c r="I464" s="239"/>
      <c r="J464" s="568"/>
      <c r="K464" s="57"/>
      <c r="L464" s="150"/>
      <c r="M464" s="57"/>
      <c r="N464" s="57"/>
      <c r="O464" s="57"/>
      <c r="P464" s="157"/>
      <c r="Q464" s="404"/>
      <c r="R464" s="148"/>
      <c r="S464" s="242"/>
      <c r="T464" s="242"/>
      <c r="U464" s="242"/>
      <c r="V464" s="242"/>
      <c r="W464" s="242"/>
      <c r="X464" s="242"/>
      <c r="Y464" s="148"/>
      <c r="Z464" s="148"/>
    </row>
    <row r="465">
      <c r="A465" s="274" t="s">
        <v>784</v>
      </c>
      <c r="B465" s="109">
        <v>2500.0</v>
      </c>
      <c r="C465" s="395"/>
      <c r="D465" s="157"/>
      <c r="E465" s="570"/>
      <c r="F465" s="573"/>
      <c r="G465" s="581"/>
      <c r="H465" s="419"/>
      <c r="I465" s="239"/>
      <c r="J465" s="568"/>
      <c r="K465" s="57"/>
      <c r="L465" s="150"/>
      <c r="M465" s="57"/>
      <c r="N465" s="57"/>
      <c r="O465" s="57"/>
      <c r="P465" s="157"/>
      <c r="Q465" s="404"/>
      <c r="R465" s="148"/>
      <c r="S465" s="242"/>
      <c r="T465" s="242"/>
      <c r="U465" s="242"/>
      <c r="V465" s="242"/>
      <c r="W465" s="242"/>
      <c r="X465" s="242"/>
      <c r="Y465" s="148"/>
      <c r="Z465" s="148"/>
    </row>
    <row r="466">
      <c r="A466" s="274" t="s">
        <v>785</v>
      </c>
      <c r="B466" s="109"/>
      <c r="C466" s="395"/>
      <c r="D466" s="157"/>
      <c r="E466" s="570"/>
      <c r="F466" s="573"/>
      <c r="G466" s="581"/>
      <c r="H466" s="419"/>
      <c r="I466" s="239"/>
      <c r="J466" s="568"/>
      <c r="K466" s="57"/>
      <c r="L466" s="150"/>
      <c r="M466" s="57"/>
      <c r="N466" s="57"/>
      <c r="O466" s="57"/>
      <c r="P466" s="157"/>
      <c r="Q466" s="404"/>
      <c r="R466" s="148"/>
      <c r="S466" s="242"/>
      <c r="T466" s="242"/>
      <c r="U466" s="242"/>
      <c r="V466" s="242"/>
      <c r="W466" s="242"/>
      <c r="X466" s="242"/>
      <c r="Y466" s="148"/>
      <c r="Z466" s="148"/>
    </row>
    <row r="467">
      <c r="A467" s="402"/>
      <c r="B467" s="403"/>
      <c r="C467" s="403"/>
      <c r="D467" s="403"/>
      <c r="E467" s="574"/>
      <c r="F467" s="575"/>
      <c r="G467" s="576"/>
      <c r="H467" s="159"/>
      <c r="I467" s="159"/>
      <c r="J467" s="576"/>
      <c r="K467" s="159"/>
      <c r="L467" s="162"/>
      <c r="M467" s="402"/>
      <c r="N467" s="402"/>
      <c r="O467" s="159"/>
      <c r="P467" s="403"/>
      <c r="Q467" s="577"/>
      <c r="R467" s="148"/>
      <c r="S467" s="242"/>
      <c r="T467" s="242"/>
      <c r="U467" s="242"/>
      <c r="V467" s="242"/>
      <c r="W467" s="242"/>
      <c r="X467" s="242"/>
      <c r="Y467" s="148"/>
      <c r="Z467" s="148"/>
    </row>
    <row r="468">
      <c r="A468" s="148"/>
      <c r="B468" s="148"/>
      <c r="C468" s="148"/>
      <c r="D468" s="245"/>
      <c r="E468" s="585"/>
      <c r="F468" s="586"/>
      <c r="G468" s="243"/>
      <c r="H468" s="148"/>
      <c r="I468" s="251"/>
      <c r="J468" s="243"/>
      <c r="K468" s="148"/>
      <c r="L468" s="277"/>
      <c r="M468" s="252"/>
      <c r="N468" s="250"/>
      <c r="O468" s="253"/>
      <c r="P468" s="240"/>
      <c r="Q468" s="148"/>
      <c r="R468" s="148"/>
      <c r="S468" s="242"/>
      <c r="T468" s="242"/>
      <c r="U468" s="242"/>
      <c r="V468" s="242"/>
      <c r="W468" s="242"/>
      <c r="X468" s="242"/>
      <c r="Y468" s="148"/>
      <c r="Z468" s="148"/>
    </row>
    <row r="469">
      <c r="A469" s="601" t="s">
        <v>911</v>
      </c>
      <c r="B469" s="361"/>
      <c r="C469" s="602" t="s">
        <v>912</v>
      </c>
      <c r="D469" s="601" t="s">
        <v>913</v>
      </c>
      <c r="E469" s="361"/>
      <c r="F469" s="603"/>
      <c r="G469" s="243"/>
      <c r="H469" s="243"/>
      <c r="I469" s="243"/>
      <c r="J469" s="243"/>
      <c r="K469" s="243"/>
      <c r="L469" s="277"/>
      <c r="M469" s="425"/>
      <c r="N469" s="604"/>
      <c r="O469" s="323"/>
      <c r="P469" s="317"/>
      <c r="Q469" s="243"/>
      <c r="R469" s="243"/>
      <c r="S469" s="317"/>
      <c r="T469" s="317"/>
      <c r="U469" s="317"/>
      <c r="V469" s="317"/>
      <c r="W469" s="317"/>
      <c r="X469" s="317"/>
      <c r="Y469" s="243"/>
      <c r="Z469" s="243"/>
    </row>
    <row r="470">
      <c r="A470" s="605" t="s">
        <v>341</v>
      </c>
      <c r="B470" s="606">
        <f t="shared" ref="B470:B479" si="1">SUM(L4,L43,L82,L121,L160,L199,L238,L277,L316,L355,L394,L433)</f>
        <v>0</v>
      </c>
      <c r="C470" s="109"/>
      <c r="D470" s="607" t="s">
        <v>766</v>
      </c>
      <c r="E470" s="608">
        <f>SUM(D12,D51,D90,D129,D168,D207,D246,D285,D324,D363,D402,D441)</f>
        <v>4657.34</v>
      </c>
      <c r="F470" s="609"/>
      <c r="G470" s="243"/>
      <c r="H470" s="243"/>
      <c r="I470" s="243"/>
      <c r="J470" s="243"/>
      <c r="K470" s="243"/>
      <c r="L470" s="277"/>
      <c r="M470" s="425"/>
      <c r="N470" s="604"/>
      <c r="O470" s="323"/>
      <c r="P470" s="317"/>
      <c r="Q470" s="243"/>
      <c r="R470" s="243"/>
      <c r="S470" s="317"/>
      <c r="T470" s="317"/>
      <c r="U470" s="317"/>
      <c r="V470" s="317"/>
      <c r="W470" s="317"/>
      <c r="X470" s="317"/>
      <c r="Y470" s="243"/>
      <c r="Z470" s="243"/>
    </row>
    <row r="471">
      <c r="A471" s="610" t="s">
        <v>345</v>
      </c>
      <c r="B471" s="683">
        <f t="shared" si="1"/>
        <v>479.3</v>
      </c>
      <c r="C471" s="538"/>
      <c r="D471" s="607" t="s">
        <v>767</v>
      </c>
      <c r="E471" s="608">
        <f t="shared" ref="E471:E473" si="2">SUM(D442,D403,D364,D325,D286,D247,D208,D169,D130,D91,D52,D13)</f>
        <v>965.72</v>
      </c>
      <c r="F471" s="612"/>
      <c r="G471" s="243"/>
      <c r="H471" s="243"/>
      <c r="I471" s="243"/>
      <c r="J471" s="243"/>
      <c r="K471" s="243"/>
      <c r="L471" s="277"/>
      <c r="M471" s="425"/>
      <c r="N471" s="604"/>
      <c r="O471" s="323"/>
      <c r="P471" s="317"/>
      <c r="Q471" s="243"/>
      <c r="R471" s="243"/>
      <c r="S471" s="317"/>
      <c r="T471" s="317"/>
      <c r="U471" s="317"/>
      <c r="V471" s="317"/>
      <c r="W471" s="317"/>
      <c r="X471" s="317"/>
      <c r="Y471" s="243"/>
      <c r="Z471" s="243"/>
    </row>
    <row r="472">
      <c r="A472" s="613" t="s">
        <v>656</v>
      </c>
      <c r="B472" s="611">
        <f t="shared" si="1"/>
        <v>1098.21</v>
      </c>
      <c r="C472" s="614"/>
      <c r="D472" s="607" t="s">
        <v>768</v>
      </c>
      <c r="E472" s="608">
        <f t="shared" si="2"/>
        <v>189.69</v>
      </c>
      <c r="F472" s="612"/>
      <c r="G472" s="243"/>
      <c r="H472" s="243"/>
      <c r="I472" s="243"/>
      <c r="J472" s="243"/>
      <c r="K472" s="243"/>
      <c r="L472" s="277"/>
      <c r="M472" s="425"/>
      <c r="N472" s="604"/>
      <c r="O472" s="323"/>
      <c r="P472" s="317"/>
      <c r="Q472" s="243"/>
      <c r="R472" s="243"/>
      <c r="S472" s="317"/>
      <c r="T472" s="317"/>
      <c r="U472" s="317"/>
      <c r="V472" s="317"/>
      <c r="W472" s="317"/>
      <c r="X472" s="317"/>
      <c r="Y472" s="243"/>
      <c r="Z472" s="243"/>
    </row>
    <row r="473">
      <c r="A473" s="615" t="s">
        <v>658</v>
      </c>
      <c r="B473" s="611">
        <f t="shared" si="1"/>
        <v>524.9</v>
      </c>
      <c r="C473" s="400"/>
      <c r="D473" s="607" t="s">
        <v>769</v>
      </c>
      <c r="E473" s="608">
        <f t="shared" si="2"/>
        <v>144</v>
      </c>
      <c r="F473" s="612"/>
      <c r="G473" s="243"/>
      <c r="H473" s="243"/>
      <c r="I473" s="243"/>
      <c r="J473" s="243"/>
      <c r="K473" s="243"/>
      <c r="L473" s="277"/>
      <c r="M473" s="425"/>
      <c r="N473" s="604"/>
      <c r="O473" s="323"/>
      <c r="P473" s="317"/>
      <c r="Q473" s="243"/>
      <c r="R473" s="243"/>
      <c r="S473" s="317"/>
      <c r="T473" s="317"/>
      <c r="U473" s="317"/>
      <c r="V473" s="317"/>
      <c r="W473" s="317"/>
      <c r="X473" s="317"/>
      <c r="Y473" s="243"/>
      <c r="Z473" s="243"/>
    </row>
    <row r="474">
      <c r="A474" s="615" t="s">
        <v>660</v>
      </c>
      <c r="B474" s="611">
        <f t="shared" si="1"/>
        <v>1730</v>
      </c>
      <c r="C474" s="400"/>
      <c r="D474" s="607" t="s">
        <v>770</v>
      </c>
      <c r="E474" s="608">
        <f>SUM(D16,D55,D94,D133,D172,D211,D250,D289,D328,D367,D406,D445)</f>
        <v>0</v>
      </c>
      <c r="F474" s="612"/>
      <c r="G474" s="243"/>
      <c r="H474" s="243"/>
      <c r="I474" s="243"/>
      <c r="J474" s="243"/>
      <c r="K474" s="243"/>
      <c r="L474" s="277"/>
      <c r="M474" s="425"/>
      <c r="N474" s="604"/>
      <c r="O474" s="323"/>
      <c r="P474" s="317"/>
      <c r="Q474" s="243"/>
      <c r="R474" s="243"/>
      <c r="S474" s="317"/>
      <c r="T474" s="317"/>
      <c r="U474" s="317"/>
      <c r="V474" s="317"/>
      <c r="W474" s="317"/>
      <c r="X474" s="317"/>
      <c r="Y474" s="243"/>
      <c r="Z474" s="243"/>
    </row>
    <row r="475">
      <c r="A475" s="616" t="s">
        <v>662</v>
      </c>
      <c r="B475" s="611">
        <f t="shared" si="1"/>
        <v>358</v>
      </c>
      <c r="C475" s="400"/>
      <c r="D475" s="617" t="s">
        <v>793</v>
      </c>
      <c r="E475" s="608">
        <f>SUM(D446,D407,D368,D329,D290,D251,D212,D173,D134,D95,D56,D17)</f>
        <v>2910</v>
      </c>
      <c r="F475" s="618"/>
      <c r="G475" s="243"/>
      <c r="H475" s="243"/>
      <c r="I475" s="243"/>
      <c r="J475" s="243"/>
      <c r="K475" s="243"/>
      <c r="L475" s="277"/>
      <c r="M475" s="425"/>
      <c r="N475" s="604"/>
      <c r="O475" s="323"/>
      <c r="P475" s="317"/>
      <c r="Q475" s="243"/>
      <c r="R475" s="243"/>
      <c r="S475" s="317"/>
      <c r="T475" s="317"/>
      <c r="U475" s="317"/>
      <c r="V475" s="317"/>
      <c r="W475" s="317"/>
      <c r="X475" s="317"/>
      <c r="Y475" s="243"/>
      <c r="Z475" s="243"/>
    </row>
    <row r="476">
      <c r="A476" s="613" t="s">
        <v>666</v>
      </c>
      <c r="B476" s="611">
        <f t="shared" si="1"/>
        <v>463.43</v>
      </c>
      <c r="C476" s="400"/>
      <c r="D476" s="617" t="s">
        <v>794</v>
      </c>
      <c r="E476" s="608">
        <f>SUM(D18,D57,D96,D135,D174,D213,D252,D291,D330,D369,D408,D447)</f>
        <v>87</v>
      </c>
      <c r="F476" s="612"/>
      <c r="G476" s="243"/>
      <c r="H476" s="243"/>
      <c r="I476" s="243"/>
      <c r="J476" s="243"/>
      <c r="K476" s="243"/>
      <c r="L476" s="277"/>
      <c r="M476" s="425"/>
      <c r="N476" s="604"/>
      <c r="O476" s="323"/>
      <c r="P476" s="317"/>
      <c r="Q476" s="243"/>
      <c r="R476" s="243"/>
      <c r="S476" s="317"/>
      <c r="T476" s="317"/>
      <c r="U476" s="317"/>
      <c r="V476" s="317"/>
      <c r="W476" s="317"/>
      <c r="X476" s="317"/>
      <c r="Y476" s="243"/>
      <c r="Z476" s="243"/>
    </row>
    <row r="477">
      <c r="A477" s="613" t="s">
        <v>668</v>
      </c>
      <c r="B477" s="611">
        <f t="shared" si="1"/>
        <v>1643</v>
      </c>
      <c r="C477" s="400"/>
      <c r="D477" s="607" t="s">
        <v>18</v>
      </c>
      <c r="E477" s="608">
        <f t="shared" ref="E477:E480" si="3">SUM(D448,D409,D370,D331,D292,D253,D214,D175,D136,D97,D58,D19)</f>
        <v>1113.45</v>
      </c>
      <c r="F477" s="612"/>
      <c r="G477" s="243"/>
      <c r="H477" s="243"/>
      <c r="I477" s="243"/>
      <c r="J477" s="243"/>
      <c r="K477" s="243"/>
      <c r="L477" s="277"/>
      <c r="M477" s="425"/>
      <c r="N477" s="604"/>
      <c r="O477" s="323"/>
      <c r="P477" s="317"/>
      <c r="Q477" s="243"/>
      <c r="R477" s="243"/>
      <c r="S477" s="317"/>
      <c r="T477" s="317"/>
      <c r="U477" s="317"/>
      <c r="V477" s="317"/>
      <c r="W477" s="317"/>
      <c r="X477" s="317"/>
      <c r="Y477" s="243"/>
      <c r="Z477" s="243"/>
    </row>
    <row r="478">
      <c r="A478" s="613" t="s">
        <v>670</v>
      </c>
      <c r="B478" s="611">
        <f t="shared" si="1"/>
        <v>15150</v>
      </c>
      <c r="C478" s="619"/>
      <c r="D478" s="607" t="s">
        <v>773</v>
      </c>
      <c r="E478" s="608">
        <f t="shared" si="3"/>
        <v>1132</v>
      </c>
      <c r="F478" s="612"/>
      <c r="G478" s="243"/>
      <c r="H478" s="243"/>
      <c r="I478" s="243"/>
      <c r="J478" s="243"/>
      <c r="K478" s="243"/>
      <c r="L478" s="277"/>
      <c r="M478" s="425"/>
      <c r="N478" s="604"/>
      <c r="O478" s="323"/>
      <c r="P478" s="317"/>
      <c r="Q478" s="243"/>
      <c r="R478" s="243"/>
      <c r="S478" s="317"/>
      <c r="T478" s="317"/>
      <c r="U478" s="317"/>
      <c r="V478" s="317"/>
      <c r="W478" s="317"/>
      <c r="X478" s="317"/>
      <c r="Y478" s="243"/>
      <c r="Z478" s="243"/>
    </row>
    <row r="479">
      <c r="A479" s="613" t="s">
        <v>217</v>
      </c>
      <c r="B479" s="611">
        <f t="shared" si="1"/>
        <v>151</v>
      </c>
      <c r="C479" s="400"/>
      <c r="D479" s="607" t="s">
        <v>774</v>
      </c>
      <c r="E479" s="608">
        <f t="shared" si="3"/>
        <v>3945.8</v>
      </c>
      <c r="F479" s="612"/>
      <c r="G479" s="243"/>
      <c r="H479" s="243"/>
      <c r="I479" s="243"/>
      <c r="J479" s="243"/>
      <c r="K479" s="243"/>
      <c r="L479" s="277"/>
      <c r="M479" s="425"/>
      <c r="N479" s="604"/>
      <c r="O479" s="323"/>
      <c r="P479" s="317"/>
      <c r="Q479" s="243"/>
      <c r="R479" s="243"/>
      <c r="S479" s="317"/>
      <c r="T479" s="317"/>
      <c r="U479" s="317"/>
      <c r="V479" s="317"/>
      <c r="W479" s="317"/>
      <c r="X479" s="317"/>
      <c r="Y479" s="243"/>
      <c r="Z479" s="243"/>
    </row>
    <row r="480">
      <c r="A480" s="620" t="s">
        <v>672</v>
      </c>
      <c r="B480" s="611">
        <f>SUM(L444,L405,L366,L327,L288,L249,L210,L171,L132,L93,L54,L15)</f>
        <v>174.02</v>
      </c>
      <c r="C480" s="400"/>
      <c r="D480" s="607" t="s">
        <v>775</v>
      </c>
      <c r="E480" s="608">
        <f t="shared" si="3"/>
        <v>6007.23</v>
      </c>
      <c r="F480" s="612"/>
      <c r="G480" s="243"/>
      <c r="H480" s="243"/>
      <c r="I480" s="243"/>
      <c r="J480" s="243"/>
      <c r="K480" s="243"/>
      <c r="L480" s="277"/>
      <c r="M480" s="425"/>
      <c r="N480" s="604"/>
      <c r="O480" s="323"/>
      <c r="P480" s="317"/>
      <c r="Q480" s="243"/>
      <c r="R480" s="243"/>
      <c r="S480" s="317"/>
      <c r="T480" s="317"/>
      <c r="U480" s="317"/>
      <c r="V480" s="317"/>
      <c r="W480" s="317"/>
      <c r="X480" s="317"/>
      <c r="Y480" s="243"/>
      <c r="Z480" s="243"/>
    </row>
    <row r="481">
      <c r="A481" s="620" t="s">
        <v>675</v>
      </c>
      <c r="B481" s="611">
        <f>SUM(L445,L406,L367,L328,L328,L289,L250,L211,L172,L133,L94,L55,L16)</f>
        <v>146</v>
      </c>
      <c r="C481" s="400"/>
      <c r="D481" s="607" t="s">
        <v>10</v>
      </c>
      <c r="E481" s="608">
        <f t="shared" ref="E481:E482" si="4">SUM(D23,D62,D101,D140,D179,D218,D257,D296,D335,D374,D413,D452)</f>
        <v>135</v>
      </c>
      <c r="F481" s="612"/>
      <c r="G481" s="243"/>
      <c r="H481" s="243"/>
      <c r="I481" s="243"/>
      <c r="J481" s="243"/>
      <c r="K481" s="243"/>
      <c r="L481" s="277"/>
      <c r="M481" s="425"/>
      <c r="N481" s="604"/>
      <c r="O481" s="323"/>
      <c r="P481" s="317"/>
      <c r="Q481" s="243"/>
      <c r="R481" s="243"/>
      <c r="S481" s="317"/>
      <c r="T481" s="317"/>
      <c r="U481" s="317"/>
      <c r="V481" s="317"/>
      <c r="W481" s="317"/>
      <c r="X481" s="317"/>
      <c r="Y481" s="243"/>
      <c r="Z481" s="243"/>
    </row>
    <row r="482">
      <c r="A482" s="621" t="s">
        <v>682</v>
      </c>
      <c r="B482" s="611">
        <f>SUM(L22,L61,L100,L139,L178,L217,L256,L295,L334,L373,L412,L451)</f>
        <v>1056</v>
      </c>
      <c r="C482" s="400"/>
      <c r="D482" s="607" t="s">
        <v>6</v>
      </c>
      <c r="E482" s="608">
        <f t="shared" si="4"/>
        <v>1947</v>
      </c>
      <c r="F482" s="612"/>
      <c r="G482" s="243"/>
      <c r="H482" s="243"/>
      <c r="I482" s="243"/>
      <c r="J482" s="243"/>
      <c r="K482" s="243"/>
      <c r="L482" s="277"/>
      <c r="M482" s="425"/>
      <c r="N482" s="622"/>
      <c r="O482" s="323"/>
      <c r="P482" s="317"/>
      <c r="Q482" s="243"/>
      <c r="R482" s="243"/>
      <c r="S482" s="317"/>
      <c r="T482" s="317"/>
      <c r="U482" s="317"/>
      <c r="V482" s="317"/>
      <c r="W482" s="317"/>
      <c r="X482" s="317"/>
      <c r="Y482" s="243"/>
      <c r="Z482" s="243"/>
    </row>
    <row r="483">
      <c r="A483" s="623" t="s">
        <v>684</v>
      </c>
      <c r="B483" s="611">
        <f>SUM(L452,L413,L374,L335,L296,L257,L218,L179,L140,L101,L62,L23)</f>
        <v>250</v>
      </c>
      <c r="C483" s="400"/>
      <c r="D483" s="607" t="s">
        <v>779</v>
      </c>
      <c r="E483" s="608">
        <f t="shared" ref="E483:E485" si="5">SUM(D454,D415,D376,D337,D298,D259,D220,D181,D142,D103,D64,D25)</f>
        <v>0</v>
      </c>
      <c r="F483" s="586"/>
      <c r="G483" s="243"/>
      <c r="H483" s="243"/>
      <c r="I483" s="243"/>
      <c r="J483" s="243"/>
      <c r="K483" s="243"/>
      <c r="L483" s="277"/>
      <c r="M483" s="425"/>
      <c r="N483" s="622"/>
      <c r="O483" s="323"/>
      <c r="P483" s="317"/>
      <c r="Q483" s="243"/>
      <c r="R483" s="243"/>
      <c r="S483" s="317"/>
      <c r="T483" s="317"/>
      <c r="U483" s="317"/>
      <c r="V483" s="317"/>
      <c r="W483" s="317"/>
      <c r="X483" s="317"/>
      <c r="Y483" s="243"/>
      <c r="Z483" s="243"/>
    </row>
    <row r="484">
      <c r="A484" s="623" t="s">
        <v>686</v>
      </c>
      <c r="B484" s="611">
        <f>SUM(L24,L63,L102,L141,L180,L219,L258,L297,L336,L375,L414,L453)</f>
        <v>460</v>
      </c>
      <c r="C484" s="400"/>
      <c r="D484" s="607" t="s">
        <v>780</v>
      </c>
      <c r="E484" s="608">
        <f t="shared" si="5"/>
        <v>100</v>
      </c>
      <c r="F484" s="586"/>
      <c r="G484" s="243"/>
      <c r="H484" s="243"/>
      <c r="I484" s="243"/>
      <c r="J484" s="243"/>
      <c r="K484" s="243"/>
      <c r="L484" s="277"/>
      <c r="M484" s="425"/>
      <c r="N484" s="604"/>
      <c r="O484" s="323"/>
      <c r="P484" s="317"/>
      <c r="Q484" s="243"/>
      <c r="R484" s="243"/>
      <c r="S484" s="317"/>
      <c r="T484" s="317"/>
      <c r="U484" s="317"/>
      <c r="V484" s="317"/>
      <c r="W484" s="317"/>
      <c r="X484" s="317"/>
      <c r="Y484" s="243"/>
      <c r="Z484" s="243"/>
    </row>
    <row r="485">
      <c r="A485" s="624" t="s">
        <v>202</v>
      </c>
      <c r="B485" s="611">
        <f t="shared" ref="B485:B486" si="6">SUM(L454,L415,L376,L337,L298,L259,L220,L181,L142,L103,L64,L25)</f>
        <v>0</v>
      </c>
      <c r="C485" s="400"/>
      <c r="D485" s="607" t="s">
        <v>781</v>
      </c>
      <c r="E485" s="608">
        <f t="shared" si="5"/>
        <v>1415.5</v>
      </c>
      <c r="F485" s="586"/>
      <c r="G485" s="243"/>
      <c r="H485" s="243"/>
      <c r="I485" s="243"/>
      <c r="J485" s="243"/>
      <c r="K485" s="243"/>
      <c r="L485" s="277"/>
      <c r="M485" s="425"/>
      <c r="N485" s="604"/>
      <c r="O485" s="323"/>
      <c r="P485" s="317"/>
      <c r="Q485" s="243"/>
      <c r="R485" s="243"/>
      <c r="S485" s="317"/>
      <c r="T485" s="317"/>
      <c r="U485" s="317"/>
      <c r="V485" s="317"/>
      <c r="W485" s="317"/>
      <c r="X485" s="317"/>
      <c r="Y485" s="243"/>
      <c r="Z485" s="243"/>
    </row>
    <row r="486">
      <c r="A486" s="624" t="s">
        <v>274</v>
      </c>
      <c r="B486" s="611">
        <f t="shared" si="6"/>
        <v>2088</v>
      </c>
      <c r="C486" s="400"/>
      <c r="D486" s="625"/>
      <c r="E486" s="626"/>
      <c r="F486" s="586"/>
      <c r="G486" s="243"/>
      <c r="H486" s="243"/>
      <c r="I486" s="243"/>
      <c r="J486" s="243"/>
      <c r="K486" s="243"/>
      <c r="L486" s="277"/>
      <c r="M486" s="425"/>
      <c r="N486" s="604"/>
      <c r="O486" s="323"/>
      <c r="P486" s="317"/>
      <c r="Q486" s="243"/>
      <c r="R486" s="243"/>
      <c r="S486" s="317"/>
      <c r="T486" s="317"/>
      <c r="U486" s="317"/>
      <c r="V486" s="317"/>
      <c r="W486" s="317"/>
      <c r="X486" s="317"/>
      <c r="Y486" s="243"/>
      <c r="Z486" s="243"/>
    </row>
    <row r="487">
      <c r="A487" s="629" t="s">
        <v>1113</v>
      </c>
      <c r="B487" s="611">
        <f>SUM(L29,L68,L107,L146,L185,L224,L263,L302,L341,L380,L419,L458)</f>
        <v>12120</v>
      </c>
      <c r="C487" s="400"/>
      <c r="D487" s="628"/>
      <c r="E487" s="626"/>
      <c r="F487" s="586"/>
      <c r="G487" s="243"/>
      <c r="H487" s="243"/>
      <c r="I487" s="243"/>
      <c r="J487" s="243"/>
      <c r="K487" s="243"/>
      <c r="L487" s="277"/>
      <c r="M487" s="425"/>
      <c r="N487" s="604"/>
      <c r="O487" s="323"/>
      <c r="P487" s="317"/>
      <c r="Q487" s="243"/>
      <c r="R487" s="243"/>
      <c r="S487" s="317"/>
      <c r="T487" s="317"/>
      <c r="U487" s="317"/>
      <c r="V487" s="317"/>
      <c r="W487" s="317"/>
      <c r="X487" s="317"/>
      <c r="Y487" s="243"/>
      <c r="Z487" s="243"/>
    </row>
    <row r="488">
      <c r="A488" s="630" t="s">
        <v>692</v>
      </c>
      <c r="B488" s="611">
        <f>SUM(L460,L421,L382,L343,'2024'!N304,L265,L226,L187,L148,L109,L70,L31)</f>
        <v>1297.6</v>
      </c>
      <c r="D488" s="628"/>
      <c r="E488" s="626"/>
      <c r="F488" s="586"/>
      <c r="G488" s="243"/>
      <c r="H488" s="243"/>
      <c r="I488" s="243"/>
      <c r="J488" s="243"/>
      <c r="K488" s="243"/>
      <c r="L488" s="277"/>
      <c r="M488" s="425"/>
      <c r="N488" s="604"/>
      <c r="O488" s="323"/>
      <c r="P488" s="317"/>
      <c r="Q488" s="243"/>
      <c r="R488" s="243"/>
      <c r="S488" s="317"/>
      <c r="T488" s="317"/>
      <c r="U488" s="317"/>
      <c r="V488" s="317"/>
      <c r="W488" s="317"/>
      <c r="X488" s="317"/>
      <c r="Y488" s="243"/>
      <c r="Z488" s="243"/>
    </row>
    <row r="489">
      <c r="A489" s="631" t="s">
        <v>915</v>
      </c>
      <c r="B489" s="632">
        <f>SUM(C6,C45,C84,C123,C162,C201,C240,C279,C318,C357,C396,C435)</f>
        <v>5085.56</v>
      </c>
      <c r="D489" s="628"/>
      <c r="E489" s="626"/>
      <c r="F489" s="586"/>
      <c r="G489" s="243"/>
      <c r="H489" s="243"/>
      <c r="I489" s="243"/>
      <c r="J489" s="243"/>
      <c r="K489" s="243"/>
      <c r="L489" s="277"/>
      <c r="M489" s="425"/>
      <c r="N489" s="604"/>
      <c r="O489" s="323"/>
      <c r="P489" s="317"/>
      <c r="Q489" s="243"/>
      <c r="R489" s="243"/>
      <c r="S489" s="317"/>
      <c r="T489" s="317"/>
      <c r="U489" s="317"/>
      <c r="V489" s="317"/>
      <c r="W489" s="317"/>
      <c r="X489" s="317"/>
      <c r="Y489" s="243"/>
      <c r="Z489" s="243"/>
    </row>
    <row r="490">
      <c r="A490" s="633" t="s">
        <v>916</v>
      </c>
      <c r="B490" s="332">
        <f>SUM(B470:B489)</f>
        <v>44275.02</v>
      </c>
      <c r="C490" s="634">
        <f>SUM(C433,C394,C355,C316,C277,C238,C199,C160,C121,C82,C43,C4)</f>
        <v>14209.4</v>
      </c>
      <c r="D490" s="524" t="s">
        <v>916</v>
      </c>
      <c r="E490" s="635">
        <f>SUM(E470:E489)</f>
        <v>24749.73</v>
      </c>
      <c r="F490" s="586"/>
      <c r="G490" s="243"/>
      <c r="H490" s="243"/>
      <c r="I490" s="243"/>
      <c r="J490" s="243"/>
      <c r="K490" s="243"/>
      <c r="L490" s="277"/>
      <c r="M490" s="425"/>
      <c r="N490" s="604"/>
      <c r="O490" s="323"/>
      <c r="P490" s="317"/>
      <c r="Q490" s="243"/>
      <c r="R490" s="243"/>
      <c r="S490" s="317"/>
      <c r="T490" s="317"/>
      <c r="U490" s="317"/>
      <c r="V490" s="317"/>
      <c r="W490" s="317"/>
      <c r="X490" s="317"/>
      <c r="Y490" s="243"/>
      <c r="Z490" s="243"/>
    </row>
    <row r="491">
      <c r="A491" s="377"/>
      <c r="B491" s="243"/>
      <c r="C491" s="243"/>
      <c r="D491" s="243"/>
      <c r="E491" s="585"/>
      <c r="F491" s="586"/>
      <c r="G491" s="243"/>
      <c r="H491" s="243"/>
      <c r="I491" s="243"/>
      <c r="J491" s="243"/>
      <c r="K491" s="243"/>
      <c r="L491" s="277"/>
      <c r="M491" s="425"/>
      <c r="N491" s="604"/>
      <c r="O491" s="323"/>
      <c r="P491" s="317"/>
      <c r="Q491" s="243"/>
      <c r="R491" s="243"/>
      <c r="S491" s="317"/>
      <c r="T491" s="317"/>
      <c r="U491" s="317"/>
      <c r="V491" s="317"/>
      <c r="W491" s="317"/>
      <c r="X491" s="317"/>
      <c r="Y491" s="243"/>
      <c r="Z491" s="243"/>
    </row>
    <row r="492">
      <c r="A492" s="636" t="s">
        <v>917</v>
      </c>
      <c r="B492" s="319"/>
      <c r="C492" s="319"/>
      <c r="D492" s="319"/>
      <c r="E492" s="319"/>
      <c r="F492" s="319"/>
      <c r="G492" s="319"/>
      <c r="H492" s="319"/>
      <c r="I492" s="319"/>
      <c r="J492" s="319"/>
      <c r="K492" s="319"/>
      <c r="L492" s="319"/>
      <c r="M492" s="319"/>
      <c r="N492" s="26"/>
      <c r="O492" s="323"/>
      <c r="P492" s="317"/>
      <c r="Q492" s="243"/>
      <c r="R492" s="243"/>
      <c r="S492" s="317"/>
      <c r="T492" s="317"/>
      <c r="U492" s="317"/>
      <c r="V492" s="317"/>
      <c r="W492" s="317"/>
      <c r="X492" s="317"/>
      <c r="Y492" s="243"/>
      <c r="Z492" s="243"/>
    </row>
    <row r="493">
      <c r="A493" s="637" t="s">
        <v>918</v>
      </c>
      <c r="B493" s="638" t="s">
        <v>919</v>
      </c>
      <c r="C493" s="638" t="s">
        <v>920</v>
      </c>
      <c r="D493" s="638" t="s">
        <v>921</v>
      </c>
      <c r="E493" s="639" t="s">
        <v>922</v>
      </c>
      <c r="F493" s="640" t="s">
        <v>923</v>
      </c>
      <c r="G493" s="638" t="s">
        <v>924</v>
      </c>
      <c r="J493" s="639" t="s">
        <v>925</v>
      </c>
      <c r="L493" s="641" t="s">
        <v>926</v>
      </c>
      <c r="M493" s="638" t="s">
        <v>1114</v>
      </c>
      <c r="N493" s="642" t="s">
        <v>928</v>
      </c>
      <c r="O493" s="643" t="s">
        <v>929</v>
      </c>
      <c r="P493" s="317"/>
      <c r="Q493" s="243"/>
      <c r="R493" s="243"/>
      <c r="S493" s="317"/>
      <c r="T493" s="317"/>
      <c r="U493" s="317"/>
      <c r="V493" s="317"/>
      <c r="W493" s="317"/>
      <c r="X493" s="317"/>
      <c r="Y493" s="243"/>
      <c r="Z493" s="243"/>
    </row>
    <row r="494">
      <c r="A494" s="644">
        <f>SUM(C5,C44,C83,C122,C161,C200,C239,C278,C317,C356,C395,C434,B489)</f>
        <v>49731.08</v>
      </c>
      <c r="B494" s="645">
        <f>SUM(C3,C42,C81,C120,C159,C198,C237,C276,C315,C354,C393,C432)</f>
        <v>67592.2</v>
      </c>
      <c r="C494" s="645">
        <f>SUM(L461,L422,L383,L344,L305,L266,L227,L188,L149,L110,L71,L32)</f>
        <v>6056.06</v>
      </c>
      <c r="D494" s="645">
        <f>SUM(B11,B50,B89,B128,B167,B206,B245,B284,B323,B362,B401,B440)</f>
        <v>24749.73</v>
      </c>
      <c r="E494" s="645">
        <f>B494-A494-C494</f>
        <v>11805.06</v>
      </c>
      <c r="F494" s="646">
        <f>B494-A494-C494-D494</f>
        <v>-12944.67</v>
      </c>
      <c r="G494" s="647">
        <f>AVERAGE(C3,C42,C81,C120,C159,C198,C237,C276,C315,C354,C393,C432)</f>
        <v>5632.683333</v>
      </c>
      <c r="H494" s="648"/>
      <c r="I494" s="648"/>
      <c r="J494" s="647">
        <f>AVERAGE(C436,C397,C358,C319,C280,C241,C202,C163,C124,C85,C46,C7)</f>
        <v>1488.426667</v>
      </c>
      <c r="K494" s="648"/>
      <c r="L494" s="647">
        <f>AVERAGE(B463,B424,B385,B346,B307,B268,B229,B190,B151,B112,B73,B34)</f>
        <v>-574.0508333</v>
      </c>
      <c r="M494" s="649">
        <f>AVERAGE(C434,C395,C356,C317,C278,C239,C200,C161,C122,C83,C44,C5)</f>
        <v>3720.46</v>
      </c>
      <c r="N494" s="650">
        <f>AVERAGE(B11,B50,B89,B128,B167,B245,B284,B323,B362,B401,B440,B206)</f>
        <v>2062.4775</v>
      </c>
      <c r="O494" s="684">
        <v>3500.0</v>
      </c>
      <c r="P494" s="317"/>
      <c r="Q494" s="243"/>
      <c r="R494" s="243"/>
      <c r="S494" s="317"/>
      <c r="T494" s="317"/>
      <c r="U494" s="317"/>
      <c r="V494" s="317"/>
      <c r="W494" s="317"/>
      <c r="X494" s="317"/>
      <c r="Y494" s="243"/>
      <c r="Z494" s="243"/>
    </row>
    <row r="495">
      <c r="A495" s="243"/>
      <c r="B495" s="380"/>
      <c r="C495" s="243"/>
      <c r="D495" s="652"/>
      <c r="E495" s="246"/>
      <c r="F495" s="586"/>
      <c r="G495" s="243"/>
      <c r="H495" s="243"/>
      <c r="I495" s="243"/>
      <c r="J495" s="380"/>
      <c r="K495" s="243"/>
      <c r="L495" s="247"/>
      <c r="M495" s="425"/>
      <c r="N495" s="604"/>
      <c r="O495" s="323"/>
      <c r="P495" s="317"/>
      <c r="Q495" s="243"/>
      <c r="R495" s="243"/>
      <c r="S495" s="317"/>
      <c r="T495" s="317"/>
      <c r="U495" s="317"/>
      <c r="V495" s="317"/>
      <c r="W495" s="317"/>
      <c r="X495" s="317"/>
      <c r="Y495" s="243"/>
      <c r="Z495" s="243"/>
    </row>
    <row r="496">
      <c r="F496" s="586"/>
      <c r="G496" s="243"/>
      <c r="H496" s="148"/>
      <c r="I496" s="251"/>
      <c r="J496" s="243"/>
      <c r="K496" s="148"/>
      <c r="L496" s="277"/>
      <c r="M496" s="252"/>
      <c r="N496" s="250"/>
      <c r="O496" s="253"/>
      <c r="P496" s="240"/>
      <c r="Q496" s="148"/>
      <c r="R496" s="148"/>
      <c r="S496" s="242"/>
      <c r="T496" s="242"/>
      <c r="U496" s="242"/>
      <c r="V496" s="242"/>
      <c r="W496" s="242"/>
      <c r="X496" s="242"/>
      <c r="Y496" s="148"/>
      <c r="Z496" s="148"/>
    </row>
    <row r="497">
      <c r="A497" s="333"/>
      <c r="B497" s="333"/>
      <c r="C497" s="333"/>
      <c r="D497" s="333"/>
      <c r="E497" s="333"/>
      <c r="F497" s="333"/>
      <c r="G497" s="243"/>
      <c r="H497" s="148"/>
      <c r="I497" s="251"/>
      <c r="J497" s="243"/>
      <c r="K497" s="148"/>
      <c r="L497" s="277"/>
      <c r="M497" s="252"/>
      <c r="N497" s="250"/>
      <c r="O497" s="253"/>
      <c r="P497" s="240"/>
      <c r="Q497" s="148"/>
      <c r="R497" s="148"/>
      <c r="S497" s="242"/>
      <c r="T497" s="242"/>
      <c r="U497" s="242"/>
      <c r="V497" s="242"/>
      <c r="W497" s="242"/>
      <c r="X497" s="242"/>
      <c r="Y497" s="148"/>
      <c r="Z497" s="148"/>
    </row>
    <row r="498">
      <c r="A498" s="333"/>
      <c r="B498" s="333"/>
      <c r="C498" s="333"/>
      <c r="D498" s="333"/>
      <c r="E498" s="333"/>
      <c r="F498" s="333"/>
      <c r="G498" s="243"/>
      <c r="H498" s="148"/>
      <c r="I498" s="251"/>
      <c r="J498" s="243"/>
      <c r="K498" s="148"/>
      <c r="L498" s="277"/>
      <c r="M498" s="252"/>
      <c r="N498" s="250"/>
      <c r="O498" s="253"/>
      <c r="P498" s="240"/>
      <c r="Q498" s="148"/>
      <c r="R498" s="148"/>
      <c r="S498" s="242"/>
      <c r="T498" s="242"/>
      <c r="U498" s="242"/>
      <c r="V498" s="242"/>
      <c r="W498" s="242"/>
      <c r="X498" s="242"/>
      <c r="Y498" s="148"/>
      <c r="Z498" s="148"/>
    </row>
    <row r="499">
      <c r="A499" s="333"/>
      <c r="B499" s="333"/>
      <c r="C499" s="333"/>
      <c r="D499" s="333"/>
      <c r="E499" s="333"/>
      <c r="F499" s="333"/>
      <c r="G499" s="243"/>
      <c r="H499" s="148"/>
      <c r="I499" s="251"/>
      <c r="J499" s="243"/>
      <c r="K499" s="148"/>
      <c r="L499" s="277"/>
      <c r="M499" s="252"/>
      <c r="N499" s="250"/>
      <c r="O499" s="253"/>
      <c r="P499" s="240"/>
      <c r="Q499" s="148"/>
      <c r="R499" s="148"/>
      <c r="S499" s="242"/>
      <c r="T499" s="242"/>
      <c r="U499" s="242"/>
      <c r="V499" s="242"/>
      <c r="W499" s="242"/>
      <c r="X499" s="242"/>
      <c r="Y499" s="148"/>
      <c r="Z499" s="148"/>
    </row>
    <row r="500">
      <c r="A500" s="333"/>
      <c r="B500" s="333"/>
      <c r="C500" s="333"/>
      <c r="D500" s="333"/>
      <c r="E500" s="333"/>
      <c r="F500" s="333"/>
      <c r="G500" s="243"/>
      <c r="H500" s="148"/>
      <c r="I500" s="251"/>
      <c r="J500" s="243"/>
      <c r="K500" s="148"/>
      <c r="L500" s="277"/>
      <c r="M500" s="252"/>
      <c r="N500" s="250"/>
      <c r="O500" s="253"/>
      <c r="P500" s="240"/>
      <c r="Q500" s="148"/>
      <c r="R500" s="148"/>
      <c r="S500" s="242"/>
      <c r="T500" s="242"/>
      <c r="U500" s="242"/>
      <c r="V500" s="242"/>
      <c r="W500" s="242"/>
      <c r="X500" s="242"/>
      <c r="Y500" s="148"/>
      <c r="Z500" s="148"/>
    </row>
    <row r="501">
      <c r="A501" s="333"/>
      <c r="B501" s="333"/>
      <c r="C501" s="333"/>
      <c r="D501" s="333"/>
      <c r="E501" s="333"/>
      <c r="F501" s="333"/>
      <c r="G501" s="243"/>
      <c r="H501" s="148"/>
      <c r="I501" s="251"/>
      <c r="J501" s="243"/>
      <c r="K501" s="148"/>
      <c r="L501" s="277"/>
      <c r="M501" s="252"/>
      <c r="N501" s="250"/>
      <c r="O501" s="253"/>
      <c r="P501" s="240"/>
      <c r="Q501" s="148"/>
      <c r="R501" s="148"/>
      <c r="S501" s="242"/>
      <c r="T501" s="242"/>
      <c r="U501" s="242"/>
      <c r="V501" s="242"/>
      <c r="W501" s="242"/>
      <c r="X501" s="242"/>
      <c r="Y501" s="148"/>
      <c r="Z501" s="148"/>
    </row>
    <row r="502">
      <c r="A502" s="333"/>
      <c r="B502" s="333"/>
      <c r="C502" s="333"/>
      <c r="D502" s="333"/>
      <c r="E502" s="333"/>
      <c r="F502" s="333"/>
      <c r="G502" s="243"/>
      <c r="H502" s="148"/>
      <c r="I502" s="251"/>
      <c r="J502" s="243"/>
      <c r="K502" s="148"/>
      <c r="L502" s="277"/>
      <c r="M502" s="252"/>
      <c r="N502" s="250"/>
      <c r="O502" s="253"/>
      <c r="P502" s="240"/>
      <c r="Q502" s="148"/>
      <c r="R502" s="148"/>
      <c r="S502" s="242"/>
      <c r="T502" s="242"/>
      <c r="U502" s="242"/>
      <c r="V502" s="242"/>
      <c r="W502" s="242"/>
      <c r="X502" s="242"/>
      <c r="Y502" s="148"/>
      <c r="Z502" s="148"/>
    </row>
    <row r="503">
      <c r="A503" s="333"/>
      <c r="B503" s="333"/>
      <c r="C503" s="333"/>
      <c r="D503" s="333"/>
      <c r="E503" s="333"/>
      <c r="F503" s="333"/>
      <c r="G503" s="243"/>
      <c r="H503" s="148"/>
      <c r="I503" s="251"/>
      <c r="J503" s="243"/>
      <c r="K503" s="148"/>
      <c r="L503" s="277"/>
      <c r="M503" s="252"/>
      <c r="N503" s="250"/>
      <c r="O503" s="253"/>
      <c r="P503" s="240"/>
      <c r="Q503" s="148"/>
      <c r="R503" s="148"/>
      <c r="S503" s="242"/>
      <c r="T503" s="242"/>
      <c r="U503" s="242"/>
      <c r="V503" s="242"/>
      <c r="W503" s="242"/>
      <c r="X503" s="242"/>
      <c r="Y503" s="148"/>
      <c r="Z503" s="148"/>
    </row>
    <row r="504">
      <c r="A504" s="333"/>
      <c r="B504" s="333"/>
      <c r="C504" s="333"/>
      <c r="D504" s="333"/>
      <c r="E504" s="333"/>
      <c r="F504" s="333"/>
      <c r="G504" s="243"/>
      <c r="H504" s="148"/>
      <c r="I504" s="251"/>
      <c r="J504" s="243"/>
      <c r="K504" s="148"/>
      <c r="L504" s="277"/>
      <c r="M504" s="252"/>
      <c r="N504" s="250"/>
      <c r="O504" s="253"/>
      <c r="P504" s="240"/>
      <c r="Q504" s="148"/>
      <c r="R504" s="148"/>
      <c r="S504" s="242"/>
      <c r="T504" s="242"/>
      <c r="U504" s="242"/>
      <c r="V504" s="242"/>
      <c r="W504" s="242"/>
      <c r="X504" s="242"/>
      <c r="Y504" s="148"/>
      <c r="Z504" s="148"/>
    </row>
    <row r="505">
      <c r="A505" s="333"/>
      <c r="B505" s="333"/>
      <c r="C505" s="333"/>
      <c r="D505" s="333"/>
      <c r="E505" s="333"/>
      <c r="F505" s="333"/>
      <c r="G505" s="243"/>
      <c r="H505" s="148"/>
      <c r="I505" s="251"/>
      <c r="J505" s="243"/>
      <c r="K505" s="148"/>
      <c r="L505" s="277"/>
      <c r="M505" s="252"/>
      <c r="N505" s="250"/>
      <c r="O505" s="253"/>
      <c r="P505" s="240"/>
      <c r="Q505" s="148"/>
      <c r="R505" s="148"/>
      <c r="S505" s="242"/>
      <c r="T505" s="242"/>
      <c r="U505" s="242"/>
      <c r="V505" s="242"/>
      <c r="W505" s="242"/>
      <c r="X505" s="242"/>
      <c r="Y505" s="148"/>
      <c r="Z505" s="148"/>
    </row>
  </sheetData>
  <mergeCells count="467">
    <mergeCell ref="A282:B282"/>
    <mergeCell ref="M282:N282"/>
    <mergeCell ref="A285:B286"/>
    <mergeCell ref="M285:N285"/>
    <mergeCell ref="M286:N286"/>
    <mergeCell ref="G274:H274"/>
    <mergeCell ref="J275:J276"/>
    <mergeCell ref="O275:O276"/>
    <mergeCell ref="A276:B276"/>
    <mergeCell ref="M276:N276"/>
    <mergeCell ref="A278:B278"/>
    <mergeCell ref="A280:B280"/>
    <mergeCell ref="M277:N277"/>
    <mergeCell ref="M280:N280"/>
    <mergeCell ref="M281:N281"/>
    <mergeCell ref="M283:N283"/>
    <mergeCell ref="M284:N284"/>
    <mergeCell ref="M287:N287"/>
    <mergeCell ref="M288:N288"/>
    <mergeCell ref="M289:N289"/>
    <mergeCell ref="M290:N290"/>
    <mergeCell ref="M291:N291"/>
    <mergeCell ref="M292:N292"/>
    <mergeCell ref="M293:N293"/>
    <mergeCell ref="M294:N294"/>
    <mergeCell ref="M295:N295"/>
    <mergeCell ref="M296:N296"/>
    <mergeCell ref="M297:N297"/>
    <mergeCell ref="M298:N298"/>
    <mergeCell ref="M299:N299"/>
    <mergeCell ref="M300:N300"/>
    <mergeCell ref="M301:N301"/>
    <mergeCell ref="M302:N302"/>
    <mergeCell ref="A315:B315"/>
    <mergeCell ref="A317:B317"/>
    <mergeCell ref="A319:B319"/>
    <mergeCell ref="A321:B321"/>
    <mergeCell ref="A324:B325"/>
    <mergeCell ref="M303:N303"/>
    <mergeCell ref="M305:N305"/>
    <mergeCell ref="G313:H313"/>
    <mergeCell ref="J314:J315"/>
    <mergeCell ref="O314:O315"/>
    <mergeCell ref="M315:N315"/>
    <mergeCell ref="M316:N316"/>
    <mergeCell ref="M317:N317"/>
    <mergeCell ref="M318:N318"/>
    <mergeCell ref="M319:N319"/>
    <mergeCell ref="M320:N320"/>
    <mergeCell ref="M321:N321"/>
    <mergeCell ref="M322:N322"/>
    <mergeCell ref="M323:N323"/>
    <mergeCell ref="M324:N324"/>
    <mergeCell ref="M325:N325"/>
    <mergeCell ref="M326:N326"/>
    <mergeCell ref="M327:N327"/>
    <mergeCell ref="M328:N328"/>
    <mergeCell ref="M329:N329"/>
    <mergeCell ref="M330:N330"/>
    <mergeCell ref="M331:N331"/>
    <mergeCell ref="M332:N332"/>
    <mergeCell ref="M333:N333"/>
    <mergeCell ref="M334:N334"/>
    <mergeCell ref="M335:N335"/>
    <mergeCell ref="M336:N336"/>
    <mergeCell ref="M337:N337"/>
    <mergeCell ref="M338:N338"/>
    <mergeCell ref="M339:N339"/>
    <mergeCell ref="M340:N340"/>
    <mergeCell ref="M341:N341"/>
    <mergeCell ref="M342:N342"/>
    <mergeCell ref="M343:N343"/>
    <mergeCell ref="M344:N344"/>
    <mergeCell ref="A360:B360"/>
    <mergeCell ref="M360:N360"/>
    <mergeCell ref="A363:B364"/>
    <mergeCell ref="M363:N363"/>
    <mergeCell ref="M364:N364"/>
    <mergeCell ref="G352:H352"/>
    <mergeCell ref="J353:J354"/>
    <mergeCell ref="O353:O354"/>
    <mergeCell ref="A354:B354"/>
    <mergeCell ref="M354:N354"/>
    <mergeCell ref="A356:B356"/>
    <mergeCell ref="A358:B358"/>
    <mergeCell ref="M367:N367"/>
    <mergeCell ref="M368:N368"/>
    <mergeCell ref="M369:N369"/>
    <mergeCell ref="M370:N370"/>
    <mergeCell ref="M371:N371"/>
    <mergeCell ref="M372:N372"/>
    <mergeCell ref="M373:N373"/>
    <mergeCell ref="M417:N417"/>
    <mergeCell ref="M418:N418"/>
    <mergeCell ref="M419:N419"/>
    <mergeCell ref="M420:N420"/>
    <mergeCell ref="M421:N421"/>
    <mergeCell ref="M422:N422"/>
    <mergeCell ref="G430:H430"/>
    <mergeCell ref="A434:B434"/>
    <mergeCell ref="A436:B436"/>
    <mergeCell ref="A438:B438"/>
    <mergeCell ref="A441:B442"/>
    <mergeCell ref="A469:B469"/>
    <mergeCell ref="D469:E469"/>
    <mergeCell ref="J431:J432"/>
    <mergeCell ref="O431:O432"/>
    <mergeCell ref="A432:B432"/>
    <mergeCell ref="M432:N432"/>
    <mergeCell ref="M433:N433"/>
    <mergeCell ref="M434:N434"/>
    <mergeCell ref="M435:N435"/>
    <mergeCell ref="M436:N436"/>
    <mergeCell ref="M437:N437"/>
    <mergeCell ref="M438:N438"/>
    <mergeCell ref="M439:N439"/>
    <mergeCell ref="M440:N440"/>
    <mergeCell ref="M441:N441"/>
    <mergeCell ref="M442:N442"/>
    <mergeCell ref="M443:N443"/>
    <mergeCell ref="M444:N444"/>
    <mergeCell ref="M445:N445"/>
    <mergeCell ref="M446:N446"/>
    <mergeCell ref="M447:N447"/>
    <mergeCell ref="M448:N448"/>
    <mergeCell ref="M449:N449"/>
    <mergeCell ref="M450:N450"/>
    <mergeCell ref="M451:N451"/>
    <mergeCell ref="M452:N452"/>
    <mergeCell ref="M453:N453"/>
    <mergeCell ref="M454:N454"/>
    <mergeCell ref="M455:N455"/>
    <mergeCell ref="M456:N456"/>
    <mergeCell ref="G493:I493"/>
    <mergeCell ref="G494:I494"/>
    <mergeCell ref="J494:K494"/>
    <mergeCell ref="M457:N457"/>
    <mergeCell ref="M458:N458"/>
    <mergeCell ref="M459:N459"/>
    <mergeCell ref="M460:N460"/>
    <mergeCell ref="M461:N461"/>
    <mergeCell ref="A492:N492"/>
    <mergeCell ref="J493:K493"/>
    <mergeCell ref="M374:N374"/>
    <mergeCell ref="M375:N375"/>
    <mergeCell ref="M376:N376"/>
    <mergeCell ref="M377:N377"/>
    <mergeCell ref="M378:N378"/>
    <mergeCell ref="M379:N379"/>
    <mergeCell ref="M380:N380"/>
    <mergeCell ref="O392:O393"/>
    <mergeCell ref="M393:N393"/>
    <mergeCell ref="M394:N394"/>
    <mergeCell ref="M396:N396"/>
    <mergeCell ref="M398:N398"/>
    <mergeCell ref="M400:N400"/>
    <mergeCell ref="M401:N401"/>
    <mergeCell ref="M381:N381"/>
    <mergeCell ref="M382:N382"/>
    <mergeCell ref="M383:N383"/>
    <mergeCell ref="B391:C391"/>
    <mergeCell ref="G391:H391"/>
    <mergeCell ref="J392:J393"/>
    <mergeCell ref="A393:B393"/>
    <mergeCell ref="A406:B406"/>
    <mergeCell ref="M406:N406"/>
    <mergeCell ref="A395:B395"/>
    <mergeCell ref="M395:N395"/>
    <mergeCell ref="A397:B397"/>
    <mergeCell ref="M397:N397"/>
    <mergeCell ref="A399:B399"/>
    <mergeCell ref="M399:N399"/>
    <mergeCell ref="A402:B403"/>
    <mergeCell ref="M402:N402"/>
    <mergeCell ref="M403:N403"/>
    <mergeCell ref="M404:N404"/>
    <mergeCell ref="M405:N405"/>
    <mergeCell ref="M407:N407"/>
    <mergeCell ref="M408:N408"/>
    <mergeCell ref="M409:N409"/>
    <mergeCell ref="M410:N410"/>
    <mergeCell ref="M411:N411"/>
    <mergeCell ref="M412:N412"/>
    <mergeCell ref="M413:N413"/>
    <mergeCell ref="M414:N414"/>
    <mergeCell ref="M415:N415"/>
    <mergeCell ref="M416:N416"/>
    <mergeCell ref="M5:N5"/>
    <mergeCell ref="M6:N6"/>
    <mergeCell ref="A9:B9"/>
    <mergeCell ref="M9:N9"/>
    <mergeCell ref="A12:B13"/>
    <mergeCell ref="M12:N12"/>
    <mergeCell ref="M13:N13"/>
    <mergeCell ref="G1:H1"/>
    <mergeCell ref="J2:J3"/>
    <mergeCell ref="O2:O3"/>
    <mergeCell ref="A3:B3"/>
    <mergeCell ref="M3:N3"/>
    <mergeCell ref="A5:B5"/>
    <mergeCell ref="A7:B7"/>
    <mergeCell ref="M4:N4"/>
    <mergeCell ref="M7:N7"/>
    <mergeCell ref="M8:N8"/>
    <mergeCell ref="M10:N10"/>
    <mergeCell ref="M11:N11"/>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O41:O42"/>
    <mergeCell ref="M44:N44"/>
    <mergeCell ref="A46:B46"/>
    <mergeCell ref="M46:N46"/>
    <mergeCell ref="A48:B48"/>
    <mergeCell ref="M48:N48"/>
    <mergeCell ref="A51:B52"/>
    <mergeCell ref="M51:N51"/>
    <mergeCell ref="M52:N52"/>
    <mergeCell ref="M30:N30"/>
    <mergeCell ref="M31:N31"/>
    <mergeCell ref="M32:N32"/>
    <mergeCell ref="G40:H40"/>
    <mergeCell ref="J41:J42"/>
    <mergeCell ref="A42:B42"/>
    <mergeCell ref="A44:B44"/>
    <mergeCell ref="M42:N42"/>
    <mergeCell ref="M43:N43"/>
    <mergeCell ref="M45:N45"/>
    <mergeCell ref="M47:N47"/>
    <mergeCell ref="M49:N49"/>
    <mergeCell ref="M50:N50"/>
    <mergeCell ref="M53:N53"/>
    <mergeCell ref="M54:N54"/>
    <mergeCell ref="M55:N55"/>
    <mergeCell ref="M56:N56"/>
    <mergeCell ref="M57:N57"/>
    <mergeCell ref="M58:N58"/>
    <mergeCell ref="M59:N59"/>
    <mergeCell ref="A61:B61"/>
    <mergeCell ref="M60:N60"/>
    <mergeCell ref="M61:N61"/>
    <mergeCell ref="M62:N62"/>
    <mergeCell ref="M63:N63"/>
    <mergeCell ref="M64:N64"/>
    <mergeCell ref="M65:N65"/>
    <mergeCell ref="M66:N66"/>
    <mergeCell ref="M99:N99"/>
    <mergeCell ref="M67:N67"/>
    <mergeCell ref="M68:N68"/>
    <mergeCell ref="M69:N69"/>
    <mergeCell ref="M70:N70"/>
    <mergeCell ref="M71:N71"/>
    <mergeCell ref="G79:H79"/>
    <mergeCell ref="O80:O81"/>
    <mergeCell ref="A90:B91"/>
    <mergeCell ref="A99:B99"/>
    <mergeCell ref="J80:J81"/>
    <mergeCell ref="A81:B81"/>
    <mergeCell ref="A83:B83"/>
    <mergeCell ref="A85:B85"/>
    <mergeCell ref="A87:B87"/>
    <mergeCell ref="M90:N90"/>
    <mergeCell ref="M91:N91"/>
    <mergeCell ref="M81:N81"/>
    <mergeCell ref="M82:N82"/>
    <mergeCell ref="M83:N83"/>
    <mergeCell ref="M84:N84"/>
    <mergeCell ref="M85:N85"/>
    <mergeCell ref="M86:N86"/>
    <mergeCell ref="M87:N87"/>
    <mergeCell ref="M88:N88"/>
    <mergeCell ref="M89:N89"/>
    <mergeCell ref="M92:N92"/>
    <mergeCell ref="M93:N93"/>
    <mergeCell ref="M94:N94"/>
    <mergeCell ref="M95:N95"/>
    <mergeCell ref="M96:N96"/>
    <mergeCell ref="M97:N97"/>
    <mergeCell ref="M98:N98"/>
    <mergeCell ref="M100:N100"/>
    <mergeCell ref="M101:N101"/>
    <mergeCell ref="M102:N102"/>
    <mergeCell ref="M103:N103"/>
    <mergeCell ref="M104:N104"/>
    <mergeCell ref="M105:N105"/>
    <mergeCell ref="M106:N106"/>
    <mergeCell ref="M107:N107"/>
    <mergeCell ref="M108:N108"/>
    <mergeCell ref="M109:N109"/>
    <mergeCell ref="M110:N110"/>
    <mergeCell ref="G118:H118"/>
    <mergeCell ref="A122:B122"/>
    <mergeCell ref="A124:B124"/>
    <mergeCell ref="A126:B126"/>
    <mergeCell ref="A129:B130"/>
    <mergeCell ref="J119:J120"/>
    <mergeCell ref="O119:O120"/>
    <mergeCell ref="A120:B120"/>
    <mergeCell ref="M120:N120"/>
    <mergeCell ref="M121:N121"/>
    <mergeCell ref="M122:N122"/>
    <mergeCell ref="M123:N123"/>
    <mergeCell ref="M124:N124"/>
    <mergeCell ref="M125:N125"/>
    <mergeCell ref="M126:N126"/>
    <mergeCell ref="M127:N127"/>
    <mergeCell ref="M128:N128"/>
    <mergeCell ref="M129:N129"/>
    <mergeCell ref="M130:N130"/>
    <mergeCell ref="M131:N131"/>
    <mergeCell ref="M132:N132"/>
    <mergeCell ref="M133:N133"/>
    <mergeCell ref="M134:N134"/>
    <mergeCell ref="M135:N135"/>
    <mergeCell ref="M136:N136"/>
    <mergeCell ref="M137:N137"/>
    <mergeCell ref="M138:N138"/>
    <mergeCell ref="M139:N139"/>
    <mergeCell ref="M140:N140"/>
    <mergeCell ref="M141:N141"/>
    <mergeCell ref="M142:N142"/>
    <mergeCell ref="M143:N143"/>
    <mergeCell ref="M144:N144"/>
    <mergeCell ref="J158:J159"/>
    <mergeCell ref="A159:B159"/>
    <mergeCell ref="A161:B161"/>
    <mergeCell ref="A163:B163"/>
    <mergeCell ref="A165:B165"/>
    <mergeCell ref="A168:B169"/>
    <mergeCell ref="G168:H168"/>
    <mergeCell ref="M145:N145"/>
    <mergeCell ref="M146:N146"/>
    <mergeCell ref="M147:N147"/>
    <mergeCell ref="M148:N148"/>
    <mergeCell ref="M149:N149"/>
    <mergeCell ref="G157:H157"/>
    <mergeCell ref="O158:O159"/>
    <mergeCell ref="M159:N159"/>
    <mergeCell ref="M160:N160"/>
    <mergeCell ref="M161:N161"/>
    <mergeCell ref="M162:N162"/>
    <mergeCell ref="M163:N163"/>
    <mergeCell ref="M164:N164"/>
    <mergeCell ref="M165:N165"/>
    <mergeCell ref="M166:N166"/>
    <mergeCell ref="M167:N167"/>
    <mergeCell ref="M168:N168"/>
    <mergeCell ref="M169:N169"/>
    <mergeCell ref="M170:N170"/>
    <mergeCell ref="M171:N171"/>
    <mergeCell ref="M172:N172"/>
    <mergeCell ref="M173:N173"/>
    <mergeCell ref="M174:N174"/>
    <mergeCell ref="M175:N175"/>
    <mergeCell ref="M176:N176"/>
    <mergeCell ref="M177:N177"/>
    <mergeCell ref="M178:N178"/>
    <mergeCell ref="M179:N179"/>
    <mergeCell ref="M180:N180"/>
    <mergeCell ref="M181:N181"/>
    <mergeCell ref="M182:N182"/>
    <mergeCell ref="M183:N183"/>
    <mergeCell ref="M184:N184"/>
    <mergeCell ref="M185:N185"/>
    <mergeCell ref="M186:N186"/>
    <mergeCell ref="M198:N198"/>
    <mergeCell ref="M199:N199"/>
    <mergeCell ref="A202:B202"/>
    <mergeCell ref="M202:N202"/>
    <mergeCell ref="A204:B204"/>
    <mergeCell ref="M204:N204"/>
    <mergeCell ref="A207:B208"/>
    <mergeCell ref="M207:N207"/>
    <mergeCell ref="M208:N208"/>
    <mergeCell ref="M187:N187"/>
    <mergeCell ref="M188:N188"/>
    <mergeCell ref="B196:C196"/>
    <mergeCell ref="G196:H196"/>
    <mergeCell ref="J197:J198"/>
    <mergeCell ref="A198:B198"/>
    <mergeCell ref="A200:B200"/>
    <mergeCell ref="O197:O198"/>
    <mergeCell ref="M200:N200"/>
    <mergeCell ref="M201:N201"/>
    <mergeCell ref="M203:N203"/>
    <mergeCell ref="M205:N205"/>
    <mergeCell ref="M206:N206"/>
    <mergeCell ref="M209:N209"/>
    <mergeCell ref="M210:N210"/>
    <mergeCell ref="M211:N211"/>
    <mergeCell ref="M212:N212"/>
    <mergeCell ref="M213:N213"/>
    <mergeCell ref="M214:N214"/>
    <mergeCell ref="M215:N215"/>
    <mergeCell ref="M216:N216"/>
    <mergeCell ref="M217:N217"/>
    <mergeCell ref="M218:N218"/>
    <mergeCell ref="M219:N219"/>
    <mergeCell ref="M220:N220"/>
    <mergeCell ref="M221:N221"/>
    <mergeCell ref="M222:N222"/>
    <mergeCell ref="M223:N223"/>
    <mergeCell ref="O236:O237"/>
    <mergeCell ref="M237:N237"/>
    <mergeCell ref="M238:N238"/>
    <mergeCell ref="M240:N240"/>
    <mergeCell ref="M242:N242"/>
    <mergeCell ref="M245:N245"/>
    <mergeCell ref="M224:N224"/>
    <mergeCell ref="M225:N225"/>
    <mergeCell ref="M226:N226"/>
    <mergeCell ref="M227:N227"/>
    <mergeCell ref="G235:H235"/>
    <mergeCell ref="J236:J237"/>
    <mergeCell ref="A237:B237"/>
    <mergeCell ref="A239:B239"/>
    <mergeCell ref="M239:N239"/>
    <mergeCell ref="A241:B241"/>
    <mergeCell ref="M241:N241"/>
    <mergeCell ref="A243:B243"/>
    <mergeCell ref="M243:N243"/>
    <mergeCell ref="A246:B247"/>
    <mergeCell ref="M246:N246"/>
    <mergeCell ref="M247:N247"/>
    <mergeCell ref="M248:N248"/>
    <mergeCell ref="M249:N249"/>
    <mergeCell ref="M250:N250"/>
    <mergeCell ref="M251:N251"/>
    <mergeCell ref="M252:N252"/>
    <mergeCell ref="M253:N253"/>
    <mergeCell ref="M254:N254"/>
    <mergeCell ref="M255:N255"/>
    <mergeCell ref="M256:N256"/>
    <mergeCell ref="M257:N257"/>
    <mergeCell ref="M258:N258"/>
    <mergeCell ref="M259:N259"/>
    <mergeCell ref="M260:N260"/>
    <mergeCell ref="M261:N261"/>
    <mergeCell ref="M262:N262"/>
    <mergeCell ref="M263:N263"/>
    <mergeCell ref="M264:N264"/>
    <mergeCell ref="M265:N265"/>
    <mergeCell ref="M266:N266"/>
    <mergeCell ref="M278:N278"/>
    <mergeCell ref="M279:N279"/>
    <mergeCell ref="M356:N356"/>
    <mergeCell ref="M357:N357"/>
    <mergeCell ref="M355:N355"/>
    <mergeCell ref="M358:N358"/>
    <mergeCell ref="M359:N359"/>
    <mergeCell ref="M361:N361"/>
    <mergeCell ref="M362:N362"/>
    <mergeCell ref="M365:N365"/>
    <mergeCell ref="M366:N366"/>
  </mergeCells>
  <conditionalFormatting sqref="B18:B19 B43 B45 B47 B49:B50 B53:B60 B62:B65 B67:B80 B82 B84 B92:B98 B100:B119 B121 B123 B125 B127:B128 B131:B158 B160 B162 B164 B166:B167 B170:B197 B199 B201 B203 B205:B206 B209:B236 B238 B240 B242 B244:B245 B248:B275 B277 B279 B281 B283:B284 B287:B314 B316 B318 B320 B322:B323 B326:B353 B355 B357 B359 B361:B362 B365:B392 B394 B396 B398 B400:B401 B404:B405 B407:B431 B433 B435 B437 B439:B440 B443:B468 B470:B491 B494:B495">
    <cfRule type="notContainsBlanks" dxfId="0" priority="1">
      <formula>LEN(TRIM(B18))&gt;0</formula>
    </cfRule>
  </conditionalFormatting>
  <conditionalFormatting sqref="P1:P11 P25:P50 P64:P77 P79:P89 P103:P116 P118:P128 P142:P155 P157:P167 P181:P194 P196:P206 P220:P233 P235:P245 P259:P272 P274:P284 P298:P311 P313:P323 P337:P350 P352:P362 P376:P389 P391:P401 P415:P428 P430:P440 P454:P467">
    <cfRule type="notContainsBlanks" dxfId="0" priority="2">
      <formula>LEN(TRIM(P1))&gt;0</formula>
    </cfRule>
  </conditionalFormatting>
  <conditionalFormatting sqref="D1:D468 D487:D491 D494:D495">
    <cfRule type="notContainsBlanks" dxfId="0" priority="3">
      <formula>LEN(TRIM(D1))&gt;0</formula>
    </cfRule>
  </conditionalFormatting>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26.0"/>
    <col customWidth="1" min="2" max="2" width="9.5"/>
    <col customWidth="1" min="3" max="3" width="13.63"/>
    <col customWidth="1" min="4" max="4" width="13.25"/>
    <col customWidth="1" min="5" max="5" width="15.13"/>
    <col customWidth="1" min="6" max="6" width="9.38"/>
    <col customWidth="1" min="7" max="7" width="3.75"/>
    <col customWidth="1" min="8" max="8" width="3.88"/>
    <col customWidth="1" min="9" max="9" width="1.25"/>
    <col customWidth="1" min="10" max="10" width="16.5"/>
    <col customWidth="1" min="11" max="11" width="0.5"/>
    <col customWidth="1" min="12" max="12" width="8.13"/>
    <col customWidth="1" min="13" max="13" width="17.13"/>
    <col customWidth="1" min="14" max="14" width="16.88"/>
    <col customWidth="1" min="15" max="15" width="12.75"/>
    <col customWidth="1" min="16" max="16" width="8.88"/>
    <col customWidth="1" min="17" max="17" width="1.63"/>
    <col customWidth="1" min="18" max="18" width="1.75"/>
    <col customWidth="1" min="19" max="19" width="2.13"/>
    <col customWidth="1" min="20" max="20" width="8.13"/>
    <col customWidth="1" min="21" max="21" width="9.5"/>
    <col customWidth="1" min="22" max="22" width="9.75"/>
    <col customWidth="1" min="23" max="23" width="5.75"/>
    <col customWidth="1" min="24" max="24" width="11.13"/>
    <col customWidth="1" min="25" max="25" width="6.88"/>
    <col customWidth="1" min="26" max="26" width="9.0"/>
  </cols>
  <sheetData>
    <row r="1">
      <c r="A1" s="169" t="s">
        <v>113</v>
      </c>
      <c r="B1" s="539"/>
      <c r="C1" s="540"/>
      <c r="D1" s="405"/>
      <c r="E1" s="541"/>
      <c r="F1" s="542"/>
      <c r="G1" s="467" t="s">
        <v>333</v>
      </c>
      <c r="H1" s="361"/>
      <c r="I1" s="57"/>
      <c r="J1" s="105"/>
      <c r="K1" s="57"/>
      <c r="L1" s="150"/>
      <c r="M1" s="239"/>
      <c r="N1" s="239"/>
      <c r="O1" s="57"/>
      <c r="P1" s="157"/>
      <c r="Q1" s="404"/>
      <c r="R1" s="57"/>
      <c r="S1" s="394"/>
      <c r="T1" s="394"/>
      <c r="U1" s="394"/>
      <c r="V1" s="394"/>
      <c r="W1" s="394"/>
      <c r="X1" s="394"/>
      <c r="Y1" s="395"/>
      <c r="Z1" s="395"/>
    </row>
    <row r="2">
      <c r="A2" s="468"/>
      <c r="B2" s="157"/>
      <c r="C2" s="466"/>
      <c r="D2" s="405"/>
      <c r="E2" s="543" t="s">
        <v>335</v>
      </c>
      <c r="F2" s="544" t="s">
        <v>237</v>
      </c>
      <c r="G2" s="412" t="s">
        <v>336</v>
      </c>
      <c r="H2" s="413" t="s">
        <v>337</v>
      </c>
      <c r="I2" s="239"/>
      <c r="J2" s="145" t="s">
        <v>60</v>
      </c>
      <c r="K2" s="57"/>
      <c r="L2" s="150"/>
      <c r="M2" s="414"/>
      <c r="N2" s="414"/>
      <c r="O2" s="57" t="s">
        <v>334</v>
      </c>
      <c r="P2" s="157"/>
      <c r="Q2" s="404"/>
      <c r="R2" s="57"/>
      <c r="S2" s="399"/>
      <c r="T2" s="399"/>
      <c r="U2" s="399"/>
      <c r="V2" s="399"/>
      <c r="W2" s="399"/>
      <c r="X2" s="399"/>
      <c r="Y2" s="400"/>
      <c r="Z2" s="400"/>
    </row>
    <row r="3">
      <c r="A3" s="470" t="s">
        <v>179</v>
      </c>
      <c r="C3" s="416">
        <f>SUM(F3:F37)</f>
        <v>0</v>
      </c>
      <c r="D3" s="405"/>
      <c r="E3" s="545"/>
      <c r="F3" s="546"/>
      <c r="G3" s="419"/>
      <c r="H3" s="419"/>
      <c r="I3" s="57"/>
      <c r="K3" s="57"/>
      <c r="L3" s="150"/>
      <c r="M3" s="377" t="s">
        <v>366</v>
      </c>
      <c r="P3" s="157"/>
      <c r="Q3" s="404"/>
      <c r="R3" s="57"/>
      <c r="S3" s="399"/>
      <c r="T3" s="399"/>
      <c r="U3" s="399"/>
      <c r="V3" s="399"/>
      <c r="W3" s="399"/>
      <c r="X3" s="399"/>
      <c r="Y3" s="400"/>
      <c r="Z3" s="400"/>
    </row>
    <row r="4">
      <c r="A4" s="421" t="s">
        <v>343</v>
      </c>
      <c r="B4" s="422" t="s">
        <v>321</v>
      </c>
      <c r="C4" s="416">
        <f>SUM(P4:P37)</f>
        <v>0</v>
      </c>
      <c r="D4" s="157"/>
      <c r="E4" s="545"/>
      <c r="F4" s="546"/>
      <c r="G4" s="419"/>
      <c r="H4" s="419"/>
      <c r="I4" s="239"/>
      <c r="J4" s="471" t="s">
        <v>341</v>
      </c>
      <c r="K4" s="420"/>
      <c r="L4" s="150"/>
      <c r="M4" s="374"/>
      <c r="O4" s="426"/>
      <c r="P4" s="423"/>
      <c r="Q4" s="404"/>
      <c r="R4" s="57"/>
      <c r="S4" s="394"/>
      <c r="T4" s="394"/>
      <c r="U4" s="394"/>
      <c r="V4" s="394"/>
      <c r="W4" s="394"/>
      <c r="X4" s="394"/>
      <c r="Y4" s="395"/>
      <c r="Z4" s="395"/>
    </row>
    <row r="5">
      <c r="A5" s="427" t="s">
        <v>201</v>
      </c>
      <c r="C5" s="204">
        <f>SUM(L4:L37)</f>
        <v>0</v>
      </c>
      <c r="D5" s="157"/>
      <c r="E5" s="545"/>
      <c r="F5" s="547"/>
      <c r="G5" s="419"/>
      <c r="H5" s="419"/>
      <c r="I5" s="239"/>
      <c r="J5" s="472" t="s">
        <v>345</v>
      </c>
      <c r="K5" s="420"/>
      <c r="L5" s="150"/>
      <c r="M5" s="374"/>
      <c r="O5" s="431"/>
      <c r="P5" s="423"/>
      <c r="Q5" s="404"/>
      <c r="R5" s="57"/>
      <c r="S5" s="394"/>
      <c r="T5" s="394"/>
      <c r="U5" s="394"/>
      <c r="V5" s="394"/>
      <c r="W5" s="394"/>
      <c r="X5" s="394"/>
      <c r="Y5" s="395"/>
      <c r="Z5" s="395"/>
    </row>
    <row r="6">
      <c r="A6" s="548" t="s">
        <v>761</v>
      </c>
      <c r="B6" s="549">
        <v>0.4</v>
      </c>
      <c r="C6" s="191"/>
      <c r="D6" s="157"/>
      <c r="E6" s="550" t="s">
        <v>695</v>
      </c>
      <c r="F6" s="546"/>
      <c r="G6" s="419"/>
      <c r="H6" s="419"/>
      <c r="I6" s="239"/>
      <c r="J6" s="433" t="s">
        <v>656</v>
      </c>
      <c r="K6" s="420"/>
      <c r="L6" s="193"/>
      <c r="M6" s="374"/>
      <c r="O6" s="431"/>
      <c r="P6" s="423"/>
      <c r="Q6" s="404"/>
      <c r="R6" s="57"/>
      <c r="S6" s="394"/>
      <c r="T6" s="394"/>
      <c r="U6" s="394"/>
      <c r="V6" s="394"/>
      <c r="W6" s="394"/>
      <c r="X6" s="394"/>
      <c r="Y6" s="395"/>
      <c r="Z6" s="395"/>
    </row>
    <row r="7">
      <c r="A7" s="434" t="s">
        <v>350</v>
      </c>
      <c r="C7" s="551">
        <f>C3-C5-C6</f>
        <v>0</v>
      </c>
      <c r="D7" s="157"/>
      <c r="E7" s="552"/>
      <c r="F7" s="553"/>
      <c r="G7" s="455"/>
      <c r="H7" s="419"/>
      <c r="I7" s="57"/>
      <c r="J7" s="444" t="s">
        <v>658</v>
      </c>
      <c r="K7" s="420"/>
      <c r="L7" s="193"/>
      <c r="M7" s="377"/>
      <c r="O7" s="431"/>
      <c r="P7" s="157"/>
      <c r="Q7" s="404"/>
      <c r="R7" s="57"/>
      <c r="S7" s="394"/>
      <c r="T7" s="394"/>
      <c r="U7" s="394"/>
      <c r="V7" s="394"/>
      <c r="W7" s="394"/>
      <c r="X7" s="394"/>
      <c r="Y7" s="395"/>
      <c r="Z7" s="395"/>
    </row>
    <row r="8">
      <c r="A8" s="554"/>
      <c r="B8" s="555"/>
      <c r="C8" s="447"/>
      <c r="D8" s="157"/>
      <c r="E8" s="552"/>
      <c r="F8" s="553"/>
      <c r="G8" s="419"/>
      <c r="H8" s="419"/>
      <c r="I8" s="57"/>
      <c r="J8" s="444" t="s">
        <v>660</v>
      </c>
      <c r="K8" s="420"/>
      <c r="L8" s="193"/>
      <c r="M8" s="377"/>
      <c r="O8" s="431"/>
      <c r="P8" s="157"/>
      <c r="Q8" s="404"/>
      <c r="R8" s="57"/>
      <c r="S8" s="394"/>
      <c r="T8" s="394"/>
      <c r="U8" s="394"/>
      <c r="V8" s="394"/>
      <c r="W8" s="394"/>
      <c r="X8" s="394"/>
      <c r="Y8" s="395"/>
      <c r="Z8" s="395"/>
    </row>
    <row r="9">
      <c r="A9" s="556"/>
      <c r="C9" s="395"/>
      <c r="D9" s="157"/>
      <c r="E9" s="192"/>
      <c r="F9" s="546"/>
      <c r="G9" s="455"/>
      <c r="H9" s="419"/>
      <c r="I9" s="239"/>
      <c r="J9" s="370" t="s">
        <v>662</v>
      </c>
      <c r="K9" s="420"/>
      <c r="L9" s="193"/>
      <c r="M9" s="377"/>
      <c r="O9" s="431"/>
      <c r="P9" s="157"/>
      <c r="Q9" s="404"/>
      <c r="R9" s="57"/>
      <c r="S9" s="394"/>
      <c r="T9" s="394"/>
      <c r="U9" s="394"/>
      <c r="V9" s="394"/>
      <c r="W9" s="394"/>
      <c r="X9" s="394"/>
      <c r="Y9" s="395"/>
      <c r="Z9" s="395"/>
    </row>
    <row r="10">
      <c r="A10" s="557"/>
      <c r="B10" s="109"/>
      <c r="C10" s="395"/>
      <c r="D10" s="373"/>
      <c r="E10" s="192"/>
      <c r="F10" s="546"/>
      <c r="G10" s="562"/>
      <c r="H10" s="419"/>
      <c r="I10" s="239"/>
      <c r="J10" s="433" t="s">
        <v>666</v>
      </c>
      <c r="K10" s="420"/>
      <c r="L10" s="150"/>
      <c r="M10" s="374"/>
      <c r="O10" s="431"/>
      <c r="P10" s="157"/>
      <c r="Q10" s="404"/>
      <c r="R10" s="57"/>
      <c r="S10" s="394"/>
      <c r="T10" s="394"/>
      <c r="U10" s="394"/>
      <c r="V10" s="394"/>
      <c r="W10" s="394"/>
      <c r="X10" s="394"/>
      <c r="Y10" s="395"/>
      <c r="Z10" s="395"/>
    </row>
    <row r="11">
      <c r="A11" s="559" t="s">
        <v>765</v>
      </c>
      <c r="B11" s="560">
        <f>SUM(D11:D37)</f>
        <v>0</v>
      </c>
      <c r="C11" s="477" t="s">
        <v>366</v>
      </c>
      <c r="D11" s="157"/>
      <c r="E11" s="192"/>
      <c r="F11" s="546"/>
      <c r="G11" s="419"/>
      <c r="H11" s="419"/>
      <c r="I11" s="239"/>
      <c r="J11" s="433" t="s">
        <v>668</v>
      </c>
      <c r="K11" s="420"/>
      <c r="L11" s="150"/>
      <c r="M11" s="377"/>
      <c r="O11" s="431"/>
      <c r="P11" s="157"/>
      <c r="Q11" s="404"/>
      <c r="R11" s="57"/>
      <c r="S11" s="394"/>
      <c r="T11" s="394"/>
      <c r="U11" s="394"/>
      <c r="V11" s="394"/>
      <c r="W11" s="394"/>
      <c r="X11" s="394"/>
      <c r="Y11" s="395"/>
      <c r="Z11" s="395"/>
    </row>
    <row r="12">
      <c r="A12" s="453" t="s">
        <v>369</v>
      </c>
      <c r="C12" s="561" t="s">
        <v>766</v>
      </c>
      <c r="D12" s="423"/>
      <c r="E12" s="192"/>
      <c r="F12" s="546"/>
      <c r="G12" s="562"/>
      <c r="H12" s="419"/>
      <c r="I12" s="239"/>
      <c r="J12" s="433" t="s">
        <v>670</v>
      </c>
      <c r="K12" s="458"/>
      <c r="L12" s="193"/>
      <c r="M12" s="377"/>
      <c r="O12" s="431"/>
      <c r="P12" s="157"/>
      <c r="Q12" s="404"/>
      <c r="R12" s="57"/>
      <c r="S12" s="394"/>
      <c r="T12" s="394"/>
      <c r="U12" s="394"/>
      <c r="V12" s="394"/>
      <c r="W12" s="394"/>
      <c r="X12" s="394"/>
      <c r="Y12" s="395"/>
      <c r="Z12" s="395"/>
    </row>
    <row r="13">
      <c r="C13" s="561" t="s">
        <v>767</v>
      </c>
      <c r="D13" s="423"/>
      <c r="E13" s="192"/>
      <c r="F13" s="546"/>
      <c r="G13" s="419"/>
      <c r="H13" s="419"/>
      <c r="I13" s="239"/>
      <c r="J13" s="433" t="s">
        <v>217</v>
      </c>
      <c r="K13" s="458"/>
      <c r="L13" s="150"/>
      <c r="M13" s="377"/>
      <c r="O13" s="431"/>
      <c r="P13" s="157"/>
      <c r="Q13" s="404"/>
      <c r="R13" s="57"/>
      <c r="S13" s="394"/>
      <c r="T13" s="394"/>
      <c r="U13" s="394"/>
      <c r="V13" s="394"/>
      <c r="W13" s="394"/>
      <c r="X13" s="394"/>
      <c r="Y13" s="395"/>
      <c r="Z13" s="395"/>
    </row>
    <row r="14">
      <c r="A14" s="57"/>
      <c r="B14" s="57"/>
      <c r="C14" s="561" t="s">
        <v>768</v>
      </c>
      <c r="D14" s="423"/>
      <c r="E14" s="228"/>
      <c r="F14" s="547"/>
      <c r="G14" s="419"/>
      <c r="H14" s="419"/>
      <c r="I14" s="239"/>
      <c r="J14" s="109"/>
      <c r="K14" s="420"/>
      <c r="L14" s="193"/>
      <c r="M14" s="374"/>
      <c r="O14" s="431"/>
      <c r="P14" s="157"/>
      <c r="Q14" s="404"/>
      <c r="R14" s="57"/>
      <c r="S14" s="394"/>
      <c r="T14" s="394"/>
      <c r="U14" s="394"/>
      <c r="V14" s="394"/>
      <c r="W14" s="394"/>
      <c r="X14" s="394"/>
      <c r="Y14" s="395"/>
      <c r="Z14" s="395"/>
    </row>
    <row r="15">
      <c r="A15" s="57"/>
      <c r="B15" s="57"/>
      <c r="C15" s="561" t="s">
        <v>769</v>
      </c>
      <c r="D15" s="157"/>
      <c r="E15" s="228"/>
      <c r="F15" s="547"/>
      <c r="G15" s="419"/>
      <c r="H15" s="419"/>
      <c r="I15" s="239"/>
      <c r="J15" s="456" t="s">
        <v>672</v>
      </c>
      <c r="K15" s="420"/>
      <c r="L15" s="150"/>
      <c r="M15" s="377"/>
      <c r="O15" s="431"/>
      <c r="P15" s="157"/>
      <c r="Q15" s="404"/>
      <c r="R15" s="57"/>
      <c r="S15" s="394"/>
      <c r="T15" s="394"/>
      <c r="U15" s="394"/>
      <c r="V15" s="394"/>
      <c r="W15" s="394"/>
      <c r="X15" s="394"/>
      <c r="Y15" s="395"/>
      <c r="Z15" s="395"/>
    </row>
    <row r="16">
      <c r="A16" s="57"/>
      <c r="B16" s="57"/>
      <c r="C16" s="561" t="s">
        <v>770</v>
      </c>
      <c r="D16" s="423"/>
      <c r="E16" s="228"/>
      <c r="F16" s="547"/>
      <c r="G16" s="419"/>
      <c r="H16" s="419"/>
      <c r="I16" s="57"/>
      <c r="J16" s="456" t="s">
        <v>675</v>
      </c>
      <c r="K16" s="420"/>
      <c r="L16" s="150"/>
      <c r="M16" s="382"/>
      <c r="O16" s="431"/>
      <c r="P16" s="157"/>
      <c r="Q16" s="404"/>
      <c r="R16" s="57"/>
      <c r="S16" s="394"/>
      <c r="T16" s="394"/>
      <c r="U16" s="394"/>
      <c r="V16" s="394"/>
      <c r="W16" s="394"/>
      <c r="X16" s="394"/>
      <c r="Y16" s="395"/>
      <c r="Z16" s="395"/>
    </row>
    <row r="17">
      <c r="A17" s="57"/>
      <c r="B17" s="57"/>
      <c r="C17" s="563" t="s">
        <v>771</v>
      </c>
      <c r="D17" s="423"/>
      <c r="E17" s="228"/>
      <c r="F17" s="547"/>
      <c r="G17" s="455"/>
      <c r="H17" s="419"/>
      <c r="I17" s="57"/>
      <c r="J17" s="456"/>
      <c r="K17" s="420"/>
      <c r="L17" s="150"/>
      <c r="M17" s="425"/>
      <c r="O17" s="431"/>
      <c r="P17" s="157"/>
      <c r="Q17" s="404"/>
      <c r="R17" s="57"/>
      <c r="S17" s="394"/>
      <c r="T17" s="394"/>
      <c r="U17" s="394"/>
      <c r="V17" s="394"/>
      <c r="W17" s="394"/>
      <c r="X17" s="394"/>
      <c r="Y17" s="395"/>
      <c r="Z17" s="395"/>
    </row>
    <row r="18">
      <c r="A18" s="239"/>
      <c r="B18" s="57"/>
      <c r="C18" s="563" t="s">
        <v>772</v>
      </c>
      <c r="D18" s="157"/>
      <c r="E18" s="228"/>
      <c r="F18" s="547"/>
      <c r="G18" s="419"/>
      <c r="H18" s="419"/>
      <c r="I18" s="57"/>
      <c r="J18" s="375"/>
      <c r="K18" s="420"/>
      <c r="L18" s="150"/>
      <c r="M18" s="425"/>
      <c r="O18" s="431"/>
      <c r="P18" s="157"/>
      <c r="Q18" s="404"/>
      <c r="R18" s="57"/>
      <c r="S18" s="394"/>
      <c r="T18" s="394"/>
      <c r="U18" s="394"/>
      <c r="V18" s="394"/>
      <c r="W18" s="394"/>
      <c r="X18" s="394"/>
      <c r="Y18" s="395"/>
      <c r="Z18" s="395"/>
    </row>
    <row r="19">
      <c r="A19" s="239"/>
      <c r="B19" s="57"/>
      <c r="C19" s="561" t="s">
        <v>18</v>
      </c>
      <c r="D19" s="423"/>
      <c r="E19" s="228"/>
      <c r="F19" s="547"/>
      <c r="G19" s="419"/>
      <c r="H19" s="419"/>
      <c r="I19" s="57"/>
      <c r="J19" s="375"/>
      <c r="K19" s="420"/>
      <c r="L19" s="193"/>
      <c r="M19" s="382"/>
      <c r="O19" s="431"/>
      <c r="P19" s="157"/>
      <c r="Q19" s="404"/>
      <c r="R19" s="57"/>
      <c r="S19" s="394"/>
      <c r="T19" s="394"/>
      <c r="U19" s="394"/>
      <c r="V19" s="394"/>
      <c r="W19" s="394"/>
      <c r="X19" s="394"/>
      <c r="Y19" s="395"/>
      <c r="Z19" s="395"/>
    </row>
    <row r="20">
      <c r="A20" s="239"/>
      <c r="B20" s="57"/>
      <c r="C20" s="563" t="s">
        <v>1115</v>
      </c>
      <c r="D20" s="157"/>
      <c r="E20" s="228"/>
      <c r="F20" s="547"/>
      <c r="G20" s="455"/>
      <c r="H20" s="419"/>
      <c r="I20" s="57"/>
      <c r="J20" s="452"/>
      <c r="K20" s="420"/>
      <c r="L20" s="150"/>
      <c r="M20" s="425"/>
      <c r="O20" s="431"/>
      <c r="P20" s="157"/>
      <c r="Q20" s="404"/>
      <c r="R20" s="57"/>
      <c r="S20" s="394"/>
      <c r="T20" s="394"/>
      <c r="U20" s="394"/>
      <c r="V20" s="394"/>
      <c r="W20" s="394"/>
      <c r="X20" s="394"/>
      <c r="Y20" s="395"/>
      <c r="Z20" s="395"/>
    </row>
    <row r="21">
      <c r="A21" s="57"/>
      <c r="B21" s="57"/>
      <c r="C21" s="561" t="s">
        <v>1116</v>
      </c>
      <c r="D21" s="423"/>
      <c r="E21" s="228"/>
      <c r="F21" s="547"/>
      <c r="G21" s="419"/>
      <c r="H21" s="419"/>
      <c r="I21" s="57"/>
      <c r="J21" s="105"/>
      <c r="K21" s="420"/>
      <c r="L21" s="150"/>
      <c r="M21" s="425"/>
      <c r="O21" s="431"/>
      <c r="P21" s="157"/>
      <c r="Q21" s="404"/>
      <c r="R21" s="57"/>
      <c r="S21" s="394"/>
      <c r="T21" s="394"/>
      <c r="U21" s="394"/>
      <c r="V21" s="394"/>
      <c r="W21" s="394"/>
      <c r="X21" s="394"/>
      <c r="Y21" s="395"/>
      <c r="Z21" s="395"/>
    </row>
    <row r="22">
      <c r="A22" s="239"/>
      <c r="B22" s="239"/>
      <c r="C22" s="561" t="s">
        <v>775</v>
      </c>
      <c r="D22" s="423"/>
      <c r="E22" s="228"/>
      <c r="F22" s="547"/>
      <c r="G22" s="419"/>
      <c r="H22" s="419"/>
      <c r="I22" s="57"/>
      <c r="J22" s="378" t="s">
        <v>682</v>
      </c>
      <c r="K22" s="420"/>
      <c r="L22" s="193"/>
      <c r="M22" s="377"/>
      <c r="O22" s="431"/>
      <c r="P22" s="157"/>
      <c r="Q22" s="404"/>
      <c r="R22" s="57"/>
      <c r="S22" s="394"/>
      <c r="T22" s="394"/>
      <c r="U22" s="394"/>
      <c r="V22" s="394"/>
      <c r="W22" s="394"/>
      <c r="X22" s="394"/>
      <c r="Y22" s="395"/>
      <c r="Z22" s="395"/>
    </row>
    <row r="23">
      <c r="A23" s="239"/>
      <c r="B23" s="239"/>
      <c r="C23" s="561" t="s">
        <v>10</v>
      </c>
      <c r="D23" s="157"/>
      <c r="E23" s="206"/>
      <c r="F23" s="564"/>
      <c r="G23" s="478"/>
      <c r="H23" s="419"/>
      <c r="I23" s="57"/>
      <c r="J23" s="461" t="s">
        <v>684</v>
      </c>
      <c r="K23" s="420"/>
      <c r="L23" s="567"/>
      <c r="M23" s="658"/>
      <c r="O23" s="431"/>
      <c r="P23" s="157"/>
      <c r="Q23" s="404"/>
      <c r="R23" s="57"/>
      <c r="S23" s="394"/>
      <c r="T23" s="394"/>
      <c r="U23" s="394"/>
      <c r="V23" s="394"/>
      <c r="W23" s="394"/>
      <c r="X23" s="394"/>
      <c r="Y23" s="395"/>
      <c r="Z23" s="395"/>
    </row>
    <row r="24">
      <c r="A24" s="239"/>
      <c r="B24" s="239"/>
      <c r="C24" s="561" t="s">
        <v>6</v>
      </c>
      <c r="D24" s="423"/>
      <c r="E24" s="206"/>
      <c r="F24" s="547"/>
      <c r="G24" s="455"/>
      <c r="H24" s="455"/>
      <c r="I24" s="57"/>
      <c r="J24" s="461" t="s">
        <v>686</v>
      </c>
      <c r="K24" s="420"/>
      <c r="L24" s="193"/>
      <c r="M24" s="377"/>
      <c r="O24" s="463"/>
      <c r="P24" s="157"/>
      <c r="Q24" s="404"/>
      <c r="R24" s="57"/>
      <c r="S24" s="394"/>
      <c r="T24" s="394"/>
      <c r="U24" s="394"/>
      <c r="V24" s="394"/>
      <c r="W24" s="394"/>
      <c r="X24" s="394"/>
      <c r="Y24" s="395"/>
      <c r="Z24" s="395"/>
    </row>
    <row r="25">
      <c r="A25" s="57"/>
      <c r="B25" s="57"/>
      <c r="C25" s="561" t="s">
        <v>779</v>
      </c>
      <c r="D25" s="157"/>
      <c r="E25" s="228"/>
      <c r="F25" s="547"/>
      <c r="G25" s="455"/>
      <c r="H25" s="455"/>
      <c r="I25" s="239"/>
      <c r="J25" s="460"/>
      <c r="K25" s="420"/>
      <c r="L25" s="567"/>
      <c r="M25" s="377"/>
      <c r="O25" s="463"/>
      <c r="P25" s="157"/>
      <c r="Q25" s="404"/>
      <c r="R25" s="57"/>
      <c r="S25" s="394"/>
      <c r="T25" s="394"/>
      <c r="U25" s="394"/>
      <c r="V25" s="394"/>
      <c r="W25" s="394"/>
      <c r="X25" s="394"/>
      <c r="Y25" s="395"/>
      <c r="Z25" s="395"/>
    </row>
    <row r="26">
      <c r="A26" s="239"/>
      <c r="B26" s="239"/>
      <c r="C26" s="561" t="s">
        <v>780</v>
      </c>
      <c r="D26" s="423"/>
      <c r="E26" s="228"/>
      <c r="F26" s="547"/>
      <c r="G26" s="455"/>
      <c r="H26" s="455"/>
      <c r="I26" s="57"/>
      <c r="J26" s="460" t="s">
        <v>274</v>
      </c>
      <c r="K26" s="420"/>
      <c r="L26" s="193"/>
      <c r="M26" s="374"/>
      <c r="O26" s="463"/>
      <c r="P26" s="157"/>
      <c r="Q26" s="404"/>
      <c r="R26" s="57"/>
      <c r="S26" s="394"/>
      <c r="T26" s="394"/>
      <c r="U26" s="394"/>
      <c r="V26" s="394"/>
      <c r="W26" s="394"/>
      <c r="X26" s="394"/>
      <c r="Y26" s="395"/>
      <c r="Z26" s="395"/>
    </row>
    <row r="27">
      <c r="A27" s="239"/>
      <c r="B27" s="239"/>
      <c r="C27" s="561" t="s">
        <v>781</v>
      </c>
      <c r="D27" s="423"/>
      <c r="E27" s="228"/>
      <c r="F27" s="547"/>
      <c r="G27" s="455"/>
      <c r="H27" s="419"/>
      <c r="I27" s="239"/>
      <c r="J27" s="685" t="s">
        <v>1117</v>
      </c>
      <c r="K27" s="420"/>
      <c r="L27" s="150"/>
      <c r="M27" s="374"/>
      <c r="O27" s="431"/>
      <c r="P27" s="157"/>
      <c r="Q27" s="404"/>
      <c r="R27" s="57"/>
      <c r="S27" s="394"/>
      <c r="T27" s="394"/>
      <c r="U27" s="394"/>
      <c r="V27" s="394"/>
      <c r="W27" s="394"/>
      <c r="X27" s="394"/>
      <c r="Y27" s="395"/>
      <c r="Z27" s="395"/>
    </row>
    <row r="28">
      <c r="A28" s="239"/>
      <c r="B28" s="157"/>
      <c r="C28" s="561" t="s">
        <v>1118</v>
      </c>
      <c r="D28" s="157"/>
      <c r="E28" s="569"/>
      <c r="F28" s="547"/>
      <c r="G28" s="419"/>
      <c r="H28" s="419"/>
      <c r="I28" s="57"/>
      <c r="J28" s="685" t="s">
        <v>1119</v>
      </c>
      <c r="K28" s="420"/>
      <c r="L28" s="193"/>
      <c r="M28" s="377"/>
      <c r="O28" s="431"/>
      <c r="P28" s="157"/>
      <c r="Q28" s="404"/>
      <c r="R28" s="57"/>
      <c r="S28" s="394"/>
      <c r="T28" s="394"/>
      <c r="U28" s="394"/>
      <c r="V28" s="394"/>
      <c r="W28" s="394"/>
      <c r="X28" s="394"/>
      <c r="Y28" s="395"/>
      <c r="Z28" s="395"/>
    </row>
    <row r="29">
      <c r="A29" s="239"/>
      <c r="B29" s="157"/>
      <c r="C29" s="561" t="s">
        <v>1120</v>
      </c>
      <c r="D29" s="157"/>
      <c r="E29" s="228"/>
      <c r="F29" s="547"/>
      <c r="G29" s="419"/>
      <c r="H29" s="419"/>
      <c r="I29" s="239"/>
      <c r="J29" s="596" t="s">
        <v>955</v>
      </c>
      <c r="K29" s="420"/>
      <c r="L29" s="193"/>
      <c r="M29" s="377"/>
      <c r="O29" s="431"/>
      <c r="P29" s="157"/>
      <c r="Q29" s="404"/>
      <c r="R29" s="57"/>
      <c r="S29" s="394"/>
      <c r="T29" s="394"/>
      <c r="U29" s="394"/>
      <c r="V29" s="394"/>
      <c r="W29" s="394"/>
      <c r="X29" s="394"/>
      <c r="Y29" s="395"/>
      <c r="Z29" s="395"/>
    </row>
    <row r="30">
      <c r="A30" s="239"/>
      <c r="B30" s="157"/>
      <c r="C30" s="561"/>
      <c r="D30" s="157"/>
      <c r="E30" s="570"/>
      <c r="F30" s="547"/>
      <c r="G30" s="419"/>
      <c r="H30" s="419"/>
      <c r="I30" s="239"/>
      <c r="J30" s="568"/>
      <c r="K30" s="420"/>
      <c r="L30" s="193"/>
      <c r="M30" s="374"/>
      <c r="O30" s="431"/>
      <c r="P30" s="157"/>
      <c r="Q30" s="404"/>
      <c r="R30" s="57"/>
      <c r="S30" s="394"/>
      <c r="T30" s="394"/>
      <c r="U30" s="394"/>
      <c r="V30" s="394"/>
      <c r="W30" s="394"/>
      <c r="X30" s="394"/>
      <c r="Y30" s="395"/>
      <c r="Z30" s="395"/>
    </row>
    <row r="31">
      <c r="C31" s="571"/>
      <c r="D31" s="157"/>
      <c r="E31" s="570"/>
      <c r="F31" s="547"/>
      <c r="G31" s="419"/>
      <c r="H31" s="419"/>
      <c r="I31" s="239"/>
      <c r="J31" s="464" t="s">
        <v>692</v>
      </c>
      <c r="K31" s="420"/>
      <c r="L31" s="150"/>
      <c r="M31" s="377"/>
      <c r="O31" s="431"/>
      <c r="P31" s="157"/>
      <c r="Q31" s="404"/>
      <c r="R31" s="57"/>
      <c r="S31" s="399"/>
      <c r="T31" s="399"/>
      <c r="U31" s="399"/>
      <c r="V31" s="399"/>
      <c r="W31" s="399"/>
      <c r="X31" s="399"/>
      <c r="Y31" s="400"/>
      <c r="Z31" s="400"/>
    </row>
    <row r="32">
      <c r="C32" s="571"/>
      <c r="D32" s="157"/>
      <c r="E32" s="570"/>
      <c r="F32" s="547"/>
      <c r="G32" s="419"/>
      <c r="H32" s="419"/>
      <c r="I32" s="239"/>
      <c r="J32" s="464" t="s">
        <v>694</v>
      </c>
      <c r="K32" s="420"/>
      <c r="L32" s="150"/>
      <c r="M32" s="374"/>
      <c r="O32" s="431"/>
      <c r="P32" s="157"/>
      <c r="Q32" s="404"/>
      <c r="R32" s="57"/>
      <c r="S32" s="399"/>
      <c r="T32" s="399"/>
      <c r="U32" s="399"/>
      <c r="V32" s="399"/>
      <c r="W32" s="399"/>
      <c r="X32" s="399"/>
      <c r="Y32" s="400"/>
      <c r="Z32" s="400"/>
    </row>
    <row r="33">
      <c r="C33" s="571"/>
      <c r="D33" s="423"/>
      <c r="E33" s="570"/>
      <c r="F33" s="546"/>
      <c r="G33" s="419"/>
      <c r="H33" s="419"/>
      <c r="I33" s="57"/>
      <c r="J33" s="105"/>
      <c r="K33" s="57"/>
      <c r="L33" s="150"/>
      <c r="M33" s="57"/>
      <c r="N33" s="57"/>
      <c r="O33" s="57"/>
      <c r="P33" s="157"/>
      <c r="Q33" s="404"/>
      <c r="R33" s="57"/>
      <c r="S33" s="394"/>
      <c r="T33" s="394"/>
      <c r="U33" s="394"/>
      <c r="V33" s="394"/>
      <c r="W33" s="394"/>
      <c r="X33" s="394"/>
      <c r="Y33" s="395"/>
      <c r="Z33" s="395"/>
    </row>
    <row r="34">
      <c r="A34" s="125" t="s">
        <v>782</v>
      </c>
      <c r="B34" s="572">
        <f>C7-B11</f>
        <v>0</v>
      </c>
      <c r="D34" s="157"/>
      <c r="E34" s="570"/>
      <c r="F34" s="573"/>
      <c r="G34" s="478"/>
      <c r="H34" s="419"/>
      <c r="I34" s="239"/>
      <c r="J34" s="568"/>
      <c r="K34" s="57"/>
      <c r="L34" s="150"/>
      <c r="M34" s="57"/>
      <c r="N34" s="57"/>
      <c r="O34" s="57"/>
      <c r="P34" s="157"/>
      <c r="Q34" s="404"/>
      <c r="R34" s="57"/>
      <c r="S34" s="394"/>
      <c r="T34" s="394"/>
      <c r="U34" s="394"/>
      <c r="V34" s="394"/>
      <c r="W34" s="394"/>
      <c r="X34" s="394"/>
      <c r="Y34" s="395"/>
      <c r="Z34" s="395"/>
    </row>
    <row r="35">
      <c r="A35" s="274" t="s">
        <v>783</v>
      </c>
      <c r="B35" s="109"/>
      <c r="C35" s="395"/>
      <c r="D35" s="157"/>
      <c r="E35" s="570"/>
      <c r="F35" s="573"/>
      <c r="G35" s="478"/>
      <c r="H35" s="419"/>
      <c r="I35" s="239"/>
      <c r="J35" s="568"/>
      <c r="K35" s="57"/>
      <c r="L35" s="150"/>
      <c r="M35" s="57"/>
      <c r="N35" s="57"/>
      <c r="O35" s="57"/>
      <c r="P35" s="157"/>
      <c r="Q35" s="404"/>
      <c r="R35" s="57"/>
      <c r="S35" s="394"/>
      <c r="T35" s="394"/>
      <c r="U35" s="394"/>
      <c r="V35" s="394"/>
      <c r="W35" s="394"/>
      <c r="X35" s="394"/>
      <c r="Y35" s="395"/>
      <c r="Z35" s="395"/>
    </row>
    <row r="36">
      <c r="A36" s="274" t="s">
        <v>784</v>
      </c>
      <c r="B36" s="109"/>
      <c r="C36" s="395"/>
      <c r="D36" s="157"/>
      <c r="E36" s="570"/>
      <c r="F36" s="573"/>
      <c r="G36" s="478"/>
      <c r="H36" s="419"/>
      <c r="I36" s="239"/>
      <c r="J36" s="568"/>
      <c r="K36" s="57"/>
      <c r="L36" s="150"/>
      <c r="M36" s="57"/>
      <c r="N36" s="57"/>
      <c r="O36" s="57"/>
      <c r="P36" s="157"/>
      <c r="Q36" s="404"/>
      <c r="R36" s="57"/>
      <c r="S36" s="394"/>
      <c r="T36" s="394"/>
      <c r="U36" s="394"/>
      <c r="V36" s="394"/>
      <c r="W36" s="394"/>
      <c r="X36" s="394"/>
      <c r="Y36" s="395"/>
      <c r="Z36" s="395"/>
    </row>
    <row r="37">
      <c r="A37" s="274" t="s">
        <v>785</v>
      </c>
      <c r="B37" s="109"/>
      <c r="C37" s="686">
        <f>SUM(B35:B37)</f>
        <v>0</v>
      </c>
      <c r="D37" s="157"/>
      <c r="E37" s="570"/>
      <c r="F37" s="573"/>
      <c r="G37" s="478"/>
      <c r="H37" s="419"/>
      <c r="I37" s="239"/>
      <c r="J37" s="568"/>
      <c r="K37" s="57"/>
      <c r="L37" s="150"/>
      <c r="M37" s="57"/>
      <c r="N37" s="57"/>
      <c r="O37" s="57"/>
      <c r="P37" s="157"/>
      <c r="Q37" s="404"/>
      <c r="R37" s="57"/>
      <c r="S37" s="394"/>
      <c r="T37" s="394"/>
      <c r="U37" s="394"/>
      <c r="V37" s="394"/>
      <c r="W37" s="394"/>
      <c r="X37" s="394"/>
      <c r="Y37" s="395"/>
      <c r="Z37" s="395"/>
    </row>
    <row r="38">
      <c r="A38" s="402"/>
      <c r="B38" s="403"/>
      <c r="C38" s="403"/>
      <c r="D38" s="403"/>
      <c r="E38" s="574"/>
      <c r="F38" s="575"/>
      <c r="G38" s="159"/>
      <c r="H38" s="159"/>
      <c r="I38" s="159"/>
      <c r="J38" s="576"/>
      <c r="K38" s="159"/>
      <c r="L38" s="162"/>
      <c r="M38" s="402"/>
      <c r="N38" s="402"/>
      <c r="O38" s="159"/>
      <c r="P38" s="403"/>
      <c r="Q38" s="577"/>
      <c r="R38" s="57"/>
      <c r="S38" s="394"/>
      <c r="T38" s="394"/>
      <c r="U38" s="394"/>
      <c r="V38" s="394"/>
      <c r="W38" s="394"/>
      <c r="X38" s="394"/>
      <c r="Y38" s="395"/>
      <c r="Z38" s="395"/>
    </row>
    <row r="39">
      <c r="A39" s="57"/>
      <c r="B39" s="57"/>
      <c r="C39" s="57"/>
      <c r="D39" s="157"/>
      <c r="E39" s="228"/>
      <c r="F39" s="573"/>
      <c r="G39" s="57"/>
      <c r="H39" s="57"/>
      <c r="I39" s="239"/>
      <c r="J39" s="568"/>
      <c r="K39" s="57"/>
      <c r="L39" s="150"/>
      <c r="M39" s="57"/>
      <c r="N39" s="57"/>
      <c r="O39" s="57"/>
      <c r="P39" s="157"/>
      <c r="Q39" s="57"/>
      <c r="R39" s="57"/>
      <c r="S39" s="394"/>
      <c r="T39" s="394"/>
      <c r="U39" s="394"/>
      <c r="V39" s="394"/>
      <c r="W39" s="394"/>
      <c r="X39" s="394"/>
      <c r="Y39" s="395"/>
      <c r="Z39" s="395"/>
    </row>
    <row r="40">
      <c r="A40" s="169" t="s">
        <v>117</v>
      </c>
      <c r="B40" s="539"/>
      <c r="C40" s="540"/>
      <c r="D40" s="405"/>
      <c r="E40" s="541"/>
      <c r="F40" s="542"/>
      <c r="G40" s="467" t="s">
        <v>333</v>
      </c>
      <c r="H40" s="361"/>
      <c r="I40" s="57"/>
      <c r="J40" s="105"/>
      <c r="K40" s="57"/>
      <c r="L40" s="150"/>
      <c r="M40" s="239"/>
      <c r="N40" s="239"/>
      <c r="O40" s="57"/>
      <c r="P40" s="157"/>
      <c r="Q40" s="404"/>
      <c r="R40" s="57"/>
      <c r="S40" s="394"/>
      <c r="T40" s="394"/>
      <c r="U40" s="394"/>
      <c r="V40" s="394"/>
      <c r="W40" s="394"/>
      <c r="X40" s="394"/>
      <c r="Y40" s="395"/>
      <c r="Z40" s="395"/>
    </row>
    <row r="41">
      <c r="A41" s="468"/>
      <c r="B41" s="157"/>
      <c r="C41" s="466"/>
      <c r="D41" s="405"/>
      <c r="E41" s="543" t="s">
        <v>335</v>
      </c>
      <c r="F41" s="544" t="s">
        <v>237</v>
      </c>
      <c r="G41" s="412" t="s">
        <v>336</v>
      </c>
      <c r="H41" s="413" t="s">
        <v>337</v>
      </c>
      <c r="I41" s="239"/>
      <c r="J41" s="145" t="s">
        <v>60</v>
      </c>
      <c r="K41" s="57"/>
      <c r="L41" s="150"/>
      <c r="M41" s="414"/>
      <c r="N41" s="414"/>
      <c r="O41" s="57" t="s">
        <v>334</v>
      </c>
      <c r="P41" s="157"/>
      <c r="Q41" s="404"/>
      <c r="R41" s="57"/>
      <c r="S41" s="394"/>
      <c r="T41" s="394"/>
      <c r="U41" s="394"/>
      <c r="V41" s="394"/>
      <c r="W41" s="394"/>
      <c r="X41" s="394"/>
      <c r="Y41" s="395"/>
      <c r="Z41" s="395"/>
    </row>
    <row r="42">
      <c r="A42" s="470" t="s">
        <v>179</v>
      </c>
      <c r="C42" s="416">
        <f>SUM(F42:F76)</f>
        <v>0</v>
      </c>
      <c r="D42" s="405"/>
      <c r="E42" s="545"/>
      <c r="F42" s="546"/>
      <c r="G42" s="578"/>
      <c r="H42" s="419"/>
      <c r="I42" s="57"/>
      <c r="K42" s="57"/>
      <c r="L42" s="150"/>
      <c r="M42" s="377" t="s">
        <v>366</v>
      </c>
      <c r="P42" s="157"/>
      <c r="Q42" s="404"/>
      <c r="R42" s="57"/>
      <c r="S42" s="394"/>
      <c r="T42" s="394"/>
      <c r="U42" s="394"/>
      <c r="V42" s="394"/>
      <c r="W42" s="394"/>
      <c r="X42" s="394"/>
      <c r="Y42" s="395"/>
      <c r="Z42" s="395"/>
    </row>
    <row r="43">
      <c r="A43" s="421" t="s">
        <v>343</v>
      </c>
      <c r="B43" s="422" t="s">
        <v>321</v>
      </c>
      <c r="C43" s="416">
        <f>SUM(P43:P76)</f>
        <v>0</v>
      </c>
      <c r="D43" s="157"/>
      <c r="E43" s="545"/>
      <c r="F43" s="546"/>
      <c r="G43" s="578"/>
      <c r="H43" s="419"/>
      <c r="I43" s="239"/>
      <c r="J43" s="471" t="s">
        <v>341</v>
      </c>
      <c r="K43" s="420"/>
      <c r="L43" s="193"/>
      <c r="M43" s="374"/>
      <c r="O43" s="431"/>
      <c r="P43" s="423"/>
      <c r="Q43" s="404"/>
      <c r="R43" s="57"/>
      <c r="S43" s="242"/>
      <c r="T43" s="242"/>
      <c r="U43" s="242"/>
      <c r="V43" s="242"/>
      <c r="W43" s="242"/>
      <c r="X43" s="242"/>
      <c r="Y43" s="148"/>
      <c r="Z43" s="148"/>
    </row>
    <row r="44">
      <c r="A44" s="427" t="s">
        <v>201</v>
      </c>
      <c r="C44" s="204">
        <f>SUM(L43:L76)</f>
        <v>0</v>
      </c>
      <c r="D44" s="157"/>
      <c r="E44" s="545"/>
      <c r="F44" s="546"/>
      <c r="G44" s="578"/>
      <c r="H44" s="419"/>
      <c r="I44" s="239"/>
      <c r="J44" s="472" t="s">
        <v>345</v>
      </c>
      <c r="K44" s="420"/>
      <c r="L44" s="193"/>
      <c r="M44" s="374"/>
      <c r="O44" s="431"/>
      <c r="P44" s="423"/>
      <c r="Q44" s="404"/>
      <c r="R44" s="105"/>
      <c r="S44" s="317"/>
      <c r="T44" s="317"/>
      <c r="U44" s="317"/>
      <c r="V44" s="317"/>
      <c r="W44" s="317"/>
      <c r="X44" s="317"/>
      <c r="Y44" s="243"/>
      <c r="Z44" s="243"/>
    </row>
    <row r="45">
      <c r="A45" s="548" t="s">
        <v>761</v>
      </c>
      <c r="B45" s="549">
        <v>0.4</v>
      </c>
      <c r="C45" s="191"/>
      <c r="D45" s="157"/>
      <c r="E45" s="550" t="s">
        <v>695</v>
      </c>
      <c r="F45" s="546"/>
      <c r="G45" s="562"/>
      <c r="H45" s="419"/>
      <c r="I45" s="239"/>
      <c r="J45" s="433" t="s">
        <v>656</v>
      </c>
      <c r="K45" s="420"/>
      <c r="L45" s="193"/>
      <c r="M45" s="374"/>
      <c r="O45" s="431"/>
      <c r="P45" s="423"/>
      <c r="Q45" s="404"/>
      <c r="R45" s="148"/>
      <c r="S45" s="242"/>
      <c r="T45" s="242"/>
      <c r="U45" s="242"/>
      <c r="V45" s="242"/>
      <c r="W45" s="242"/>
      <c r="X45" s="242"/>
      <c r="Y45" s="148"/>
      <c r="Z45" s="148"/>
    </row>
    <row r="46">
      <c r="A46" s="434" t="s">
        <v>350</v>
      </c>
      <c r="C46" s="551">
        <f>C42-C44-C45</f>
        <v>0</v>
      </c>
      <c r="D46" s="157"/>
      <c r="E46" s="192"/>
      <c r="F46" s="546"/>
      <c r="G46" s="579"/>
      <c r="H46" s="419"/>
      <c r="I46" s="57"/>
      <c r="J46" s="444" t="s">
        <v>658</v>
      </c>
      <c r="K46" s="420"/>
      <c r="L46" s="193"/>
      <c r="M46" s="377"/>
      <c r="O46" s="431"/>
      <c r="P46" s="157"/>
      <c r="Q46" s="404"/>
      <c r="R46" s="148"/>
      <c r="S46" s="242"/>
      <c r="T46" s="242"/>
      <c r="U46" s="242"/>
      <c r="V46" s="242"/>
      <c r="W46" s="242"/>
      <c r="X46" s="242"/>
      <c r="Y46" s="148"/>
      <c r="Z46" s="148"/>
    </row>
    <row r="47">
      <c r="A47" s="554"/>
      <c r="B47" s="555"/>
      <c r="C47" s="447"/>
      <c r="D47" s="157"/>
      <c r="E47" s="192"/>
      <c r="F47" s="546"/>
      <c r="G47" s="578"/>
      <c r="H47" s="419"/>
      <c r="I47" s="57"/>
      <c r="J47" s="444" t="s">
        <v>660</v>
      </c>
      <c r="K47" s="420"/>
      <c r="L47" s="193"/>
      <c r="M47" s="377"/>
      <c r="O47" s="431"/>
      <c r="P47" s="157"/>
      <c r="Q47" s="404"/>
      <c r="R47" s="148"/>
      <c r="S47" s="242"/>
      <c r="T47" s="242"/>
      <c r="U47" s="242"/>
      <c r="V47" s="242"/>
      <c r="W47" s="242"/>
      <c r="X47" s="242"/>
      <c r="Y47" s="148"/>
      <c r="Z47" s="148"/>
    </row>
    <row r="48">
      <c r="A48" s="556"/>
      <c r="C48" s="395"/>
      <c r="D48" s="157"/>
      <c r="E48" s="192"/>
      <c r="F48" s="546"/>
      <c r="G48" s="579"/>
      <c r="H48" s="419"/>
      <c r="I48" s="239"/>
      <c r="J48" s="370" t="s">
        <v>662</v>
      </c>
      <c r="K48" s="420"/>
      <c r="L48" s="193"/>
      <c r="M48" s="374"/>
      <c r="O48" s="431"/>
      <c r="P48" s="157"/>
      <c r="Q48" s="404"/>
      <c r="R48" s="148"/>
      <c r="S48" s="242"/>
      <c r="T48" s="242"/>
      <c r="U48" s="242"/>
      <c r="V48" s="242"/>
      <c r="W48" s="242"/>
      <c r="X48" s="242"/>
      <c r="Y48" s="148"/>
      <c r="Z48" s="148"/>
    </row>
    <row r="49">
      <c r="A49" s="557"/>
      <c r="B49" s="109"/>
      <c r="C49" s="395"/>
      <c r="D49" s="373"/>
      <c r="E49" s="192"/>
      <c r="F49" s="546"/>
      <c r="G49" s="578"/>
      <c r="H49" s="419"/>
      <c r="I49" s="239"/>
      <c r="J49" s="433" t="s">
        <v>666</v>
      </c>
      <c r="K49" s="420"/>
      <c r="L49" s="150"/>
      <c r="M49" s="374"/>
      <c r="O49" s="431"/>
      <c r="P49" s="157"/>
      <c r="Q49" s="404"/>
      <c r="R49" s="148"/>
      <c r="S49" s="242"/>
      <c r="T49" s="242"/>
      <c r="U49" s="242"/>
      <c r="V49" s="242"/>
      <c r="W49" s="242"/>
      <c r="X49" s="242"/>
      <c r="Y49" s="148"/>
      <c r="Z49" s="148"/>
    </row>
    <row r="50">
      <c r="A50" s="559" t="s">
        <v>765</v>
      </c>
      <c r="B50" s="560">
        <f>SUM(D50:D76)</f>
        <v>0</v>
      </c>
      <c r="C50" s="477" t="s">
        <v>366</v>
      </c>
      <c r="D50" s="157"/>
      <c r="E50" s="192"/>
      <c r="F50" s="546"/>
      <c r="G50" s="578"/>
      <c r="H50" s="419"/>
      <c r="I50" s="239"/>
      <c r="J50" s="433" t="s">
        <v>668</v>
      </c>
      <c r="K50" s="420"/>
      <c r="L50" s="150"/>
      <c r="M50" s="377"/>
      <c r="O50" s="431"/>
      <c r="P50" s="157"/>
      <c r="Q50" s="404"/>
      <c r="R50" s="148"/>
      <c r="S50" s="242"/>
      <c r="T50" s="242"/>
      <c r="U50" s="242"/>
      <c r="V50" s="242"/>
      <c r="W50" s="242"/>
      <c r="X50" s="242"/>
      <c r="Y50" s="148"/>
      <c r="Z50" s="148"/>
    </row>
    <row r="51">
      <c r="A51" s="453" t="s">
        <v>369</v>
      </c>
      <c r="C51" s="561" t="s">
        <v>766</v>
      </c>
      <c r="D51" s="423"/>
      <c r="E51" s="192"/>
      <c r="F51" s="546"/>
      <c r="G51" s="578"/>
      <c r="H51" s="419"/>
      <c r="I51" s="239"/>
      <c r="J51" s="433" t="s">
        <v>670</v>
      </c>
      <c r="K51" s="458"/>
      <c r="L51" s="193"/>
      <c r="M51" s="377"/>
      <c r="O51" s="431"/>
      <c r="P51" s="157"/>
      <c r="Q51" s="404"/>
      <c r="R51" s="148"/>
      <c r="S51" s="242"/>
      <c r="T51" s="242"/>
      <c r="U51" s="242"/>
      <c r="V51" s="242"/>
      <c r="W51" s="242"/>
      <c r="X51" s="242"/>
      <c r="Y51" s="148"/>
      <c r="Z51" s="148"/>
    </row>
    <row r="52">
      <c r="C52" s="561" t="s">
        <v>767</v>
      </c>
      <c r="D52" s="157"/>
      <c r="E52" s="192"/>
      <c r="F52" s="546"/>
      <c r="G52" s="578"/>
      <c r="H52" s="419"/>
      <c r="I52" s="239"/>
      <c r="J52" s="433" t="s">
        <v>217</v>
      </c>
      <c r="K52" s="458"/>
      <c r="L52" s="150"/>
      <c r="M52" s="377"/>
      <c r="O52" s="431"/>
      <c r="P52" s="157"/>
      <c r="Q52" s="404"/>
      <c r="R52" s="148"/>
      <c r="S52" s="242"/>
      <c r="T52" s="242"/>
      <c r="U52" s="242"/>
      <c r="V52" s="242"/>
      <c r="W52" s="242"/>
      <c r="X52" s="242"/>
      <c r="Y52" s="148"/>
      <c r="Z52" s="148"/>
    </row>
    <row r="53">
      <c r="A53" s="57"/>
      <c r="B53" s="57"/>
      <c r="C53" s="561" t="s">
        <v>768</v>
      </c>
      <c r="D53" s="423"/>
      <c r="E53" s="192"/>
      <c r="F53" s="546"/>
      <c r="G53" s="578"/>
      <c r="H53" s="419"/>
      <c r="I53" s="239"/>
      <c r="J53" s="109"/>
      <c r="K53" s="420"/>
      <c r="L53" s="193"/>
      <c r="M53" s="374"/>
      <c r="O53" s="431"/>
      <c r="P53" s="157"/>
      <c r="Q53" s="404"/>
      <c r="R53" s="148"/>
      <c r="S53" s="242"/>
      <c r="T53" s="242"/>
      <c r="U53" s="242"/>
      <c r="V53" s="242"/>
      <c r="W53" s="242"/>
      <c r="X53" s="242"/>
      <c r="Y53" s="148"/>
      <c r="Z53" s="148"/>
    </row>
    <row r="54">
      <c r="A54" s="57"/>
      <c r="B54" s="57"/>
      <c r="C54" s="561" t="s">
        <v>769</v>
      </c>
      <c r="D54" s="157"/>
      <c r="E54" s="192"/>
      <c r="F54" s="546"/>
      <c r="G54" s="578"/>
      <c r="H54" s="419"/>
      <c r="I54" s="239"/>
      <c r="J54" s="456" t="s">
        <v>672</v>
      </c>
      <c r="K54" s="420"/>
      <c r="L54" s="150"/>
      <c r="M54" s="377"/>
      <c r="O54" s="431"/>
      <c r="P54" s="157"/>
      <c r="Q54" s="404"/>
      <c r="R54" s="148"/>
      <c r="S54" s="242"/>
      <c r="T54" s="242"/>
      <c r="U54" s="242"/>
      <c r="V54" s="242"/>
      <c r="W54" s="242"/>
      <c r="X54" s="242"/>
      <c r="Y54" s="148"/>
      <c r="Z54" s="148"/>
    </row>
    <row r="55">
      <c r="A55" s="57"/>
      <c r="B55" s="57"/>
      <c r="C55" s="561" t="s">
        <v>770</v>
      </c>
      <c r="D55" s="423"/>
      <c r="E55" s="192"/>
      <c r="F55" s="546"/>
      <c r="G55" s="578"/>
      <c r="H55" s="419"/>
      <c r="I55" s="57"/>
      <c r="J55" s="456" t="s">
        <v>675</v>
      </c>
      <c r="K55" s="420"/>
      <c r="L55" s="150"/>
      <c r="M55" s="382"/>
      <c r="O55" s="431"/>
      <c r="P55" s="157"/>
      <c r="Q55" s="404"/>
      <c r="R55" s="148"/>
      <c r="S55" s="242"/>
      <c r="T55" s="242"/>
      <c r="U55" s="242"/>
      <c r="V55" s="242"/>
      <c r="W55" s="242"/>
      <c r="X55" s="242"/>
      <c r="Y55" s="148"/>
      <c r="Z55" s="148"/>
    </row>
    <row r="56">
      <c r="A56" s="57"/>
      <c r="B56" s="57"/>
      <c r="C56" s="561" t="s">
        <v>793</v>
      </c>
      <c r="D56" s="423"/>
      <c r="E56" s="192"/>
      <c r="F56" s="546"/>
      <c r="G56" s="579"/>
      <c r="H56" s="419"/>
      <c r="I56" s="57"/>
      <c r="J56" s="456"/>
      <c r="K56" s="420"/>
      <c r="L56" s="150"/>
      <c r="M56" s="425"/>
      <c r="O56" s="431"/>
      <c r="P56" s="157"/>
      <c r="Q56" s="404"/>
      <c r="R56" s="148"/>
      <c r="S56" s="242"/>
      <c r="T56" s="242"/>
      <c r="U56" s="242"/>
      <c r="V56" s="242"/>
      <c r="W56" s="242"/>
      <c r="X56" s="242"/>
      <c r="Y56" s="148"/>
      <c r="Z56" s="148"/>
    </row>
    <row r="57">
      <c r="A57" s="239"/>
      <c r="B57" s="57"/>
      <c r="C57" s="561" t="s">
        <v>794</v>
      </c>
      <c r="D57" s="423"/>
      <c r="E57" s="192"/>
      <c r="F57" s="546"/>
      <c r="G57" s="562"/>
      <c r="H57" s="419"/>
      <c r="I57" s="57"/>
      <c r="J57" s="375"/>
      <c r="K57" s="420"/>
      <c r="L57" s="150"/>
      <c r="M57" s="425"/>
      <c r="O57" s="431"/>
      <c r="P57" s="157"/>
      <c r="Q57" s="404"/>
      <c r="R57" s="148"/>
      <c r="S57" s="242"/>
      <c r="T57" s="242"/>
      <c r="U57" s="242"/>
      <c r="V57" s="242"/>
      <c r="W57" s="242"/>
      <c r="X57" s="242"/>
      <c r="Y57" s="148"/>
      <c r="Z57" s="148"/>
    </row>
    <row r="58">
      <c r="A58" s="239"/>
      <c r="B58" s="57"/>
      <c r="C58" s="561" t="s">
        <v>18</v>
      </c>
      <c r="D58" s="423"/>
      <c r="E58" s="192"/>
      <c r="F58" s="546"/>
      <c r="G58" s="562"/>
      <c r="H58" s="419"/>
      <c r="I58" s="57"/>
      <c r="J58" s="375"/>
      <c r="K58" s="420"/>
      <c r="L58" s="193"/>
      <c r="M58" s="382"/>
      <c r="O58" s="431"/>
      <c r="P58" s="157"/>
      <c r="Q58" s="404"/>
      <c r="R58" s="148"/>
      <c r="S58" s="242"/>
      <c r="T58" s="242"/>
      <c r="U58" s="242"/>
      <c r="V58" s="242"/>
      <c r="W58" s="242"/>
      <c r="X58" s="242"/>
      <c r="Y58" s="148"/>
      <c r="Z58" s="148"/>
    </row>
    <row r="59">
      <c r="A59" s="239"/>
      <c r="B59" s="57"/>
      <c r="C59" s="563" t="s">
        <v>1115</v>
      </c>
      <c r="D59" s="157"/>
      <c r="E59" s="192"/>
      <c r="F59" s="546"/>
      <c r="G59" s="579"/>
      <c r="H59" s="419"/>
      <c r="I59" s="57"/>
      <c r="J59" s="452"/>
      <c r="K59" s="420"/>
      <c r="L59" s="150"/>
      <c r="M59" s="425"/>
      <c r="O59" s="431"/>
      <c r="P59" s="157"/>
      <c r="Q59" s="404"/>
      <c r="R59" s="148"/>
      <c r="S59" s="242"/>
      <c r="T59" s="242"/>
      <c r="U59" s="242"/>
      <c r="V59" s="242"/>
      <c r="W59" s="242"/>
      <c r="X59" s="242"/>
      <c r="Y59" s="148"/>
      <c r="Z59" s="148"/>
    </row>
    <row r="60">
      <c r="A60" s="57"/>
      <c r="B60" s="57"/>
      <c r="C60" s="561" t="s">
        <v>1116</v>
      </c>
      <c r="D60" s="423"/>
      <c r="E60" s="192"/>
      <c r="F60" s="546"/>
      <c r="G60" s="578"/>
      <c r="H60" s="419"/>
      <c r="I60" s="57"/>
      <c r="J60" s="105"/>
      <c r="K60" s="420"/>
      <c r="L60" s="150"/>
      <c r="M60" s="425"/>
      <c r="O60" s="431"/>
      <c r="P60" s="157"/>
      <c r="Q60" s="404"/>
      <c r="R60" s="148"/>
      <c r="S60" s="242"/>
      <c r="T60" s="242"/>
      <c r="U60" s="242"/>
      <c r="V60" s="242"/>
      <c r="W60" s="242"/>
      <c r="X60" s="242"/>
      <c r="Y60" s="148"/>
      <c r="Z60" s="148"/>
    </row>
    <row r="61">
      <c r="A61" s="239"/>
      <c r="B61" s="239"/>
      <c r="C61" s="561" t="s">
        <v>775</v>
      </c>
      <c r="D61" s="423"/>
      <c r="E61" s="192"/>
      <c r="F61" s="546"/>
      <c r="G61" s="578"/>
      <c r="H61" s="419"/>
      <c r="I61" s="57"/>
      <c r="J61" s="378" t="s">
        <v>682</v>
      </c>
      <c r="K61" s="420"/>
      <c r="L61" s="193"/>
      <c r="M61" s="377"/>
      <c r="O61" s="431"/>
      <c r="P61" s="157"/>
      <c r="Q61" s="404"/>
      <c r="R61" s="148"/>
      <c r="S61" s="242"/>
      <c r="T61" s="242"/>
      <c r="U61" s="242"/>
      <c r="V61" s="242"/>
      <c r="W61" s="242"/>
      <c r="X61" s="242"/>
      <c r="Y61" s="148"/>
      <c r="Z61" s="148"/>
    </row>
    <row r="62">
      <c r="A62" s="239"/>
      <c r="B62" s="239"/>
      <c r="C62" s="561" t="s">
        <v>10</v>
      </c>
      <c r="D62" s="157"/>
      <c r="E62" s="192"/>
      <c r="F62" s="580"/>
      <c r="G62" s="581"/>
      <c r="H62" s="419"/>
      <c r="I62" s="57"/>
      <c r="J62" s="461" t="s">
        <v>684</v>
      </c>
      <c r="K62" s="420"/>
      <c r="L62" s="193"/>
      <c r="M62" s="377"/>
      <c r="O62" s="431"/>
      <c r="P62" s="157"/>
      <c r="Q62" s="404"/>
      <c r="R62" s="148"/>
      <c r="S62" s="242"/>
      <c r="T62" s="242"/>
      <c r="U62" s="242"/>
      <c r="V62" s="242"/>
      <c r="W62" s="242"/>
      <c r="X62" s="242"/>
      <c r="Y62" s="148"/>
      <c r="Z62" s="148"/>
    </row>
    <row r="63">
      <c r="A63" s="239"/>
      <c r="B63" s="239"/>
      <c r="C63" s="561" t="s">
        <v>6</v>
      </c>
      <c r="D63" s="423"/>
      <c r="E63" s="206"/>
      <c r="F63" s="547"/>
      <c r="G63" s="579"/>
      <c r="H63" s="455"/>
      <c r="I63" s="57"/>
      <c r="J63" s="461" t="s">
        <v>686</v>
      </c>
      <c r="K63" s="420"/>
      <c r="L63" s="193"/>
      <c r="M63" s="374"/>
      <c r="O63" s="463"/>
      <c r="P63" s="157"/>
      <c r="Q63" s="404"/>
      <c r="R63" s="148"/>
      <c r="S63" s="242"/>
      <c r="T63" s="242"/>
      <c r="U63" s="242"/>
      <c r="V63" s="242"/>
      <c r="W63" s="242"/>
      <c r="X63" s="242"/>
      <c r="Y63" s="148"/>
      <c r="Z63" s="148"/>
    </row>
    <row r="64">
      <c r="A64" s="57"/>
      <c r="B64" s="57"/>
      <c r="C64" s="561" t="s">
        <v>779</v>
      </c>
      <c r="D64" s="157"/>
      <c r="E64" s="228"/>
      <c r="F64" s="547"/>
      <c r="G64" s="579"/>
      <c r="H64" s="455"/>
      <c r="I64" s="239"/>
      <c r="J64" s="460" t="s">
        <v>202</v>
      </c>
      <c r="K64" s="420"/>
      <c r="L64" s="193"/>
      <c r="M64" s="377"/>
      <c r="O64" s="463"/>
      <c r="P64" s="157"/>
      <c r="Q64" s="404"/>
      <c r="R64" s="148"/>
      <c r="S64" s="242"/>
      <c r="T64" s="242"/>
      <c r="U64" s="242"/>
      <c r="V64" s="242"/>
      <c r="W64" s="242"/>
      <c r="X64" s="242"/>
      <c r="Y64" s="148"/>
      <c r="Z64" s="148"/>
    </row>
    <row r="65">
      <c r="A65" s="239"/>
      <c r="B65" s="239"/>
      <c r="C65" s="561" t="s">
        <v>780</v>
      </c>
      <c r="D65" s="423"/>
      <c r="E65" s="228"/>
      <c r="F65" s="547"/>
      <c r="G65" s="579"/>
      <c r="H65" s="455"/>
      <c r="I65" s="57"/>
      <c r="J65" s="460" t="s">
        <v>274</v>
      </c>
      <c r="K65" s="420"/>
      <c r="L65" s="193"/>
      <c r="M65" s="374"/>
      <c r="O65" s="463"/>
      <c r="P65" s="157"/>
      <c r="Q65" s="404"/>
      <c r="R65" s="148"/>
      <c r="S65" s="242"/>
      <c r="T65" s="242"/>
      <c r="U65" s="242"/>
      <c r="V65" s="242"/>
      <c r="W65" s="242"/>
      <c r="X65" s="242"/>
      <c r="Y65" s="148"/>
      <c r="Z65" s="148"/>
    </row>
    <row r="66">
      <c r="A66" s="239"/>
      <c r="B66" s="239"/>
      <c r="C66" s="561" t="s">
        <v>797</v>
      </c>
      <c r="D66" s="423"/>
      <c r="E66" s="228"/>
      <c r="F66" s="547"/>
      <c r="G66" s="579"/>
      <c r="H66" s="419"/>
      <c r="I66" s="239"/>
      <c r="J66" s="685" t="s">
        <v>1117</v>
      </c>
      <c r="K66" s="420"/>
      <c r="L66" s="150"/>
      <c r="M66" s="374"/>
      <c r="O66" s="431"/>
      <c r="P66" s="157"/>
      <c r="Q66" s="404"/>
      <c r="R66" s="243"/>
      <c r="S66" s="317"/>
      <c r="T66" s="317"/>
      <c r="U66" s="317"/>
      <c r="V66" s="317"/>
      <c r="W66" s="317"/>
      <c r="X66" s="317"/>
      <c r="Y66" s="243"/>
      <c r="Z66" s="243"/>
    </row>
    <row r="67">
      <c r="A67" s="239"/>
      <c r="B67" s="157"/>
      <c r="C67" s="561" t="s">
        <v>1118</v>
      </c>
      <c r="D67" s="157"/>
      <c r="E67" s="569"/>
      <c r="F67" s="547"/>
      <c r="G67" s="578"/>
      <c r="H67" s="419"/>
      <c r="I67" s="57"/>
      <c r="J67" s="685" t="s">
        <v>1119</v>
      </c>
      <c r="K67" s="420"/>
      <c r="L67" s="193"/>
      <c r="M67" s="377"/>
      <c r="O67" s="431"/>
      <c r="P67" s="157"/>
      <c r="Q67" s="404"/>
      <c r="R67" s="582"/>
      <c r="S67" s="583"/>
      <c r="T67" s="583"/>
      <c r="U67" s="583"/>
      <c r="V67" s="583"/>
      <c r="W67" s="583"/>
      <c r="X67" s="583"/>
      <c r="Y67" s="582"/>
      <c r="Z67" s="582"/>
    </row>
    <row r="68">
      <c r="A68" s="239"/>
      <c r="B68" s="157"/>
      <c r="C68" s="561" t="s">
        <v>1120</v>
      </c>
      <c r="D68" s="157"/>
      <c r="E68" s="228"/>
      <c r="F68" s="547"/>
      <c r="G68" s="578"/>
      <c r="H68" s="419"/>
      <c r="I68" s="239"/>
      <c r="J68" s="596" t="s">
        <v>955</v>
      </c>
      <c r="K68" s="420"/>
      <c r="L68" s="193"/>
      <c r="M68" s="377"/>
      <c r="O68" s="431"/>
      <c r="P68" s="157"/>
      <c r="Q68" s="404"/>
      <c r="R68" s="148"/>
      <c r="S68" s="242"/>
      <c r="T68" s="242"/>
      <c r="U68" s="242"/>
      <c r="V68" s="242"/>
      <c r="W68" s="242"/>
      <c r="X68" s="242"/>
      <c r="Y68" s="148"/>
      <c r="Z68" s="148"/>
    </row>
    <row r="69">
      <c r="A69" s="239"/>
      <c r="B69" s="157"/>
      <c r="C69" s="561"/>
      <c r="D69" s="157"/>
      <c r="E69" s="570"/>
      <c r="F69" s="547"/>
      <c r="G69" s="578"/>
      <c r="H69" s="419"/>
      <c r="I69" s="239"/>
      <c r="J69" s="568"/>
      <c r="K69" s="420"/>
      <c r="L69" s="193"/>
      <c r="M69" s="374"/>
      <c r="O69" s="431"/>
      <c r="P69" s="157"/>
      <c r="Q69" s="404"/>
      <c r="R69" s="148"/>
      <c r="S69" s="242"/>
      <c r="T69" s="242"/>
      <c r="U69" s="242"/>
      <c r="V69" s="242"/>
      <c r="W69" s="242"/>
      <c r="X69" s="242"/>
      <c r="Y69" s="148"/>
      <c r="Z69" s="148"/>
    </row>
    <row r="70">
      <c r="C70" s="571"/>
      <c r="D70" s="157"/>
      <c r="E70" s="570"/>
      <c r="F70" s="547"/>
      <c r="G70" s="578"/>
      <c r="H70" s="419"/>
      <c r="I70" s="239"/>
      <c r="J70" s="464" t="s">
        <v>692</v>
      </c>
      <c r="K70" s="420"/>
      <c r="L70" s="193"/>
      <c r="M70" s="377"/>
      <c r="O70" s="431"/>
      <c r="P70" s="157"/>
      <c r="Q70" s="404"/>
      <c r="R70" s="148"/>
      <c r="S70" s="242"/>
      <c r="T70" s="242"/>
      <c r="U70" s="242"/>
      <c r="V70" s="242"/>
      <c r="W70" s="242"/>
      <c r="X70" s="242"/>
      <c r="Y70" s="148"/>
      <c r="Z70" s="148"/>
    </row>
    <row r="71">
      <c r="C71" s="571"/>
      <c r="D71" s="157"/>
      <c r="E71" s="570"/>
      <c r="F71" s="547"/>
      <c r="G71" s="578"/>
      <c r="H71" s="419"/>
      <c r="I71" s="239"/>
      <c r="J71" s="464" t="s">
        <v>694</v>
      </c>
      <c r="K71" s="420"/>
      <c r="L71" s="150"/>
      <c r="M71" s="374"/>
      <c r="O71" s="431"/>
      <c r="P71" s="157"/>
      <c r="Q71" s="404"/>
      <c r="R71" s="148"/>
      <c r="S71" s="242"/>
      <c r="T71" s="242"/>
      <c r="U71" s="242"/>
      <c r="V71" s="242"/>
      <c r="W71" s="242"/>
      <c r="X71" s="242"/>
      <c r="Y71" s="148"/>
      <c r="Z71" s="148"/>
    </row>
    <row r="72">
      <c r="C72" s="571"/>
      <c r="D72" s="423"/>
      <c r="E72" s="570"/>
      <c r="F72" s="546"/>
      <c r="G72" s="578"/>
      <c r="H72" s="419"/>
      <c r="I72" s="57"/>
      <c r="J72" s="105"/>
      <c r="K72" s="57"/>
      <c r="L72" s="150"/>
      <c r="M72" s="57"/>
      <c r="N72" s="57"/>
      <c r="O72" s="57"/>
      <c r="P72" s="157"/>
      <c r="Q72" s="404"/>
      <c r="R72" s="148"/>
      <c r="S72" s="242"/>
      <c r="T72" s="242"/>
      <c r="U72" s="242"/>
      <c r="V72" s="242"/>
      <c r="W72" s="242"/>
      <c r="X72" s="242"/>
      <c r="Y72" s="148"/>
      <c r="Z72" s="148"/>
    </row>
    <row r="73">
      <c r="A73" s="125" t="s">
        <v>798</v>
      </c>
      <c r="B73" s="572">
        <f>C46-B50</f>
        <v>0</v>
      </c>
      <c r="D73" s="157"/>
      <c r="E73" s="570"/>
      <c r="F73" s="573"/>
      <c r="G73" s="581"/>
      <c r="H73" s="419"/>
      <c r="I73" s="239"/>
      <c r="J73" s="568"/>
      <c r="K73" s="57"/>
      <c r="L73" s="150"/>
      <c r="M73" s="57"/>
      <c r="N73" s="57"/>
      <c r="O73" s="57"/>
      <c r="P73" s="157"/>
      <c r="Q73" s="404"/>
      <c r="R73" s="148"/>
      <c r="S73" s="242"/>
      <c r="T73" s="242"/>
      <c r="U73" s="242"/>
      <c r="V73" s="242"/>
      <c r="W73" s="242"/>
      <c r="X73" s="242"/>
      <c r="Y73" s="148"/>
      <c r="Z73" s="148"/>
    </row>
    <row r="74">
      <c r="A74" s="274" t="s">
        <v>783</v>
      </c>
      <c r="B74" s="109"/>
      <c r="C74" s="395"/>
      <c r="D74" s="157"/>
      <c r="E74" s="570"/>
      <c r="F74" s="573"/>
      <c r="G74" s="581"/>
      <c r="H74" s="419"/>
      <c r="I74" s="239"/>
      <c r="J74" s="568"/>
      <c r="K74" s="57"/>
      <c r="L74" s="150"/>
      <c r="M74" s="57"/>
      <c r="N74" s="57"/>
      <c r="O74" s="57"/>
      <c r="P74" s="157"/>
      <c r="Q74" s="404"/>
      <c r="R74" s="148"/>
      <c r="S74" s="242"/>
      <c r="T74" s="242"/>
      <c r="U74" s="242"/>
      <c r="V74" s="242"/>
      <c r="W74" s="242"/>
      <c r="X74" s="242"/>
      <c r="Y74" s="148"/>
      <c r="Z74" s="148"/>
    </row>
    <row r="75">
      <c r="A75" s="274" t="s">
        <v>784</v>
      </c>
      <c r="B75" s="109"/>
      <c r="C75" s="395"/>
      <c r="D75" s="157"/>
      <c r="E75" s="570"/>
      <c r="F75" s="573"/>
      <c r="G75" s="581"/>
      <c r="H75" s="419"/>
      <c r="I75" s="239"/>
      <c r="J75" s="568"/>
      <c r="K75" s="57"/>
      <c r="L75" s="150"/>
      <c r="M75" s="57"/>
      <c r="N75" s="57"/>
      <c r="O75" s="57"/>
      <c r="P75" s="157"/>
      <c r="Q75" s="404"/>
      <c r="R75" s="148"/>
      <c r="S75" s="242"/>
      <c r="T75" s="242"/>
      <c r="U75" s="242"/>
      <c r="V75" s="242"/>
      <c r="W75" s="242"/>
      <c r="X75" s="242"/>
      <c r="Y75" s="148"/>
      <c r="Z75" s="148"/>
    </row>
    <row r="76">
      <c r="A76" s="274" t="s">
        <v>785</v>
      </c>
      <c r="B76" s="109"/>
      <c r="C76" s="686">
        <f>SUM(B74:B76)</f>
        <v>0</v>
      </c>
      <c r="D76" s="157"/>
      <c r="E76" s="570"/>
      <c r="F76" s="573"/>
      <c r="G76" s="581"/>
      <c r="H76" s="419"/>
      <c r="I76" s="239"/>
      <c r="J76" s="568"/>
      <c r="K76" s="57"/>
      <c r="L76" s="150"/>
      <c r="M76" s="57"/>
      <c r="N76" s="57"/>
      <c r="O76" s="57"/>
      <c r="P76" s="157"/>
      <c r="Q76" s="404"/>
      <c r="R76" s="148"/>
      <c r="S76" s="242"/>
      <c r="T76" s="242"/>
      <c r="U76" s="242"/>
      <c r="V76" s="242"/>
      <c r="W76" s="242"/>
      <c r="X76" s="242"/>
      <c r="Y76" s="148"/>
      <c r="Z76" s="148"/>
    </row>
    <row r="77">
      <c r="A77" s="402"/>
      <c r="B77" s="403"/>
      <c r="C77" s="403"/>
      <c r="D77" s="403"/>
      <c r="E77" s="574"/>
      <c r="F77" s="575"/>
      <c r="G77" s="159"/>
      <c r="H77" s="159"/>
      <c r="I77" s="159"/>
      <c r="J77" s="576"/>
      <c r="K77" s="159"/>
      <c r="L77" s="162"/>
      <c r="M77" s="402"/>
      <c r="N77" s="402"/>
      <c r="O77" s="159"/>
      <c r="P77" s="403"/>
      <c r="Q77" s="577"/>
      <c r="R77" s="148"/>
      <c r="S77" s="242"/>
      <c r="T77" s="242"/>
      <c r="U77" s="242"/>
      <c r="V77" s="242"/>
      <c r="W77" s="242"/>
      <c r="X77" s="242"/>
      <c r="Y77" s="148"/>
      <c r="Z77" s="148"/>
    </row>
    <row r="78" ht="9.75" customHeight="1">
      <c r="A78" s="338"/>
      <c r="B78" s="584"/>
      <c r="C78" s="148"/>
      <c r="D78" s="245"/>
      <c r="E78" s="585"/>
      <c r="F78" s="586"/>
      <c r="G78" s="148"/>
      <c r="H78" s="148"/>
      <c r="I78" s="251"/>
      <c r="J78" s="243"/>
      <c r="K78" s="148"/>
      <c r="L78" s="277"/>
      <c r="M78" s="252"/>
      <c r="N78" s="250"/>
      <c r="O78" s="253"/>
      <c r="P78" s="240"/>
      <c r="Q78" s="148"/>
      <c r="R78" s="148"/>
      <c r="S78" s="242"/>
      <c r="T78" s="242"/>
      <c r="U78" s="242"/>
      <c r="V78" s="242"/>
      <c r="W78" s="242"/>
      <c r="X78" s="242"/>
      <c r="Y78" s="148"/>
      <c r="Z78" s="148"/>
    </row>
    <row r="79">
      <c r="A79" s="169" t="s">
        <v>127</v>
      </c>
      <c r="B79" s="539"/>
      <c r="C79" s="540"/>
      <c r="D79" s="405"/>
      <c r="E79" s="541"/>
      <c r="F79" s="542"/>
      <c r="G79" s="467" t="s">
        <v>333</v>
      </c>
      <c r="H79" s="361"/>
      <c r="I79" s="57"/>
      <c r="J79" s="105"/>
      <c r="K79" s="57"/>
      <c r="L79" s="150"/>
      <c r="M79" s="239"/>
      <c r="N79" s="239"/>
      <c r="O79" s="57"/>
      <c r="P79" s="157"/>
      <c r="Q79" s="404"/>
      <c r="R79" s="148"/>
      <c r="S79" s="242"/>
      <c r="T79" s="242"/>
      <c r="U79" s="242"/>
      <c r="V79" s="242"/>
      <c r="W79" s="242"/>
      <c r="X79" s="242"/>
      <c r="Y79" s="148"/>
      <c r="Z79" s="148"/>
    </row>
    <row r="80">
      <c r="A80" s="468"/>
      <c r="B80" s="157"/>
      <c r="C80" s="466"/>
      <c r="D80" s="405"/>
      <c r="E80" s="543" t="s">
        <v>335</v>
      </c>
      <c r="F80" s="544" t="s">
        <v>237</v>
      </c>
      <c r="G80" s="412" t="s">
        <v>336</v>
      </c>
      <c r="H80" s="413" t="s">
        <v>337</v>
      </c>
      <c r="I80" s="239"/>
      <c r="J80" s="145" t="s">
        <v>60</v>
      </c>
      <c r="K80" s="57"/>
      <c r="L80" s="150"/>
      <c r="M80" s="414"/>
      <c r="N80" s="414"/>
      <c r="O80" s="57" t="s">
        <v>334</v>
      </c>
      <c r="P80" s="157"/>
      <c r="Q80" s="404"/>
      <c r="R80" s="148"/>
      <c r="S80" s="242"/>
      <c r="T80" s="242"/>
      <c r="U80" s="242"/>
      <c r="V80" s="242"/>
      <c r="W80" s="242"/>
      <c r="X80" s="242"/>
      <c r="Y80" s="148"/>
      <c r="Z80" s="148"/>
    </row>
    <row r="81">
      <c r="A81" s="470" t="s">
        <v>179</v>
      </c>
      <c r="C81" s="416">
        <f>SUM(F81:F115)</f>
        <v>0</v>
      </c>
      <c r="D81" s="405"/>
      <c r="E81" s="545"/>
      <c r="F81" s="546"/>
      <c r="G81" s="419"/>
      <c r="H81" s="419"/>
      <c r="I81" s="57"/>
      <c r="K81" s="57"/>
      <c r="L81" s="150"/>
      <c r="M81" s="377" t="s">
        <v>366</v>
      </c>
      <c r="P81" s="157"/>
      <c r="Q81" s="404"/>
      <c r="R81" s="148"/>
      <c r="S81" s="242"/>
      <c r="T81" s="242"/>
      <c r="U81" s="242"/>
      <c r="V81" s="242"/>
      <c r="W81" s="242"/>
      <c r="X81" s="242"/>
      <c r="Y81" s="148"/>
      <c r="Z81" s="148"/>
    </row>
    <row r="82">
      <c r="A82" s="421" t="s">
        <v>343</v>
      </c>
      <c r="B82" s="422" t="s">
        <v>321</v>
      </c>
      <c r="C82" s="416">
        <f>SUM(P82:P115)</f>
        <v>0</v>
      </c>
      <c r="D82" s="157"/>
      <c r="E82" s="545"/>
      <c r="F82" s="546"/>
      <c r="G82" s="419"/>
      <c r="H82" s="419"/>
      <c r="I82" s="239"/>
      <c r="J82" s="471" t="s">
        <v>341</v>
      </c>
      <c r="K82" s="420"/>
      <c r="L82" s="150"/>
      <c r="M82" s="374"/>
      <c r="O82" s="426"/>
      <c r="P82" s="423"/>
      <c r="Q82" s="404"/>
      <c r="R82" s="148"/>
      <c r="S82" s="242"/>
      <c r="T82" s="242"/>
      <c r="U82" s="242"/>
      <c r="V82" s="242"/>
      <c r="W82" s="242"/>
      <c r="X82" s="242"/>
      <c r="Y82" s="148"/>
      <c r="Z82" s="148"/>
    </row>
    <row r="83">
      <c r="A83" s="427" t="s">
        <v>201</v>
      </c>
      <c r="C83" s="204">
        <f>SUM(L82:L115)</f>
        <v>0</v>
      </c>
      <c r="D83" s="157"/>
      <c r="E83" s="545"/>
      <c r="F83" s="546"/>
      <c r="G83" s="419"/>
      <c r="H83" s="419"/>
      <c r="I83" s="239"/>
      <c r="J83" s="472" t="s">
        <v>345</v>
      </c>
      <c r="K83" s="420"/>
      <c r="L83" s="150"/>
      <c r="M83" s="374"/>
      <c r="O83" s="426"/>
      <c r="P83" s="423"/>
      <c r="Q83" s="404"/>
      <c r="R83" s="148"/>
      <c r="S83" s="242"/>
      <c r="T83" s="242"/>
      <c r="U83" s="242"/>
      <c r="V83" s="242"/>
      <c r="W83" s="242"/>
      <c r="X83" s="242"/>
      <c r="Y83" s="148"/>
      <c r="Z83" s="148"/>
    </row>
    <row r="84">
      <c r="A84" s="548" t="s">
        <v>761</v>
      </c>
      <c r="B84" s="549">
        <v>0.4</v>
      </c>
      <c r="C84" s="191"/>
      <c r="D84" s="157"/>
      <c r="E84" s="550" t="s">
        <v>695</v>
      </c>
      <c r="F84" s="546"/>
      <c r="G84" s="587"/>
      <c r="H84" s="419"/>
      <c r="I84" s="239"/>
      <c r="J84" s="433" t="s">
        <v>656</v>
      </c>
      <c r="K84" s="420"/>
      <c r="L84" s="193"/>
      <c r="M84" s="374"/>
      <c r="O84" s="426"/>
      <c r="P84" s="423"/>
      <c r="Q84" s="404"/>
      <c r="R84" s="148"/>
      <c r="S84" s="242"/>
      <c r="T84" s="242"/>
      <c r="U84" s="242"/>
      <c r="V84" s="242"/>
      <c r="W84" s="242"/>
      <c r="X84" s="242"/>
      <c r="Y84" s="148"/>
      <c r="Z84" s="148"/>
    </row>
    <row r="85">
      <c r="A85" s="434" t="s">
        <v>350</v>
      </c>
      <c r="C85" s="551">
        <f>C81-C83-C84</f>
        <v>0</v>
      </c>
      <c r="D85" s="157"/>
      <c r="E85" s="192"/>
      <c r="F85" s="546"/>
      <c r="G85" s="562"/>
      <c r="H85" s="419"/>
      <c r="I85" s="57"/>
      <c r="J85" s="444" t="s">
        <v>658</v>
      </c>
      <c r="K85" s="420"/>
      <c r="L85" s="193"/>
      <c r="M85" s="377"/>
      <c r="O85" s="431"/>
      <c r="P85" s="157"/>
      <c r="Q85" s="404"/>
      <c r="R85" s="148"/>
      <c r="S85" s="242"/>
      <c r="T85" s="242"/>
      <c r="U85" s="242"/>
      <c r="V85" s="242"/>
      <c r="W85" s="242"/>
      <c r="X85" s="242"/>
      <c r="Y85" s="148"/>
      <c r="Z85" s="148"/>
    </row>
    <row r="86">
      <c r="A86" s="554"/>
      <c r="B86" s="555"/>
      <c r="C86" s="447"/>
      <c r="D86" s="157"/>
      <c r="E86" s="192"/>
      <c r="F86" s="546"/>
      <c r="G86" s="419"/>
      <c r="H86" s="419"/>
      <c r="I86" s="57"/>
      <c r="J86" s="444" t="s">
        <v>660</v>
      </c>
      <c r="K86" s="420"/>
      <c r="L86" s="193"/>
      <c r="M86" s="377"/>
      <c r="O86" s="431"/>
      <c r="P86" s="157"/>
      <c r="Q86" s="404"/>
      <c r="R86" s="148"/>
      <c r="S86" s="242"/>
      <c r="T86" s="242"/>
      <c r="U86" s="242"/>
      <c r="V86" s="242"/>
      <c r="W86" s="242"/>
      <c r="X86" s="242"/>
      <c r="Y86" s="148"/>
      <c r="Z86" s="148"/>
    </row>
    <row r="87">
      <c r="A87" s="556"/>
      <c r="C87" s="395"/>
      <c r="D87" s="157"/>
      <c r="E87" s="192"/>
      <c r="F87" s="546"/>
      <c r="G87" s="455"/>
      <c r="H87" s="419"/>
      <c r="I87" s="239"/>
      <c r="J87" s="370" t="s">
        <v>662</v>
      </c>
      <c r="K87" s="420"/>
      <c r="L87" s="193"/>
      <c r="M87" s="377"/>
      <c r="O87" s="431"/>
      <c r="P87" s="157"/>
      <c r="Q87" s="404"/>
      <c r="R87" s="148"/>
      <c r="S87" s="242"/>
      <c r="T87" s="242"/>
      <c r="U87" s="242"/>
      <c r="V87" s="242"/>
      <c r="W87" s="242"/>
      <c r="X87" s="242"/>
      <c r="Y87" s="148"/>
      <c r="Z87" s="148"/>
    </row>
    <row r="88" ht="21.75" customHeight="1">
      <c r="A88" s="557"/>
      <c r="B88" s="109"/>
      <c r="C88" s="395"/>
      <c r="D88" s="373"/>
      <c r="E88" s="192"/>
      <c r="F88" s="546"/>
      <c r="G88" s="419"/>
      <c r="H88" s="419"/>
      <c r="I88" s="239"/>
      <c r="J88" s="433" t="s">
        <v>666</v>
      </c>
      <c r="K88" s="420"/>
      <c r="L88" s="150"/>
      <c r="M88" s="374"/>
      <c r="O88" s="431"/>
      <c r="P88" s="157"/>
      <c r="Q88" s="404"/>
      <c r="R88" s="148"/>
      <c r="S88" s="242"/>
      <c r="T88" s="242"/>
      <c r="U88" s="242"/>
      <c r="V88" s="242"/>
      <c r="W88" s="242"/>
      <c r="X88" s="242"/>
      <c r="Y88" s="148"/>
      <c r="Z88" s="148"/>
    </row>
    <row r="89" ht="17.25" customHeight="1">
      <c r="A89" s="559" t="s">
        <v>765</v>
      </c>
      <c r="B89" s="560">
        <f>SUM(D89:D115)</f>
        <v>0</v>
      </c>
      <c r="C89" s="477" t="s">
        <v>366</v>
      </c>
      <c r="D89" s="157"/>
      <c r="E89" s="192"/>
      <c r="F89" s="546"/>
      <c r="G89" s="419"/>
      <c r="H89" s="419"/>
      <c r="I89" s="239"/>
      <c r="J89" s="433" t="s">
        <v>668</v>
      </c>
      <c r="K89" s="420"/>
      <c r="L89" s="193"/>
      <c r="M89" s="377"/>
      <c r="O89" s="431"/>
      <c r="P89" s="157"/>
      <c r="Q89" s="404"/>
      <c r="R89" s="148"/>
      <c r="S89" s="242"/>
      <c r="T89" s="242"/>
      <c r="U89" s="242"/>
      <c r="V89" s="242"/>
      <c r="W89" s="242"/>
      <c r="X89" s="242"/>
      <c r="Y89" s="148"/>
      <c r="Z89" s="148"/>
    </row>
    <row r="90">
      <c r="A90" s="453" t="s">
        <v>369</v>
      </c>
      <c r="C90" s="561" t="s">
        <v>766</v>
      </c>
      <c r="D90" s="423"/>
      <c r="E90" s="192"/>
      <c r="F90" s="546"/>
      <c r="G90" s="419"/>
      <c r="H90" s="419"/>
      <c r="I90" s="239"/>
      <c r="J90" s="433" t="s">
        <v>670</v>
      </c>
      <c r="K90" s="458"/>
      <c r="L90" s="193"/>
      <c r="M90" s="377"/>
      <c r="O90" s="431"/>
      <c r="P90" s="157"/>
      <c r="Q90" s="404"/>
      <c r="R90" s="148"/>
      <c r="S90" s="242"/>
      <c r="T90" s="242"/>
      <c r="U90" s="242"/>
      <c r="V90" s="242"/>
      <c r="W90" s="242"/>
      <c r="X90" s="242"/>
      <c r="Y90" s="148"/>
      <c r="Z90" s="148"/>
    </row>
    <row r="91" ht="14.25" customHeight="1">
      <c r="C91" s="561" t="s">
        <v>767</v>
      </c>
      <c r="D91" s="423"/>
      <c r="E91" s="192"/>
      <c r="F91" s="546"/>
      <c r="G91" s="419"/>
      <c r="H91" s="419"/>
      <c r="I91" s="239"/>
      <c r="J91" s="433" t="s">
        <v>217</v>
      </c>
      <c r="K91" s="458"/>
      <c r="L91" s="150"/>
      <c r="M91" s="377"/>
      <c r="O91" s="431"/>
      <c r="P91" s="157"/>
      <c r="Q91" s="404"/>
      <c r="R91" s="148"/>
      <c r="S91" s="242"/>
      <c r="T91" s="242"/>
      <c r="U91" s="242"/>
      <c r="V91" s="242"/>
      <c r="W91" s="242"/>
      <c r="X91" s="242"/>
      <c r="Y91" s="148"/>
      <c r="Z91" s="148"/>
    </row>
    <row r="92">
      <c r="A92" s="57"/>
      <c r="B92" s="57"/>
      <c r="C92" s="561" t="s">
        <v>768</v>
      </c>
      <c r="D92" s="423"/>
      <c r="E92" s="192"/>
      <c r="F92" s="546"/>
      <c r="G92" s="562"/>
      <c r="H92" s="419"/>
      <c r="I92" s="239"/>
      <c r="J92" s="109"/>
      <c r="K92" s="420"/>
      <c r="L92" s="193"/>
      <c r="M92" s="374"/>
      <c r="O92" s="431"/>
      <c r="P92" s="157"/>
      <c r="Q92" s="404"/>
      <c r="R92" s="148"/>
      <c r="S92" s="242"/>
      <c r="T92" s="242"/>
      <c r="U92" s="242"/>
      <c r="V92" s="242"/>
      <c r="W92" s="242"/>
      <c r="X92" s="242"/>
      <c r="Y92" s="148"/>
      <c r="Z92" s="148"/>
    </row>
    <row r="93">
      <c r="A93" s="57"/>
      <c r="B93" s="57"/>
      <c r="C93" s="561" t="s">
        <v>769</v>
      </c>
      <c r="D93" s="157"/>
      <c r="E93" s="192"/>
      <c r="F93" s="546"/>
      <c r="G93" s="562"/>
      <c r="H93" s="419"/>
      <c r="I93" s="239"/>
      <c r="J93" s="456" t="s">
        <v>672</v>
      </c>
      <c r="K93" s="420"/>
      <c r="L93" s="150"/>
      <c r="M93" s="377"/>
      <c r="O93" s="431"/>
      <c r="P93" s="157"/>
      <c r="Q93" s="404"/>
      <c r="R93" s="148"/>
      <c r="S93" s="242"/>
      <c r="T93" s="242"/>
      <c r="U93" s="242"/>
      <c r="V93" s="242"/>
      <c r="W93" s="242"/>
      <c r="X93" s="242"/>
      <c r="Y93" s="148"/>
      <c r="Z93" s="148"/>
    </row>
    <row r="94">
      <c r="A94" s="57"/>
      <c r="B94" s="57"/>
      <c r="C94" s="561" t="s">
        <v>770</v>
      </c>
      <c r="D94" s="423"/>
      <c r="E94" s="192"/>
      <c r="F94" s="546"/>
      <c r="G94" s="419"/>
      <c r="H94" s="419"/>
      <c r="I94" s="57"/>
      <c r="J94" s="456" t="s">
        <v>675</v>
      </c>
      <c r="K94" s="420"/>
      <c r="L94" s="150"/>
      <c r="M94" s="382"/>
      <c r="O94" s="431"/>
      <c r="P94" s="157"/>
      <c r="Q94" s="404"/>
      <c r="R94" s="148"/>
      <c r="S94" s="242"/>
      <c r="T94" s="242"/>
      <c r="U94" s="242"/>
      <c r="V94" s="242"/>
      <c r="W94" s="242"/>
      <c r="X94" s="242"/>
      <c r="Y94" s="148"/>
      <c r="Z94" s="148"/>
    </row>
    <row r="95">
      <c r="A95" s="57"/>
      <c r="B95" s="57"/>
      <c r="C95" s="561" t="s">
        <v>793</v>
      </c>
      <c r="D95" s="423"/>
      <c r="E95" s="192"/>
      <c r="F95" s="546"/>
      <c r="G95" s="455"/>
      <c r="H95" s="419"/>
      <c r="I95" s="57"/>
      <c r="J95" s="456"/>
      <c r="K95" s="420"/>
      <c r="L95" s="150"/>
      <c r="M95" s="425"/>
      <c r="O95" s="431"/>
      <c r="P95" s="157"/>
      <c r="Q95" s="404"/>
      <c r="R95" s="148"/>
      <c r="S95" s="242"/>
      <c r="T95" s="242"/>
      <c r="U95" s="242"/>
      <c r="V95" s="242"/>
      <c r="W95" s="242"/>
      <c r="X95" s="242"/>
      <c r="Y95" s="148"/>
      <c r="Z95" s="148"/>
    </row>
    <row r="96">
      <c r="A96" s="239"/>
      <c r="B96" s="57"/>
      <c r="C96" s="561" t="s">
        <v>794</v>
      </c>
      <c r="D96" s="423"/>
      <c r="E96" s="192"/>
      <c r="F96" s="546"/>
      <c r="G96" s="419"/>
      <c r="H96" s="419"/>
      <c r="I96" s="57"/>
      <c r="J96" s="375"/>
      <c r="K96" s="420"/>
      <c r="L96" s="150"/>
      <c r="M96" s="425"/>
      <c r="O96" s="431"/>
      <c r="P96" s="157"/>
      <c r="Q96" s="404"/>
      <c r="R96" s="148"/>
      <c r="S96" s="242"/>
      <c r="T96" s="242"/>
      <c r="U96" s="242"/>
      <c r="V96" s="242"/>
      <c r="W96" s="242"/>
      <c r="X96" s="242"/>
      <c r="Y96" s="148"/>
      <c r="Z96" s="148"/>
    </row>
    <row r="97">
      <c r="A97" s="239"/>
      <c r="B97" s="57"/>
      <c r="C97" s="561" t="s">
        <v>18</v>
      </c>
      <c r="D97" s="423"/>
      <c r="E97" s="192"/>
      <c r="F97" s="546"/>
      <c r="G97" s="419"/>
      <c r="H97" s="419"/>
      <c r="I97" s="57"/>
      <c r="J97" s="375"/>
      <c r="K97" s="420"/>
      <c r="L97" s="193"/>
      <c r="M97" s="382"/>
      <c r="O97" s="431"/>
      <c r="P97" s="157"/>
      <c r="Q97" s="404"/>
      <c r="R97" s="148"/>
      <c r="S97" s="242"/>
      <c r="T97" s="242"/>
      <c r="U97" s="242"/>
      <c r="V97" s="242"/>
      <c r="W97" s="242"/>
      <c r="X97" s="242"/>
      <c r="Y97" s="148"/>
      <c r="Z97" s="148"/>
    </row>
    <row r="98">
      <c r="A98" s="239"/>
      <c r="B98" s="57"/>
      <c r="C98" s="563" t="s">
        <v>1115</v>
      </c>
      <c r="D98" s="423"/>
      <c r="E98" s="192"/>
      <c r="F98" s="546"/>
      <c r="G98" s="455"/>
      <c r="H98" s="419"/>
      <c r="I98" s="57"/>
      <c r="J98" s="452"/>
      <c r="K98" s="420"/>
      <c r="L98" s="150"/>
      <c r="M98" s="425"/>
      <c r="O98" s="431"/>
      <c r="P98" s="157"/>
      <c r="Q98" s="404"/>
      <c r="R98" s="148"/>
      <c r="S98" s="242"/>
      <c r="T98" s="242"/>
      <c r="U98" s="242"/>
      <c r="V98" s="242"/>
      <c r="W98" s="242"/>
      <c r="X98" s="242"/>
      <c r="Y98" s="148"/>
      <c r="Z98" s="148"/>
    </row>
    <row r="99">
      <c r="A99" s="57"/>
      <c r="B99" s="57"/>
      <c r="C99" s="561" t="s">
        <v>1116</v>
      </c>
      <c r="D99" s="423"/>
      <c r="E99" s="192"/>
      <c r="F99" s="546"/>
      <c r="G99" s="419"/>
      <c r="H99" s="419"/>
      <c r="I99" s="57"/>
      <c r="J99" s="105"/>
      <c r="K99" s="420"/>
      <c r="L99" s="150"/>
      <c r="M99" s="425"/>
      <c r="O99" s="431"/>
      <c r="P99" s="157"/>
      <c r="Q99" s="404"/>
      <c r="R99" s="148"/>
      <c r="S99" s="242"/>
      <c r="T99" s="242"/>
      <c r="U99" s="242"/>
      <c r="V99" s="242"/>
      <c r="W99" s="242"/>
      <c r="X99" s="242"/>
      <c r="Y99" s="148"/>
      <c r="Z99" s="148"/>
    </row>
    <row r="100">
      <c r="A100" s="239"/>
      <c r="B100" s="239"/>
      <c r="C100" s="561" t="s">
        <v>775</v>
      </c>
      <c r="D100" s="423"/>
      <c r="E100" s="192"/>
      <c r="F100" s="546"/>
      <c r="G100" s="419"/>
      <c r="H100" s="419"/>
      <c r="I100" s="57"/>
      <c r="J100" s="378" t="s">
        <v>682</v>
      </c>
      <c r="K100" s="420"/>
      <c r="L100" s="193"/>
      <c r="M100" s="377"/>
      <c r="O100" s="431"/>
      <c r="P100" s="157"/>
      <c r="Q100" s="404"/>
      <c r="R100" s="148"/>
      <c r="S100" s="242"/>
      <c r="T100" s="242"/>
      <c r="U100" s="242"/>
      <c r="V100" s="242"/>
      <c r="W100" s="242"/>
      <c r="X100" s="242"/>
      <c r="Y100" s="148"/>
      <c r="Z100" s="148"/>
    </row>
    <row r="101">
      <c r="A101" s="239"/>
      <c r="B101" s="239"/>
      <c r="C101" s="561" t="s">
        <v>10</v>
      </c>
      <c r="D101" s="157"/>
      <c r="E101" s="192"/>
      <c r="F101" s="580"/>
      <c r="G101" s="478"/>
      <c r="H101" s="419"/>
      <c r="I101" s="57"/>
      <c r="J101" s="461" t="s">
        <v>684</v>
      </c>
      <c r="K101" s="420"/>
      <c r="L101" s="193"/>
      <c r="M101" s="377"/>
      <c r="O101" s="431"/>
      <c r="P101" s="157"/>
      <c r="Q101" s="404"/>
      <c r="R101" s="148"/>
      <c r="S101" s="242"/>
      <c r="T101" s="242"/>
      <c r="U101" s="242"/>
      <c r="V101" s="242"/>
      <c r="W101" s="242"/>
      <c r="X101" s="242"/>
      <c r="Y101" s="148"/>
      <c r="Z101" s="148"/>
    </row>
    <row r="102">
      <c r="A102" s="239"/>
      <c r="B102" s="239"/>
      <c r="C102" s="561" t="s">
        <v>6</v>
      </c>
      <c r="D102" s="423"/>
      <c r="E102" s="192"/>
      <c r="F102" s="546"/>
      <c r="G102" s="587"/>
      <c r="H102" s="455"/>
      <c r="I102" s="57"/>
      <c r="J102" s="461" t="s">
        <v>686</v>
      </c>
      <c r="K102" s="420"/>
      <c r="L102" s="193"/>
      <c r="M102" s="374"/>
      <c r="O102" s="463"/>
      <c r="P102" s="157"/>
      <c r="Q102" s="404"/>
      <c r="R102" s="148"/>
      <c r="S102" s="242"/>
      <c r="T102" s="242"/>
      <c r="U102" s="242"/>
      <c r="V102" s="242"/>
      <c r="W102" s="242"/>
      <c r="X102" s="242"/>
      <c r="Y102" s="148"/>
      <c r="Z102" s="148"/>
    </row>
    <row r="103">
      <c r="A103" s="57"/>
      <c r="B103" s="57"/>
      <c r="C103" s="561" t="s">
        <v>779</v>
      </c>
      <c r="D103" s="157"/>
      <c r="E103" s="228"/>
      <c r="F103" s="547"/>
      <c r="G103" s="455"/>
      <c r="H103" s="455"/>
      <c r="I103" s="239"/>
      <c r="J103" s="460" t="s">
        <v>202</v>
      </c>
      <c r="K103" s="420"/>
      <c r="L103" s="193"/>
      <c r="M103" s="377"/>
      <c r="O103" s="463"/>
      <c r="P103" s="157"/>
      <c r="Q103" s="404"/>
      <c r="R103" s="148"/>
      <c r="S103" s="242"/>
      <c r="T103" s="242"/>
      <c r="U103" s="242"/>
      <c r="V103" s="242"/>
      <c r="W103" s="242"/>
      <c r="X103" s="242"/>
      <c r="Y103" s="148"/>
      <c r="Z103" s="148"/>
    </row>
    <row r="104">
      <c r="A104" s="239"/>
      <c r="B104" s="239"/>
      <c r="C104" s="561" t="s">
        <v>780</v>
      </c>
      <c r="D104" s="423"/>
      <c r="E104" s="228"/>
      <c r="F104" s="547"/>
      <c r="G104" s="455"/>
      <c r="H104" s="455"/>
      <c r="I104" s="57"/>
      <c r="J104" s="460" t="s">
        <v>274</v>
      </c>
      <c r="K104" s="420"/>
      <c r="L104" s="193"/>
      <c r="M104" s="374"/>
      <c r="O104" s="463"/>
      <c r="P104" s="157"/>
      <c r="Q104" s="404"/>
      <c r="R104" s="148"/>
      <c r="S104" s="242"/>
      <c r="T104" s="242"/>
      <c r="U104" s="242"/>
      <c r="V104" s="242"/>
      <c r="W104" s="242"/>
      <c r="X104" s="242"/>
      <c r="Y104" s="148"/>
      <c r="Z104" s="148"/>
    </row>
    <row r="105">
      <c r="A105" s="239"/>
      <c r="B105" s="239"/>
      <c r="C105" s="561" t="s">
        <v>781</v>
      </c>
      <c r="D105" s="423"/>
      <c r="E105" s="228"/>
      <c r="F105" s="547"/>
      <c r="G105" s="455"/>
      <c r="H105" s="419"/>
      <c r="I105" s="239"/>
      <c r="J105" s="685" t="s">
        <v>1117</v>
      </c>
      <c r="K105" s="420"/>
      <c r="L105" s="150"/>
      <c r="M105" s="374"/>
      <c r="O105" s="431"/>
      <c r="P105" s="157"/>
      <c r="Q105" s="404"/>
      <c r="R105" s="148"/>
      <c r="S105" s="242"/>
      <c r="T105" s="242"/>
      <c r="U105" s="242"/>
      <c r="V105" s="242"/>
      <c r="W105" s="242"/>
      <c r="X105" s="242"/>
      <c r="Y105" s="148"/>
      <c r="Z105" s="148"/>
    </row>
    <row r="106">
      <c r="A106" s="239"/>
      <c r="B106" s="157"/>
      <c r="C106" s="561" t="s">
        <v>1118</v>
      </c>
      <c r="D106" s="157"/>
      <c r="E106" s="569"/>
      <c r="F106" s="547"/>
      <c r="G106" s="419"/>
      <c r="H106" s="419"/>
      <c r="I106" s="57"/>
      <c r="J106" s="685" t="s">
        <v>1119</v>
      </c>
      <c r="K106" s="420"/>
      <c r="L106" s="193"/>
      <c r="M106" s="377"/>
      <c r="O106" s="431"/>
      <c r="P106" s="157"/>
      <c r="Q106" s="404"/>
      <c r="R106" s="148"/>
      <c r="S106" s="242"/>
      <c r="T106" s="242"/>
      <c r="U106" s="242"/>
      <c r="V106" s="242"/>
      <c r="W106" s="242"/>
      <c r="X106" s="242"/>
      <c r="Y106" s="148"/>
      <c r="Z106" s="148"/>
    </row>
    <row r="107">
      <c r="A107" s="239"/>
      <c r="B107" s="157"/>
      <c r="C107" s="561" t="s">
        <v>1120</v>
      </c>
      <c r="D107" s="157"/>
      <c r="E107" s="228"/>
      <c r="F107" s="547"/>
      <c r="G107" s="419"/>
      <c r="H107" s="419"/>
      <c r="I107" s="239"/>
      <c r="J107" s="596" t="s">
        <v>955</v>
      </c>
      <c r="K107" s="420"/>
      <c r="L107" s="193"/>
      <c r="M107" s="377"/>
      <c r="O107" s="431"/>
      <c r="P107" s="157"/>
      <c r="Q107" s="404"/>
      <c r="R107" s="148"/>
      <c r="S107" s="242"/>
      <c r="T107" s="242"/>
      <c r="U107" s="242"/>
      <c r="V107" s="242"/>
      <c r="W107" s="242"/>
      <c r="X107" s="242"/>
      <c r="Y107" s="148"/>
      <c r="Z107" s="148"/>
    </row>
    <row r="108">
      <c r="A108" s="239"/>
      <c r="B108" s="157"/>
      <c r="C108" s="561"/>
      <c r="D108" s="157"/>
      <c r="E108" s="570"/>
      <c r="F108" s="547"/>
      <c r="G108" s="419"/>
      <c r="H108" s="419"/>
      <c r="I108" s="239"/>
      <c r="J108" s="568"/>
      <c r="K108" s="420"/>
      <c r="L108" s="193"/>
      <c r="M108" s="374"/>
      <c r="O108" s="431"/>
      <c r="P108" s="157"/>
      <c r="Q108" s="404"/>
      <c r="R108" s="148"/>
      <c r="S108" s="242"/>
      <c r="T108" s="242"/>
      <c r="U108" s="242"/>
      <c r="V108" s="242"/>
      <c r="W108" s="242"/>
      <c r="X108" s="242"/>
      <c r="Y108" s="148"/>
      <c r="Z108" s="148"/>
    </row>
    <row r="109">
      <c r="C109" s="571"/>
      <c r="D109" s="157"/>
      <c r="E109" s="570"/>
      <c r="F109" s="547"/>
      <c r="G109" s="419"/>
      <c r="H109" s="419"/>
      <c r="I109" s="239"/>
      <c r="J109" s="464" t="s">
        <v>692</v>
      </c>
      <c r="K109" s="420"/>
      <c r="L109" s="150"/>
      <c r="M109" s="377"/>
      <c r="O109" s="431"/>
      <c r="P109" s="157"/>
      <c r="Q109" s="404"/>
      <c r="R109" s="148"/>
      <c r="S109" s="242"/>
      <c r="T109" s="242"/>
      <c r="U109" s="242"/>
      <c r="V109" s="242"/>
      <c r="W109" s="242"/>
      <c r="X109" s="242"/>
      <c r="Y109" s="148"/>
      <c r="Z109" s="148"/>
    </row>
    <row r="110">
      <c r="C110" s="571"/>
      <c r="D110" s="157"/>
      <c r="E110" s="570"/>
      <c r="F110" s="547"/>
      <c r="G110" s="419"/>
      <c r="H110" s="419"/>
      <c r="I110" s="239"/>
      <c r="J110" s="464" t="s">
        <v>694</v>
      </c>
      <c r="K110" s="420"/>
      <c r="L110" s="193"/>
      <c r="M110" s="374"/>
      <c r="O110" s="431"/>
      <c r="P110" s="157"/>
      <c r="Q110" s="404"/>
      <c r="R110" s="148"/>
      <c r="S110" s="242"/>
      <c r="T110" s="242"/>
      <c r="U110" s="242"/>
      <c r="V110" s="242"/>
      <c r="W110" s="242"/>
      <c r="X110" s="242"/>
      <c r="Y110" s="148"/>
      <c r="Z110" s="148"/>
    </row>
    <row r="111">
      <c r="C111" s="571"/>
      <c r="D111" s="423"/>
      <c r="E111" s="570"/>
      <c r="F111" s="546"/>
      <c r="G111" s="419"/>
      <c r="H111" s="419"/>
      <c r="I111" s="57"/>
      <c r="J111" s="105"/>
      <c r="K111" s="57"/>
      <c r="L111" s="193"/>
      <c r="M111" s="57"/>
      <c r="N111" s="57"/>
      <c r="O111" s="57"/>
      <c r="P111" s="157"/>
      <c r="Q111" s="404"/>
      <c r="R111" s="148"/>
      <c r="S111" s="242"/>
      <c r="T111" s="242"/>
      <c r="U111" s="242"/>
      <c r="V111" s="242"/>
      <c r="W111" s="242"/>
      <c r="X111" s="242"/>
      <c r="Y111" s="148"/>
      <c r="Z111" s="148"/>
    </row>
    <row r="112">
      <c r="A112" s="125" t="s">
        <v>798</v>
      </c>
      <c r="B112" s="572">
        <f>C85-B89</f>
        <v>0</v>
      </c>
      <c r="D112" s="157"/>
      <c r="E112" s="570"/>
      <c r="F112" s="573"/>
      <c r="G112" s="478"/>
      <c r="H112" s="419"/>
      <c r="I112" s="239"/>
      <c r="J112" s="568"/>
      <c r="K112" s="57"/>
      <c r="L112" s="150"/>
      <c r="M112" s="57"/>
      <c r="N112" s="57"/>
      <c r="O112" s="57"/>
      <c r="P112" s="157"/>
      <c r="Q112" s="404"/>
      <c r="R112" s="148"/>
      <c r="S112" s="242"/>
      <c r="T112" s="242"/>
      <c r="U112" s="242"/>
      <c r="V112" s="242"/>
      <c r="W112" s="242"/>
      <c r="X112" s="242"/>
      <c r="Y112" s="148"/>
      <c r="Z112" s="148"/>
    </row>
    <row r="113">
      <c r="A113" s="274" t="s">
        <v>783</v>
      </c>
      <c r="B113" s="109"/>
      <c r="C113" s="395"/>
      <c r="D113" s="157"/>
      <c r="E113" s="570"/>
      <c r="F113" s="573"/>
      <c r="G113" s="478"/>
      <c r="H113" s="419"/>
      <c r="I113" s="239"/>
      <c r="J113" s="568"/>
      <c r="K113" s="57"/>
      <c r="L113" s="150"/>
      <c r="M113" s="57"/>
      <c r="N113" s="57"/>
      <c r="O113" s="57"/>
      <c r="P113" s="157"/>
      <c r="Q113" s="404"/>
      <c r="R113" s="148"/>
      <c r="S113" s="242"/>
      <c r="T113" s="242"/>
      <c r="U113" s="242"/>
      <c r="V113" s="242"/>
      <c r="W113" s="242"/>
      <c r="X113" s="242"/>
      <c r="Y113" s="148"/>
      <c r="Z113" s="148"/>
    </row>
    <row r="114">
      <c r="A114" s="274" t="s">
        <v>784</v>
      </c>
      <c r="B114" s="109"/>
      <c r="C114" s="395"/>
      <c r="D114" s="157"/>
      <c r="E114" s="570"/>
      <c r="F114" s="573"/>
      <c r="G114" s="478"/>
      <c r="H114" s="419"/>
      <c r="I114" s="239"/>
      <c r="J114" s="568"/>
      <c r="K114" s="57"/>
      <c r="L114" s="150"/>
      <c r="M114" s="57"/>
      <c r="N114" s="57"/>
      <c r="O114" s="57"/>
      <c r="P114" s="157"/>
      <c r="Q114" s="404"/>
      <c r="R114" s="148"/>
      <c r="S114" s="242"/>
      <c r="T114" s="242"/>
      <c r="U114" s="242"/>
      <c r="V114" s="242"/>
      <c r="W114" s="242"/>
      <c r="X114" s="242"/>
      <c r="Y114" s="148"/>
      <c r="Z114" s="148"/>
    </row>
    <row r="115">
      <c r="A115" s="274" t="s">
        <v>785</v>
      </c>
      <c r="B115" s="109"/>
      <c r="C115" s="686">
        <f>SUM(B113:B115)</f>
        <v>0</v>
      </c>
      <c r="D115" s="157"/>
      <c r="E115" s="570"/>
      <c r="F115" s="573"/>
      <c r="G115" s="478"/>
      <c r="H115" s="419"/>
      <c r="I115" s="239"/>
      <c r="J115" s="568"/>
      <c r="K115" s="57"/>
      <c r="L115" s="150"/>
      <c r="M115" s="57"/>
      <c r="N115" s="57"/>
      <c r="O115" s="57"/>
      <c r="P115" s="157"/>
      <c r="Q115" s="404"/>
      <c r="R115" s="148"/>
      <c r="S115" s="242"/>
      <c r="T115" s="242"/>
      <c r="U115" s="242"/>
      <c r="V115" s="242"/>
      <c r="W115" s="242"/>
      <c r="X115" s="242"/>
      <c r="Y115" s="148"/>
      <c r="Z115" s="148"/>
    </row>
    <row r="116">
      <c r="A116" s="402"/>
      <c r="B116" s="403"/>
      <c r="C116" s="403"/>
      <c r="D116" s="403"/>
      <c r="E116" s="574"/>
      <c r="F116" s="575"/>
      <c r="G116" s="159"/>
      <c r="H116" s="159"/>
      <c r="I116" s="159"/>
      <c r="J116" s="576"/>
      <c r="K116" s="159"/>
      <c r="L116" s="162"/>
      <c r="M116" s="402"/>
      <c r="N116" s="402"/>
      <c r="O116" s="159"/>
      <c r="P116" s="403"/>
      <c r="Q116" s="577"/>
      <c r="R116" s="148"/>
      <c r="S116" s="242"/>
      <c r="T116" s="242"/>
      <c r="U116" s="242"/>
      <c r="V116" s="242"/>
      <c r="W116" s="242"/>
      <c r="X116" s="242"/>
      <c r="Y116" s="148"/>
      <c r="Z116" s="148"/>
    </row>
    <row r="117">
      <c r="A117" s="400"/>
      <c r="B117" s="148"/>
      <c r="C117" s="148"/>
      <c r="D117" s="245"/>
      <c r="E117" s="585"/>
      <c r="F117" s="586"/>
      <c r="G117" s="148"/>
      <c r="H117" s="148"/>
      <c r="I117" s="251"/>
      <c r="J117" s="243"/>
      <c r="K117" s="148"/>
      <c r="L117" s="277"/>
      <c r="M117" s="252"/>
      <c r="N117" s="250"/>
      <c r="O117" s="253"/>
      <c r="P117" s="240"/>
      <c r="Q117" s="148"/>
      <c r="R117" s="148"/>
      <c r="S117" s="242"/>
      <c r="T117" s="242"/>
      <c r="U117" s="242"/>
      <c r="V117" s="242"/>
      <c r="W117" s="242"/>
      <c r="X117" s="242"/>
      <c r="Y117" s="148"/>
      <c r="Z117" s="148"/>
    </row>
    <row r="118">
      <c r="A118" s="169" t="s">
        <v>71</v>
      </c>
      <c r="B118" s="539"/>
      <c r="C118" s="540"/>
      <c r="D118" s="405"/>
      <c r="E118" s="541"/>
      <c r="F118" s="542"/>
      <c r="G118" s="467" t="s">
        <v>333</v>
      </c>
      <c r="H118" s="361"/>
      <c r="I118" s="57"/>
      <c r="J118" s="105"/>
      <c r="K118" s="57"/>
      <c r="L118" s="150"/>
      <c r="M118" s="239"/>
      <c r="N118" s="239"/>
      <c r="O118" s="57"/>
      <c r="P118" s="157"/>
      <c r="Q118" s="404"/>
      <c r="R118" s="148"/>
      <c r="S118" s="242"/>
      <c r="T118" s="242"/>
      <c r="U118" s="242"/>
      <c r="V118" s="242"/>
      <c r="W118" s="242"/>
      <c r="X118" s="242"/>
      <c r="Y118" s="148"/>
      <c r="Z118" s="148"/>
    </row>
    <row r="119">
      <c r="A119" s="468"/>
      <c r="B119" s="157"/>
      <c r="C119" s="466"/>
      <c r="D119" s="405"/>
      <c r="E119" s="543" t="s">
        <v>335</v>
      </c>
      <c r="F119" s="544" t="s">
        <v>237</v>
      </c>
      <c r="G119" s="412" t="s">
        <v>336</v>
      </c>
      <c r="H119" s="413" t="s">
        <v>337</v>
      </c>
      <c r="I119" s="239"/>
      <c r="J119" s="145" t="s">
        <v>60</v>
      </c>
      <c r="K119" s="57"/>
      <c r="L119" s="150"/>
      <c r="M119" s="414"/>
      <c r="N119" s="414"/>
      <c r="O119" s="57" t="s">
        <v>334</v>
      </c>
      <c r="P119" s="157"/>
      <c r="Q119" s="404"/>
      <c r="R119" s="148"/>
      <c r="S119" s="242"/>
      <c r="T119" s="242"/>
      <c r="U119" s="242"/>
      <c r="V119" s="242"/>
      <c r="W119" s="242"/>
      <c r="X119" s="242"/>
      <c r="Y119" s="148"/>
      <c r="Z119" s="148"/>
    </row>
    <row r="120">
      <c r="A120" s="470" t="s">
        <v>179</v>
      </c>
      <c r="C120" s="416">
        <f>SUM(F120:F154)</f>
        <v>0</v>
      </c>
      <c r="D120" s="405"/>
      <c r="E120" s="545"/>
      <c r="F120" s="546"/>
      <c r="G120" s="419"/>
      <c r="H120" s="419"/>
      <c r="I120" s="57"/>
      <c r="K120" s="57"/>
      <c r="L120" s="150"/>
      <c r="M120" s="377" t="s">
        <v>366</v>
      </c>
      <c r="P120" s="157"/>
      <c r="Q120" s="404"/>
      <c r="R120" s="148"/>
      <c r="S120" s="242"/>
      <c r="T120" s="242"/>
      <c r="U120" s="242"/>
      <c r="V120" s="242"/>
      <c r="W120" s="242"/>
      <c r="X120" s="242"/>
      <c r="Y120" s="148"/>
      <c r="Z120" s="148"/>
    </row>
    <row r="121">
      <c r="A121" s="421" t="s">
        <v>343</v>
      </c>
      <c r="B121" s="422" t="s">
        <v>321</v>
      </c>
      <c r="C121" s="416">
        <f>SUM(P121:P154)</f>
        <v>0</v>
      </c>
      <c r="D121" s="157"/>
      <c r="E121" s="545"/>
      <c r="F121" s="546"/>
      <c r="G121" s="419"/>
      <c r="H121" s="419"/>
      <c r="I121" s="239"/>
      <c r="J121" s="471" t="s">
        <v>341</v>
      </c>
      <c r="K121" s="420"/>
      <c r="L121" s="150"/>
      <c r="M121" s="374"/>
      <c r="O121" s="426"/>
      <c r="P121" s="423"/>
      <c r="Q121" s="404"/>
      <c r="R121" s="148"/>
      <c r="S121" s="242"/>
      <c r="T121" s="242"/>
      <c r="U121" s="242"/>
      <c r="V121" s="242"/>
      <c r="W121" s="242"/>
      <c r="X121" s="242"/>
      <c r="Y121" s="148"/>
      <c r="Z121" s="148"/>
    </row>
    <row r="122">
      <c r="A122" s="427" t="s">
        <v>201</v>
      </c>
      <c r="C122" s="204">
        <f>SUM(L121:L154)</f>
        <v>0</v>
      </c>
      <c r="D122" s="157"/>
      <c r="E122" s="545"/>
      <c r="F122" s="546"/>
      <c r="G122" s="419"/>
      <c r="H122" s="419"/>
      <c r="I122" s="239"/>
      <c r="J122" s="472" t="s">
        <v>345</v>
      </c>
      <c r="K122" s="420"/>
      <c r="L122" s="193"/>
      <c r="M122" s="374"/>
      <c r="O122" s="426"/>
      <c r="P122" s="423"/>
      <c r="Q122" s="404"/>
      <c r="R122" s="148"/>
      <c r="S122" s="242"/>
      <c r="T122" s="242"/>
      <c r="U122" s="242"/>
      <c r="V122" s="242"/>
      <c r="W122" s="242"/>
      <c r="X122" s="242"/>
      <c r="Y122" s="148"/>
      <c r="Z122" s="148"/>
    </row>
    <row r="123">
      <c r="A123" s="548" t="s">
        <v>761</v>
      </c>
      <c r="B123" s="549">
        <v>0.4</v>
      </c>
      <c r="C123" s="191"/>
      <c r="D123" s="157"/>
      <c r="E123" s="550" t="s">
        <v>695</v>
      </c>
      <c r="F123" s="546"/>
      <c r="G123" s="587"/>
      <c r="H123" s="419"/>
      <c r="I123" s="239"/>
      <c r="J123" s="433" t="s">
        <v>656</v>
      </c>
      <c r="K123" s="420"/>
      <c r="L123" s="193"/>
      <c r="M123" s="374"/>
      <c r="O123" s="426"/>
      <c r="P123" s="423"/>
      <c r="Q123" s="404"/>
      <c r="R123" s="148"/>
      <c r="S123" s="242"/>
      <c r="T123" s="242"/>
      <c r="U123" s="242"/>
      <c r="V123" s="242"/>
      <c r="W123" s="242"/>
      <c r="X123" s="242"/>
      <c r="Y123" s="148"/>
      <c r="Z123" s="148"/>
    </row>
    <row r="124">
      <c r="A124" s="434" t="s">
        <v>350</v>
      </c>
      <c r="C124" s="551">
        <f>C120-C122-C123</f>
        <v>0</v>
      </c>
      <c r="D124" s="157"/>
      <c r="E124" s="192"/>
      <c r="F124" s="546"/>
      <c r="G124" s="455"/>
      <c r="H124" s="419"/>
      <c r="I124" s="57"/>
      <c r="J124" s="444" t="s">
        <v>658</v>
      </c>
      <c r="K124" s="420"/>
      <c r="L124" s="193"/>
      <c r="M124" s="377"/>
      <c r="O124" s="431"/>
      <c r="P124" s="157"/>
      <c r="Q124" s="404"/>
      <c r="R124" s="148"/>
      <c r="S124" s="242"/>
      <c r="T124" s="242"/>
      <c r="U124" s="242"/>
      <c r="V124" s="242"/>
      <c r="W124" s="242"/>
      <c r="X124" s="242"/>
      <c r="Y124" s="148"/>
      <c r="Z124" s="148"/>
    </row>
    <row r="125">
      <c r="A125" s="554"/>
      <c r="B125" s="555"/>
      <c r="C125" s="447"/>
      <c r="D125" s="157"/>
      <c r="E125" s="192"/>
      <c r="F125" s="546"/>
      <c r="G125" s="419"/>
      <c r="H125" s="419"/>
      <c r="I125" s="57"/>
      <c r="J125" s="444" t="s">
        <v>660</v>
      </c>
      <c r="K125" s="420"/>
      <c r="L125" s="193"/>
      <c r="M125" s="377"/>
      <c r="O125" s="431"/>
      <c r="P125" s="157"/>
      <c r="Q125" s="404"/>
      <c r="R125" s="148"/>
      <c r="S125" s="242"/>
      <c r="T125" s="242"/>
      <c r="U125" s="242"/>
      <c r="V125" s="242"/>
      <c r="W125" s="242"/>
      <c r="X125" s="242"/>
      <c r="Y125" s="148"/>
      <c r="Z125" s="148"/>
    </row>
    <row r="126">
      <c r="A126" s="556"/>
      <c r="C126" s="395"/>
      <c r="D126" s="157"/>
      <c r="E126" s="192"/>
      <c r="F126" s="546"/>
      <c r="G126" s="562"/>
      <c r="H126" s="419"/>
      <c r="I126" s="239"/>
      <c r="J126" s="370" t="s">
        <v>662</v>
      </c>
      <c r="K126" s="420"/>
      <c r="L126" s="193"/>
      <c r="M126" s="377"/>
      <c r="O126" s="431"/>
      <c r="P126" s="157"/>
      <c r="Q126" s="404"/>
      <c r="R126" s="148"/>
      <c r="S126" s="242"/>
      <c r="T126" s="242"/>
      <c r="U126" s="242"/>
      <c r="V126" s="242"/>
      <c r="W126" s="242"/>
      <c r="X126" s="242"/>
      <c r="Y126" s="148"/>
      <c r="Z126" s="148"/>
    </row>
    <row r="127">
      <c r="A127" s="557"/>
      <c r="B127" s="109"/>
      <c r="C127" s="395"/>
      <c r="D127" s="373"/>
      <c r="E127" s="192"/>
      <c r="F127" s="546"/>
      <c r="G127" s="419"/>
      <c r="H127" s="419"/>
      <c r="I127" s="239"/>
      <c r="J127" s="433" t="s">
        <v>666</v>
      </c>
      <c r="K127" s="420"/>
      <c r="L127" s="150"/>
      <c r="M127" s="374"/>
      <c r="O127" s="431"/>
      <c r="P127" s="157"/>
      <c r="Q127" s="404"/>
      <c r="R127" s="148"/>
      <c r="S127" s="242"/>
      <c r="T127" s="242"/>
      <c r="U127" s="242"/>
      <c r="V127" s="242"/>
      <c r="W127" s="242"/>
      <c r="X127" s="242"/>
      <c r="Y127" s="148"/>
      <c r="Z127" s="148"/>
    </row>
    <row r="128">
      <c r="A128" s="559" t="s">
        <v>765</v>
      </c>
      <c r="B128" s="560">
        <f>SUM(D128:D154)</f>
        <v>0</v>
      </c>
      <c r="C128" s="477" t="s">
        <v>366</v>
      </c>
      <c r="D128" s="157"/>
      <c r="E128" s="192"/>
      <c r="F128" s="546"/>
      <c r="G128" s="419"/>
      <c r="H128" s="419"/>
      <c r="I128" s="239"/>
      <c r="J128" s="433" t="s">
        <v>668</v>
      </c>
      <c r="K128" s="420"/>
      <c r="L128" s="150"/>
      <c r="M128" s="377"/>
      <c r="O128" s="431"/>
      <c r="P128" s="157"/>
      <c r="Q128" s="404"/>
      <c r="R128" s="148"/>
      <c r="S128" s="242"/>
      <c r="T128" s="242"/>
      <c r="U128" s="242"/>
      <c r="V128" s="242"/>
      <c r="W128" s="242"/>
      <c r="X128" s="242"/>
      <c r="Y128" s="148"/>
      <c r="Z128" s="148"/>
    </row>
    <row r="129">
      <c r="A129" s="453" t="s">
        <v>369</v>
      </c>
      <c r="C129" s="561" t="s">
        <v>766</v>
      </c>
      <c r="D129" s="423"/>
      <c r="E129" s="192"/>
      <c r="F129" s="546"/>
      <c r="G129" s="562"/>
      <c r="H129" s="419"/>
      <c r="I129" s="239"/>
      <c r="J129" s="433" t="s">
        <v>670</v>
      </c>
      <c r="K129" s="458"/>
      <c r="L129" s="193"/>
      <c r="M129" s="377"/>
      <c r="O129" s="431"/>
      <c r="P129" s="157"/>
      <c r="Q129" s="404"/>
      <c r="R129" s="148"/>
      <c r="S129" s="242"/>
      <c r="T129" s="242"/>
      <c r="U129" s="242"/>
      <c r="V129" s="242"/>
      <c r="W129" s="242"/>
      <c r="X129" s="242"/>
      <c r="Y129" s="148"/>
      <c r="Z129" s="148"/>
    </row>
    <row r="130">
      <c r="C130" s="561" t="s">
        <v>767</v>
      </c>
      <c r="D130" s="157"/>
      <c r="E130" s="192"/>
      <c r="F130" s="546"/>
      <c r="G130" s="562"/>
      <c r="H130" s="419"/>
      <c r="I130" s="239"/>
      <c r="J130" s="433" t="s">
        <v>217</v>
      </c>
      <c r="K130" s="458"/>
      <c r="L130" s="150"/>
      <c r="M130" s="377"/>
      <c r="O130" s="431"/>
      <c r="P130" s="157"/>
      <c r="Q130" s="404"/>
      <c r="R130" s="148"/>
      <c r="S130" s="242"/>
      <c r="T130" s="242"/>
      <c r="U130" s="242"/>
      <c r="V130" s="242"/>
      <c r="W130" s="242"/>
      <c r="X130" s="242"/>
      <c r="Y130" s="148"/>
      <c r="Z130" s="148"/>
    </row>
    <row r="131">
      <c r="A131" s="57"/>
      <c r="B131" s="57"/>
      <c r="C131" s="561" t="s">
        <v>768</v>
      </c>
      <c r="D131" s="423"/>
      <c r="E131" s="192"/>
      <c r="F131" s="546"/>
      <c r="G131" s="419"/>
      <c r="H131" s="419"/>
      <c r="I131" s="239"/>
      <c r="J131" s="109"/>
      <c r="K131" s="420"/>
      <c r="L131" s="193"/>
      <c r="M131" s="374"/>
      <c r="O131" s="431"/>
      <c r="P131" s="157"/>
      <c r="Q131" s="404"/>
      <c r="R131" s="148"/>
      <c r="S131" s="242"/>
      <c r="T131" s="242"/>
      <c r="U131" s="242"/>
      <c r="V131" s="242"/>
      <c r="W131" s="242"/>
      <c r="X131" s="242"/>
      <c r="Y131" s="148"/>
      <c r="Z131" s="148"/>
    </row>
    <row r="132">
      <c r="A132" s="57"/>
      <c r="B132" s="57"/>
      <c r="C132" s="561" t="s">
        <v>769</v>
      </c>
      <c r="D132" s="157"/>
      <c r="E132" s="192"/>
      <c r="F132" s="546"/>
      <c r="G132" s="419"/>
      <c r="H132" s="419"/>
      <c r="I132" s="239"/>
      <c r="J132" s="456" t="s">
        <v>672</v>
      </c>
      <c r="K132" s="420"/>
      <c r="L132" s="193"/>
      <c r="M132" s="377"/>
      <c r="O132" s="431"/>
      <c r="P132" s="157"/>
      <c r="Q132" s="404"/>
      <c r="R132" s="148"/>
      <c r="S132" s="242"/>
      <c r="T132" s="242"/>
      <c r="U132" s="242"/>
      <c r="V132" s="242"/>
      <c r="W132" s="242"/>
      <c r="X132" s="242"/>
      <c r="Y132" s="148"/>
      <c r="Z132" s="148"/>
    </row>
    <row r="133">
      <c r="A133" s="57"/>
      <c r="B133" s="57"/>
      <c r="C133" s="561" t="s">
        <v>770</v>
      </c>
      <c r="D133" s="423"/>
      <c r="E133" s="192"/>
      <c r="F133" s="546"/>
      <c r="G133" s="419"/>
      <c r="H133" s="419"/>
      <c r="I133" s="57"/>
      <c r="J133" s="456" t="s">
        <v>675</v>
      </c>
      <c r="K133" s="420"/>
      <c r="L133" s="193"/>
      <c r="M133" s="382"/>
      <c r="O133" s="431"/>
      <c r="P133" s="157"/>
      <c r="Q133" s="404"/>
      <c r="R133" s="148"/>
      <c r="S133" s="242"/>
      <c r="T133" s="242"/>
      <c r="U133" s="242"/>
      <c r="V133" s="242"/>
      <c r="W133" s="242"/>
      <c r="X133" s="242"/>
      <c r="Y133" s="148"/>
      <c r="Z133" s="148"/>
    </row>
    <row r="134">
      <c r="A134" s="57"/>
      <c r="B134" s="57"/>
      <c r="C134" s="561" t="s">
        <v>793</v>
      </c>
      <c r="D134" s="423"/>
      <c r="E134" s="192"/>
      <c r="F134" s="546"/>
      <c r="G134" s="587"/>
      <c r="H134" s="419"/>
      <c r="I134" s="57"/>
      <c r="J134" s="456"/>
      <c r="K134" s="420"/>
      <c r="L134" s="150"/>
      <c r="M134" s="425"/>
      <c r="O134" s="431"/>
      <c r="P134" s="157"/>
      <c r="Q134" s="404"/>
      <c r="R134" s="148"/>
      <c r="S134" s="242"/>
      <c r="T134" s="242"/>
      <c r="U134" s="242"/>
      <c r="V134" s="242"/>
      <c r="W134" s="242"/>
      <c r="X134" s="242"/>
      <c r="Y134" s="148"/>
      <c r="Z134" s="148"/>
    </row>
    <row r="135">
      <c r="A135" s="239"/>
      <c r="B135" s="57"/>
      <c r="C135" s="561" t="s">
        <v>794</v>
      </c>
      <c r="D135" s="423"/>
      <c r="E135" s="192"/>
      <c r="F135" s="547"/>
      <c r="G135" s="419"/>
      <c r="H135" s="419"/>
      <c r="I135" s="57"/>
      <c r="J135" s="375"/>
      <c r="K135" s="420"/>
      <c r="L135" s="150"/>
      <c r="M135" s="425"/>
      <c r="O135" s="431"/>
      <c r="P135" s="157"/>
      <c r="Q135" s="404"/>
      <c r="R135" s="148"/>
      <c r="S135" s="242"/>
      <c r="T135" s="242"/>
      <c r="U135" s="242"/>
      <c r="V135" s="242"/>
      <c r="W135" s="242"/>
      <c r="X135" s="242"/>
      <c r="Y135" s="148"/>
      <c r="Z135" s="148"/>
    </row>
    <row r="136">
      <c r="A136" s="239"/>
      <c r="B136" s="57"/>
      <c r="C136" s="561" t="s">
        <v>18</v>
      </c>
      <c r="D136" s="423"/>
      <c r="E136" s="228"/>
      <c r="F136" s="547"/>
      <c r="G136" s="419"/>
      <c r="H136" s="419"/>
      <c r="I136" s="57"/>
      <c r="J136" s="375"/>
      <c r="K136" s="420"/>
      <c r="L136" s="193"/>
      <c r="M136" s="382"/>
      <c r="O136" s="431"/>
      <c r="P136" s="157"/>
      <c r="Q136" s="404"/>
      <c r="R136" s="148"/>
      <c r="S136" s="242"/>
      <c r="T136" s="242"/>
      <c r="U136" s="242"/>
      <c r="V136" s="242"/>
      <c r="W136" s="242"/>
      <c r="X136" s="242"/>
      <c r="Y136" s="148"/>
      <c r="Z136" s="148"/>
    </row>
    <row r="137">
      <c r="A137" s="239"/>
      <c r="B137" s="57"/>
      <c r="C137" s="563" t="s">
        <v>1115</v>
      </c>
      <c r="D137" s="423"/>
      <c r="E137" s="228"/>
      <c r="F137" s="547"/>
      <c r="G137" s="455"/>
      <c r="H137" s="419"/>
      <c r="I137" s="57"/>
      <c r="J137" s="452"/>
      <c r="K137" s="420"/>
      <c r="L137" s="150"/>
      <c r="M137" s="425"/>
      <c r="O137" s="431"/>
      <c r="P137" s="157"/>
      <c r="Q137" s="404"/>
      <c r="R137" s="148"/>
      <c r="S137" s="242"/>
      <c r="T137" s="242"/>
      <c r="U137" s="242"/>
      <c r="V137" s="242"/>
      <c r="W137" s="242"/>
      <c r="X137" s="242"/>
      <c r="Y137" s="148"/>
      <c r="Z137" s="148"/>
    </row>
    <row r="138">
      <c r="A138" s="57"/>
      <c r="B138" s="57"/>
      <c r="C138" s="561" t="s">
        <v>1116</v>
      </c>
      <c r="D138" s="423"/>
      <c r="E138" s="228"/>
      <c r="F138" s="547"/>
      <c r="G138" s="419"/>
      <c r="H138" s="419"/>
      <c r="I138" s="57"/>
      <c r="J138" s="105"/>
      <c r="K138" s="420"/>
      <c r="L138" s="150"/>
      <c r="M138" s="425"/>
      <c r="O138" s="431"/>
      <c r="P138" s="157"/>
      <c r="Q138" s="404"/>
      <c r="R138" s="148"/>
      <c r="S138" s="242"/>
      <c r="T138" s="242"/>
      <c r="U138" s="242"/>
      <c r="V138" s="242"/>
      <c r="W138" s="242"/>
      <c r="X138" s="242"/>
      <c r="Y138" s="148"/>
      <c r="Z138" s="148"/>
    </row>
    <row r="139">
      <c r="A139" s="239"/>
      <c r="B139" s="239"/>
      <c r="C139" s="561" t="s">
        <v>775</v>
      </c>
      <c r="D139" s="423"/>
      <c r="E139" s="192"/>
      <c r="F139" s="547"/>
      <c r="G139" s="419"/>
      <c r="H139" s="419"/>
      <c r="I139" s="57"/>
      <c r="J139" s="378" t="s">
        <v>682</v>
      </c>
      <c r="K139" s="420"/>
      <c r="L139" s="193"/>
      <c r="M139" s="377"/>
      <c r="O139" s="431"/>
      <c r="P139" s="157"/>
      <c r="Q139" s="404"/>
      <c r="R139" s="148"/>
      <c r="S139" s="242"/>
      <c r="T139" s="242"/>
      <c r="U139" s="242"/>
      <c r="V139" s="242"/>
      <c r="W139" s="242"/>
      <c r="X139" s="242"/>
      <c r="Y139" s="148"/>
      <c r="Z139" s="148"/>
    </row>
    <row r="140">
      <c r="A140" s="239"/>
      <c r="B140" s="239"/>
      <c r="C140" s="561" t="s">
        <v>10</v>
      </c>
      <c r="D140" s="157"/>
      <c r="E140" s="206"/>
      <c r="F140" s="564"/>
      <c r="G140" s="478"/>
      <c r="H140" s="419"/>
      <c r="I140" s="57"/>
      <c r="J140" s="461" t="s">
        <v>684</v>
      </c>
      <c r="K140" s="420"/>
      <c r="L140" s="193"/>
      <c r="M140" s="377"/>
      <c r="O140" s="431"/>
      <c r="P140" s="157"/>
      <c r="Q140" s="404"/>
      <c r="R140" s="148"/>
      <c r="S140" s="242"/>
      <c r="T140" s="242"/>
      <c r="U140" s="242"/>
      <c r="V140" s="242"/>
      <c r="W140" s="242"/>
      <c r="X140" s="242"/>
      <c r="Y140" s="148"/>
      <c r="Z140" s="148"/>
    </row>
    <row r="141">
      <c r="A141" s="239"/>
      <c r="B141" s="239"/>
      <c r="C141" s="561" t="s">
        <v>6</v>
      </c>
      <c r="D141" s="423"/>
      <c r="E141" s="206"/>
      <c r="F141" s="547"/>
      <c r="G141" s="455"/>
      <c r="H141" s="455"/>
      <c r="I141" s="57"/>
      <c r="J141" s="461" t="s">
        <v>686</v>
      </c>
      <c r="K141" s="420"/>
      <c r="L141" s="150"/>
      <c r="M141" s="374"/>
      <c r="O141" s="463"/>
      <c r="P141" s="157"/>
      <c r="Q141" s="404"/>
      <c r="R141" s="148"/>
      <c r="S141" s="242"/>
      <c r="T141" s="242"/>
      <c r="U141" s="242"/>
      <c r="V141" s="242"/>
      <c r="W141" s="242"/>
      <c r="X141" s="242"/>
      <c r="Y141" s="148"/>
      <c r="Z141" s="148"/>
    </row>
    <row r="142">
      <c r="A142" s="57"/>
      <c r="B142" s="57"/>
      <c r="C142" s="561" t="s">
        <v>779</v>
      </c>
      <c r="D142" s="157"/>
      <c r="E142" s="228"/>
      <c r="F142" s="547"/>
      <c r="G142" s="455"/>
      <c r="H142" s="455"/>
      <c r="I142" s="239"/>
      <c r="J142" s="460" t="s">
        <v>202</v>
      </c>
      <c r="K142" s="420"/>
      <c r="L142" s="193"/>
      <c r="M142" s="377"/>
      <c r="O142" s="463"/>
      <c r="P142" s="157"/>
      <c r="Q142" s="404"/>
      <c r="R142" s="148"/>
      <c r="S142" s="242"/>
      <c r="T142" s="242"/>
      <c r="U142" s="242"/>
      <c r="V142" s="242"/>
      <c r="W142" s="242"/>
      <c r="X142" s="242"/>
      <c r="Y142" s="148"/>
      <c r="Z142" s="148"/>
    </row>
    <row r="143">
      <c r="A143" s="239"/>
      <c r="B143" s="239"/>
      <c r="C143" s="561" t="s">
        <v>780</v>
      </c>
      <c r="D143" s="423"/>
      <c r="E143" s="228"/>
      <c r="F143" s="547"/>
      <c r="G143" s="455"/>
      <c r="H143" s="455"/>
      <c r="I143" s="57"/>
      <c r="J143" s="460" t="s">
        <v>274</v>
      </c>
      <c r="K143" s="420"/>
      <c r="L143" s="150"/>
      <c r="M143" s="374"/>
      <c r="O143" s="463"/>
      <c r="P143" s="157"/>
      <c r="Q143" s="404"/>
      <c r="R143" s="148"/>
      <c r="S143" s="242"/>
      <c r="T143" s="242"/>
      <c r="U143" s="242"/>
      <c r="V143" s="242"/>
      <c r="W143" s="242"/>
      <c r="X143" s="242"/>
      <c r="Y143" s="148"/>
      <c r="Z143" s="148"/>
    </row>
    <row r="144">
      <c r="A144" s="239"/>
      <c r="B144" s="239"/>
      <c r="C144" s="561" t="s">
        <v>781</v>
      </c>
      <c r="D144" s="423"/>
      <c r="E144" s="228"/>
      <c r="F144" s="547"/>
      <c r="G144" s="455"/>
      <c r="H144" s="419"/>
      <c r="I144" s="239"/>
      <c r="J144" s="685" t="s">
        <v>1117</v>
      </c>
      <c r="K144" s="420"/>
      <c r="L144" s="150"/>
      <c r="M144" s="374"/>
      <c r="O144" s="431"/>
      <c r="P144" s="157"/>
      <c r="Q144" s="404"/>
      <c r="R144" s="148"/>
      <c r="S144" s="242"/>
      <c r="T144" s="242"/>
      <c r="U144" s="242"/>
      <c r="V144" s="242"/>
      <c r="W144" s="242"/>
      <c r="X144" s="242"/>
      <c r="Y144" s="148"/>
      <c r="Z144" s="148"/>
    </row>
    <row r="145">
      <c r="A145" s="239"/>
      <c r="B145" s="157"/>
      <c r="C145" s="561" t="s">
        <v>1118</v>
      </c>
      <c r="D145" s="157"/>
      <c r="E145" s="569"/>
      <c r="F145" s="547"/>
      <c r="G145" s="419"/>
      <c r="H145" s="419"/>
      <c r="I145" s="57"/>
      <c r="J145" s="685" t="s">
        <v>1119</v>
      </c>
      <c r="K145" s="420"/>
      <c r="L145" s="193"/>
      <c r="M145" s="377"/>
      <c r="O145" s="431"/>
      <c r="P145" s="157"/>
      <c r="Q145" s="404"/>
      <c r="R145" s="148"/>
      <c r="S145" s="242"/>
      <c r="T145" s="242"/>
      <c r="U145" s="242"/>
      <c r="V145" s="242"/>
      <c r="W145" s="242"/>
      <c r="X145" s="242"/>
      <c r="Y145" s="148"/>
      <c r="Z145" s="148"/>
    </row>
    <row r="146">
      <c r="A146" s="239"/>
      <c r="B146" s="157"/>
      <c r="C146" s="561" t="s">
        <v>1120</v>
      </c>
      <c r="D146" s="157"/>
      <c r="E146" s="228"/>
      <c r="F146" s="547"/>
      <c r="G146" s="419"/>
      <c r="H146" s="419"/>
      <c r="I146" s="239"/>
      <c r="J146" s="596" t="s">
        <v>1001</v>
      </c>
      <c r="K146" s="420"/>
      <c r="L146" s="193"/>
      <c r="M146" s="377"/>
      <c r="O146" s="431"/>
      <c r="P146" s="157"/>
      <c r="Q146" s="404"/>
      <c r="R146" s="148"/>
      <c r="S146" s="242"/>
      <c r="T146" s="242"/>
      <c r="U146" s="242"/>
      <c r="V146" s="242"/>
      <c r="W146" s="242"/>
      <c r="X146" s="242"/>
      <c r="Y146" s="148"/>
      <c r="Z146" s="148"/>
    </row>
    <row r="147">
      <c r="A147" s="239"/>
      <c r="B147" s="157"/>
      <c r="C147" s="561"/>
      <c r="D147" s="157"/>
      <c r="E147" s="570"/>
      <c r="F147" s="547"/>
      <c r="G147" s="419"/>
      <c r="H147" s="419"/>
      <c r="I147" s="239"/>
      <c r="J147" s="568"/>
      <c r="K147" s="420"/>
      <c r="L147" s="193"/>
      <c r="M147" s="374"/>
      <c r="O147" s="431"/>
      <c r="P147" s="157"/>
      <c r="Q147" s="404"/>
      <c r="R147" s="148"/>
      <c r="S147" s="242"/>
      <c r="T147" s="242"/>
      <c r="U147" s="242"/>
      <c r="V147" s="242"/>
      <c r="W147" s="242"/>
      <c r="X147" s="242"/>
      <c r="Y147" s="148"/>
      <c r="Z147" s="148"/>
    </row>
    <row r="148">
      <c r="C148" s="571"/>
      <c r="D148" s="157"/>
      <c r="E148" s="570"/>
      <c r="F148" s="547"/>
      <c r="G148" s="419"/>
      <c r="H148" s="419"/>
      <c r="I148" s="239"/>
      <c r="J148" s="464" t="s">
        <v>692</v>
      </c>
      <c r="K148" s="420"/>
      <c r="L148" s="150"/>
      <c r="M148" s="377"/>
      <c r="O148" s="431"/>
      <c r="P148" s="157"/>
      <c r="Q148" s="404"/>
      <c r="R148" s="148"/>
      <c r="S148" s="242"/>
      <c r="T148" s="242"/>
      <c r="U148" s="242"/>
      <c r="V148" s="242"/>
      <c r="W148" s="242"/>
      <c r="X148" s="242"/>
      <c r="Y148" s="148"/>
      <c r="Z148" s="148"/>
    </row>
    <row r="149">
      <c r="C149" s="571"/>
      <c r="D149" s="157"/>
      <c r="E149" s="570"/>
      <c r="F149" s="547"/>
      <c r="G149" s="419"/>
      <c r="H149" s="419"/>
      <c r="I149" s="239"/>
      <c r="J149" s="464" t="s">
        <v>694</v>
      </c>
      <c r="K149" s="420"/>
      <c r="L149" s="150"/>
      <c r="M149" s="374"/>
      <c r="O149" s="431"/>
      <c r="P149" s="157"/>
      <c r="Q149" s="404"/>
      <c r="R149" s="148"/>
      <c r="S149" s="242"/>
      <c r="T149" s="242"/>
      <c r="U149" s="242"/>
      <c r="V149" s="242"/>
      <c r="W149" s="242"/>
      <c r="X149" s="242"/>
      <c r="Y149" s="148"/>
      <c r="Z149" s="148"/>
    </row>
    <row r="150">
      <c r="C150" s="571"/>
      <c r="D150" s="423"/>
      <c r="E150" s="570"/>
      <c r="F150" s="546"/>
      <c r="G150" s="419"/>
      <c r="H150" s="419"/>
      <c r="I150" s="57"/>
      <c r="J150" s="105"/>
      <c r="K150" s="57"/>
      <c r="L150" s="150"/>
      <c r="M150" s="57"/>
      <c r="N150" s="57"/>
      <c r="O150" s="57"/>
      <c r="P150" s="157"/>
      <c r="Q150" s="404"/>
      <c r="R150" s="148"/>
      <c r="S150" s="242"/>
      <c r="T150" s="242"/>
      <c r="U150" s="242"/>
      <c r="V150" s="242"/>
      <c r="W150" s="242"/>
      <c r="X150" s="242"/>
      <c r="Y150" s="148"/>
      <c r="Z150" s="148"/>
    </row>
    <row r="151">
      <c r="A151" s="125" t="s">
        <v>798</v>
      </c>
      <c r="B151" s="588">
        <f>C124-B128</f>
        <v>0</v>
      </c>
      <c r="D151" s="157"/>
      <c r="E151" s="570"/>
      <c r="F151" s="573"/>
      <c r="G151" s="478"/>
      <c r="H151" s="419"/>
      <c r="I151" s="239"/>
      <c r="J151" s="568"/>
      <c r="K151" s="57"/>
      <c r="L151" s="150"/>
      <c r="M151" s="57"/>
      <c r="N151" s="57"/>
      <c r="O151" s="57"/>
      <c r="P151" s="157"/>
      <c r="Q151" s="404"/>
      <c r="R151" s="148"/>
      <c r="S151" s="242"/>
      <c r="T151" s="242"/>
      <c r="U151" s="242"/>
      <c r="V151" s="242"/>
      <c r="W151" s="242"/>
      <c r="X151" s="242"/>
      <c r="Y151" s="148"/>
      <c r="Z151" s="148"/>
    </row>
    <row r="152">
      <c r="A152" s="274" t="s">
        <v>783</v>
      </c>
      <c r="B152" s="109"/>
      <c r="C152" s="395"/>
      <c r="D152" s="157"/>
      <c r="E152" s="570"/>
      <c r="F152" s="573"/>
      <c r="G152" s="478"/>
      <c r="H152" s="419"/>
      <c r="I152" s="239"/>
      <c r="J152" s="568"/>
      <c r="K152" s="57"/>
      <c r="L152" s="150"/>
      <c r="M152" s="57"/>
      <c r="N152" s="57"/>
      <c r="O152" s="57"/>
      <c r="P152" s="157"/>
      <c r="Q152" s="404"/>
      <c r="R152" s="148"/>
      <c r="S152" s="242"/>
      <c r="T152" s="242"/>
      <c r="U152" s="242"/>
      <c r="V152" s="242"/>
      <c r="W152" s="242"/>
      <c r="X152" s="242"/>
      <c r="Y152" s="148"/>
      <c r="Z152" s="148"/>
    </row>
    <row r="153">
      <c r="A153" s="274" t="s">
        <v>784</v>
      </c>
      <c r="B153" s="109"/>
      <c r="C153" s="395"/>
      <c r="D153" s="157"/>
      <c r="E153" s="570"/>
      <c r="F153" s="573"/>
      <c r="G153" s="478"/>
      <c r="H153" s="419"/>
      <c r="I153" s="239"/>
      <c r="J153" s="568"/>
      <c r="K153" s="57"/>
      <c r="L153" s="150"/>
      <c r="M153" s="57"/>
      <c r="N153" s="57"/>
      <c r="O153" s="57"/>
      <c r="P153" s="157"/>
      <c r="Q153" s="404"/>
      <c r="R153" s="148"/>
      <c r="S153" s="242"/>
      <c r="T153" s="242"/>
      <c r="U153" s="242"/>
      <c r="V153" s="242"/>
      <c r="W153" s="242"/>
      <c r="X153" s="242"/>
      <c r="Y153" s="148"/>
      <c r="Z153" s="148"/>
    </row>
    <row r="154">
      <c r="A154" s="274" t="s">
        <v>785</v>
      </c>
      <c r="B154" s="109"/>
      <c r="C154" s="686">
        <f>SUM(B152:B154)</f>
        <v>0</v>
      </c>
      <c r="D154" s="157"/>
      <c r="E154" s="570"/>
      <c r="F154" s="573"/>
      <c r="G154" s="478"/>
      <c r="H154" s="419"/>
      <c r="I154" s="239"/>
      <c r="J154" s="568"/>
      <c r="K154" s="57"/>
      <c r="L154" s="150"/>
      <c r="M154" s="57"/>
      <c r="N154" s="57"/>
      <c r="O154" s="57"/>
      <c r="P154" s="157"/>
      <c r="Q154" s="404"/>
      <c r="R154" s="148"/>
      <c r="S154" s="242"/>
      <c r="T154" s="242"/>
      <c r="U154" s="242"/>
      <c r="V154" s="242"/>
      <c r="W154" s="242"/>
      <c r="X154" s="242"/>
      <c r="Y154" s="148"/>
      <c r="Z154" s="148"/>
    </row>
    <row r="155">
      <c r="A155" s="402"/>
      <c r="B155" s="403"/>
      <c r="C155" s="403"/>
      <c r="D155" s="403"/>
      <c r="E155" s="574"/>
      <c r="F155" s="575"/>
      <c r="G155" s="159"/>
      <c r="H155" s="159"/>
      <c r="I155" s="159"/>
      <c r="J155" s="576"/>
      <c r="K155" s="159"/>
      <c r="L155" s="162"/>
      <c r="M155" s="402"/>
      <c r="N155" s="402"/>
      <c r="O155" s="159"/>
      <c r="P155" s="403"/>
      <c r="Q155" s="577"/>
      <c r="R155" s="148"/>
      <c r="S155" s="242"/>
      <c r="T155" s="242"/>
      <c r="U155" s="242"/>
      <c r="V155" s="242"/>
      <c r="W155" s="242"/>
      <c r="X155" s="242"/>
      <c r="Y155" s="148"/>
      <c r="Z155" s="148"/>
    </row>
    <row r="156">
      <c r="A156" s="148"/>
      <c r="B156" s="148"/>
      <c r="C156" s="148"/>
      <c r="D156" s="245"/>
      <c r="E156" s="585"/>
      <c r="F156" s="586"/>
      <c r="G156" s="148"/>
      <c r="H156" s="148"/>
      <c r="I156" s="251"/>
      <c r="J156" s="243"/>
      <c r="K156" s="148"/>
      <c r="L156" s="277"/>
      <c r="M156" s="252"/>
      <c r="N156" s="250"/>
      <c r="O156" s="253"/>
      <c r="P156" s="240"/>
      <c r="Q156" s="148"/>
      <c r="R156" s="148"/>
      <c r="S156" s="242"/>
      <c r="T156" s="242"/>
      <c r="U156" s="242"/>
      <c r="V156" s="242"/>
      <c r="W156" s="242"/>
      <c r="X156" s="242"/>
      <c r="Y156" s="148"/>
      <c r="Z156" s="148"/>
    </row>
    <row r="157">
      <c r="A157" s="169" t="s">
        <v>75</v>
      </c>
      <c r="B157" s="539"/>
      <c r="C157" s="540"/>
      <c r="D157" s="405"/>
      <c r="E157" s="541"/>
      <c r="F157" s="542"/>
      <c r="G157" s="467" t="s">
        <v>333</v>
      </c>
      <c r="H157" s="361"/>
      <c r="I157" s="57"/>
      <c r="J157" s="105"/>
      <c r="K157" s="57"/>
      <c r="L157" s="150"/>
      <c r="M157" s="239"/>
      <c r="N157" s="239"/>
      <c r="O157" s="57"/>
      <c r="P157" s="157"/>
      <c r="Q157" s="404"/>
      <c r="R157" s="148"/>
      <c r="S157" s="242"/>
      <c r="T157" s="242"/>
      <c r="U157" s="242"/>
      <c r="V157" s="242"/>
      <c r="W157" s="242"/>
      <c r="X157" s="242"/>
      <c r="Y157" s="148"/>
      <c r="Z157" s="148"/>
    </row>
    <row r="158">
      <c r="A158" s="468"/>
      <c r="B158" s="157"/>
      <c r="C158" s="466"/>
      <c r="D158" s="405"/>
      <c r="E158" s="543" t="s">
        <v>335</v>
      </c>
      <c r="F158" s="544" t="s">
        <v>237</v>
      </c>
      <c r="G158" s="412" t="s">
        <v>336</v>
      </c>
      <c r="H158" s="413" t="s">
        <v>337</v>
      </c>
      <c r="I158" s="239"/>
      <c r="J158" s="145" t="s">
        <v>60</v>
      </c>
      <c r="K158" s="57"/>
      <c r="L158" s="150"/>
      <c r="M158" s="414"/>
      <c r="N158" s="414"/>
      <c r="O158" s="57" t="s">
        <v>334</v>
      </c>
      <c r="P158" s="157"/>
      <c r="Q158" s="404"/>
      <c r="R158" s="148"/>
      <c r="S158" s="242"/>
      <c r="T158" s="242"/>
      <c r="U158" s="242"/>
      <c r="V158" s="242"/>
      <c r="W158" s="242"/>
      <c r="X158" s="242"/>
      <c r="Y158" s="148"/>
      <c r="Z158" s="148"/>
    </row>
    <row r="159">
      <c r="A159" s="470" t="s">
        <v>179</v>
      </c>
      <c r="C159" s="416">
        <f>SUM(F159:F193)</f>
        <v>0</v>
      </c>
      <c r="D159" s="405"/>
      <c r="E159" s="545"/>
      <c r="F159" s="546"/>
      <c r="G159" s="419"/>
      <c r="H159" s="419"/>
      <c r="I159" s="57"/>
      <c r="K159" s="57"/>
      <c r="L159" s="150"/>
      <c r="M159" s="377" t="s">
        <v>366</v>
      </c>
      <c r="P159" s="157"/>
      <c r="Q159" s="404"/>
      <c r="R159" s="148"/>
      <c r="S159" s="242"/>
      <c r="T159" s="242"/>
      <c r="U159" s="242"/>
      <c r="V159" s="242"/>
      <c r="W159" s="242"/>
      <c r="X159" s="242"/>
      <c r="Y159" s="148"/>
      <c r="Z159" s="148"/>
    </row>
    <row r="160">
      <c r="A160" s="421" t="s">
        <v>343</v>
      </c>
      <c r="B160" s="422" t="s">
        <v>321</v>
      </c>
      <c r="C160" s="416">
        <f>SUM(P160:P193)</f>
        <v>0</v>
      </c>
      <c r="D160" s="157"/>
      <c r="E160" s="545"/>
      <c r="F160" s="546"/>
      <c r="G160" s="419"/>
      <c r="H160" s="419"/>
      <c r="I160" s="239"/>
      <c r="J160" s="471" t="s">
        <v>341</v>
      </c>
      <c r="K160" s="420"/>
      <c r="L160" s="150"/>
      <c r="M160" s="374"/>
      <c r="O160" s="426"/>
      <c r="P160" s="423"/>
      <c r="Q160" s="404"/>
      <c r="R160" s="148"/>
      <c r="S160" s="242"/>
      <c r="T160" s="242"/>
      <c r="U160" s="242"/>
      <c r="V160" s="242"/>
      <c r="W160" s="242"/>
      <c r="X160" s="242"/>
      <c r="Y160" s="148"/>
      <c r="Z160" s="148"/>
    </row>
    <row r="161">
      <c r="A161" s="427" t="s">
        <v>201</v>
      </c>
      <c r="C161" s="204">
        <f>SUM(L160:L193)</f>
        <v>0</v>
      </c>
      <c r="D161" s="157"/>
      <c r="E161" s="545"/>
      <c r="F161" s="546"/>
      <c r="G161" s="419"/>
      <c r="H161" s="419"/>
      <c r="I161" s="239"/>
      <c r="J161" s="472" t="s">
        <v>345</v>
      </c>
      <c r="K161" s="420"/>
      <c r="L161" s="193"/>
      <c r="M161" s="374"/>
      <c r="O161" s="431"/>
      <c r="P161" s="423"/>
      <c r="Q161" s="404"/>
      <c r="R161" s="148"/>
      <c r="S161" s="242"/>
      <c r="T161" s="242"/>
      <c r="U161" s="242"/>
      <c r="V161" s="242"/>
      <c r="W161" s="242"/>
      <c r="X161" s="242"/>
      <c r="Y161" s="148"/>
      <c r="Z161" s="148"/>
    </row>
    <row r="162">
      <c r="A162" s="548" t="s">
        <v>761</v>
      </c>
      <c r="B162" s="549">
        <v>0.4</v>
      </c>
      <c r="C162" s="191"/>
      <c r="D162" s="157"/>
      <c r="E162" s="550" t="s">
        <v>695</v>
      </c>
      <c r="F162" s="546"/>
      <c r="G162" s="587"/>
      <c r="H162" s="419"/>
      <c r="I162" s="239"/>
      <c r="J162" s="433" t="s">
        <v>656</v>
      </c>
      <c r="K162" s="420"/>
      <c r="L162" s="193"/>
      <c r="M162" s="374"/>
      <c r="O162" s="431"/>
      <c r="P162" s="423"/>
      <c r="Q162" s="404"/>
      <c r="R162" s="148"/>
      <c r="S162" s="242"/>
      <c r="T162" s="242"/>
      <c r="U162" s="242"/>
      <c r="V162" s="242"/>
      <c r="W162" s="242"/>
      <c r="X162" s="242"/>
      <c r="Y162" s="148"/>
      <c r="Z162" s="148"/>
    </row>
    <row r="163">
      <c r="A163" s="434" t="s">
        <v>350</v>
      </c>
      <c r="C163" s="551">
        <f>C159-C161-C162</f>
        <v>0</v>
      </c>
      <c r="D163" s="157"/>
      <c r="E163" s="192"/>
      <c r="F163" s="546"/>
      <c r="G163" s="455"/>
      <c r="H163" s="419"/>
      <c r="I163" s="57"/>
      <c r="J163" s="444" t="s">
        <v>658</v>
      </c>
      <c r="K163" s="420"/>
      <c r="L163" s="193"/>
      <c r="M163" s="377"/>
      <c r="O163" s="431"/>
      <c r="P163" s="157"/>
      <c r="Q163" s="404"/>
      <c r="R163" s="148"/>
      <c r="S163" s="242"/>
      <c r="T163" s="242"/>
      <c r="U163" s="242"/>
      <c r="V163" s="242"/>
      <c r="W163" s="242"/>
      <c r="X163" s="242"/>
      <c r="Y163" s="148"/>
      <c r="Z163" s="148"/>
    </row>
    <row r="164">
      <c r="A164" s="554"/>
      <c r="B164" s="555"/>
      <c r="C164" s="447"/>
      <c r="D164" s="157"/>
      <c r="E164" s="192"/>
      <c r="F164" s="546"/>
      <c r="G164" s="562"/>
      <c r="H164" s="419"/>
      <c r="I164" s="57"/>
      <c r="J164" s="444" t="s">
        <v>660</v>
      </c>
      <c r="K164" s="420"/>
      <c r="L164" s="193"/>
      <c r="M164" s="377"/>
      <c r="O164" s="431"/>
      <c r="P164" s="157"/>
      <c r="Q164" s="404"/>
      <c r="R164" s="148"/>
      <c r="S164" s="242"/>
      <c r="T164" s="242"/>
      <c r="U164" s="242"/>
      <c r="V164" s="242"/>
      <c r="W164" s="242"/>
      <c r="X164" s="242"/>
      <c r="Y164" s="148"/>
      <c r="Z164" s="148"/>
    </row>
    <row r="165">
      <c r="A165" s="556"/>
      <c r="C165" s="395"/>
      <c r="D165" s="157"/>
      <c r="E165" s="192"/>
      <c r="F165" s="546"/>
      <c r="G165" s="455"/>
      <c r="H165" s="419"/>
      <c r="I165" s="239"/>
      <c r="J165" s="370" t="s">
        <v>662</v>
      </c>
      <c r="K165" s="420"/>
      <c r="L165" s="193"/>
      <c r="M165" s="377"/>
      <c r="O165" s="431"/>
      <c r="P165" s="157"/>
      <c r="Q165" s="404"/>
      <c r="R165" s="148"/>
      <c r="S165" s="242"/>
      <c r="T165" s="242"/>
      <c r="U165" s="242"/>
      <c r="V165" s="242"/>
      <c r="W165" s="242"/>
      <c r="X165" s="242"/>
      <c r="Y165" s="148"/>
      <c r="Z165" s="148"/>
    </row>
    <row r="166">
      <c r="A166" s="557"/>
      <c r="B166" s="109"/>
      <c r="C166" s="395"/>
      <c r="D166" s="373"/>
      <c r="E166" s="192"/>
      <c r="F166" s="546"/>
      <c r="G166" s="419"/>
      <c r="H166" s="419"/>
      <c r="I166" s="239"/>
      <c r="J166" s="433" t="s">
        <v>666</v>
      </c>
      <c r="K166" s="420"/>
      <c r="L166" s="150"/>
      <c r="M166" s="374"/>
      <c r="O166" s="431"/>
      <c r="P166" s="157"/>
      <c r="Q166" s="404"/>
      <c r="R166" s="148"/>
      <c r="S166" s="242"/>
      <c r="T166" s="242"/>
      <c r="U166" s="242"/>
      <c r="V166" s="242"/>
      <c r="W166" s="242"/>
      <c r="X166" s="242"/>
      <c r="Y166" s="148"/>
      <c r="Z166" s="148"/>
    </row>
    <row r="167">
      <c r="A167" s="559" t="s">
        <v>765</v>
      </c>
      <c r="B167" s="560">
        <f>SUM(D167:D193)</f>
        <v>0</v>
      </c>
      <c r="C167" s="477" t="s">
        <v>366</v>
      </c>
      <c r="D167" s="157"/>
      <c r="E167" s="192"/>
      <c r="F167" s="546"/>
      <c r="G167" s="419"/>
      <c r="H167" s="419"/>
      <c r="I167" s="239"/>
      <c r="J167" s="433" t="s">
        <v>668</v>
      </c>
      <c r="K167" s="420"/>
      <c r="L167" s="150"/>
      <c r="M167" s="377"/>
      <c r="O167" s="431"/>
      <c r="P167" s="157"/>
      <c r="Q167" s="404"/>
      <c r="R167" s="148"/>
      <c r="S167" s="242"/>
      <c r="T167" s="242"/>
      <c r="U167" s="242"/>
      <c r="V167" s="242"/>
      <c r="W167" s="242"/>
      <c r="X167" s="242"/>
      <c r="Y167" s="148"/>
      <c r="Z167" s="148"/>
    </row>
    <row r="168">
      <c r="A168" s="453" t="s">
        <v>369</v>
      </c>
      <c r="C168" s="561" t="s">
        <v>766</v>
      </c>
      <c r="D168" s="423"/>
      <c r="E168" s="192"/>
      <c r="F168" s="546"/>
      <c r="G168" s="419"/>
      <c r="H168" s="419"/>
      <c r="I168" s="239"/>
      <c r="J168" s="433" t="s">
        <v>670</v>
      </c>
      <c r="K168" s="458"/>
      <c r="L168" s="193"/>
      <c r="M168" s="377"/>
      <c r="O168" s="431"/>
      <c r="P168" s="157"/>
      <c r="Q168" s="404"/>
      <c r="R168" s="148"/>
      <c r="S168" s="242"/>
      <c r="T168" s="242"/>
      <c r="U168" s="242"/>
      <c r="V168" s="242"/>
      <c r="W168" s="242"/>
      <c r="X168" s="242"/>
      <c r="Y168" s="148"/>
      <c r="Z168" s="148"/>
    </row>
    <row r="169">
      <c r="C169" s="561" t="s">
        <v>767</v>
      </c>
      <c r="D169" s="423"/>
      <c r="E169" s="192"/>
      <c r="F169" s="546"/>
      <c r="G169" s="419"/>
      <c r="H169" s="419"/>
      <c r="I169" s="239"/>
      <c r="J169" s="433" t="s">
        <v>217</v>
      </c>
      <c r="K169" s="458"/>
      <c r="L169" s="150"/>
      <c r="M169" s="377"/>
      <c r="O169" s="431"/>
      <c r="P169" s="157"/>
      <c r="Q169" s="404"/>
      <c r="R169" s="148"/>
      <c r="S169" s="242"/>
      <c r="T169" s="242"/>
      <c r="U169" s="242"/>
      <c r="V169" s="242"/>
      <c r="W169" s="242"/>
      <c r="X169" s="242"/>
      <c r="Y169" s="148"/>
      <c r="Z169" s="148"/>
    </row>
    <row r="170">
      <c r="A170" s="57"/>
      <c r="B170" s="57"/>
      <c r="C170" s="561" t="s">
        <v>768</v>
      </c>
      <c r="D170" s="423"/>
      <c r="E170" s="192"/>
      <c r="F170" s="546"/>
      <c r="G170" s="419"/>
      <c r="H170" s="419"/>
      <c r="I170" s="239"/>
      <c r="J170" s="109"/>
      <c r="K170" s="420"/>
      <c r="L170" s="193"/>
      <c r="M170" s="374"/>
      <c r="O170" s="431"/>
      <c r="P170" s="157"/>
      <c r="Q170" s="404"/>
      <c r="R170" s="148"/>
      <c r="S170" s="242"/>
      <c r="T170" s="242"/>
      <c r="U170" s="242"/>
      <c r="V170" s="242"/>
      <c r="W170" s="242"/>
      <c r="X170" s="242"/>
      <c r="Y170" s="148"/>
      <c r="Z170" s="148"/>
    </row>
    <row r="171">
      <c r="A171" s="57"/>
      <c r="B171" s="57"/>
      <c r="C171" s="561" t="s">
        <v>769</v>
      </c>
      <c r="D171" s="157"/>
      <c r="E171" s="192"/>
      <c r="F171" s="546"/>
      <c r="G171" s="419"/>
      <c r="H171" s="419"/>
      <c r="I171" s="239"/>
      <c r="J171" s="456" t="s">
        <v>672</v>
      </c>
      <c r="K171" s="420"/>
      <c r="L171" s="150"/>
      <c r="M171" s="377"/>
      <c r="O171" s="431"/>
      <c r="P171" s="157"/>
      <c r="Q171" s="404"/>
      <c r="R171" s="148"/>
      <c r="S171" s="242"/>
      <c r="T171" s="242"/>
      <c r="U171" s="242"/>
      <c r="V171" s="242"/>
      <c r="W171" s="242"/>
      <c r="X171" s="242"/>
      <c r="Y171" s="148"/>
      <c r="Z171" s="148"/>
    </row>
    <row r="172">
      <c r="A172" s="57"/>
      <c r="B172" s="57"/>
      <c r="C172" s="561" t="s">
        <v>770</v>
      </c>
      <c r="D172" s="423"/>
      <c r="E172" s="192"/>
      <c r="F172" s="546"/>
      <c r="G172" s="419"/>
      <c r="H172" s="419"/>
      <c r="I172" s="57"/>
      <c r="J172" s="456" t="s">
        <v>675</v>
      </c>
      <c r="K172" s="420"/>
      <c r="L172" s="150"/>
      <c r="M172" s="382"/>
      <c r="O172" s="431"/>
      <c r="P172" s="157"/>
      <c r="Q172" s="404"/>
      <c r="R172" s="148"/>
      <c r="S172" s="242"/>
      <c r="T172" s="242"/>
      <c r="U172" s="242"/>
      <c r="V172" s="242"/>
      <c r="W172" s="242"/>
      <c r="X172" s="242"/>
      <c r="Y172" s="148"/>
      <c r="Z172" s="148"/>
    </row>
    <row r="173">
      <c r="A173" s="57"/>
      <c r="B173" s="57"/>
      <c r="C173" s="561" t="s">
        <v>793</v>
      </c>
      <c r="D173" s="423"/>
      <c r="E173" s="192"/>
      <c r="F173" s="546"/>
      <c r="G173" s="455"/>
      <c r="H173" s="419"/>
      <c r="I173" s="57"/>
      <c r="J173" s="456"/>
      <c r="K173" s="420"/>
      <c r="L173" s="150"/>
      <c r="M173" s="425"/>
      <c r="O173" s="431"/>
      <c r="P173" s="157"/>
      <c r="Q173" s="404"/>
      <c r="R173" s="148"/>
      <c r="S173" s="242"/>
      <c r="T173" s="242"/>
      <c r="U173" s="242"/>
      <c r="V173" s="242"/>
      <c r="W173" s="242"/>
      <c r="X173" s="242"/>
      <c r="Y173" s="148"/>
      <c r="Z173" s="148"/>
    </row>
    <row r="174">
      <c r="A174" s="239"/>
      <c r="B174" s="57"/>
      <c r="C174" s="561" t="s">
        <v>794</v>
      </c>
      <c r="D174" s="423"/>
      <c r="E174" s="192"/>
      <c r="F174" s="546"/>
      <c r="G174" s="419"/>
      <c r="H174" s="419"/>
      <c r="I174" s="57"/>
      <c r="J174" s="375"/>
      <c r="K174" s="420"/>
      <c r="L174" s="150"/>
      <c r="M174" s="425"/>
      <c r="O174" s="431"/>
      <c r="P174" s="157"/>
      <c r="Q174" s="404"/>
      <c r="R174" s="148"/>
      <c r="S174" s="242"/>
      <c r="T174" s="242"/>
      <c r="U174" s="242"/>
      <c r="V174" s="242"/>
      <c r="W174" s="242"/>
      <c r="X174" s="242"/>
      <c r="Y174" s="148"/>
      <c r="Z174" s="148"/>
    </row>
    <row r="175">
      <c r="A175" s="239"/>
      <c r="B175" s="57"/>
      <c r="C175" s="561" t="s">
        <v>18</v>
      </c>
      <c r="D175" s="423"/>
      <c r="E175" s="192"/>
      <c r="F175" s="546"/>
      <c r="G175" s="419"/>
      <c r="H175" s="419"/>
      <c r="I175" s="57"/>
      <c r="J175" s="375"/>
      <c r="K175" s="420"/>
      <c r="L175" s="193"/>
      <c r="M175" s="382"/>
      <c r="O175" s="431"/>
      <c r="P175" s="157"/>
      <c r="Q175" s="404"/>
      <c r="R175" s="148"/>
      <c r="S175" s="242"/>
      <c r="T175" s="242"/>
      <c r="U175" s="242"/>
      <c r="V175" s="242"/>
      <c r="W175" s="242"/>
      <c r="X175" s="242"/>
      <c r="Y175" s="148"/>
      <c r="Z175" s="148"/>
    </row>
    <row r="176">
      <c r="A176" s="239"/>
      <c r="B176" s="57"/>
      <c r="C176" s="563" t="s">
        <v>1115</v>
      </c>
      <c r="D176" s="423"/>
      <c r="E176" s="192"/>
      <c r="F176" s="546"/>
      <c r="G176" s="455"/>
      <c r="H176" s="419"/>
      <c r="I176" s="57"/>
      <c r="J176" s="452"/>
      <c r="K176" s="420"/>
      <c r="L176" s="150"/>
      <c r="M176" s="425"/>
      <c r="O176" s="431"/>
      <c r="P176" s="157"/>
      <c r="Q176" s="404"/>
      <c r="R176" s="148"/>
      <c r="S176" s="242"/>
      <c r="T176" s="242"/>
      <c r="U176" s="242"/>
      <c r="V176" s="242"/>
      <c r="W176" s="242"/>
      <c r="X176" s="242"/>
      <c r="Y176" s="148"/>
      <c r="Z176" s="148"/>
    </row>
    <row r="177">
      <c r="A177" s="57"/>
      <c r="B177" s="57"/>
      <c r="C177" s="561" t="s">
        <v>1116</v>
      </c>
      <c r="D177" s="423"/>
      <c r="E177" s="192"/>
      <c r="F177" s="546"/>
      <c r="G177" s="419"/>
      <c r="H177" s="419"/>
      <c r="I177" s="57"/>
      <c r="J177" s="105"/>
      <c r="K177" s="420"/>
      <c r="L177" s="150"/>
      <c r="M177" s="425"/>
      <c r="O177" s="431"/>
      <c r="P177" s="157"/>
      <c r="Q177" s="404"/>
      <c r="R177" s="148"/>
      <c r="S177" s="242"/>
      <c r="T177" s="242"/>
      <c r="U177" s="242"/>
      <c r="V177" s="242"/>
      <c r="W177" s="242"/>
      <c r="X177" s="242"/>
      <c r="Y177" s="148"/>
      <c r="Z177" s="148"/>
    </row>
    <row r="178">
      <c r="A178" s="239"/>
      <c r="B178" s="239"/>
      <c r="C178" s="561" t="s">
        <v>775</v>
      </c>
      <c r="D178" s="423"/>
      <c r="E178" s="192"/>
      <c r="F178" s="546"/>
      <c r="G178" s="419"/>
      <c r="H178" s="419"/>
      <c r="I178" s="57"/>
      <c r="J178" s="378" t="s">
        <v>682</v>
      </c>
      <c r="K178" s="420"/>
      <c r="L178" s="193"/>
      <c r="M178" s="377"/>
      <c r="O178" s="431"/>
      <c r="P178" s="157"/>
      <c r="Q178" s="404"/>
      <c r="R178" s="148"/>
      <c r="S178" s="242"/>
      <c r="T178" s="242"/>
      <c r="U178" s="242"/>
      <c r="V178" s="242"/>
      <c r="W178" s="242"/>
      <c r="X178" s="242"/>
      <c r="Y178" s="148"/>
      <c r="Z178" s="148"/>
    </row>
    <row r="179">
      <c r="A179" s="239"/>
      <c r="B179" s="239"/>
      <c r="C179" s="561" t="s">
        <v>10</v>
      </c>
      <c r="D179" s="157"/>
      <c r="E179" s="192"/>
      <c r="F179" s="580"/>
      <c r="G179" s="589"/>
      <c r="H179" s="419"/>
      <c r="I179" s="57"/>
      <c r="J179" s="461" t="s">
        <v>684</v>
      </c>
      <c r="K179" s="420"/>
      <c r="L179" s="193"/>
      <c r="M179" s="377"/>
      <c r="O179" s="431"/>
      <c r="P179" s="157"/>
      <c r="Q179" s="404"/>
      <c r="R179" s="148"/>
      <c r="S179" s="242"/>
      <c r="T179" s="242"/>
      <c r="U179" s="242"/>
      <c r="V179" s="242"/>
      <c r="W179" s="242"/>
      <c r="X179" s="242"/>
      <c r="Y179" s="148"/>
      <c r="Z179" s="148"/>
    </row>
    <row r="180">
      <c r="A180" s="239"/>
      <c r="B180" s="239"/>
      <c r="C180" s="561" t="s">
        <v>6</v>
      </c>
      <c r="D180" s="423"/>
      <c r="E180" s="192"/>
      <c r="F180" s="546"/>
      <c r="G180" s="455"/>
      <c r="H180" s="455"/>
      <c r="I180" s="57"/>
      <c r="J180" s="461" t="s">
        <v>686</v>
      </c>
      <c r="K180" s="420"/>
      <c r="L180" s="150"/>
      <c r="M180" s="374"/>
      <c r="O180" s="463"/>
      <c r="P180" s="157"/>
      <c r="Q180" s="404"/>
      <c r="R180" s="148"/>
      <c r="S180" s="242"/>
      <c r="T180" s="242"/>
      <c r="U180" s="242"/>
      <c r="V180" s="242"/>
      <c r="W180" s="242"/>
      <c r="X180" s="242"/>
      <c r="Y180" s="148"/>
      <c r="Z180" s="148"/>
    </row>
    <row r="181">
      <c r="A181" s="57"/>
      <c r="B181" s="57"/>
      <c r="C181" s="561" t="s">
        <v>779</v>
      </c>
      <c r="D181" s="157"/>
      <c r="E181" s="192"/>
      <c r="F181" s="546"/>
      <c r="G181" s="455"/>
      <c r="H181" s="455"/>
      <c r="I181" s="239"/>
      <c r="J181" s="460" t="s">
        <v>202</v>
      </c>
      <c r="K181" s="420"/>
      <c r="L181" s="193"/>
      <c r="M181" s="377"/>
      <c r="O181" s="463"/>
      <c r="P181" s="157"/>
      <c r="Q181" s="404"/>
      <c r="R181" s="148"/>
      <c r="S181" s="242"/>
      <c r="T181" s="242"/>
      <c r="U181" s="242"/>
      <c r="V181" s="242"/>
      <c r="W181" s="242"/>
      <c r="X181" s="242"/>
      <c r="Y181" s="148"/>
      <c r="Z181" s="148"/>
    </row>
    <row r="182">
      <c r="A182" s="239"/>
      <c r="B182" s="239"/>
      <c r="C182" s="561" t="s">
        <v>780</v>
      </c>
      <c r="D182" s="423"/>
      <c r="E182" s="228"/>
      <c r="F182" s="547"/>
      <c r="G182" s="455"/>
      <c r="H182" s="455"/>
      <c r="I182" s="57"/>
      <c r="J182" s="460" t="s">
        <v>274</v>
      </c>
      <c r="K182" s="420"/>
      <c r="L182" s="193"/>
      <c r="M182" s="374"/>
      <c r="O182" s="463"/>
      <c r="P182" s="157"/>
      <c r="Q182" s="404"/>
      <c r="R182" s="148"/>
      <c r="S182" s="242"/>
      <c r="T182" s="242"/>
      <c r="U182" s="242"/>
      <c r="V182" s="242"/>
      <c r="W182" s="242"/>
      <c r="X182" s="242"/>
      <c r="Y182" s="148"/>
      <c r="Z182" s="148"/>
    </row>
    <row r="183">
      <c r="A183" s="239"/>
      <c r="B183" s="239"/>
      <c r="C183" s="561" t="s">
        <v>781</v>
      </c>
      <c r="D183" s="423"/>
      <c r="E183" s="228"/>
      <c r="F183" s="547"/>
      <c r="G183" s="455"/>
      <c r="H183" s="419"/>
      <c r="I183" s="239"/>
      <c r="J183" s="685" t="s">
        <v>1117</v>
      </c>
      <c r="K183" s="420"/>
      <c r="L183" s="150"/>
      <c r="M183" s="374"/>
      <c r="O183" s="431"/>
      <c r="P183" s="157"/>
      <c r="Q183" s="404"/>
      <c r="R183" s="148"/>
      <c r="S183" s="242"/>
      <c r="T183" s="242"/>
      <c r="U183" s="242"/>
      <c r="V183" s="242"/>
      <c r="W183" s="242"/>
      <c r="X183" s="242"/>
      <c r="Y183" s="148"/>
      <c r="Z183" s="148"/>
    </row>
    <row r="184">
      <c r="A184" s="239"/>
      <c r="B184" s="157"/>
      <c r="C184" s="561" t="s">
        <v>1118</v>
      </c>
      <c r="D184" s="157"/>
      <c r="E184" s="569"/>
      <c r="F184" s="547"/>
      <c r="G184" s="419"/>
      <c r="H184" s="419"/>
      <c r="I184" s="57"/>
      <c r="J184" s="685" t="s">
        <v>1119</v>
      </c>
      <c r="K184" s="420"/>
      <c r="L184" s="193"/>
      <c r="M184" s="377"/>
      <c r="O184" s="431"/>
      <c r="P184" s="157"/>
      <c r="Q184" s="404"/>
      <c r="R184" s="148"/>
      <c r="S184" s="242"/>
      <c r="T184" s="242"/>
      <c r="U184" s="242"/>
      <c r="V184" s="242"/>
      <c r="W184" s="242"/>
      <c r="X184" s="242"/>
      <c r="Y184" s="148"/>
      <c r="Z184" s="148"/>
    </row>
    <row r="185">
      <c r="A185" s="239"/>
      <c r="B185" s="157"/>
      <c r="C185" s="561" t="s">
        <v>1120</v>
      </c>
      <c r="D185" s="157"/>
      <c r="E185" s="228"/>
      <c r="F185" s="547"/>
      <c r="G185" s="419"/>
      <c r="H185" s="419"/>
      <c r="I185" s="239"/>
      <c r="J185" s="596" t="s">
        <v>1001</v>
      </c>
      <c r="K185" s="420"/>
      <c r="L185" s="193"/>
      <c r="M185" s="377"/>
      <c r="O185" s="431"/>
      <c r="P185" s="157"/>
      <c r="Q185" s="404"/>
      <c r="R185" s="148"/>
      <c r="S185" s="242"/>
      <c r="T185" s="242"/>
      <c r="U185" s="242"/>
      <c r="V185" s="242"/>
      <c r="W185" s="242"/>
      <c r="X185" s="242"/>
      <c r="Y185" s="148"/>
      <c r="Z185" s="148"/>
    </row>
    <row r="186">
      <c r="A186" s="239"/>
      <c r="B186" s="157"/>
      <c r="C186" s="561"/>
      <c r="D186" s="157"/>
      <c r="E186" s="570"/>
      <c r="F186" s="547"/>
      <c r="G186" s="419"/>
      <c r="H186" s="419"/>
      <c r="I186" s="239"/>
      <c r="J186" s="568"/>
      <c r="K186" s="420"/>
      <c r="L186" s="193"/>
      <c r="M186" s="374"/>
      <c r="O186" s="431"/>
      <c r="P186" s="157"/>
      <c r="Q186" s="404"/>
      <c r="R186" s="148"/>
      <c r="S186" s="242"/>
      <c r="T186" s="242"/>
      <c r="U186" s="242"/>
      <c r="V186" s="242"/>
      <c r="W186" s="242"/>
      <c r="X186" s="242"/>
      <c r="Y186" s="148"/>
      <c r="Z186" s="148"/>
    </row>
    <row r="187">
      <c r="C187" s="571"/>
      <c r="D187" s="157"/>
      <c r="E187" s="570"/>
      <c r="F187" s="547"/>
      <c r="G187" s="419"/>
      <c r="H187" s="419"/>
      <c r="I187" s="239"/>
      <c r="J187" s="464" t="s">
        <v>692</v>
      </c>
      <c r="K187" s="420"/>
      <c r="L187" s="150"/>
      <c r="M187" s="377"/>
      <c r="O187" s="431"/>
      <c r="P187" s="157"/>
      <c r="Q187" s="404"/>
      <c r="R187" s="148"/>
      <c r="S187" s="242"/>
      <c r="T187" s="242"/>
      <c r="U187" s="242"/>
      <c r="V187" s="242"/>
      <c r="W187" s="242"/>
      <c r="X187" s="242"/>
      <c r="Y187" s="148"/>
      <c r="Z187" s="148"/>
    </row>
    <row r="188">
      <c r="C188" s="571"/>
      <c r="D188" s="157"/>
      <c r="E188" s="570"/>
      <c r="F188" s="547"/>
      <c r="G188" s="419"/>
      <c r="H188" s="419"/>
      <c r="I188" s="239"/>
      <c r="J188" s="464" t="s">
        <v>694</v>
      </c>
      <c r="K188" s="420"/>
      <c r="L188" s="193"/>
      <c r="M188" s="377"/>
      <c r="O188" s="431"/>
      <c r="P188" s="157"/>
      <c r="Q188" s="404"/>
      <c r="R188" s="148"/>
      <c r="S188" s="242"/>
      <c r="T188" s="242"/>
      <c r="U188" s="242"/>
      <c r="V188" s="242"/>
      <c r="W188" s="242"/>
      <c r="X188" s="242"/>
      <c r="Y188" s="148"/>
      <c r="Z188" s="148"/>
    </row>
    <row r="189">
      <c r="C189" s="571"/>
      <c r="D189" s="423"/>
      <c r="E189" s="570"/>
      <c r="F189" s="546"/>
      <c r="G189" s="419"/>
      <c r="H189" s="419"/>
      <c r="I189" s="57"/>
      <c r="J189" s="105"/>
      <c r="K189" s="57"/>
      <c r="L189" s="150"/>
      <c r="M189" s="57"/>
      <c r="N189" s="57"/>
      <c r="O189" s="57"/>
      <c r="P189" s="157"/>
      <c r="Q189" s="404"/>
      <c r="R189" s="148"/>
      <c r="S189" s="242"/>
      <c r="T189" s="242"/>
      <c r="U189" s="242"/>
      <c r="V189" s="242"/>
      <c r="W189" s="242"/>
      <c r="X189" s="242"/>
      <c r="Y189" s="148"/>
      <c r="Z189" s="148"/>
    </row>
    <row r="190">
      <c r="A190" s="125" t="s">
        <v>798</v>
      </c>
      <c r="B190" s="572">
        <f>C163-B167</f>
        <v>0</v>
      </c>
      <c r="D190" s="157"/>
      <c r="E190" s="570"/>
      <c r="F190" s="573"/>
      <c r="G190" s="478"/>
      <c r="H190" s="419"/>
      <c r="I190" s="239"/>
      <c r="J190" s="568"/>
      <c r="K190" s="57"/>
      <c r="L190" s="150"/>
      <c r="M190" s="57"/>
      <c r="N190" s="57"/>
      <c r="O190" s="57"/>
      <c r="P190" s="157"/>
      <c r="Q190" s="404"/>
      <c r="R190" s="148"/>
      <c r="S190" s="242"/>
      <c r="T190" s="242"/>
      <c r="U190" s="242"/>
      <c r="V190" s="242"/>
      <c r="W190" s="242"/>
      <c r="X190" s="242"/>
      <c r="Y190" s="148"/>
      <c r="Z190" s="148"/>
    </row>
    <row r="191">
      <c r="A191" s="274" t="s">
        <v>783</v>
      </c>
      <c r="B191" s="109"/>
      <c r="C191" s="395"/>
      <c r="D191" s="157"/>
      <c r="E191" s="570"/>
      <c r="F191" s="573"/>
      <c r="G191" s="478"/>
      <c r="H191" s="419"/>
      <c r="I191" s="239"/>
      <c r="J191" s="568"/>
      <c r="K191" s="57"/>
      <c r="L191" s="150"/>
      <c r="M191" s="57"/>
      <c r="N191" s="57"/>
      <c r="O191" s="57"/>
      <c r="P191" s="157"/>
      <c r="Q191" s="404"/>
      <c r="R191" s="148"/>
      <c r="S191" s="242"/>
      <c r="T191" s="242"/>
      <c r="U191" s="242"/>
      <c r="V191" s="242"/>
      <c r="W191" s="242"/>
      <c r="X191" s="242"/>
      <c r="Y191" s="148"/>
      <c r="Z191" s="148"/>
    </row>
    <row r="192">
      <c r="A192" s="274" t="s">
        <v>784</v>
      </c>
      <c r="B192" s="109"/>
      <c r="C192" s="395"/>
      <c r="D192" s="157"/>
      <c r="E192" s="570"/>
      <c r="F192" s="573"/>
      <c r="G192" s="478"/>
      <c r="H192" s="419"/>
      <c r="I192" s="239"/>
      <c r="J192" s="568"/>
      <c r="K192" s="57"/>
      <c r="L192" s="150"/>
      <c r="M192" s="57"/>
      <c r="N192" s="57"/>
      <c r="O192" s="57"/>
      <c r="P192" s="157"/>
      <c r="Q192" s="404"/>
      <c r="R192" s="148"/>
      <c r="S192" s="242"/>
      <c r="T192" s="242"/>
      <c r="U192" s="242"/>
      <c r="V192" s="242"/>
      <c r="W192" s="242"/>
      <c r="X192" s="242"/>
      <c r="Y192" s="148"/>
      <c r="Z192" s="148"/>
    </row>
    <row r="193">
      <c r="A193" s="274" t="s">
        <v>785</v>
      </c>
      <c r="B193" s="109"/>
      <c r="C193" s="686">
        <f>SUM(B191:B193)</f>
        <v>0</v>
      </c>
      <c r="D193" s="157"/>
      <c r="E193" s="570"/>
      <c r="F193" s="573"/>
      <c r="G193" s="478"/>
      <c r="H193" s="419"/>
      <c r="I193" s="239"/>
      <c r="J193" s="568"/>
      <c r="K193" s="57"/>
      <c r="L193" s="150"/>
      <c r="M193" s="57"/>
      <c r="N193" s="57"/>
      <c r="O193" s="57"/>
      <c r="P193" s="157"/>
      <c r="Q193" s="404"/>
      <c r="R193" s="148"/>
      <c r="S193" s="242"/>
      <c r="T193" s="242"/>
      <c r="U193" s="242"/>
      <c r="V193" s="242"/>
      <c r="W193" s="242"/>
      <c r="X193" s="242"/>
      <c r="Y193" s="148"/>
      <c r="Z193" s="148"/>
    </row>
    <row r="194">
      <c r="A194" s="402"/>
      <c r="B194" s="403"/>
      <c r="C194" s="403"/>
      <c r="D194" s="403"/>
      <c r="E194" s="574"/>
      <c r="F194" s="575"/>
      <c r="G194" s="159"/>
      <c r="H194" s="159"/>
      <c r="I194" s="159"/>
      <c r="J194" s="576"/>
      <c r="K194" s="159"/>
      <c r="L194" s="162"/>
      <c r="M194" s="402"/>
      <c r="N194" s="402"/>
      <c r="O194" s="159"/>
      <c r="P194" s="403"/>
      <c r="Q194" s="577"/>
      <c r="R194" s="148"/>
      <c r="S194" s="242"/>
      <c r="T194" s="242"/>
      <c r="U194" s="242"/>
      <c r="V194" s="242"/>
      <c r="W194" s="242"/>
      <c r="X194" s="242"/>
      <c r="Y194" s="148"/>
      <c r="Z194" s="148"/>
    </row>
    <row r="195">
      <c r="A195" s="148"/>
      <c r="B195" s="148"/>
      <c r="C195" s="148"/>
      <c r="D195" s="245"/>
      <c r="E195" s="585"/>
      <c r="F195" s="586"/>
      <c r="G195" s="148"/>
      <c r="H195" s="148"/>
      <c r="I195" s="251"/>
      <c r="J195" s="243"/>
      <c r="K195" s="148"/>
      <c r="L195" s="277"/>
      <c r="M195" s="252"/>
      <c r="N195" s="250"/>
      <c r="O195" s="253"/>
      <c r="P195" s="240"/>
      <c r="Q195" s="148"/>
      <c r="R195" s="148"/>
      <c r="S195" s="242"/>
      <c r="T195" s="242"/>
      <c r="U195" s="242"/>
      <c r="V195" s="242"/>
      <c r="W195" s="242"/>
      <c r="X195" s="242"/>
      <c r="Y195" s="148"/>
      <c r="Z195" s="148"/>
    </row>
    <row r="196">
      <c r="A196" s="169" t="s">
        <v>79</v>
      </c>
      <c r="B196" s="539"/>
      <c r="C196" s="540"/>
      <c r="D196" s="405"/>
      <c r="E196" s="541"/>
      <c r="F196" s="542"/>
      <c r="G196" s="467" t="s">
        <v>333</v>
      </c>
      <c r="H196" s="361"/>
      <c r="I196" s="57"/>
      <c r="J196" s="105"/>
      <c r="K196" s="57"/>
      <c r="L196" s="150"/>
      <c r="M196" s="239"/>
      <c r="N196" s="239"/>
      <c r="O196" s="57"/>
      <c r="P196" s="157"/>
      <c r="Q196" s="404"/>
      <c r="R196" s="148"/>
      <c r="S196" s="242"/>
      <c r="T196" s="242"/>
      <c r="U196" s="242"/>
      <c r="V196" s="242"/>
      <c r="W196" s="242"/>
      <c r="X196" s="242"/>
      <c r="Y196" s="148"/>
      <c r="Z196" s="148"/>
    </row>
    <row r="197">
      <c r="A197" s="468"/>
      <c r="B197" s="157"/>
      <c r="C197" s="466"/>
      <c r="D197" s="405"/>
      <c r="E197" s="543" t="s">
        <v>335</v>
      </c>
      <c r="F197" s="544" t="s">
        <v>237</v>
      </c>
      <c r="G197" s="412" t="s">
        <v>336</v>
      </c>
      <c r="H197" s="413" t="s">
        <v>337</v>
      </c>
      <c r="I197" s="239"/>
      <c r="J197" s="145" t="s">
        <v>60</v>
      </c>
      <c r="K197" s="57"/>
      <c r="L197" s="150"/>
      <c r="M197" s="414"/>
      <c r="N197" s="414"/>
      <c r="O197" s="57" t="s">
        <v>334</v>
      </c>
      <c r="P197" s="157"/>
      <c r="Q197" s="404"/>
      <c r="R197" s="148"/>
      <c r="S197" s="242"/>
      <c r="T197" s="242"/>
      <c r="U197" s="242"/>
      <c r="V197" s="242"/>
      <c r="W197" s="242"/>
      <c r="X197" s="242"/>
      <c r="Y197" s="148"/>
      <c r="Z197" s="148"/>
    </row>
    <row r="198">
      <c r="A198" s="470" t="s">
        <v>179</v>
      </c>
      <c r="C198" s="416">
        <f>SUM(F198:F232)</f>
        <v>0</v>
      </c>
      <c r="D198" s="405"/>
      <c r="E198" s="545"/>
      <c r="F198" s="546"/>
      <c r="G198" s="419"/>
      <c r="H198" s="419"/>
      <c r="I198" s="57"/>
      <c r="K198" s="57"/>
      <c r="L198" s="150"/>
      <c r="M198" s="377" t="s">
        <v>366</v>
      </c>
      <c r="P198" s="157"/>
      <c r="Q198" s="404"/>
      <c r="R198" s="148"/>
      <c r="S198" s="242"/>
      <c r="T198" s="242"/>
      <c r="U198" s="242"/>
      <c r="V198" s="242"/>
      <c r="W198" s="242"/>
      <c r="X198" s="242"/>
      <c r="Y198" s="148"/>
      <c r="Z198" s="148"/>
    </row>
    <row r="199">
      <c r="A199" s="421" t="s">
        <v>343</v>
      </c>
      <c r="B199" s="422" t="s">
        <v>321</v>
      </c>
      <c r="C199" s="416">
        <f>SUM(P199:P232)</f>
        <v>0</v>
      </c>
      <c r="D199" s="157"/>
      <c r="E199" s="545"/>
      <c r="F199" s="546"/>
      <c r="G199" s="419"/>
      <c r="H199" s="419"/>
      <c r="I199" s="239"/>
      <c r="J199" s="471" t="s">
        <v>341</v>
      </c>
      <c r="K199" s="420"/>
      <c r="L199" s="150"/>
      <c r="M199" s="374"/>
      <c r="O199" s="426"/>
      <c r="P199" s="423"/>
      <c r="Q199" s="404"/>
      <c r="R199" s="148"/>
      <c r="S199" s="242"/>
      <c r="T199" s="242"/>
      <c r="U199" s="242"/>
      <c r="V199" s="242"/>
      <c r="W199" s="242"/>
      <c r="X199" s="242"/>
      <c r="Y199" s="148"/>
      <c r="Z199" s="148"/>
    </row>
    <row r="200">
      <c r="A200" s="427" t="s">
        <v>201</v>
      </c>
      <c r="C200" s="204">
        <f>SUM(L199:L232)</f>
        <v>0</v>
      </c>
      <c r="D200" s="157"/>
      <c r="E200" s="545"/>
      <c r="F200" s="546"/>
      <c r="G200" s="419"/>
      <c r="H200" s="419"/>
      <c r="I200" s="239"/>
      <c r="J200" s="472" t="s">
        <v>345</v>
      </c>
      <c r="K200" s="420"/>
      <c r="L200" s="150"/>
      <c r="M200" s="374"/>
      <c r="O200" s="426"/>
      <c r="P200" s="423"/>
      <c r="Q200" s="404"/>
      <c r="R200" s="148"/>
      <c r="S200" s="242"/>
      <c r="T200" s="242"/>
      <c r="U200" s="242"/>
      <c r="V200" s="242"/>
      <c r="W200" s="242"/>
      <c r="X200" s="242"/>
      <c r="Y200" s="148"/>
      <c r="Z200" s="148"/>
    </row>
    <row r="201">
      <c r="A201" s="548" t="s">
        <v>761</v>
      </c>
      <c r="B201" s="549">
        <v>0.4</v>
      </c>
      <c r="C201" s="191"/>
      <c r="D201" s="157"/>
      <c r="E201" s="550" t="s">
        <v>695</v>
      </c>
      <c r="F201" s="546"/>
      <c r="G201" s="587"/>
      <c r="H201" s="419"/>
      <c r="I201" s="239"/>
      <c r="J201" s="433" t="s">
        <v>656</v>
      </c>
      <c r="K201" s="420"/>
      <c r="L201" s="193"/>
      <c r="M201" s="377"/>
      <c r="O201" s="426"/>
      <c r="P201" s="423"/>
      <c r="Q201" s="404"/>
      <c r="R201" s="148"/>
      <c r="S201" s="242"/>
      <c r="T201" s="242"/>
      <c r="U201" s="242"/>
      <c r="V201" s="242"/>
      <c r="W201" s="242"/>
      <c r="X201" s="242"/>
      <c r="Y201" s="148"/>
      <c r="Z201" s="148"/>
    </row>
    <row r="202">
      <c r="A202" s="434" t="s">
        <v>350</v>
      </c>
      <c r="C202" s="551">
        <f>C198-C200-C201</f>
        <v>0</v>
      </c>
      <c r="D202" s="157"/>
      <c r="E202" s="552"/>
      <c r="F202" s="590"/>
      <c r="G202" s="455"/>
      <c r="H202" s="419"/>
      <c r="I202" s="57"/>
      <c r="J202" s="444" t="s">
        <v>658</v>
      </c>
      <c r="K202" s="420"/>
      <c r="L202" s="193"/>
      <c r="M202" s="377"/>
      <c r="O202" s="426"/>
      <c r="P202" s="423"/>
      <c r="Q202" s="404"/>
      <c r="R202" s="148"/>
      <c r="S202" s="242"/>
      <c r="T202" s="242"/>
      <c r="U202" s="242"/>
      <c r="V202" s="242"/>
      <c r="W202" s="242"/>
      <c r="X202" s="242"/>
      <c r="Y202" s="148"/>
      <c r="Z202" s="148"/>
    </row>
    <row r="203">
      <c r="A203" s="554"/>
      <c r="B203" s="555"/>
      <c r="C203" s="447"/>
      <c r="D203" s="157"/>
      <c r="E203" s="192"/>
      <c r="F203" s="546"/>
      <c r="G203" s="562"/>
      <c r="H203" s="419"/>
      <c r="I203" s="57"/>
      <c r="J203" s="444" t="s">
        <v>660</v>
      </c>
      <c r="K203" s="420"/>
      <c r="L203" s="193"/>
      <c r="M203" s="377"/>
      <c r="O203" s="431"/>
      <c r="P203" s="157"/>
      <c r="Q203" s="404"/>
      <c r="R203" s="148"/>
      <c r="S203" s="242"/>
      <c r="T203" s="242"/>
      <c r="U203" s="242"/>
      <c r="V203" s="242"/>
      <c r="W203" s="242"/>
      <c r="X203" s="242"/>
      <c r="Y203" s="148"/>
      <c r="Z203" s="148"/>
    </row>
    <row r="204">
      <c r="A204" s="556"/>
      <c r="C204" s="395"/>
      <c r="D204" s="157"/>
      <c r="E204" s="192"/>
      <c r="F204" s="546"/>
      <c r="G204" s="455"/>
      <c r="H204" s="419"/>
      <c r="I204" s="239"/>
      <c r="J204" s="370" t="s">
        <v>662</v>
      </c>
      <c r="K204" s="420"/>
      <c r="L204" s="193"/>
      <c r="M204" s="377"/>
      <c r="O204" s="431"/>
      <c r="P204" s="157"/>
      <c r="Q204" s="404"/>
      <c r="R204" s="148"/>
      <c r="S204" s="242"/>
      <c r="T204" s="242"/>
      <c r="U204" s="242"/>
      <c r="V204" s="242"/>
      <c r="W204" s="242"/>
      <c r="X204" s="242"/>
      <c r="Y204" s="148"/>
      <c r="Z204" s="148"/>
    </row>
    <row r="205">
      <c r="A205" s="557"/>
      <c r="B205" s="109"/>
      <c r="C205" s="395"/>
      <c r="D205" s="373"/>
      <c r="E205" s="192"/>
      <c r="F205" s="546"/>
      <c r="G205" s="419"/>
      <c r="H205" s="419"/>
      <c r="I205" s="239"/>
      <c r="J205" s="433" t="s">
        <v>666</v>
      </c>
      <c r="K205" s="420"/>
      <c r="L205" s="150"/>
      <c r="M205" s="374"/>
      <c r="O205" s="431"/>
      <c r="P205" s="157"/>
      <c r="Q205" s="404"/>
      <c r="R205" s="148"/>
      <c r="S205" s="242"/>
      <c r="T205" s="242"/>
      <c r="U205" s="242"/>
      <c r="V205" s="242"/>
      <c r="W205" s="242"/>
      <c r="X205" s="242"/>
      <c r="Y205" s="148"/>
      <c r="Z205" s="148"/>
    </row>
    <row r="206">
      <c r="A206" s="559" t="s">
        <v>765</v>
      </c>
      <c r="B206" s="560">
        <f>SUM(D206:D232)</f>
        <v>0</v>
      </c>
      <c r="C206" s="477" t="s">
        <v>366</v>
      </c>
      <c r="D206" s="157"/>
      <c r="E206" s="192"/>
      <c r="F206" s="546"/>
      <c r="G206" s="419"/>
      <c r="H206" s="419"/>
      <c r="I206" s="239"/>
      <c r="J206" s="433" t="s">
        <v>668</v>
      </c>
      <c r="K206" s="420"/>
      <c r="L206" s="150"/>
      <c r="M206" s="377"/>
      <c r="O206" s="431"/>
      <c r="P206" s="157"/>
      <c r="Q206" s="404"/>
      <c r="R206" s="148"/>
      <c r="S206" s="242"/>
      <c r="T206" s="242"/>
      <c r="U206" s="242"/>
      <c r="V206" s="242"/>
      <c r="W206" s="242"/>
      <c r="X206" s="242"/>
      <c r="Y206" s="148"/>
      <c r="Z206" s="148"/>
    </row>
    <row r="207">
      <c r="A207" s="453" t="s">
        <v>369</v>
      </c>
      <c r="C207" s="561" t="s">
        <v>766</v>
      </c>
      <c r="D207" s="423"/>
      <c r="E207" s="192"/>
      <c r="F207" s="546"/>
      <c r="G207" s="419"/>
      <c r="H207" s="419"/>
      <c r="I207" s="239"/>
      <c r="J207" s="433" t="s">
        <v>670</v>
      </c>
      <c r="K207" s="458"/>
      <c r="L207" s="193"/>
      <c r="M207" s="377"/>
      <c r="O207" s="431"/>
      <c r="P207" s="157"/>
      <c r="Q207" s="404"/>
      <c r="R207" s="148"/>
      <c r="S207" s="242"/>
      <c r="T207" s="242"/>
      <c r="U207" s="242"/>
      <c r="V207" s="242"/>
      <c r="W207" s="242"/>
      <c r="X207" s="242"/>
      <c r="Y207" s="148"/>
      <c r="Z207" s="148"/>
    </row>
    <row r="208">
      <c r="C208" s="561" t="s">
        <v>767</v>
      </c>
      <c r="D208" s="157"/>
      <c r="E208" s="192"/>
      <c r="F208" s="546"/>
      <c r="G208" s="419"/>
      <c r="H208" s="419"/>
      <c r="I208" s="239"/>
      <c r="J208" s="433" t="s">
        <v>217</v>
      </c>
      <c r="K208" s="458"/>
      <c r="L208" s="150"/>
      <c r="M208" s="377"/>
      <c r="O208" s="431"/>
      <c r="P208" s="157"/>
      <c r="Q208" s="404"/>
      <c r="R208" s="148"/>
      <c r="S208" s="242"/>
      <c r="T208" s="242"/>
      <c r="U208" s="242"/>
      <c r="V208" s="242"/>
      <c r="W208" s="242"/>
      <c r="X208" s="242"/>
      <c r="Y208" s="148"/>
      <c r="Z208" s="148"/>
    </row>
    <row r="209">
      <c r="A209" s="57"/>
      <c r="B209" s="57"/>
      <c r="C209" s="561" t="s">
        <v>768</v>
      </c>
      <c r="D209" s="423"/>
      <c r="E209" s="192"/>
      <c r="F209" s="546"/>
      <c r="G209" s="419"/>
      <c r="H209" s="419"/>
      <c r="I209" s="239"/>
      <c r="J209" s="109"/>
      <c r="K209" s="420"/>
      <c r="L209" s="193"/>
      <c r="M209" s="374"/>
      <c r="O209" s="431"/>
      <c r="P209" s="157"/>
      <c r="Q209" s="404"/>
      <c r="R209" s="148"/>
      <c r="S209" s="242"/>
      <c r="T209" s="242"/>
      <c r="U209" s="242"/>
      <c r="V209" s="242"/>
      <c r="W209" s="242"/>
      <c r="X209" s="242"/>
      <c r="Y209" s="148"/>
      <c r="Z209" s="148"/>
    </row>
    <row r="210">
      <c r="A210" s="57"/>
      <c r="B210" s="57"/>
      <c r="C210" s="561" t="s">
        <v>769</v>
      </c>
      <c r="D210" s="157"/>
      <c r="E210" s="192"/>
      <c r="F210" s="546"/>
      <c r="G210" s="562"/>
      <c r="H210" s="419"/>
      <c r="I210" s="239"/>
      <c r="J210" s="456" t="s">
        <v>672</v>
      </c>
      <c r="K210" s="420"/>
      <c r="L210" s="150"/>
      <c r="M210" s="377"/>
      <c r="O210" s="431"/>
      <c r="P210" s="157"/>
      <c r="Q210" s="404"/>
      <c r="R210" s="148"/>
      <c r="S210" s="242"/>
      <c r="T210" s="242"/>
      <c r="U210" s="242"/>
      <c r="V210" s="242"/>
      <c r="W210" s="242"/>
      <c r="X210" s="242"/>
      <c r="Y210" s="148"/>
      <c r="Z210" s="148"/>
    </row>
    <row r="211">
      <c r="A211" s="57"/>
      <c r="B211" s="57"/>
      <c r="C211" s="561" t="s">
        <v>770</v>
      </c>
      <c r="D211" s="423"/>
      <c r="E211" s="192"/>
      <c r="F211" s="546"/>
      <c r="G211" s="562"/>
      <c r="H211" s="419"/>
      <c r="I211" s="57"/>
      <c r="J211" s="456" t="s">
        <v>675</v>
      </c>
      <c r="K211" s="420"/>
      <c r="L211" s="150"/>
      <c r="M211" s="382"/>
      <c r="O211" s="431"/>
      <c r="P211" s="157"/>
      <c r="Q211" s="404"/>
      <c r="R211" s="148"/>
      <c r="S211" s="242"/>
      <c r="T211" s="242"/>
      <c r="U211" s="242"/>
      <c r="V211" s="242"/>
      <c r="W211" s="242"/>
      <c r="X211" s="242"/>
      <c r="Y211" s="148"/>
      <c r="Z211" s="148"/>
    </row>
    <row r="212">
      <c r="A212" s="57"/>
      <c r="B212" s="57"/>
      <c r="C212" s="561" t="s">
        <v>793</v>
      </c>
      <c r="D212" s="423"/>
      <c r="E212" s="192"/>
      <c r="F212" s="546"/>
      <c r="G212" s="562"/>
      <c r="H212" s="419"/>
      <c r="I212" s="57"/>
      <c r="J212" s="456"/>
      <c r="K212" s="420"/>
      <c r="L212" s="150"/>
      <c r="M212" s="425"/>
      <c r="O212" s="431"/>
      <c r="P212" s="157"/>
      <c r="Q212" s="404"/>
      <c r="R212" s="148"/>
      <c r="S212" s="242"/>
      <c r="T212" s="242"/>
      <c r="U212" s="242"/>
      <c r="V212" s="242"/>
      <c r="W212" s="242"/>
      <c r="X212" s="242"/>
      <c r="Y212" s="148"/>
      <c r="Z212" s="148"/>
    </row>
    <row r="213">
      <c r="A213" s="239"/>
      <c r="B213" s="57"/>
      <c r="C213" s="561" t="s">
        <v>794</v>
      </c>
      <c r="D213" s="423"/>
      <c r="E213" s="192"/>
      <c r="F213" s="546"/>
      <c r="G213" s="419"/>
      <c r="H213" s="419"/>
      <c r="I213" s="57"/>
      <c r="J213" s="375"/>
      <c r="K213" s="420"/>
      <c r="L213" s="150"/>
      <c r="M213" s="425"/>
      <c r="O213" s="431"/>
      <c r="P213" s="157"/>
      <c r="Q213" s="404"/>
      <c r="R213" s="148"/>
      <c r="S213" s="242"/>
      <c r="T213" s="242"/>
      <c r="U213" s="242"/>
      <c r="V213" s="242"/>
      <c r="W213" s="242"/>
      <c r="X213" s="242"/>
      <c r="Y213" s="148"/>
      <c r="Z213" s="148"/>
    </row>
    <row r="214">
      <c r="A214" s="239"/>
      <c r="B214" s="57"/>
      <c r="C214" s="561" t="s">
        <v>18</v>
      </c>
      <c r="D214" s="157"/>
      <c r="E214" s="192"/>
      <c r="F214" s="546"/>
      <c r="G214" s="419"/>
      <c r="H214" s="419"/>
      <c r="I214" s="57"/>
      <c r="J214" s="375"/>
      <c r="K214" s="420"/>
      <c r="L214" s="193"/>
      <c r="M214" s="382"/>
      <c r="O214" s="431"/>
      <c r="P214" s="157"/>
      <c r="Q214" s="404"/>
      <c r="R214" s="148"/>
      <c r="S214" s="242"/>
      <c r="T214" s="242"/>
      <c r="U214" s="242"/>
      <c r="V214" s="242"/>
      <c r="W214" s="242"/>
      <c r="X214" s="242"/>
      <c r="Y214" s="148"/>
      <c r="Z214" s="148"/>
    </row>
    <row r="215">
      <c r="A215" s="239"/>
      <c r="B215" s="57"/>
      <c r="C215" s="563" t="s">
        <v>1115</v>
      </c>
      <c r="D215" s="423"/>
      <c r="E215" s="192"/>
      <c r="F215" s="546"/>
      <c r="G215" s="455"/>
      <c r="H215" s="419"/>
      <c r="I215" s="57"/>
      <c r="J215" s="452"/>
      <c r="K215" s="420"/>
      <c r="L215" s="150"/>
      <c r="M215" s="425"/>
      <c r="O215" s="431"/>
      <c r="P215" s="157"/>
      <c r="Q215" s="404"/>
      <c r="R215" s="148"/>
      <c r="S215" s="242"/>
      <c r="T215" s="242"/>
      <c r="U215" s="242"/>
      <c r="V215" s="242"/>
      <c r="W215" s="242"/>
      <c r="X215" s="242"/>
      <c r="Y215" s="148"/>
      <c r="Z215" s="148"/>
    </row>
    <row r="216">
      <c r="A216" s="57"/>
      <c r="B216" s="57"/>
      <c r="C216" s="561" t="s">
        <v>1116</v>
      </c>
      <c r="D216" s="423"/>
      <c r="E216" s="192"/>
      <c r="F216" s="546"/>
      <c r="G216" s="419"/>
      <c r="H216" s="419"/>
      <c r="I216" s="57"/>
      <c r="J216" s="105"/>
      <c r="K216" s="420"/>
      <c r="L216" s="150"/>
      <c r="M216" s="425"/>
      <c r="O216" s="431"/>
      <c r="P216" s="157"/>
      <c r="Q216" s="404"/>
      <c r="R216" s="148"/>
      <c r="S216" s="242"/>
      <c r="T216" s="242"/>
      <c r="U216" s="242"/>
      <c r="V216" s="242"/>
      <c r="W216" s="242"/>
      <c r="X216" s="242"/>
      <c r="Y216" s="148"/>
      <c r="Z216" s="148"/>
    </row>
    <row r="217">
      <c r="A217" s="239"/>
      <c r="B217" s="239"/>
      <c r="C217" s="561" t="s">
        <v>775</v>
      </c>
      <c r="D217" s="423"/>
      <c r="E217" s="192"/>
      <c r="F217" s="546"/>
      <c r="G217" s="419"/>
      <c r="H217" s="419"/>
      <c r="I217" s="57"/>
      <c r="J217" s="378" t="s">
        <v>682</v>
      </c>
      <c r="K217" s="420"/>
      <c r="L217" s="193"/>
      <c r="M217" s="377"/>
      <c r="O217" s="431"/>
      <c r="P217" s="157"/>
      <c r="Q217" s="404"/>
      <c r="R217" s="148"/>
      <c r="S217" s="242"/>
      <c r="T217" s="242"/>
      <c r="U217" s="242"/>
      <c r="V217" s="242"/>
      <c r="W217" s="242"/>
      <c r="X217" s="242"/>
      <c r="Y217" s="148"/>
      <c r="Z217" s="148"/>
    </row>
    <row r="218">
      <c r="A218" s="239"/>
      <c r="B218" s="239"/>
      <c r="C218" s="561" t="s">
        <v>10</v>
      </c>
      <c r="D218" s="157"/>
      <c r="E218" s="192"/>
      <c r="F218" s="580"/>
      <c r="G218" s="478"/>
      <c r="H218" s="419"/>
      <c r="I218" s="57"/>
      <c r="J218" s="461" t="s">
        <v>684</v>
      </c>
      <c r="K218" s="420"/>
      <c r="L218" s="193"/>
      <c r="M218" s="377"/>
      <c r="O218" s="431"/>
      <c r="P218" s="157"/>
      <c r="Q218" s="404"/>
      <c r="R218" s="148"/>
      <c r="S218" s="242"/>
      <c r="T218" s="242"/>
      <c r="U218" s="242"/>
      <c r="V218" s="242"/>
      <c r="W218" s="242"/>
      <c r="X218" s="242"/>
      <c r="Y218" s="148"/>
      <c r="Z218" s="148"/>
    </row>
    <row r="219">
      <c r="A219" s="239"/>
      <c r="B219" s="239"/>
      <c r="C219" s="561" t="s">
        <v>6</v>
      </c>
      <c r="D219" s="423"/>
      <c r="E219" s="206"/>
      <c r="F219" s="546"/>
      <c r="G219" s="455"/>
      <c r="H219" s="455"/>
      <c r="I219" s="57"/>
      <c r="J219" s="461" t="s">
        <v>686</v>
      </c>
      <c r="K219" s="420"/>
      <c r="L219" s="150"/>
      <c r="M219" s="374"/>
      <c r="O219" s="463"/>
      <c r="P219" s="157"/>
      <c r="Q219" s="404"/>
      <c r="R219" s="148"/>
      <c r="S219" s="242"/>
      <c r="T219" s="242"/>
      <c r="U219" s="242"/>
      <c r="V219" s="242"/>
      <c r="W219" s="242"/>
      <c r="X219" s="242"/>
      <c r="Y219" s="148"/>
      <c r="Z219" s="148"/>
    </row>
    <row r="220">
      <c r="A220" s="57"/>
      <c r="B220" s="57"/>
      <c r="C220" s="561" t="s">
        <v>779</v>
      </c>
      <c r="D220" s="423"/>
      <c r="E220" s="228"/>
      <c r="F220" s="546"/>
      <c r="G220" s="455"/>
      <c r="H220" s="455"/>
      <c r="I220" s="239"/>
      <c r="J220" s="460" t="s">
        <v>202</v>
      </c>
      <c r="K220" s="420"/>
      <c r="L220" s="193"/>
      <c r="M220" s="377"/>
      <c r="O220" s="463"/>
      <c r="P220" s="157"/>
      <c r="Q220" s="404"/>
      <c r="R220" s="148"/>
      <c r="S220" s="242"/>
      <c r="T220" s="242"/>
      <c r="U220" s="242"/>
      <c r="V220" s="242"/>
      <c r="W220" s="242"/>
      <c r="X220" s="242"/>
      <c r="Y220" s="148"/>
      <c r="Z220" s="148"/>
    </row>
    <row r="221">
      <c r="A221" s="239"/>
      <c r="B221" s="239"/>
      <c r="C221" s="561" t="s">
        <v>780</v>
      </c>
      <c r="D221" s="423"/>
      <c r="E221" s="228"/>
      <c r="F221" s="546"/>
      <c r="G221" s="455"/>
      <c r="H221" s="455"/>
      <c r="I221" s="57"/>
      <c r="J221" s="460" t="s">
        <v>274</v>
      </c>
      <c r="K221" s="420"/>
      <c r="L221" s="193"/>
      <c r="M221" s="374"/>
      <c r="O221" s="463"/>
      <c r="P221" s="157"/>
      <c r="Q221" s="404"/>
      <c r="R221" s="148"/>
      <c r="S221" s="242"/>
      <c r="T221" s="242"/>
      <c r="U221" s="242"/>
      <c r="V221" s="242"/>
      <c r="W221" s="242"/>
      <c r="X221" s="242"/>
      <c r="Y221" s="148"/>
      <c r="Z221" s="148"/>
    </row>
    <row r="222">
      <c r="A222" s="239"/>
      <c r="B222" s="239"/>
      <c r="C222" s="561" t="s">
        <v>781</v>
      </c>
      <c r="D222" s="423"/>
      <c r="E222" s="228"/>
      <c r="F222" s="547"/>
      <c r="G222" s="455"/>
      <c r="H222" s="419"/>
      <c r="I222" s="239"/>
      <c r="J222" s="685" t="s">
        <v>1117</v>
      </c>
      <c r="K222" s="420"/>
      <c r="L222" s="150"/>
      <c r="M222" s="374"/>
      <c r="O222" s="431"/>
      <c r="P222" s="157"/>
      <c r="Q222" s="404"/>
      <c r="R222" s="148"/>
      <c r="S222" s="242"/>
      <c r="T222" s="242"/>
      <c r="U222" s="242"/>
      <c r="V222" s="242"/>
      <c r="W222" s="242"/>
      <c r="X222" s="242"/>
      <c r="Y222" s="148"/>
      <c r="Z222" s="148"/>
    </row>
    <row r="223">
      <c r="A223" s="239"/>
      <c r="B223" s="157"/>
      <c r="C223" s="561" t="s">
        <v>1118</v>
      </c>
      <c r="D223" s="157"/>
      <c r="E223" s="569"/>
      <c r="F223" s="547"/>
      <c r="G223" s="419"/>
      <c r="H223" s="419"/>
      <c r="I223" s="57"/>
      <c r="J223" s="685" t="s">
        <v>1119</v>
      </c>
      <c r="K223" s="420"/>
      <c r="L223" s="193"/>
      <c r="M223" s="377"/>
      <c r="O223" s="431"/>
      <c r="P223" s="157"/>
      <c r="Q223" s="404"/>
      <c r="R223" s="148"/>
      <c r="S223" s="242"/>
      <c r="T223" s="242"/>
      <c r="U223" s="242"/>
      <c r="V223" s="242"/>
      <c r="W223" s="242"/>
      <c r="X223" s="242"/>
      <c r="Y223" s="148"/>
      <c r="Z223" s="148"/>
    </row>
    <row r="224">
      <c r="A224" s="239"/>
      <c r="B224" s="157"/>
      <c r="C224" s="561" t="s">
        <v>1120</v>
      </c>
      <c r="D224" s="157"/>
      <c r="E224" s="228"/>
      <c r="F224" s="547"/>
      <c r="G224" s="419"/>
      <c r="H224" s="419"/>
      <c r="I224" s="239"/>
      <c r="J224" s="596" t="s">
        <v>1001</v>
      </c>
      <c r="K224" s="420"/>
      <c r="L224" s="193"/>
      <c r="M224" s="377"/>
      <c r="O224" s="431"/>
      <c r="P224" s="157"/>
      <c r="Q224" s="404"/>
      <c r="R224" s="148"/>
      <c r="S224" s="242"/>
      <c r="T224" s="242"/>
      <c r="U224" s="242"/>
      <c r="V224" s="242"/>
      <c r="W224" s="242"/>
      <c r="X224" s="242"/>
      <c r="Y224" s="148"/>
      <c r="Z224" s="148"/>
    </row>
    <row r="225">
      <c r="A225" s="239"/>
      <c r="B225" s="157"/>
      <c r="C225" s="561"/>
      <c r="D225" s="157"/>
      <c r="E225" s="570"/>
      <c r="F225" s="547"/>
      <c r="G225" s="419"/>
      <c r="H225" s="419"/>
      <c r="I225" s="239"/>
      <c r="J225" s="568"/>
      <c r="K225" s="420"/>
      <c r="L225" s="193"/>
      <c r="M225" s="374"/>
      <c r="O225" s="431"/>
      <c r="P225" s="157"/>
      <c r="Q225" s="404"/>
      <c r="R225" s="148"/>
      <c r="S225" s="242"/>
      <c r="T225" s="242"/>
      <c r="U225" s="242"/>
      <c r="V225" s="242"/>
      <c r="W225" s="242"/>
      <c r="X225" s="242"/>
      <c r="Y225" s="148"/>
      <c r="Z225" s="148"/>
    </row>
    <row r="226">
      <c r="C226" s="571"/>
      <c r="D226" s="157"/>
      <c r="E226" s="570"/>
      <c r="F226" s="547"/>
      <c r="G226" s="419"/>
      <c r="H226" s="419"/>
      <c r="I226" s="239"/>
      <c r="J226" s="464" t="s">
        <v>692</v>
      </c>
      <c r="K226" s="420"/>
      <c r="L226" s="193"/>
      <c r="M226" s="377"/>
      <c r="O226" s="431"/>
      <c r="P226" s="157"/>
      <c r="Q226" s="404"/>
      <c r="R226" s="148"/>
      <c r="S226" s="242"/>
      <c r="T226" s="242"/>
      <c r="U226" s="242"/>
      <c r="V226" s="242"/>
      <c r="W226" s="242"/>
      <c r="X226" s="242"/>
      <c r="Y226" s="148"/>
      <c r="Z226" s="148"/>
    </row>
    <row r="227">
      <c r="C227" s="571"/>
      <c r="D227" s="157"/>
      <c r="E227" s="570"/>
      <c r="F227" s="547"/>
      <c r="G227" s="419"/>
      <c r="H227" s="419"/>
      <c r="I227" s="239"/>
      <c r="J227" s="464" t="s">
        <v>694</v>
      </c>
      <c r="K227" s="420"/>
      <c r="L227" s="150"/>
      <c r="M227" s="377"/>
      <c r="O227" s="431"/>
      <c r="P227" s="157"/>
      <c r="Q227" s="404"/>
      <c r="R227" s="148"/>
      <c r="S227" s="242"/>
      <c r="T227" s="242"/>
      <c r="U227" s="242"/>
      <c r="V227" s="242"/>
      <c r="W227" s="242"/>
      <c r="X227" s="242"/>
      <c r="Y227" s="148"/>
      <c r="Z227" s="148"/>
    </row>
    <row r="228">
      <c r="C228" s="571"/>
      <c r="D228" s="423"/>
      <c r="E228" s="570"/>
      <c r="F228" s="546"/>
      <c r="G228" s="419"/>
      <c r="H228" s="419"/>
      <c r="I228" s="57"/>
      <c r="J228" s="105"/>
      <c r="K228" s="57"/>
      <c r="L228" s="150"/>
      <c r="M228" s="57"/>
      <c r="N228" s="57"/>
      <c r="O228" s="57"/>
      <c r="P228" s="157"/>
      <c r="Q228" s="404"/>
      <c r="R228" s="148"/>
      <c r="S228" s="242"/>
      <c r="T228" s="242"/>
      <c r="U228" s="242"/>
      <c r="V228" s="242"/>
      <c r="W228" s="242"/>
      <c r="X228" s="242"/>
      <c r="Y228" s="148"/>
      <c r="Z228" s="148"/>
    </row>
    <row r="229">
      <c r="A229" s="125" t="s">
        <v>798</v>
      </c>
      <c r="B229" s="572">
        <f>C202-B206</f>
        <v>0</v>
      </c>
      <c r="D229" s="157"/>
      <c r="E229" s="570"/>
      <c r="F229" s="573"/>
      <c r="G229" s="478"/>
      <c r="H229" s="419"/>
      <c r="I229" s="239"/>
      <c r="J229" s="568"/>
      <c r="K229" s="57"/>
      <c r="L229" s="150"/>
      <c r="M229" s="57"/>
      <c r="N229" s="57"/>
      <c r="O229" s="57"/>
      <c r="P229" s="157"/>
      <c r="Q229" s="404"/>
      <c r="R229" s="148"/>
      <c r="S229" s="242"/>
      <c r="T229" s="242"/>
      <c r="U229" s="242"/>
      <c r="V229" s="242"/>
      <c r="W229" s="242"/>
      <c r="X229" s="242"/>
      <c r="Y229" s="148"/>
      <c r="Z229" s="148"/>
    </row>
    <row r="230">
      <c r="A230" s="274" t="s">
        <v>783</v>
      </c>
      <c r="B230" s="109"/>
      <c r="C230" s="395"/>
      <c r="D230" s="157"/>
      <c r="E230" s="570"/>
      <c r="F230" s="573"/>
      <c r="G230" s="478"/>
      <c r="H230" s="419"/>
      <c r="I230" s="239"/>
      <c r="J230" s="568"/>
      <c r="K230" s="57"/>
      <c r="L230" s="150"/>
      <c r="M230" s="57"/>
      <c r="N230" s="57"/>
      <c r="O230" s="57"/>
      <c r="P230" s="157"/>
      <c r="Q230" s="404"/>
      <c r="R230" s="148"/>
      <c r="S230" s="242"/>
      <c r="T230" s="242"/>
      <c r="U230" s="242"/>
      <c r="V230" s="242"/>
      <c r="W230" s="242"/>
      <c r="X230" s="242"/>
      <c r="Y230" s="148"/>
      <c r="Z230" s="148"/>
    </row>
    <row r="231">
      <c r="A231" s="274" t="s">
        <v>784</v>
      </c>
      <c r="B231" s="109"/>
      <c r="C231" s="109"/>
      <c r="D231" s="157"/>
      <c r="E231" s="570"/>
      <c r="F231" s="573"/>
      <c r="G231" s="478"/>
      <c r="H231" s="419"/>
      <c r="I231" s="239"/>
      <c r="J231" s="568"/>
      <c r="K231" s="57"/>
      <c r="L231" s="150"/>
      <c r="M231" s="57"/>
      <c r="N231" s="57"/>
      <c r="O231" s="57"/>
      <c r="P231" s="157"/>
      <c r="Q231" s="404"/>
      <c r="R231" s="148"/>
      <c r="S231" s="242"/>
      <c r="T231" s="242"/>
      <c r="U231" s="242"/>
      <c r="V231" s="242"/>
      <c r="W231" s="242"/>
      <c r="X231" s="242"/>
      <c r="Y231" s="148"/>
      <c r="Z231" s="148"/>
    </row>
    <row r="232">
      <c r="A232" s="274" t="s">
        <v>785</v>
      </c>
      <c r="B232" s="109"/>
      <c r="C232" s="686">
        <f>SUM(B230:B232)</f>
        <v>0</v>
      </c>
      <c r="D232" s="157"/>
      <c r="E232" s="570"/>
      <c r="F232" s="573"/>
      <c r="G232" s="478"/>
      <c r="H232" s="419"/>
      <c r="I232" s="239"/>
      <c r="J232" s="568"/>
      <c r="K232" s="57"/>
      <c r="L232" s="150"/>
      <c r="M232" s="57"/>
      <c r="N232" s="57"/>
      <c r="O232" s="57"/>
      <c r="P232" s="157"/>
      <c r="Q232" s="404"/>
      <c r="R232" s="148"/>
      <c r="S232" s="242"/>
      <c r="T232" s="242"/>
      <c r="U232" s="242"/>
      <c r="V232" s="242"/>
      <c r="W232" s="242"/>
      <c r="X232" s="242"/>
      <c r="Y232" s="148"/>
      <c r="Z232" s="148"/>
    </row>
    <row r="233">
      <c r="A233" s="402"/>
      <c r="B233" s="403"/>
      <c r="C233" s="403"/>
      <c r="D233" s="403"/>
      <c r="E233" s="574"/>
      <c r="F233" s="575"/>
      <c r="G233" s="159"/>
      <c r="H233" s="159"/>
      <c r="I233" s="159"/>
      <c r="J233" s="576"/>
      <c r="K233" s="159"/>
      <c r="L233" s="162"/>
      <c r="M233" s="402"/>
      <c r="N233" s="402"/>
      <c r="O233" s="159"/>
      <c r="P233" s="403"/>
      <c r="Q233" s="577"/>
      <c r="R233" s="148"/>
      <c r="S233" s="242"/>
      <c r="T233" s="242"/>
      <c r="U233" s="242"/>
      <c r="V233" s="242"/>
      <c r="W233" s="242"/>
      <c r="X233" s="242"/>
      <c r="Y233" s="148"/>
      <c r="Z233" s="148"/>
    </row>
    <row r="234">
      <c r="A234" s="148"/>
      <c r="B234" s="148"/>
      <c r="C234" s="148"/>
      <c r="D234" s="245"/>
      <c r="E234" s="585"/>
      <c r="F234" s="586"/>
      <c r="G234" s="148"/>
      <c r="H234" s="148"/>
      <c r="I234" s="251"/>
      <c r="J234" s="243"/>
      <c r="K234" s="148"/>
      <c r="L234" s="277"/>
      <c r="M234" s="252"/>
      <c r="N234" s="250"/>
      <c r="O234" s="253"/>
      <c r="P234" s="240"/>
      <c r="Q234" s="148"/>
      <c r="R234" s="148"/>
      <c r="S234" s="242"/>
      <c r="T234" s="242"/>
      <c r="U234" s="242"/>
      <c r="V234" s="242"/>
      <c r="W234" s="242"/>
      <c r="X234" s="242"/>
      <c r="Y234" s="148"/>
      <c r="Z234" s="148"/>
    </row>
    <row r="235">
      <c r="A235" s="169" t="s">
        <v>85</v>
      </c>
      <c r="B235" s="539"/>
      <c r="C235" s="540"/>
      <c r="D235" s="405"/>
      <c r="E235" s="541"/>
      <c r="F235" s="542"/>
      <c r="G235" s="467" t="s">
        <v>333</v>
      </c>
      <c r="H235" s="361"/>
      <c r="I235" s="57"/>
      <c r="J235" s="105"/>
      <c r="K235" s="57"/>
      <c r="L235" s="150"/>
      <c r="M235" s="239"/>
      <c r="N235" s="239"/>
      <c r="O235" s="57"/>
      <c r="P235" s="157"/>
      <c r="Q235" s="404"/>
      <c r="R235" s="148"/>
      <c r="S235" s="242"/>
      <c r="T235" s="242"/>
      <c r="U235" s="242"/>
      <c r="V235" s="242"/>
      <c r="W235" s="242"/>
      <c r="X235" s="242"/>
      <c r="Y235" s="148"/>
      <c r="Z235" s="148"/>
    </row>
    <row r="236">
      <c r="A236" s="468"/>
      <c r="B236" s="157"/>
      <c r="C236" s="466"/>
      <c r="D236" s="405"/>
      <c r="E236" s="543" t="s">
        <v>335</v>
      </c>
      <c r="F236" s="544" t="s">
        <v>237</v>
      </c>
      <c r="G236" s="412" t="s">
        <v>336</v>
      </c>
      <c r="H236" s="413" t="s">
        <v>337</v>
      </c>
      <c r="I236" s="239"/>
      <c r="J236" s="145" t="s">
        <v>60</v>
      </c>
      <c r="K236" s="57"/>
      <c r="L236" s="150"/>
      <c r="M236" s="414"/>
      <c r="N236" s="414"/>
      <c r="O236" s="57" t="s">
        <v>334</v>
      </c>
      <c r="P236" s="157"/>
      <c r="Q236" s="404"/>
      <c r="R236" s="148"/>
      <c r="S236" s="242"/>
      <c r="T236" s="242"/>
      <c r="U236" s="242"/>
      <c r="V236" s="242"/>
      <c r="W236" s="242"/>
      <c r="X236" s="242"/>
      <c r="Y236" s="148"/>
      <c r="Z236" s="148"/>
    </row>
    <row r="237">
      <c r="A237" s="470" t="s">
        <v>179</v>
      </c>
      <c r="C237" s="416">
        <f>SUM(F237:F271)</f>
        <v>0</v>
      </c>
      <c r="D237" s="405"/>
      <c r="E237" s="545"/>
      <c r="F237" s="546"/>
      <c r="G237" s="578"/>
      <c r="H237" s="419"/>
      <c r="I237" s="57"/>
      <c r="K237" s="57"/>
      <c r="L237" s="150"/>
      <c r="M237" s="377" t="s">
        <v>366</v>
      </c>
      <c r="P237" s="157"/>
      <c r="Q237" s="404"/>
      <c r="R237" s="148"/>
      <c r="S237" s="242"/>
      <c r="T237" s="242"/>
      <c r="U237" s="242"/>
      <c r="V237" s="242"/>
      <c r="W237" s="242"/>
      <c r="X237" s="242"/>
      <c r="Y237" s="148"/>
      <c r="Z237" s="148"/>
    </row>
    <row r="238">
      <c r="A238" s="421" t="s">
        <v>343</v>
      </c>
      <c r="B238" s="422" t="s">
        <v>321</v>
      </c>
      <c r="C238" s="416">
        <f>SUM(P238:P271)</f>
        <v>0</v>
      </c>
      <c r="D238" s="157"/>
      <c r="E238" s="545"/>
      <c r="F238" s="546"/>
      <c r="G238" s="578"/>
      <c r="H238" s="419"/>
      <c r="I238" s="239"/>
      <c r="J238" s="471" t="s">
        <v>341</v>
      </c>
      <c r="K238" s="420"/>
      <c r="L238" s="150"/>
      <c r="M238" s="374"/>
      <c r="O238" s="426"/>
      <c r="P238" s="423"/>
      <c r="Q238" s="404"/>
      <c r="R238" s="148"/>
      <c r="S238" s="242"/>
      <c r="T238" s="242"/>
      <c r="U238" s="242"/>
      <c r="V238" s="242"/>
      <c r="W238" s="242"/>
      <c r="X238" s="242"/>
      <c r="Y238" s="148"/>
      <c r="Z238" s="148"/>
    </row>
    <row r="239">
      <c r="A239" s="427" t="s">
        <v>201</v>
      </c>
      <c r="C239" s="204">
        <f>SUM(L238:L271)</f>
        <v>0</v>
      </c>
      <c r="D239" s="157"/>
      <c r="E239" s="545"/>
      <c r="F239" s="546"/>
      <c r="G239" s="578"/>
      <c r="H239" s="419"/>
      <c r="I239" s="239"/>
      <c r="J239" s="472" t="s">
        <v>345</v>
      </c>
      <c r="K239" s="420"/>
      <c r="L239" s="150"/>
      <c r="M239" s="374"/>
      <c r="O239" s="426"/>
      <c r="P239" s="423"/>
      <c r="Q239" s="404"/>
      <c r="R239" s="148"/>
      <c r="S239" s="242"/>
      <c r="T239" s="242"/>
      <c r="U239" s="242"/>
      <c r="V239" s="242"/>
      <c r="W239" s="242"/>
      <c r="X239" s="242"/>
      <c r="Y239" s="148"/>
      <c r="Z239" s="148"/>
    </row>
    <row r="240">
      <c r="A240" s="548" t="s">
        <v>761</v>
      </c>
      <c r="B240" s="549">
        <v>0.4</v>
      </c>
      <c r="C240" s="191"/>
      <c r="D240" s="157"/>
      <c r="E240" s="550" t="s">
        <v>695</v>
      </c>
      <c r="F240" s="546"/>
      <c r="G240" s="562"/>
      <c r="H240" s="419"/>
      <c r="I240" s="239"/>
      <c r="J240" s="433" t="s">
        <v>656</v>
      </c>
      <c r="K240" s="420"/>
      <c r="L240" s="193"/>
      <c r="M240" s="374"/>
      <c r="O240" s="426"/>
      <c r="P240" s="423"/>
      <c r="Q240" s="404"/>
      <c r="R240" s="148"/>
      <c r="S240" s="242"/>
      <c r="T240" s="242"/>
      <c r="U240" s="242"/>
      <c r="V240" s="242"/>
      <c r="W240" s="242"/>
      <c r="X240" s="242"/>
      <c r="Y240" s="148"/>
      <c r="Z240" s="148"/>
    </row>
    <row r="241">
      <c r="A241" s="434" t="s">
        <v>350</v>
      </c>
      <c r="C241" s="551">
        <f>C237-C239-C240</f>
        <v>0</v>
      </c>
      <c r="D241" s="157"/>
      <c r="E241" s="192"/>
      <c r="F241" s="546"/>
      <c r="G241" s="579"/>
      <c r="H241" s="419"/>
      <c r="I241" s="57"/>
      <c r="J241" s="444" t="s">
        <v>658</v>
      </c>
      <c r="K241" s="420"/>
      <c r="L241" s="193"/>
      <c r="M241" s="377"/>
      <c r="O241" s="431"/>
      <c r="P241" s="423"/>
      <c r="Q241" s="404"/>
      <c r="R241" s="148"/>
      <c r="S241" s="242"/>
      <c r="T241" s="242"/>
      <c r="U241" s="242"/>
      <c r="V241" s="242"/>
      <c r="W241" s="242"/>
      <c r="X241" s="242"/>
      <c r="Y241" s="148"/>
      <c r="Z241" s="148"/>
    </row>
    <row r="242">
      <c r="A242" s="554"/>
      <c r="B242" s="555"/>
      <c r="C242" s="447"/>
      <c r="D242" s="157"/>
      <c r="E242" s="192"/>
      <c r="F242" s="546"/>
      <c r="G242" s="562"/>
      <c r="H242" s="419"/>
      <c r="I242" s="57"/>
      <c r="J242" s="444" t="s">
        <v>660</v>
      </c>
      <c r="K242" s="420"/>
      <c r="L242" s="193"/>
      <c r="M242" s="377"/>
      <c r="O242" s="431"/>
      <c r="P242" s="423"/>
      <c r="Q242" s="404"/>
      <c r="R242" s="148"/>
      <c r="S242" s="242"/>
      <c r="T242" s="242"/>
      <c r="U242" s="242"/>
      <c r="V242" s="242"/>
      <c r="W242" s="242"/>
      <c r="X242" s="242"/>
      <c r="Y242" s="148"/>
      <c r="Z242" s="148"/>
    </row>
    <row r="243">
      <c r="A243" s="556"/>
      <c r="C243" s="395"/>
      <c r="D243" s="157"/>
      <c r="E243" s="192"/>
      <c r="F243" s="546"/>
      <c r="G243" s="562"/>
      <c r="H243" s="419"/>
      <c r="I243" s="239"/>
      <c r="J243" s="370" t="s">
        <v>662</v>
      </c>
      <c r="K243" s="420"/>
      <c r="L243" s="193"/>
      <c r="M243" s="374"/>
      <c r="O243" s="431"/>
      <c r="P243" s="423"/>
      <c r="Q243" s="404"/>
      <c r="R243" s="148"/>
      <c r="S243" s="242"/>
      <c r="T243" s="242"/>
      <c r="U243" s="242"/>
      <c r="V243" s="242"/>
      <c r="W243" s="242"/>
      <c r="X243" s="242"/>
      <c r="Y243" s="148"/>
      <c r="Z243" s="148"/>
    </row>
    <row r="244">
      <c r="A244" s="557"/>
      <c r="B244" s="109"/>
      <c r="C244" s="395"/>
      <c r="D244" s="373"/>
      <c r="E244" s="192"/>
      <c r="F244" s="546"/>
      <c r="G244" s="578"/>
      <c r="H244" s="419"/>
      <c r="I244" s="239"/>
      <c r="J244" s="433" t="s">
        <v>666</v>
      </c>
      <c r="K244" s="420"/>
      <c r="L244" s="193"/>
      <c r="M244" s="377"/>
      <c r="O244" s="431"/>
      <c r="P244" s="423"/>
      <c r="Q244" s="404"/>
      <c r="R244" s="148"/>
      <c r="S244" s="242"/>
      <c r="T244" s="242"/>
      <c r="U244" s="242"/>
      <c r="V244" s="242"/>
      <c r="W244" s="242"/>
      <c r="X244" s="242"/>
      <c r="Y244" s="148"/>
      <c r="Z244" s="148"/>
    </row>
    <row r="245">
      <c r="A245" s="559" t="s">
        <v>765</v>
      </c>
      <c r="B245" s="560">
        <f>SUM(D245:D271)</f>
        <v>0</v>
      </c>
      <c r="C245" s="477" t="s">
        <v>366</v>
      </c>
      <c r="D245" s="157"/>
      <c r="E245" s="192"/>
      <c r="F245" s="546"/>
      <c r="G245" s="562"/>
      <c r="H245" s="419"/>
      <c r="I245" s="239"/>
      <c r="J245" s="433" t="s">
        <v>668</v>
      </c>
      <c r="K245" s="420"/>
      <c r="L245" s="193"/>
      <c r="M245" s="377"/>
      <c r="O245" s="431"/>
      <c r="P245" s="423"/>
      <c r="Q245" s="404"/>
      <c r="R245" s="148"/>
      <c r="S245" s="242"/>
      <c r="T245" s="242"/>
      <c r="U245" s="242"/>
      <c r="V245" s="242"/>
      <c r="W245" s="242"/>
      <c r="X245" s="242"/>
      <c r="Y245" s="148"/>
      <c r="Z245" s="148"/>
    </row>
    <row r="246">
      <c r="A246" s="453" t="s">
        <v>369</v>
      </c>
      <c r="C246" s="561" t="s">
        <v>766</v>
      </c>
      <c r="D246" s="423"/>
      <c r="E246" s="192"/>
      <c r="F246" s="546"/>
      <c r="G246" s="562"/>
      <c r="H246" s="419"/>
      <c r="I246" s="239"/>
      <c r="J246" s="433" t="s">
        <v>670</v>
      </c>
      <c r="K246" s="458"/>
      <c r="L246" s="193"/>
      <c r="M246" s="377"/>
      <c r="O246" s="431"/>
      <c r="P246" s="423"/>
      <c r="Q246" s="404"/>
      <c r="R246" s="148"/>
      <c r="S246" s="242"/>
      <c r="T246" s="242"/>
      <c r="U246" s="242"/>
      <c r="V246" s="242"/>
      <c r="W246" s="242"/>
      <c r="X246" s="242"/>
      <c r="Y246" s="148"/>
      <c r="Z246" s="148"/>
    </row>
    <row r="247">
      <c r="C247" s="561" t="s">
        <v>767</v>
      </c>
      <c r="D247" s="423"/>
      <c r="E247" s="192"/>
      <c r="F247" s="546"/>
      <c r="G247" s="578"/>
      <c r="H247" s="419"/>
      <c r="I247" s="239"/>
      <c r="J247" s="433" t="s">
        <v>217</v>
      </c>
      <c r="K247" s="458"/>
      <c r="L247" s="150"/>
      <c r="M247" s="377"/>
      <c r="O247" s="431"/>
      <c r="P247" s="157"/>
      <c r="Q247" s="404"/>
      <c r="R247" s="148"/>
      <c r="S247" s="242"/>
      <c r="T247" s="242"/>
      <c r="U247" s="242"/>
      <c r="V247" s="242"/>
      <c r="W247" s="242"/>
      <c r="X247" s="242"/>
      <c r="Y247" s="148"/>
      <c r="Z247" s="148"/>
    </row>
    <row r="248">
      <c r="A248" s="57"/>
      <c r="B248" s="57"/>
      <c r="C248" s="561" t="s">
        <v>768</v>
      </c>
      <c r="D248" s="423"/>
      <c r="E248" s="192"/>
      <c r="F248" s="546"/>
      <c r="G248" s="562"/>
      <c r="H248" s="419"/>
      <c r="I248" s="239"/>
      <c r="J248" s="109"/>
      <c r="K248" s="420"/>
      <c r="L248" s="193"/>
      <c r="M248" s="374"/>
      <c r="O248" s="431"/>
      <c r="P248" s="157"/>
      <c r="Q248" s="404"/>
      <c r="R248" s="148"/>
      <c r="S248" s="242"/>
      <c r="T248" s="242"/>
      <c r="U248" s="242"/>
      <c r="V248" s="242"/>
      <c r="W248" s="242"/>
      <c r="X248" s="242"/>
      <c r="Y248" s="148"/>
      <c r="Z248" s="148"/>
    </row>
    <row r="249">
      <c r="A249" s="57"/>
      <c r="B249" s="57"/>
      <c r="C249" s="561" t="s">
        <v>769</v>
      </c>
      <c r="D249" s="157"/>
      <c r="E249" s="192"/>
      <c r="F249" s="546"/>
      <c r="G249" s="562"/>
      <c r="H249" s="419"/>
      <c r="I249" s="239"/>
      <c r="J249" s="456" t="s">
        <v>672</v>
      </c>
      <c r="K249" s="420"/>
      <c r="L249" s="150"/>
      <c r="M249" s="377"/>
      <c r="O249" s="431"/>
      <c r="P249" s="157"/>
      <c r="Q249" s="404"/>
      <c r="R249" s="148"/>
      <c r="S249" s="242"/>
      <c r="T249" s="242"/>
      <c r="U249" s="242"/>
      <c r="V249" s="242"/>
      <c r="W249" s="242"/>
      <c r="X249" s="242"/>
      <c r="Y249" s="148"/>
      <c r="Z249" s="148"/>
    </row>
    <row r="250">
      <c r="A250" s="57"/>
      <c r="B250" s="57"/>
      <c r="C250" s="561" t="s">
        <v>770</v>
      </c>
      <c r="D250" s="423"/>
      <c r="E250" s="192"/>
      <c r="F250" s="546"/>
      <c r="G250" s="578"/>
      <c r="H250" s="419"/>
      <c r="I250" s="57"/>
      <c r="J250" s="456" t="s">
        <v>675</v>
      </c>
      <c r="K250" s="420"/>
      <c r="L250" s="150"/>
      <c r="M250" s="382"/>
      <c r="O250" s="431"/>
      <c r="P250" s="157"/>
      <c r="Q250" s="404"/>
      <c r="R250" s="148"/>
      <c r="S250" s="242"/>
      <c r="T250" s="242"/>
      <c r="U250" s="242"/>
      <c r="V250" s="242"/>
      <c r="W250" s="242"/>
      <c r="X250" s="242"/>
      <c r="Y250" s="148"/>
      <c r="Z250" s="148"/>
    </row>
    <row r="251">
      <c r="A251" s="57"/>
      <c r="B251" s="57"/>
      <c r="C251" s="561" t="s">
        <v>793</v>
      </c>
      <c r="D251" s="423"/>
      <c r="E251" s="192"/>
      <c r="F251" s="546"/>
      <c r="G251" s="562"/>
      <c r="H251" s="419"/>
      <c r="I251" s="57"/>
      <c r="J251" s="456"/>
      <c r="K251" s="420"/>
      <c r="L251" s="150"/>
      <c r="M251" s="425"/>
      <c r="O251" s="431"/>
      <c r="P251" s="157"/>
      <c r="Q251" s="404"/>
      <c r="R251" s="148"/>
      <c r="S251" s="242"/>
      <c r="T251" s="242"/>
      <c r="U251" s="242"/>
      <c r="V251" s="242"/>
      <c r="W251" s="242"/>
      <c r="X251" s="242"/>
      <c r="Y251" s="148"/>
      <c r="Z251" s="148"/>
    </row>
    <row r="252">
      <c r="A252" s="239"/>
      <c r="B252" s="57"/>
      <c r="C252" s="561" t="s">
        <v>794</v>
      </c>
      <c r="D252" s="423"/>
      <c r="E252" s="192"/>
      <c r="F252" s="546"/>
      <c r="G252" s="562"/>
      <c r="H252" s="419"/>
      <c r="I252" s="57"/>
      <c r="J252" s="375"/>
      <c r="K252" s="420"/>
      <c r="L252" s="150"/>
      <c r="M252" s="425"/>
      <c r="O252" s="431"/>
      <c r="P252" s="157"/>
      <c r="Q252" s="404"/>
      <c r="R252" s="148"/>
      <c r="S252" s="242"/>
      <c r="T252" s="242"/>
      <c r="U252" s="242"/>
      <c r="V252" s="242"/>
      <c r="W252" s="242"/>
      <c r="X252" s="242"/>
      <c r="Y252" s="148"/>
      <c r="Z252" s="148"/>
    </row>
    <row r="253">
      <c r="A253" s="238"/>
      <c r="B253" s="57"/>
      <c r="C253" s="561" t="s">
        <v>18</v>
      </c>
      <c r="D253" s="157"/>
      <c r="E253" s="192"/>
      <c r="F253" s="546"/>
      <c r="G253" s="562"/>
      <c r="H253" s="419"/>
      <c r="I253" s="57"/>
      <c r="J253" s="375"/>
      <c r="K253" s="420"/>
      <c r="L253" s="193"/>
      <c r="M253" s="382"/>
      <c r="O253" s="431"/>
      <c r="P253" s="157"/>
      <c r="Q253" s="404"/>
      <c r="R253" s="148"/>
      <c r="S253" s="242"/>
      <c r="T253" s="242"/>
      <c r="U253" s="242"/>
      <c r="V253" s="242"/>
      <c r="W253" s="242"/>
      <c r="X253" s="242"/>
      <c r="Y253" s="148"/>
      <c r="Z253" s="148"/>
    </row>
    <row r="254">
      <c r="A254" s="238"/>
      <c r="B254" s="57"/>
      <c r="C254" s="563" t="s">
        <v>1115</v>
      </c>
      <c r="D254" s="157"/>
      <c r="E254" s="192"/>
      <c r="F254" s="546"/>
      <c r="G254" s="579"/>
      <c r="H254" s="419"/>
      <c r="I254" s="57"/>
      <c r="J254" s="452"/>
      <c r="K254" s="420"/>
      <c r="L254" s="150"/>
      <c r="M254" s="425"/>
      <c r="O254" s="431"/>
      <c r="P254" s="157"/>
      <c r="Q254" s="404"/>
      <c r="R254" s="148"/>
      <c r="S254" s="242"/>
      <c r="T254" s="242"/>
      <c r="U254" s="242"/>
      <c r="V254" s="242"/>
      <c r="W254" s="242"/>
      <c r="X254" s="242"/>
      <c r="Y254" s="148"/>
      <c r="Z254" s="148"/>
    </row>
    <row r="255">
      <c r="A255" s="57"/>
      <c r="B255" s="57"/>
      <c r="C255" s="561" t="s">
        <v>1116</v>
      </c>
      <c r="D255" s="423"/>
      <c r="E255" s="192"/>
      <c r="F255" s="546"/>
      <c r="G255" s="578"/>
      <c r="H255" s="419"/>
      <c r="I255" s="57"/>
      <c r="J255" s="105"/>
      <c r="K255" s="420"/>
      <c r="L255" s="150"/>
      <c r="M255" s="425"/>
      <c r="O255" s="431"/>
      <c r="P255" s="157"/>
      <c r="Q255" s="404"/>
      <c r="R255" s="148"/>
      <c r="S255" s="242"/>
      <c r="T255" s="242"/>
      <c r="U255" s="242"/>
      <c r="V255" s="242"/>
      <c r="W255" s="242"/>
      <c r="X255" s="242"/>
      <c r="Y255" s="148"/>
      <c r="Z255" s="148"/>
    </row>
    <row r="256">
      <c r="A256" s="239"/>
      <c r="B256" s="239"/>
      <c r="C256" s="561" t="s">
        <v>775</v>
      </c>
      <c r="D256" s="423"/>
      <c r="E256" s="228"/>
      <c r="F256" s="547"/>
      <c r="G256" s="578"/>
      <c r="H256" s="419"/>
      <c r="I256" s="57"/>
      <c r="J256" s="378" t="s">
        <v>682</v>
      </c>
      <c r="K256" s="420"/>
      <c r="L256" s="193"/>
      <c r="M256" s="377"/>
      <c r="O256" s="431"/>
      <c r="P256" s="157"/>
      <c r="Q256" s="404"/>
      <c r="R256" s="148"/>
      <c r="S256" s="242"/>
      <c r="T256" s="242"/>
      <c r="U256" s="242"/>
      <c r="V256" s="242"/>
      <c r="W256" s="242"/>
      <c r="X256" s="242"/>
      <c r="Y256" s="148"/>
      <c r="Z256" s="148"/>
    </row>
    <row r="257">
      <c r="A257" s="239"/>
      <c r="B257" s="239"/>
      <c r="C257" s="561" t="s">
        <v>10</v>
      </c>
      <c r="D257" s="157"/>
      <c r="E257" s="206"/>
      <c r="F257" s="564"/>
      <c r="G257" s="581"/>
      <c r="H257" s="419"/>
      <c r="I257" s="57"/>
      <c r="J257" s="461" t="s">
        <v>684</v>
      </c>
      <c r="K257" s="420"/>
      <c r="L257" s="193"/>
      <c r="M257" s="377"/>
      <c r="O257" s="431"/>
      <c r="P257" s="157"/>
      <c r="Q257" s="404"/>
      <c r="R257" s="148"/>
      <c r="S257" s="242"/>
      <c r="T257" s="242"/>
      <c r="U257" s="242"/>
      <c r="V257" s="242"/>
      <c r="W257" s="242"/>
      <c r="X257" s="242"/>
      <c r="Y257" s="148"/>
      <c r="Z257" s="148"/>
    </row>
    <row r="258">
      <c r="A258" s="239"/>
      <c r="B258" s="239"/>
      <c r="C258" s="561" t="s">
        <v>6</v>
      </c>
      <c r="D258" s="423"/>
      <c r="E258" s="206"/>
      <c r="F258" s="547"/>
      <c r="G258" s="579"/>
      <c r="H258" s="455"/>
      <c r="I258" s="57"/>
      <c r="J258" s="461" t="s">
        <v>686</v>
      </c>
      <c r="K258" s="420"/>
      <c r="L258" s="150"/>
      <c r="M258" s="374"/>
      <c r="O258" s="463"/>
      <c r="P258" s="157"/>
      <c r="Q258" s="404"/>
      <c r="R258" s="148"/>
      <c r="S258" s="242"/>
      <c r="T258" s="242"/>
      <c r="U258" s="242"/>
      <c r="V258" s="242"/>
      <c r="W258" s="242"/>
      <c r="X258" s="242"/>
      <c r="Y258" s="148"/>
      <c r="Z258" s="148"/>
    </row>
    <row r="259">
      <c r="A259" s="57"/>
      <c r="B259" s="57"/>
      <c r="C259" s="561" t="s">
        <v>779</v>
      </c>
      <c r="D259" s="157"/>
      <c r="E259" s="228"/>
      <c r="F259" s="547"/>
      <c r="G259" s="579"/>
      <c r="H259" s="455"/>
      <c r="I259" s="239"/>
      <c r="J259" s="460" t="s">
        <v>202</v>
      </c>
      <c r="K259" s="420"/>
      <c r="L259" s="193"/>
      <c r="M259" s="377"/>
      <c r="O259" s="463"/>
      <c r="P259" s="157"/>
      <c r="Q259" s="404"/>
      <c r="R259" s="148"/>
      <c r="S259" s="242"/>
      <c r="T259" s="242"/>
      <c r="U259" s="242"/>
      <c r="V259" s="242"/>
      <c r="W259" s="242"/>
      <c r="X259" s="242"/>
      <c r="Y259" s="148"/>
      <c r="Z259" s="148"/>
    </row>
    <row r="260">
      <c r="A260" s="239"/>
      <c r="B260" s="239"/>
      <c r="C260" s="561" t="s">
        <v>780</v>
      </c>
      <c r="D260" s="157"/>
      <c r="E260" s="228"/>
      <c r="F260" s="547"/>
      <c r="G260" s="579"/>
      <c r="H260" s="455"/>
      <c r="I260" s="57"/>
      <c r="J260" s="460" t="s">
        <v>274</v>
      </c>
      <c r="K260" s="420"/>
      <c r="L260" s="193"/>
      <c r="M260" s="377"/>
      <c r="O260" s="463"/>
      <c r="P260" s="157"/>
      <c r="Q260" s="404"/>
      <c r="R260" s="148"/>
      <c r="S260" s="242"/>
      <c r="T260" s="242"/>
      <c r="U260" s="242"/>
      <c r="V260" s="242"/>
      <c r="W260" s="242"/>
      <c r="X260" s="242"/>
      <c r="Y260" s="148"/>
      <c r="Z260" s="148"/>
    </row>
    <row r="261">
      <c r="A261" s="239"/>
      <c r="B261" s="239"/>
      <c r="C261" s="561" t="s">
        <v>781</v>
      </c>
      <c r="D261" s="423"/>
      <c r="E261" s="228"/>
      <c r="F261" s="547"/>
      <c r="G261" s="579"/>
      <c r="H261" s="419"/>
      <c r="I261" s="239"/>
      <c r="J261" s="685" t="s">
        <v>1117</v>
      </c>
      <c r="K261" s="420"/>
      <c r="L261" s="150"/>
      <c r="M261" s="374"/>
      <c r="O261" s="431"/>
      <c r="P261" s="157"/>
      <c r="Q261" s="404"/>
      <c r="R261" s="148"/>
      <c r="S261" s="242"/>
      <c r="T261" s="242"/>
      <c r="U261" s="242"/>
      <c r="V261" s="242"/>
      <c r="W261" s="242"/>
      <c r="X261" s="242"/>
      <c r="Y261" s="148"/>
      <c r="Z261" s="148"/>
    </row>
    <row r="262">
      <c r="A262" s="239"/>
      <c r="B262" s="157"/>
      <c r="C262" s="561" t="s">
        <v>1118</v>
      </c>
      <c r="D262" s="157"/>
      <c r="E262" s="569"/>
      <c r="F262" s="547"/>
      <c r="G262" s="578"/>
      <c r="H262" s="419"/>
      <c r="I262" s="57"/>
      <c r="J262" s="685" t="s">
        <v>1119</v>
      </c>
      <c r="K262" s="420"/>
      <c r="L262" s="193"/>
      <c r="M262" s="377"/>
      <c r="O262" s="431"/>
      <c r="P262" s="157"/>
      <c r="Q262" s="404"/>
      <c r="R262" s="148"/>
      <c r="S262" s="242"/>
      <c r="T262" s="242"/>
      <c r="U262" s="242"/>
      <c r="V262" s="242"/>
      <c r="W262" s="242"/>
      <c r="X262" s="242"/>
      <c r="Y262" s="148"/>
      <c r="Z262" s="148"/>
    </row>
    <row r="263">
      <c r="A263" s="239"/>
      <c r="B263" s="157"/>
      <c r="C263" s="561" t="s">
        <v>1120</v>
      </c>
      <c r="D263" s="157"/>
      <c r="E263" s="228"/>
      <c r="F263" s="547"/>
      <c r="G263" s="578"/>
      <c r="H263" s="419"/>
      <c r="I263" s="239"/>
      <c r="J263" s="596" t="s">
        <v>1001</v>
      </c>
      <c r="K263" s="420"/>
      <c r="L263" s="193"/>
      <c r="M263" s="377"/>
      <c r="O263" s="431"/>
      <c r="P263" s="157"/>
      <c r="Q263" s="404"/>
      <c r="R263" s="148"/>
      <c r="S263" s="242"/>
      <c r="T263" s="242"/>
      <c r="U263" s="242"/>
      <c r="V263" s="242"/>
      <c r="W263" s="242"/>
      <c r="X263" s="242"/>
      <c r="Y263" s="148"/>
      <c r="Z263" s="148"/>
    </row>
    <row r="264">
      <c r="A264" s="239"/>
      <c r="B264" s="157"/>
      <c r="C264" s="561"/>
      <c r="D264" s="157"/>
      <c r="E264" s="570"/>
      <c r="F264" s="547"/>
      <c r="G264" s="578"/>
      <c r="H264" s="419"/>
      <c r="I264" s="239"/>
      <c r="J264" s="568"/>
      <c r="K264" s="420"/>
      <c r="L264" s="193"/>
      <c r="M264" s="374"/>
      <c r="O264" s="431"/>
      <c r="P264" s="157"/>
      <c r="Q264" s="404"/>
      <c r="R264" s="148"/>
      <c r="S264" s="242"/>
      <c r="T264" s="242"/>
      <c r="U264" s="242"/>
      <c r="V264" s="242"/>
      <c r="W264" s="242"/>
      <c r="X264" s="242"/>
      <c r="Y264" s="148"/>
      <c r="Z264" s="148"/>
    </row>
    <row r="265">
      <c r="C265" s="571"/>
      <c r="D265" s="157"/>
      <c r="E265" s="570"/>
      <c r="F265" s="547"/>
      <c r="G265" s="578"/>
      <c r="H265" s="419"/>
      <c r="I265" s="239"/>
      <c r="J265" s="464" t="s">
        <v>692</v>
      </c>
      <c r="K265" s="420"/>
      <c r="L265" s="150"/>
      <c r="M265" s="377"/>
      <c r="O265" s="431"/>
      <c r="P265" s="157"/>
      <c r="Q265" s="404"/>
      <c r="R265" s="148"/>
      <c r="S265" s="242"/>
      <c r="T265" s="242"/>
      <c r="U265" s="242"/>
      <c r="V265" s="242"/>
      <c r="W265" s="242"/>
      <c r="X265" s="242"/>
      <c r="Y265" s="148"/>
      <c r="Z265" s="148"/>
    </row>
    <row r="266">
      <c r="C266" s="571"/>
      <c r="D266" s="157"/>
      <c r="E266" s="570"/>
      <c r="F266" s="547"/>
      <c r="G266" s="578"/>
      <c r="H266" s="419"/>
      <c r="I266" s="239"/>
      <c r="J266" s="464" t="s">
        <v>694</v>
      </c>
      <c r="K266" s="420"/>
      <c r="L266" s="150"/>
      <c r="M266" s="374"/>
      <c r="O266" s="431"/>
      <c r="P266" s="157"/>
      <c r="Q266" s="404"/>
      <c r="R266" s="148"/>
      <c r="S266" s="242"/>
      <c r="T266" s="242"/>
      <c r="U266" s="242"/>
      <c r="V266" s="242"/>
      <c r="W266" s="242"/>
      <c r="X266" s="242"/>
      <c r="Y266" s="148"/>
      <c r="Z266" s="148"/>
    </row>
    <row r="267">
      <c r="C267" s="571"/>
      <c r="D267" s="423"/>
      <c r="E267" s="570"/>
      <c r="F267" s="546"/>
      <c r="G267" s="578"/>
      <c r="H267" s="419"/>
      <c r="I267" s="57"/>
      <c r="J267" s="105"/>
      <c r="K267" s="57"/>
      <c r="L267" s="150"/>
      <c r="M267" s="57"/>
      <c r="N267" s="57"/>
      <c r="O267" s="57"/>
      <c r="P267" s="157"/>
      <c r="Q267" s="404"/>
      <c r="R267" s="148"/>
      <c r="S267" s="242"/>
      <c r="T267" s="242"/>
      <c r="U267" s="242"/>
      <c r="V267" s="242"/>
      <c r="W267" s="242"/>
      <c r="X267" s="242"/>
      <c r="Y267" s="148"/>
      <c r="Z267" s="148"/>
    </row>
    <row r="268">
      <c r="A268" s="125" t="s">
        <v>798</v>
      </c>
      <c r="B268" s="572">
        <f>C241-B245</f>
        <v>0</v>
      </c>
      <c r="D268" s="157"/>
      <c r="E268" s="570"/>
      <c r="F268" s="573"/>
      <c r="G268" s="581"/>
      <c r="H268" s="419"/>
      <c r="I268" s="239"/>
      <c r="J268" s="568"/>
      <c r="K268" s="57"/>
      <c r="L268" s="150"/>
      <c r="M268" s="57"/>
      <c r="N268" s="57"/>
      <c r="O268" s="57"/>
      <c r="P268" s="157"/>
      <c r="Q268" s="404"/>
      <c r="R268" s="148"/>
      <c r="S268" s="242"/>
      <c r="T268" s="242"/>
      <c r="U268" s="242"/>
      <c r="V268" s="242"/>
      <c r="W268" s="242"/>
      <c r="X268" s="242"/>
      <c r="Y268" s="148"/>
      <c r="Z268" s="148"/>
    </row>
    <row r="269">
      <c r="A269" s="274" t="s">
        <v>783</v>
      </c>
      <c r="B269" s="109"/>
      <c r="C269" s="395"/>
      <c r="D269" s="157"/>
      <c r="E269" s="570"/>
      <c r="F269" s="573"/>
      <c r="G269" s="478"/>
      <c r="H269" s="419"/>
      <c r="I269" s="239"/>
      <c r="J269" s="568"/>
      <c r="K269" s="57"/>
      <c r="L269" s="150"/>
      <c r="M269" s="57"/>
      <c r="N269" s="57"/>
      <c r="O269" s="57"/>
      <c r="P269" s="157"/>
      <c r="Q269" s="404"/>
      <c r="R269" s="148"/>
      <c r="S269" s="242"/>
      <c r="T269" s="242"/>
      <c r="U269" s="242"/>
      <c r="V269" s="242"/>
      <c r="W269" s="242"/>
      <c r="X269" s="242"/>
      <c r="Y269" s="148"/>
      <c r="Z269" s="148"/>
    </row>
    <row r="270">
      <c r="A270" s="274" t="s">
        <v>784</v>
      </c>
      <c r="B270" s="109"/>
      <c r="C270" s="395"/>
      <c r="D270" s="157"/>
      <c r="E270" s="570"/>
      <c r="F270" s="573"/>
      <c r="G270" s="478"/>
      <c r="H270" s="419"/>
      <c r="I270" s="239"/>
      <c r="J270" s="568"/>
      <c r="K270" s="57"/>
      <c r="L270" s="150"/>
      <c r="M270" s="57"/>
      <c r="N270" s="57"/>
      <c r="O270" s="57"/>
      <c r="P270" s="157"/>
      <c r="Q270" s="404"/>
      <c r="R270" s="148"/>
      <c r="S270" s="242"/>
      <c r="T270" s="242"/>
      <c r="U270" s="242"/>
      <c r="V270" s="242"/>
      <c r="W270" s="242"/>
      <c r="X270" s="242"/>
      <c r="Y270" s="148"/>
      <c r="Z270" s="148"/>
    </row>
    <row r="271">
      <c r="A271" s="274" t="s">
        <v>785</v>
      </c>
      <c r="B271" s="109"/>
      <c r="C271" s="686">
        <f>SUM(B269:B271)</f>
        <v>0</v>
      </c>
      <c r="D271" s="157"/>
      <c r="E271" s="570"/>
      <c r="F271" s="573"/>
      <c r="G271" s="478"/>
      <c r="H271" s="419"/>
      <c r="I271" s="239"/>
      <c r="J271" s="568"/>
      <c r="K271" s="57"/>
      <c r="L271" s="150"/>
      <c r="M271" s="57"/>
      <c r="N271" s="57"/>
      <c r="O271" s="57"/>
      <c r="P271" s="157"/>
      <c r="Q271" s="404"/>
      <c r="R271" s="148"/>
      <c r="S271" s="242"/>
      <c r="T271" s="242"/>
      <c r="U271" s="242"/>
      <c r="V271" s="242"/>
      <c r="W271" s="242"/>
      <c r="X271" s="242"/>
      <c r="Y271" s="148"/>
      <c r="Z271" s="148"/>
    </row>
    <row r="272">
      <c r="A272" s="402"/>
      <c r="B272" s="403"/>
      <c r="C272" s="403"/>
      <c r="D272" s="403"/>
      <c r="E272" s="574"/>
      <c r="F272" s="575"/>
      <c r="G272" s="159"/>
      <c r="H272" s="159"/>
      <c r="I272" s="159"/>
      <c r="J272" s="576"/>
      <c r="K272" s="159"/>
      <c r="L272" s="162"/>
      <c r="M272" s="402"/>
      <c r="N272" s="402"/>
      <c r="O272" s="159"/>
      <c r="P272" s="403"/>
      <c r="Q272" s="577"/>
      <c r="R272" s="148"/>
      <c r="S272" s="242"/>
      <c r="T272" s="242"/>
      <c r="U272" s="242"/>
      <c r="V272" s="242"/>
      <c r="W272" s="242"/>
      <c r="X272" s="242"/>
      <c r="Y272" s="148"/>
      <c r="Z272" s="148"/>
    </row>
    <row r="273">
      <c r="A273" s="148"/>
      <c r="B273" s="148"/>
      <c r="C273" s="148"/>
      <c r="D273" s="245"/>
      <c r="E273" s="585"/>
      <c r="F273" s="586"/>
      <c r="G273" s="148"/>
      <c r="H273" s="148"/>
      <c r="I273" s="251"/>
      <c r="J273" s="243"/>
      <c r="K273" s="148"/>
      <c r="L273" s="277"/>
      <c r="M273" s="252"/>
      <c r="N273" s="250"/>
      <c r="O273" s="253"/>
      <c r="P273" s="240"/>
      <c r="Q273" s="148"/>
      <c r="R273" s="148"/>
      <c r="S273" s="242"/>
      <c r="T273" s="242"/>
      <c r="U273" s="242"/>
      <c r="V273" s="242"/>
      <c r="W273" s="242"/>
      <c r="X273" s="242"/>
      <c r="Y273" s="148"/>
      <c r="Z273" s="148"/>
    </row>
    <row r="274">
      <c r="A274" s="169" t="s">
        <v>857</v>
      </c>
      <c r="B274" s="539"/>
      <c r="C274" s="540"/>
      <c r="D274" s="405"/>
      <c r="E274" s="541"/>
      <c r="F274" s="542"/>
      <c r="G274" s="467" t="s">
        <v>333</v>
      </c>
      <c r="H274" s="361"/>
      <c r="I274" s="57"/>
      <c r="J274" s="105"/>
      <c r="K274" s="57"/>
      <c r="L274" s="150"/>
      <c r="M274" s="239"/>
      <c r="N274" s="239"/>
      <c r="O274" s="57"/>
      <c r="P274" s="157"/>
      <c r="Q274" s="404"/>
      <c r="R274" s="148"/>
      <c r="S274" s="242"/>
      <c r="T274" s="242"/>
      <c r="U274" s="242"/>
      <c r="V274" s="242"/>
      <c r="W274" s="242"/>
      <c r="X274" s="242"/>
      <c r="Y274" s="148"/>
      <c r="Z274" s="148"/>
    </row>
    <row r="275">
      <c r="A275" s="468"/>
      <c r="B275" s="157"/>
      <c r="C275" s="466"/>
      <c r="D275" s="405"/>
      <c r="E275" s="543" t="s">
        <v>335</v>
      </c>
      <c r="F275" s="544" t="s">
        <v>237</v>
      </c>
      <c r="G275" s="412" t="s">
        <v>336</v>
      </c>
      <c r="H275" s="413" t="s">
        <v>337</v>
      </c>
      <c r="I275" s="239"/>
      <c r="J275" s="145" t="s">
        <v>60</v>
      </c>
      <c r="K275" s="57"/>
      <c r="L275" s="150"/>
      <c r="M275" s="414"/>
      <c r="N275" s="414"/>
      <c r="O275" s="57" t="s">
        <v>334</v>
      </c>
      <c r="P275" s="157"/>
      <c r="Q275" s="404"/>
      <c r="R275" s="148"/>
      <c r="S275" s="242"/>
      <c r="T275" s="242"/>
      <c r="U275" s="242"/>
      <c r="V275" s="242"/>
      <c r="W275" s="242"/>
      <c r="X275" s="242"/>
      <c r="Y275" s="148"/>
      <c r="Z275" s="148"/>
    </row>
    <row r="276">
      <c r="A276" s="470" t="s">
        <v>179</v>
      </c>
      <c r="C276" s="416">
        <f>SUM(F276:F310)</f>
        <v>0</v>
      </c>
      <c r="D276" s="405"/>
      <c r="E276" s="545"/>
      <c r="F276" s="546"/>
      <c r="G276" s="419"/>
      <c r="H276" s="419"/>
      <c r="I276" s="57"/>
      <c r="K276" s="57"/>
      <c r="L276" s="150"/>
      <c r="M276" s="377" t="s">
        <v>366</v>
      </c>
      <c r="P276" s="157"/>
      <c r="Q276" s="404"/>
      <c r="R276" s="148"/>
      <c r="S276" s="242"/>
      <c r="T276" s="242"/>
      <c r="U276" s="242"/>
      <c r="V276" s="242"/>
      <c r="W276" s="242"/>
      <c r="X276" s="242"/>
      <c r="Y276" s="148"/>
      <c r="Z276" s="148"/>
    </row>
    <row r="277">
      <c r="A277" s="421" t="s">
        <v>343</v>
      </c>
      <c r="B277" s="422" t="s">
        <v>321</v>
      </c>
      <c r="C277" s="416">
        <f>SUM(P277:P310)</f>
        <v>0</v>
      </c>
      <c r="D277" s="157"/>
      <c r="E277" s="545"/>
      <c r="F277" s="546"/>
      <c r="G277" s="419"/>
      <c r="H277" s="419"/>
      <c r="I277" s="239"/>
      <c r="J277" s="471" t="s">
        <v>341</v>
      </c>
      <c r="K277" s="420"/>
      <c r="L277" s="150"/>
      <c r="M277" s="374"/>
      <c r="O277" s="431"/>
      <c r="P277" s="423"/>
      <c r="Q277" s="404"/>
      <c r="R277" s="148"/>
      <c r="S277" s="242"/>
      <c r="T277" s="242"/>
      <c r="U277" s="242"/>
      <c r="V277" s="242"/>
      <c r="W277" s="242"/>
      <c r="X277" s="242"/>
      <c r="Y277" s="148"/>
      <c r="Z277" s="148"/>
    </row>
    <row r="278">
      <c r="A278" s="427" t="s">
        <v>201</v>
      </c>
      <c r="C278" s="204">
        <f>SUM(L277:L310)</f>
        <v>0</v>
      </c>
      <c r="D278" s="157"/>
      <c r="E278" s="545"/>
      <c r="F278" s="547"/>
      <c r="G278" s="419"/>
      <c r="H278" s="419"/>
      <c r="I278" s="239"/>
      <c r="J278" s="472" t="s">
        <v>345</v>
      </c>
      <c r="K278" s="420"/>
      <c r="L278" s="193"/>
      <c r="M278" s="377"/>
      <c r="O278" s="431"/>
      <c r="P278" s="423"/>
      <c r="Q278" s="404"/>
      <c r="R278" s="148"/>
      <c r="S278" s="242"/>
      <c r="T278" s="242"/>
      <c r="U278" s="242"/>
      <c r="V278" s="242"/>
      <c r="W278" s="242"/>
      <c r="X278" s="242"/>
      <c r="Y278" s="148"/>
      <c r="Z278" s="148"/>
    </row>
    <row r="279">
      <c r="A279" s="548" t="s">
        <v>761</v>
      </c>
      <c r="B279" s="549">
        <v>0.4</v>
      </c>
      <c r="C279" s="191"/>
      <c r="D279" s="157"/>
      <c r="E279" s="550" t="s">
        <v>695</v>
      </c>
      <c r="F279" s="546"/>
      <c r="G279" s="419"/>
      <c r="H279" s="419"/>
      <c r="I279" s="239"/>
      <c r="J279" s="433" t="s">
        <v>656</v>
      </c>
      <c r="K279" s="420"/>
      <c r="L279" s="193"/>
      <c r="M279" s="377"/>
      <c r="O279" s="431"/>
      <c r="P279" s="423"/>
      <c r="Q279" s="404"/>
      <c r="R279" s="148"/>
      <c r="S279" s="242"/>
      <c r="T279" s="242"/>
      <c r="U279" s="242"/>
      <c r="V279" s="242"/>
      <c r="W279" s="242"/>
      <c r="X279" s="242"/>
      <c r="Y279" s="148"/>
      <c r="Z279" s="148"/>
    </row>
    <row r="280">
      <c r="A280" s="434" t="s">
        <v>350</v>
      </c>
      <c r="C280" s="551">
        <f>C276-C278-C279</f>
        <v>0</v>
      </c>
      <c r="D280" s="157"/>
      <c r="E280" s="228"/>
      <c r="F280" s="547"/>
      <c r="G280" s="455"/>
      <c r="H280" s="419"/>
      <c r="I280" s="57"/>
      <c r="J280" s="444" t="s">
        <v>658</v>
      </c>
      <c r="K280" s="420"/>
      <c r="L280" s="193"/>
      <c r="M280" s="377"/>
      <c r="O280" s="431"/>
      <c r="P280" s="157"/>
      <c r="Q280" s="404"/>
      <c r="R280" s="148"/>
      <c r="S280" s="242"/>
      <c r="T280" s="242"/>
      <c r="U280" s="242"/>
      <c r="V280" s="242"/>
      <c r="W280" s="242"/>
      <c r="X280" s="242"/>
      <c r="Y280" s="148"/>
      <c r="Z280" s="148"/>
    </row>
    <row r="281">
      <c r="A281" s="554"/>
      <c r="B281" s="555"/>
      <c r="C281" s="447"/>
      <c r="D281" s="157"/>
      <c r="E281" s="228"/>
      <c r="F281" s="547"/>
      <c r="G281" s="419"/>
      <c r="H281" s="419"/>
      <c r="I281" s="57"/>
      <c r="J281" s="444" t="s">
        <v>660</v>
      </c>
      <c r="K281" s="420"/>
      <c r="L281" s="193"/>
      <c r="M281" s="377"/>
      <c r="O281" s="431"/>
      <c r="P281" s="157"/>
      <c r="Q281" s="404"/>
      <c r="R281" s="148"/>
      <c r="S281" s="242"/>
      <c r="T281" s="242"/>
      <c r="U281" s="242"/>
      <c r="V281" s="242"/>
      <c r="W281" s="242"/>
      <c r="X281" s="242"/>
      <c r="Y281" s="148"/>
      <c r="Z281" s="148"/>
    </row>
    <row r="282">
      <c r="A282" s="556"/>
      <c r="C282" s="395"/>
      <c r="D282" s="157"/>
      <c r="E282" s="228"/>
      <c r="F282" s="546"/>
      <c r="G282" s="455"/>
      <c r="H282" s="419"/>
      <c r="I282" s="239"/>
      <c r="J282" s="370" t="s">
        <v>662</v>
      </c>
      <c r="K282" s="420"/>
      <c r="L282" s="193"/>
      <c r="M282" s="374"/>
      <c r="O282" s="431"/>
      <c r="P282" s="157"/>
      <c r="Q282" s="404"/>
      <c r="R282" s="148"/>
      <c r="S282" s="242"/>
      <c r="T282" s="242"/>
      <c r="U282" s="242"/>
      <c r="V282" s="242"/>
      <c r="W282" s="242"/>
      <c r="X282" s="242"/>
      <c r="Y282" s="148"/>
      <c r="Z282" s="148"/>
    </row>
    <row r="283">
      <c r="A283" s="557"/>
      <c r="B283" s="109"/>
      <c r="C283" s="395"/>
      <c r="D283" s="373"/>
      <c r="E283" s="228"/>
      <c r="F283" s="547"/>
      <c r="G283" s="419"/>
      <c r="H283" s="419"/>
      <c r="I283" s="239"/>
      <c r="J283" s="433" t="s">
        <v>666</v>
      </c>
      <c r="K283" s="420"/>
      <c r="L283" s="150"/>
      <c r="M283" s="374"/>
      <c r="O283" s="431"/>
      <c r="P283" s="157"/>
      <c r="Q283" s="404"/>
      <c r="R283" s="148"/>
      <c r="S283" s="242"/>
      <c r="T283" s="242"/>
      <c r="U283" s="242"/>
      <c r="V283" s="242"/>
      <c r="W283" s="242"/>
      <c r="X283" s="242"/>
      <c r="Y283" s="148"/>
      <c r="Z283" s="148"/>
    </row>
    <row r="284">
      <c r="A284" s="559" t="s">
        <v>765</v>
      </c>
      <c r="B284" s="560">
        <f>SUM(D284:D310)</f>
        <v>0</v>
      </c>
      <c r="C284" s="477" t="s">
        <v>366</v>
      </c>
      <c r="D284" s="157"/>
      <c r="E284" s="228"/>
      <c r="F284" s="547"/>
      <c r="G284" s="419"/>
      <c r="H284" s="419"/>
      <c r="I284" s="239"/>
      <c r="J284" s="433" t="s">
        <v>668</v>
      </c>
      <c r="K284" s="420"/>
      <c r="L284" s="150"/>
      <c r="M284" s="377"/>
      <c r="O284" s="431"/>
      <c r="P284" s="157"/>
      <c r="Q284" s="404"/>
      <c r="R284" s="148"/>
      <c r="S284" s="242"/>
      <c r="T284" s="242"/>
      <c r="U284" s="242"/>
      <c r="V284" s="242"/>
      <c r="W284" s="242"/>
      <c r="X284" s="242"/>
      <c r="Y284" s="148"/>
      <c r="Z284" s="148"/>
    </row>
    <row r="285">
      <c r="A285" s="453" t="s">
        <v>369</v>
      </c>
      <c r="C285" s="561" t="s">
        <v>766</v>
      </c>
      <c r="D285" s="423"/>
      <c r="E285" s="228"/>
      <c r="F285" s="547"/>
      <c r="G285" s="419"/>
      <c r="H285" s="419"/>
      <c r="I285" s="239"/>
      <c r="J285" s="433" t="s">
        <v>670</v>
      </c>
      <c r="K285" s="458"/>
      <c r="L285" s="193"/>
      <c r="M285" s="377"/>
      <c r="O285" s="431"/>
      <c r="P285" s="157"/>
      <c r="Q285" s="404"/>
      <c r="R285" s="148"/>
      <c r="S285" s="242"/>
      <c r="T285" s="242"/>
      <c r="U285" s="242"/>
      <c r="V285" s="242"/>
      <c r="W285" s="242"/>
      <c r="X285" s="242"/>
      <c r="Y285" s="148"/>
      <c r="Z285" s="148"/>
    </row>
    <row r="286">
      <c r="C286" s="561" t="s">
        <v>767</v>
      </c>
      <c r="D286" s="157"/>
      <c r="E286" s="228"/>
      <c r="F286" s="547"/>
      <c r="G286" s="419"/>
      <c r="H286" s="419"/>
      <c r="I286" s="239"/>
      <c r="J286" s="433" t="s">
        <v>217</v>
      </c>
      <c r="K286" s="458"/>
      <c r="L286" s="150"/>
      <c r="M286" s="377"/>
      <c r="O286" s="431"/>
      <c r="P286" s="157"/>
      <c r="Q286" s="404"/>
      <c r="R286" s="148"/>
      <c r="S286" s="242"/>
      <c r="T286" s="242"/>
      <c r="U286" s="242"/>
      <c r="V286" s="242"/>
      <c r="W286" s="242"/>
      <c r="X286" s="242"/>
      <c r="Y286" s="148"/>
      <c r="Z286" s="148"/>
    </row>
    <row r="287">
      <c r="A287" s="57"/>
      <c r="B287" s="57"/>
      <c r="C287" s="561" t="s">
        <v>768</v>
      </c>
      <c r="D287" s="423"/>
      <c r="E287" s="228"/>
      <c r="F287" s="547"/>
      <c r="G287" s="419"/>
      <c r="H287" s="419"/>
      <c r="I287" s="239"/>
      <c r="J287" s="109"/>
      <c r="K287" s="420"/>
      <c r="L287" s="193"/>
      <c r="M287" s="374"/>
      <c r="O287" s="431"/>
      <c r="P287" s="157"/>
      <c r="Q287" s="404"/>
      <c r="R287" s="148"/>
      <c r="S287" s="242"/>
      <c r="T287" s="242"/>
      <c r="U287" s="242"/>
      <c r="V287" s="242"/>
      <c r="W287" s="242"/>
      <c r="X287" s="242"/>
      <c r="Y287" s="148"/>
      <c r="Z287" s="148"/>
    </row>
    <row r="288">
      <c r="A288" s="57"/>
      <c r="B288" s="57"/>
      <c r="C288" s="561" t="s">
        <v>769</v>
      </c>
      <c r="D288" s="157"/>
      <c r="E288" s="228"/>
      <c r="F288" s="547"/>
      <c r="G288" s="419"/>
      <c r="H288" s="419"/>
      <c r="I288" s="239"/>
      <c r="J288" s="456" t="s">
        <v>672</v>
      </c>
      <c r="K288" s="420"/>
      <c r="L288" s="150"/>
      <c r="M288" s="377"/>
      <c r="O288" s="431"/>
      <c r="P288" s="157"/>
      <c r="Q288" s="404"/>
      <c r="R288" s="148"/>
      <c r="S288" s="242"/>
      <c r="T288" s="242"/>
      <c r="U288" s="242"/>
      <c r="V288" s="242"/>
      <c r="W288" s="242"/>
      <c r="X288" s="242"/>
      <c r="Y288" s="148"/>
      <c r="Z288" s="148"/>
    </row>
    <row r="289">
      <c r="A289" s="57"/>
      <c r="B289" s="57"/>
      <c r="C289" s="561" t="s">
        <v>770</v>
      </c>
      <c r="D289" s="423"/>
      <c r="E289" s="228"/>
      <c r="F289" s="547"/>
      <c r="G289" s="419"/>
      <c r="H289" s="419"/>
      <c r="I289" s="57"/>
      <c r="J289" s="456" t="s">
        <v>675</v>
      </c>
      <c r="K289" s="420"/>
      <c r="L289" s="150"/>
      <c r="M289" s="382"/>
      <c r="O289" s="431"/>
      <c r="P289" s="157"/>
      <c r="Q289" s="404"/>
      <c r="R289" s="148"/>
      <c r="S289" s="242"/>
      <c r="T289" s="242"/>
      <c r="U289" s="242"/>
      <c r="V289" s="242"/>
      <c r="W289" s="242"/>
      <c r="X289" s="242"/>
      <c r="Y289" s="148"/>
      <c r="Z289" s="148"/>
    </row>
    <row r="290">
      <c r="A290" s="57"/>
      <c r="B290" s="57"/>
      <c r="C290" s="561" t="s">
        <v>793</v>
      </c>
      <c r="D290" s="423"/>
      <c r="E290" s="228"/>
      <c r="F290" s="547"/>
      <c r="G290" s="455"/>
      <c r="H290" s="419"/>
      <c r="I290" s="57"/>
      <c r="J290" s="456"/>
      <c r="K290" s="420"/>
      <c r="L290" s="150"/>
      <c r="M290" s="425"/>
      <c r="O290" s="431"/>
      <c r="P290" s="157"/>
      <c r="Q290" s="404"/>
      <c r="R290" s="148"/>
      <c r="S290" s="242"/>
      <c r="T290" s="242"/>
      <c r="U290" s="242"/>
      <c r="V290" s="242"/>
      <c r="W290" s="242"/>
      <c r="X290" s="242"/>
      <c r="Y290" s="148"/>
      <c r="Z290" s="148"/>
    </row>
    <row r="291">
      <c r="A291" s="239"/>
      <c r="B291" s="57"/>
      <c r="C291" s="561" t="s">
        <v>794</v>
      </c>
      <c r="D291" s="423"/>
      <c r="E291" s="228"/>
      <c r="F291" s="547"/>
      <c r="G291" s="419"/>
      <c r="H291" s="419"/>
      <c r="I291" s="57"/>
      <c r="J291" s="375"/>
      <c r="K291" s="420"/>
      <c r="L291" s="150"/>
      <c r="M291" s="425"/>
      <c r="O291" s="431"/>
      <c r="P291" s="157"/>
      <c r="Q291" s="404"/>
      <c r="R291" s="148"/>
      <c r="S291" s="242"/>
      <c r="T291" s="242"/>
      <c r="U291" s="242"/>
      <c r="V291" s="242"/>
      <c r="W291" s="242"/>
      <c r="X291" s="242"/>
      <c r="Y291" s="148"/>
      <c r="Z291" s="148"/>
    </row>
    <row r="292">
      <c r="A292" s="239"/>
      <c r="B292" s="57"/>
      <c r="C292" s="561" t="s">
        <v>18</v>
      </c>
      <c r="D292" s="423"/>
      <c r="E292" s="228"/>
      <c r="F292" s="547"/>
      <c r="G292" s="419"/>
      <c r="H292" s="419"/>
      <c r="I292" s="57"/>
      <c r="J292" s="375"/>
      <c r="K292" s="420"/>
      <c r="L292" s="193"/>
      <c r="M292" s="382"/>
      <c r="O292" s="431"/>
      <c r="P292" s="157"/>
      <c r="Q292" s="404"/>
      <c r="R292" s="148"/>
      <c r="S292" s="242"/>
      <c r="T292" s="242"/>
      <c r="U292" s="242"/>
      <c r="V292" s="242"/>
      <c r="W292" s="242"/>
      <c r="X292" s="242"/>
      <c r="Y292" s="148"/>
      <c r="Z292" s="148"/>
    </row>
    <row r="293">
      <c r="A293" s="239"/>
      <c r="B293" s="57"/>
      <c r="C293" s="563" t="s">
        <v>1115</v>
      </c>
      <c r="D293" s="423"/>
      <c r="E293" s="228"/>
      <c r="F293" s="547"/>
      <c r="G293" s="455"/>
      <c r="H293" s="419"/>
      <c r="I293" s="57"/>
      <c r="J293" s="452"/>
      <c r="K293" s="420"/>
      <c r="L293" s="150"/>
      <c r="M293" s="425"/>
      <c r="O293" s="431"/>
      <c r="P293" s="157"/>
      <c r="Q293" s="404"/>
      <c r="R293" s="148"/>
      <c r="S293" s="242"/>
      <c r="T293" s="242"/>
      <c r="U293" s="242"/>
      <c r="V293" s="242"/>
      <c r="W293" s="242"/>
      <c r="X293" s="242"/>
      <c r="Y293" s="148"/>
      <c r="Z293" s="148"/>
    </row>
    <row r="294">
      <c r="A294" s="57"/>
      <c r="B294" s="57"/>
      <c r="C294" s="561" t="s">
        <v>1116</v>
      </c>
      <c r="D294" s="423"/>
      <c r="E294" s="228"/>
      <c r="F294" s="547"/>
      <c r="G294" s="419"/>
      <c r="H294" s="419"/>
      <c r="I294" s="57"/>
      <c r="J294" s="105"/>
      <c r="K294" s="420"/>
      <c r="L294" s="193"/>
      <c r="M294" s="425"/>
      <c r="O294" s="431"/>
      <c r="P294" s="157"/>
      <c r="Q294" s="404"/>
      <c r="R294" s="148"/>
      <c r="S294" s="242"/>
      <c r="T294" s="242"/>
      <c r="U294" s="242"/>
      <c r="V294" s="242"/>
      <c r="W294" s="242"/>
      <c r="X294" s="242"/>
      <c r="Y294" s="148"/>
      <c r="Z294" s="148"/>
    </row>
    <row r="295">
      <c r="A295" s="239"/>
      <c r="B295" s="239"/>
      <c r="C295" s="561" t="s">
        <v>775</v>
      </c>
      <c r="D295" s="423"/>
      <c r="E295" s="228"/>
      <c r="F295" s="547"/>
      <c r="G295" s="419"/>
      <c r="H295" s="419"/>
      <c r="I295" s="57"/>
      <c r="J295" s="378" t="s">
        <v>682</v>
      </c>
      <c r="K295" s="420"/>
      <c r="L295" s="193"/>
      <c r="M295" s="377"/>
      <c r="O295" s="431"/>
      <c r="P295" s="157"/>
      <c r="Q295" s="404"/>
      <c r="R295" s="148"/>
      <c r="S295" s="242"/>
      <c r="T295" s="242"/>
      <c r="U295" s="242"/>
      <c r="V295" s="242"/>
      <c r="W295" s="242"/>
      <c r="X295" s="242"/>
      <c r="Y295" s="148"/>
      <c r="Z295" s="148"/>
    </row>
    <row r="296">
      <c r="A296" s="239"/>
      <c r="B296" s="239"/>
      <c r="C296" s="561" t="s">
        <v>10</v>
      </c>
      <c r="D296" s="157"/>
      <c r="E296" s="206"/>
      <c r="F296" s="564"/>
      <c r="G296" s="478"/>
      <c r="H296" s="419"/>
      <c r="I296" s="57"/>
      <c r="J296" s="461" t="s">
        <v>684</v>
      </c>
      <c r="K296" s="420"/>
      <c r="L296" s="193"/>
      <c r="M296" s="377"/>
      <c r="O296" s="431"/>
      <c r="P296" s="157"/>
      <c r="Q296" s="404"/>
      <c r="R296" s="148"/>
      <c r="S296" s="242"/>
      <c r="T296" s="242"/>
      <c r="U296" s="242"/>
      <c r="V296" s="242"/>
      <c r="W296" s="242"/>
      <c r="X296" s="242"/>
      <c r="Y296" s="148"/>
      <c r="Z296" s="148"/>
    </row>
    <row r="297">
      <c r="A297" s="239"/>
      <c r="B297" s="239"/>
      <c r="C297" s="561" t="s">
        <v>6</v>
      </c>
      <c r="D297" s="157"/>
      <c r="E297" s="206"/>
      <c r="F297" s="547"/>
      <c r="G297" s="455"/>
      <c r="H297" s="455"/>
      <c r="I297" s="57"/>
      <c r="J297" s="461" t="s">
        <v>686</v>
      </c>
      <c r="K297" s="420"/>
      <c r="L297" s="150"/>
      <c r="M297" s="374"/>
      <c r="O297" s="463"/>
      <c r="P297" s="157"/>
      <c r="Q297" s="404"/>
      <c r="R297" s="148"/>
      <c r="S297" s="242"/>
      <c r="T297" s="242"/>
      <c r="U297" s="242"/>
      <c r="V297" s="242"/>
      <c r="W297" s="242"/>
      <c r="X297" s="242"/>
      <c r="Y297" s="148"/>
      <c r="Z297" s="148"/>
    </row>
    <row r="298">
      <c r="A298" s="57"/>
      <c r="B298" s="57"/>
      <c r="C298" s="561" t="s">
        <v>779</v>
      </c>
      <c r="D298" s="157"/>
      <c r="E298" s="228"/>
      <c r="F298" s="547"/>
      <c r="G298" s="455"/>
      <c r="H298" s="455"/>
      <c r="I298" s="239"/>
      <c r="J298" s="460" t="s">
        <v>202</v>
      </c>
      <c r="K298" s="420"/>
      <c r="L298" s="193"/>
      <c r="M298" s="377"/>
      <c r="O298" s="463"/>
      <c r="P298" s="157"/>
      <c r="Q298" s="404"/>
      <c r="R298" s="148"/>
      <c r="S298" s="242"/>
      <c r="T298" s="242"/>
      <c r="U298" s="242"/>
      <c r="V298" s="242"/>
      <c r="W298" s="242"/>
      <c r="X298" s="242"/>
      <c r="Y298" s="148"/>
      <c r="Z298" s="148"/>
    </row>
    <row r="299">
      <c r="A299" s="239"/>
      <c r="B299" s="239"/>
      <c r="C299" s="561" t="s">
        <v>780</v>
      </c>
      <c r="D299" s="157"/>
      <c r="E299" s="228"/>
      <c r="F299" s="547"/>
      <c r="G299" s="455"/>
      <c r="H299" s="455"/>
      <c r="I299" s="57"/>
      <c r="J299" s="460" t="s">
        <v>274</v>
      </c>
      <c r="K299" s="420"/>
      <c r="L299" s="193"/>
      <c r="M299" s="374"/>
      <c r="O299" s="463"/>
      <c r="P299" s="157"/>
      <c r="Q299" s="404"/>
      <c r="R299" s="148"/>
      <c r="S299" s="242"/>
      <c r="T299" s="242"/>
      <c r="U299" s="242"/>
      <c r="V299" s="242"/>
      <c r="W299" s="242"/>
      <c r="X299" s="242"/>
      <c r="Y299" s="148"/>
      <c r="Z299" s="148"/>
    </row>
    <row r="300">
      <c r="A300" s="239"/>
      <c r="B300" s="239"/>
      <c r="C300" s="561" t="s">
        <v>781</v>
      </c>
      <c r="D300" s="423"/>
      <c r="E300" s="228"/>
      <c r="F300" s="547"/>
      <c r="G300" s="455"/>
      <c r="H300" s="419"/>
      <c r="I300" s="239"/>
      <c r="J300" s="685" t="s">
        <v>1117</v>
      </c>
      <c r="K300" s="420"/>
      <c r="L300" s="150"/>
      <c r="M300" s="374"/>
      <c r="O300" s="431"/>
      <c r="P300" s="157"/>
      <c r="Q300" s="404"/>
      <c r="R300" s="148"/>
      <c r="S300" s="242"/>
      <c r="T300" s="242"/>
      <c r="U300" s="242"/>
      <c r="V300" s="242"/>
      <c r="W300" s="242"/>
      <c r="X300" s="242"/>
      <c r="Y300" s="148"/>
      <c r="Z300" s="148"/>
    </row>
    <row r="301">
      <c r="A301" s="239"/>
      <c r="B301" s="157"/>
      <c r="C301" s="561" t="s">
        <v>1118</v>
      </c>
      <c r="D301" s="157"/>
      <c r="E301" s="569"/>
      <c r="F301" s="547"/>
      <c r="G301" s="419"/>
      <c r="H301" s="419"/>
      <c r="I301" s="57"/>
      <c r="J301" s="685" t="s">
        <v>1119</v>
      </c>
      <c r="K301" s="420"/>
      <c r="L301" s="193"/>
      <c r="M301" s="374"/>
      <c r="O301" s="431"/>
      <c r="P301" s="157"/>
      <c r="Q301" s="404"/>
      <c r="R301" s="148"/>
      <c r="S301" s="242"/>
      <c r="T301" s="242"/>
      <c r="U301" s="242"/>
      <c r="V301" s="242"/>
      <c r="W301" s="242"/>
      <c r="X301" s="242"/>
      <c r="Y301" s="148"/>
      <c r="Z301" s="148"/>
    </row>
    <row r="302">
      <c r="A302" s="239"/>
      <c r="B302" s="157"/>
      <c r="C302" s="561" t="s">
        <v>1120</v>
      </c>
      <c r="D302" s="157"/>
      <c r="E302" s="228"/>
      <c r="F302" s="547"/>
      <c r="G302" s="419"/>
      <c r="H302" s="419"/>
      <c r="I302" s="239"/>
      <c r="J302" s="596" t="s">
        <v>1001</v>
      </c>
      <c r="K302" s="420"/>
      <c r="L302" s="193"/>
      <c r="M302" s="377"/>
      <c r="O302" s="431"/>
      <c r="P302" s="157"/>
      <c r="Q302" s="404"/>
      <c r="R302" s="148"/>
      <c r="S302" s="242"/>
      <c r="T302" s="242"/>
      <c r="U302" s="242"/>
      <c r="V302" s="242"/>
      <c r="W302" s="242"/>
      <c r="X302" s="242"/>
      <c r="Y302" s="148"/>
      <c r="Z302" s="148"/>
    </row>
    <row r="303">
      <c r="A303" s="239"/>
      <c r="B303" s="157"/>
      <c r="C303" s="561"/>
      <c r="D303" s="157"/>
      <c r="E303" s="570"/>
      <c r="F303" s="547"/>
      <c r="G303" s="419"/>
      <c r="H303" s="419"/>
      <c r="I303" s="239"/>
      <c r="J303" s="568"/>
      <c r="K303" s="420"/>
      <c r="L303" s="193"/>
      <c r="M303" s="374"/>
      <c r="O303" s="431"/>
      <c r="P303" s="157"/>
      <c r="Q303" s="404"/>
      <c r="R303" s="148"/>
      <c r="S303" s="242"/>
      <c r="T303" s="242"/>
      <c r="U303" s="242"/>
      <c r="V303" s="242"/>
      <c r="W303" s="242"/>
      <c r="X303" s="242"/>
      <c r="Y303" s="148"/>
      <c r="Z303" s="148"/>
    </row>
    <row r="304">
      <c r="C304" s="571"/>
      <c r="D304" s="157"/>
      <c r="E304" s="570"/>
      <c r="F304" s="547"/>
      <c r="G304" s="419"/>
      <c r="H304" s="419"/>
      <c r="I304" s="239"/>
      <c r="J304" s="464" t="s">
        <v>692</v>
      </c>
      <c r="K304" s="420"/>
      <c r="L304" s="150"/>
      <c r="M304" s="377"/>
      <c r="O304" s="431"/>
      <c r="P304" s="157"/>
      <c r="Q304" s="404"/>
      <c r="R304" s="148"/>
      <c r="S304" s="242"/>
      <c r="T304" s="242"/>
      <c r="U304" s="242"/>
      <c r="V304" s="242"/>
      <c r="W304" s="242"/>
      <c r="X304" s="242"/>
      <c r="Y304" s="148"/>
      <c r="Z304" s="148"/>
    </row>
    <row r="305">
      <c r="C305" s="571"/>
      <c r="D305" s="157"/>
      <c r="E305" s="570"/>
      <c r="F305" s="547"/>
      <c r="G305" s="419"/>
      <c r="H305" s="419"/>
      <c r="I305" s="239"/>
      <c r="J305" s="464" t="s">
        <v>694</v>
      </c>
      <c r="K305" s="420"/>
      <c r="L305" s="193"/>
      <c r="M305" s="374"/>
      <c r="O305" s="431"/>
      <c r="P305" s="157"/>
      <c r="Q305" s="404"/>
      <c r="R305" s="148"/>
      <c r="S305" s="242"/>
      <c r="T305" s="242"/>
      <c r="U305" s="242"/>
      <c r="V305" s="242"/>
      <c r="W305" s="242"/>
      <c r="X305" s="242"/>
      <c r="Y305" s="148"/>
      <c r="Z305" s="148"/>
    </row>
    <row r="306">
      <c r="C306" s="571"/>
      <c r="D306" s="423"/>
      <c r="E306" s="570"/>
      <c r="F306" s="546"/>
      <c r="G306" s="419"/>
      <c r="H306" s="419"/>
      <c r="I306" s="57"/>
      <c r="J306" s="105"/>
      <c r="K306" s="57"/>
      <c r="L306" s="150"/>
      <c r="M306" s="57"/>
      <c r="N306" s="57"/>
      <c r="O306" s="57"/>
      <c r="P306" s="157"/>
      <c r="Q306" s="404"/>
      <c r="R306" s="148"/>
      <c r="S306" s="242"/>
      <c r="T306" s="242"/>
      <c r="U306" s="242"/>
      <c r="V306" s="242"/>
      <c r="W306" s="242"/>
      <c r="X306" s="242"/>
      <c r="Y306" s="148"/>
      <c r="Z306" s="148"/>
    </row>
    <row r="307">
      <c r="A307" s="125" t="s">
        <v>798</v>
      </c>
      <c r="B307" s="572">
        <f>C280-B284</f>
        <v>0</v>
      </c>
      <c r="D307" s="157"/>
      <c r="E307" s="570"/>
      <c r="F307" s="573"/>
      <c r="G307" s="478"/>
      <c r="H307" s="419"/>
      <c r="I307" s="239"/>
      <c r="J307" s="568"/>
      <c r="K307" s="57"/>
      <c r="L307" s="150"/>
      <c r="M307" s="57"/>
      <c r="N307" s="57"/>
      <c r="O307" s="57"/>
      <c r="P307" s="157"/>
      <c r="Q307" s="404"/>
      <c r="R307" s="148"/>
      <c r="S307" s="242"/>
      <c r="T307" s="242"/>
      <c r="U307" s="242"/>
      <c r="V307" s="242"/>
      <c r="W307" s="242"/>
      <c r="X307" s="242"/>
      <c r="Y307" s="148"/>
      <c r="Z307" s="148"/>
    </row>
    <row r="308">
      <c r="A308" s="274" t="s">
        <v>783</v>
      </c>
      <c r="B308" s="109"/>
      <c r="C308" s="395"/>
      <c r="D308" s="157"/>
      <c r="E308" s="570"/>
      <c r="F308" s="573"/>
      <c r="G308" s="478"/>
      <c r="H308" s="419"/>
      <c r="I308" s="239"/>
      <c r="J308" s="568"/>
      <c r="K308" s="57"/>
      <c r="L308" s="150"/>
      <c r="M308" s="57"/>
      <c r="N308" s="57"/>
      <c r="O308" s="57"/>
      <c r="P308" s="157"/>
      <c r="Q308" s="404"/>
      <c r="R308" s="148"/>
      <c r="S308" s="242"/>
      <c r="T308" s="242"/>
      <c r="U308" s="242"/>
      <c r="V308" s="242"/>
      <c r="W308" s="242"/>
      <c r="X308" s="242"/>
      <c r="Y308" s="148"/>
      <c r="Z308" s="148"/>
    </row>
    <row r="309">
      <c r="A309" s="274" t="s">
        <v>784</v>
      </c>
      <c r="B309" s="109"/>
      <c r="C309" s="395"/>
      <c r="D309" s="157"/>
      <c r="E309" s="570"/>
      <c r="F309" s="573"/>
      <c r="G309" s="478"/>
      <c r="H309" s="419"/>
      <c r="I309" s="239"/>
      <c r="J309" s="568"/>
      <c r="K309" s="57"/>
      <c r="L309" s="150"/>
      <c r="M309" s="57"/>
      <c r="N309" s="57"/>
      <c r="O309" s="57"/>
      <c r="P309" s="157"/>
      <c r="Q309" s="404"/>
      <c r="R309" s="148"/>
      <c r="S309" s="242"/>
      <c r="T309" s="242"/>
      <c r="U309" s="242"/>
      <c r="V309" s="242"/>
      <c r="W309" s="242"/>
      <c r="X309" s="242"/>
      <c r="Y309" s="148"/>
      <c r="Z309" s="148"/>
    </row>
    <row r="310">
      <c r="A310" s="274" t="s">
        <v>785</v>
      </c>
      <c r="B310" s="109"/>
      <c r="C310" s="686">
        <f>SUM(B308:B310)</f>
        <v>0</v>
      </c>
      <c r="D310" s="157"/>
      <c r="E310" s="570"/>
      <c r="F310" s="573"/>
      <c r="G310" s="478"/>
      <c r="H310" s="419"/>
      <c r="I310" s="239"/>
      <c r="J310" s="568"/>
      <c r="K310" s="57"/>
      <c r="L310" s="150"/>
      <c r="M310" s="57"/>
      <c r="N310" s="57"/>
      <c r="O310" s="57"/>
      <c r="P310" s="157"/>
      <c r="Q310" s="404"/>
      <c r="R310" s="148"/>
      <c r="S310" s="242"/>
      <c r="T310" s="242"/>
      <c r="U310" s="242"/>
      <c r="V310" s="242"/>
      <c r="W310" s="242"/>
      <c r="X310" s="242"/>
      <c r="Y310" s="148"/>
      <c r="Z310" s="148"/>
    </row>
    <row r="311">
      <c r="A311" s="402"/>
      <c r="B311" s="403"/>
      <c r="C311" s="403"/>
      <c r="D311" s="403"/>
      <c r="E311" s="574"/>
      <c r="F311" s="575"/>
      <c r="G311" s="159"/>
      <c r="H311" s="159"/>
      <c r="I311" s="159"/>
      <c r="J311" s="576"/>
      <c r="K311" s="159"/>
      <c r="L311" s="162"/>
      <c r="M311" s="402"/>
      <c r="N311" s="402"/>
      <c r="O311" s="159"/>
      <c r="P311" s="403"/>
      <c r="Q311" s="577"/>
      <c r="R311" s="148"/>
      <c r="S311" s="242"/>
      <c r="T311" s="242"/>
      <c r="U311" s="242"/>
      <c r="V311" s="242"/>
      <c r="W311" s="242"/>
      <c r="X311" s="242"/>
      <c r="Y311" s="148"/>
      <c r="Z311" s="148"/>
    </row>
    <row r="312">
      <c r="A312" s="148"/>
      <c r="B312" s="148"/>
      <c r="C312" s="148"/>
      <c r="D312" s="245"/>
      <c r="E312" s="585"/>
      <c r="F312" s="586"/>
      <c r="G312" s="148"/>
      <c r="H312" s="148"/>
      <c r="I312" s="251"/>
      <c r="J312" s="243"/>
      <c r="K312" s="148"/>
      <c r="L312" s="277"/>
      <c r="M312" s="252"/>
      <c r="N312" s="250"/>
      <c r="O312" s="253"/>
      <c r="P312" s="240"/>
      <c r="Q312" s="148"/>
      <c r="R312" s="148"/>
      <c r="S312" s="242"/>
      <c r="T312" s="242"/>
      <c r="U312" s="242"/>
      <c r="V312" s="242"/>
      <c r="W312" s="242"/>
      <c r="X312" s="242"/>
      <c r="Y312" s="148"/>
      <c r="Z312" s="148"/>
    </row>
    <row r="313">
      <c r="A313" s="169" t="s">
        <v>150</v>
      </c>
      <c r="B313" s="539"/>
      <c r="C313" s="540"/>
      <c r="D313" s="405"/>
      <c r="E313" s="541"/>
      <c r="F313" s="542"/>
      <c r="G313" s="467" t="s">
        <v>333</v>
      </c>
      <c r="H313" s="361"/>
      <c r="I313" s="57"/>
      <c r="J313" s="105"/>
      <c r="K313" s="57"/>
      <c r="L313" s="150"/>
      <c r="M313" s="239"/>
      <c r="N313" s="239"/>
      <c r="O313" s="57"/>
      <c r="P313" s="157"/>
      <c r="Q313" s="404"/>
      <c r="R313" s="148"/>
      <c r="S313" s="242"/>
      <c r="T313" s="242"/>
      <c r="U313" s="242"/>
      <c r="V313" s="242"/>
      <c r="W313" s="242"/>
      <c r="X313" s="242"/>
      <c r="Y313" s="148"/>
      <c r="Z313" s="148"/>
    </row>
    <row r="314">
      <c r="A314" s="468"/>
      <c r="B314" s="157"/>
      <c r="C314" s="466"/>
      <c r="D314" s="405"/>
      <c r="E314" s="543" t="s">
        <v>335</v>
      </c>
      <c r="F314" s="544" t="s">
        <v>237</v>
      </c>
      <c r="G314" s="412" t="s">
        <v>336</v>
      </c>
      <c r="H314" s="413" t="s">
        <v>337</v>
      </c>
      <c r="I314" s="239"/>
      <c r="J314" s="145" t="s">
        <v>60</v>
      </c>
      <c r="K314" s="57"/>
      <c r="L314" s="150"/>
      <c r="M314" s="414"/>
      <c r="N314" s="414"/>
      <c r="O314" s="57" t="s">
        <v>334</v>
      </c>
      <c r="P314" s="157"/>
      <c r="Q314" s="404"/>
      <c r="R314" s="148"/>
      <c r="S314" s="242"/>
      <c r="T314" s="242"/>
      <c r="U314" s="242"/>
      <c r="V314" s="242"/>
      <c r="W314" s="242"/>
      <c r="X314" s="242"/>
      <c r="Y314" s="148"/>
      <c r="Z314" s="148"/>
    </row>
    <row r="315">
      <c r="A315" s="470" t="s">
        <v>179</v>
      </c>
      <c r="C315" s="416">
        <f>SUM(F315:F349)</f>
        <v>0</v>
      </c>
      <c r="D315" s="405"/>
      <c r="E315" s="545"/>
      <c r="F315" s="546"/>
      <c r="G315" s="419"/>
      <c r="H315" s="419"/>
      <c r="I315" s="57"/>
      <c r="K315" s="57"/>
      <c r="L315" s="150"/>
      <c r="M315" s="377" t="s">
        <v>366</v>
      </c>
      <c r="P315" s="157"/>
      <c r="Q315" s="404"/>
      <c r="R315" s="148"/>
      <c r="S315" s="242"/>
      <c r="T315" s="242"/>
      <c r="U315" s="242"/>
      <c r="V315" s="242"/>
      <c r="W315" s="242"/>
      <c r="X315" s="242"/>
      <c r="Y315" s="148"/>
      <c r="Z315" s="148"/>
    </row>
    <row r="316">
      <c r="A316" s="421" t="s">
        <v>343</v>
      </c>
      <c r="B316" s="422" t="s">
        <v>321</v>
      </c>
      <c r="C316" s="416">
        <f>SUM(P316:P349)</f>
        <v>0</v>
      </c>
      <c r="D316" s="157"/>
      <c r="E316" s="545"/>
      <c r="F316" s="546"/>
      <c r="G316" s="419"/>
      <c r="H316" s="419"/>
      <c r="I316" s="239"/>
      <c r="J316" s="471" t="s">
        <v>341</v>
      </c>
      <c r="K316" s="420"/>
      <c r="L316" s="150"/>
      <c r="M316" s="374"/>
      <c r="O316" s="591"/>
      <c r="P316" s="423"/>
      <c r="Q316" s="404"/>
      <c r="R316" s="148"/>
      <c r="S316" s="242"/>
      <c r="T316" s="242"/>
      <c r="U316" s="242"/>
      <c r="V316" s="242"/>
      <c r="W316" s="242"/>
      <c r="X316" s="242"/>
      <c r="Y316" s="148"/>
      <c r="Z316" s="148"/>
    </row>
    <row r="317">
      <c r="A317" s="427" t="s">
        <v>201</v>
      </c>
      <c r="C317" s="204">
        <f>SUM(L316:L349)</f>
        <v>0</v>
      </c>
      <c r="D317" s="157"/>
      <c r="E317" s="545"/>
      <c r="F317" s="546"/>
      <c r="G317" s="419"/>
      <c r="H317" s="419"/>
      <c r="I317" s="239"/>
      <c r="J317" s="472" t="s">
        <v>345</v>
      </c>
      <c r="K317" s="420"/>
      <c r="L317" s="150"/>
      <c r="M317" s="374"/>
      <c r="O317" s="426"/>
      <c r="P317" s="423"/>
      <c r="Q317" s="404"/>
      <c r="R317" s="148"/>
      <c r="S317" s="242"/>
      <c r="T317" s="242"/>
      <c r="U317" s="242"/>
      <c r="V317" s="242"/>
      <c r="W317" s="242"/>
      <c r="X317" s="242"/>
      <c r="Y317" s="148"/>
      <c r="Z317" s="148"/>
    </row>
    <row r="318">
      <c r="A318" s="548" t="s">
        <v>761</v>
      </c>
      <c r="B318" s="549">
        <v>0.4</v>
      </c>
      <c r="C318" s="191"/>
      <c r="D318" s="157"/>
      <c r="E318" s="550" t="s">
        <v>695</v>
      </c>
      <c r="F318" s="546"/>
      <c r="G318" s="587"/>
      <c r="H318" s="419"/>
      <c r="I318" s="239"/>
      <c r="J318" s="433" t="s">
        <v>656</v>
      </c>
      <c r="K318" s="420"/>
      <c r="L318" s="193"/>
      <c r="M318" s="374"/>
      <c r="O318" s="426"/>
      <c r="P318" s="423"/>
      <c r="Q318" s="404"/>
      <c r="R318" s="148"/>
      <c r="S318" s="242"/>
      <c r="T318" s="242"/>
      <c r="U318" s="242"/>
      <c r="V318" s="242"/>
      <c r="W318" s="242"/>
      <c r="X318" s="242"/>
      <c r="Y318" s="148"/>
      <c r="Z318" s="148"/>
    </row>
    <row r="319">
      <c r="A319" s="434" t="s">
        <v>350</v>
      </c>
      <c r="C319" s="551">
        <f>C315-C317-C318</f>
        <v>0</v>
      </c>
      <c r="D319" s="157"/>
      <c r="E319" s="192"/>
      <c r="F319" s="546"/>
      <c r="G319" s="455"/>
      <c r="H319" s="419"/>
      <c r="I319" s="57"/>
      <c r="J319" s="444" t="s">
        <v>658</v>
      </c>
      <c r="K319" s="420"/>
      <c r="L319" s="193"/>
      <c r="M319" s="377"/>
      <c r="O319" s="431"/>
      <c r="P319" s="157"/>
      <c r="Q319" s="404"/>
      <c r="R319" s="148"/>
      <c r="S319" s="242"/>
      <c r="T319" s="242"/>
      <c r="U319" s="242"/>
      <c r="V319" s="242"/>
      <c r="W319" s="242"/>
      <c r="X319" s="242"/>
      <c r="Y319" s="148"/>
      <c r="Z319" s="148"/>
    </row>
    <row r="320">
      <c r="A320" s="554"/>
      <c r="B320" s="555"/>
      <c r="C320" s="447"/>
      <c r="D320" s="157"/>
      <c r="E320" s="192"/>
      <c r="F320" s="546"/>
      <c r="G320" s="419"/>
      <c r="H320" s="419"/>
      <c r="I320" s="57"/>
      <c r="J320" s="444" t="s">
        <v>660</v>
      </c>
      <c r="K320" s="420"/>
      <c r="L320" s="193"/>
      <c r="M320" s="377"/>
      <c r="O320" s="431"/>
      <c r="P320" s="157"/>
      <c r="Q320" s="404"/>
      <c r="R320" s="148"/>
      <c r="S320" s="242"/>
      <c r="T320" s="242"/>
      <c r="U320" s="242"/>
      <c r="V320" s="242"/>
      <c r="W320" s="242"/>
      <c r="X320" s="242"/>
      <c r="Y320" s="148"/>
      <c r="Z320" s="148"/>
    </row>
    <row r="321">
      <c r="A321" s="556"/>
      <c r="C321" s="395"/>
      <c r="D321" s="157"/>
      <c r="E321" s="192"/>
      <c r="F321" s="546"/>
      <c r="G321" s="455"/>
      <c r="H321" s="419"/>
      <c r="I321" s="239"/>
      <c r="J321" s="370" t="s">
        <v>662</v>
      </c>
      <c r="K321" s="420"/>
      <c r="L321" s="193"/>
      <c r="M321" s="374"/>
      <c r="O321" s="431"/>
      <c r="P321" s="157"/>
      <c r="Q321" s="404"/>
      <c r="R321" s="148"/>
      <c r="S321" s="242"/>
      <c r="T321" s="242"/>
      <c r="U321" s="242"/>
      <c r="V321" s="242"/>
      <c r="W321" s="242"/>
      <c r="X321" s="242"/>
      <c r="Y321" s="148"/>
      <c r="Z321" s="148"/>
    </row>
    <row r="322">
      <c r="A322" s="557"/>
      <c r="B322" s="109"/>
      <c r="C322" s="395"/>
      <c r="D322" s="373"/>
      <c r="E322" s="192"/>
      <c r="F322" s="546"/>
      <c r="G322" s="419"/>
      <c r="H322" s="419"/>
      <c r="I322" s="239"/>
      <c r="J322" s="433" t="s">
        <v>666</v>
      </c>
      <c r="K322" s="420"/>
      <c r="L322" s="150"/>
      <c r="M322" s="374"/>
      <c r="O322" s="431"/>
      <c r="P322" s="157"/>
      <c r="Q322" s="404"/>
      <c r="R322" s="148"/>
      <c r="S322" s="242"/>
      <c r="T322" s="242"/>
      <c r="U322" s="242"/>
      <c r="V322" s="242"/>
      <c r="W322" s="242"/>
      <c r="X322" s="242"/>
      <c r="Y322" s="148"/>
      <c r="Z322" s="148"/>
    </row>
    <row r="323">
      <c r="A323" s="559" t="s">
        <v>765</v>
      </c>
      <c r="B323" s="560">
        <f>SUM(D323:D349)</f>
        <v>0</v>
      </c>
      <c r="C323" s="477" t="s">
        <v>366</v>
      </c>
      <c r="D323" s="157"/>
      <c r="E323" s="192"/>
      <c r="F323" s="546"/>
      <c r="G323" s="419"/>
      <c r="H323" s="419"/>
      <c r="I323" s="239"/>
      <c r="J323" s="433" t="s">
        <v>668</v>
      </c>
      <c r="K323" s="420"/>
      <c r="L323" s="150"/>
      <c r="M323" s="377"/>
      <c r="O323" s="431"/>
      <c r="P323" s="157"/>
      <c r="Q323" s="404"/>
      <c r="R323" s="148"/>
      <c r="S323" s="242"/>
      <c r="T323" s="242"/>
      <c r="U323" s="242"/>
      <c r="V323" s="242"/>
      <c r="W323" s="242"/>
      <c r="X323" s="242"/>
      <c r="Y323" s="148"/>
      <c r="Z323" s="148"/>
    </row>
    <row r="324">
      <c r="A324" s="453" t="s">
        <v>369</v>
      </c>
      <c r="C324" s="561" t="s">
        <v>766</v>
      </c>
      <c r="D324" s="423"/>
      <c r="E324" s="192"/>
      <c r="F324" s="546"/>
      <c r="G324" s="419"/>
      <c r="H324" s="419"/>
      <c r="I324" s="239"/>
      <c r="J324" s="433" t="s">
        <v>670</v>
      </c>
      <c r="K324" s="458"/>
      <c r="L324" s="193"/>
      <c r="M324" s="377"/>
      <c r="O324" s="431"/>
      <c r="P324" s="157"/>
      <c r="Q324" s="404"/>
      <c r="R324" s="148"/>
      <c r="S324" s="242"/>
      <c r="T324" s="242"/>
      <c r="U324" s="242"/>
      <c r="V324" s="242"/>
      <c r="W324" s="242"/>
      <c r="X324" s="242"/>
      <c r="Y324" s="148"/>
      <c r="Z324" s="148"/>
    </row>
    <row r="325">
      <c r="C325" s="561" t="s">
        <v>767</v>
      </c>
      <c r="D325" s="423"/>
      <c r="E325" s="192"/>
      <c r="F325" s="546"/>
      <c r="G325" s="419"/>
      <c r="H325" s="419"/>
      <c r="I325" s="239"/>
      <c r="J325" s="433" t="s">
        <v>217</v>
      </c>
      <c r="K325" s="458"/>
      <c r="L325" s="150"/>
      <c r="M325" s="377"/>
      <c r="O325" s="431"/>
      <c r="P325" s="157"/>
      <c r="Q325" s="404"/>
      <c r="R325" s="148"/>
      <c r="S325" s="242"/>
      <c r="T325" s="242"/>
      <c r="U325" s="242"/>
      <c r="V325" s="242"/>
      <c r="W325" s="242"/>
      <c r="X325" s="242"/>
      <c r="Y325" s="148"/>
      <c r="Z325" s="148"/>
    </row>
    <row r="326">
      <c r="A326" s="57"/>
      <c r="B326" s="57"/>
      <c r="C326" s="561" t="s">
        <v>768</v>
      </c>
      <c r="D326" s="423"/>
      <c r="E326" s="192"/>
      <c r="F326" s="546"/>
      <c r="G326" s="419"/>
      <c r="H326" s="419"/>
      <c r="I326" s="239"/>
      <c r="J326" s="109"/>
      <c r="K326" s="420"/>
      <c r="L326" s="193"/>
      <c r="M326" s="374"/>
      <c r="O326" s="431"/>
      <c r="P326" s="157"/>
      <c r="Q326" s="404"/>
      <c r="R326" s="148"/>
      <c r="S326" s="242"/>
      <c r="T326" s="242"/>
      <c r="U326" s="242"/>
      <c r="V326" s="242"/>
      <c r="W326" s="242"/>
      <c r="X326" s="242"/>
      <c r="Y326" s="148"/>
      <c r="Z326" s="148"/>
    </row>
    <row r="327">
      <c r="A327" s="57"/>
      <c r="B327" s="57"/>
      <c r="C327" s="561" t="s">
        <v>769</v>
      </c>
      <c r="D327" s="157"/>
      <c r="E327" s="192"/>
      <c r="F327" s="546"/>
      <c r="G327" s="587"/>
      <c r="H327" s="419"/>
      <c r="I327" s="239"/>
      <c r="J327" s="456" t="s">
        <v>672</v>
      </c>
      <c r="K327" s="420"/>
      <c r="L327" s="594"/>
      <c r="M327" s="377"/>
      <c r="O327" s="431"/>
      <c r="P327" s="157"/>
      <c r="Q327" s="404"/>
      <c r="R327" s="148"/>
      <c r="S327" s="242"/>
      <c r="T327" s="242"/>
      <c r="U327" s="242"/>
      <c r="V327" s="242"/>
      <c r="W327" s="242"/>
      <c r="X327" s="242"/>
      <c r="Y327" s="148"/>
      <c r="Z327" s="148"/>
    </row>
    <row r="328">
      <c r="A328" s="57"/>
      <c r="B328" s="57"/>
      <c r="C328" s="561" t="s">
        <v>770</v>
      </c>
      <c r="D328" s="423"/>
      <c r="E328" s="192"/>
      <c r="F328" s="546"/>
      <c r="G328" s="419"/>
      <c r="H328" s="419"/>
      <c r="I328" s="57"/>
      <c r="J328" s="456" t="s">
        <v>675</v>
      </c>
      <c r="K328" s="420"/>
      <c r="L328" s="150"/>
      <c r="M328" s="382"/>
      <c r="O328" s="431"/>
      <c r="P328" s="157"/>
      <c r="Q328" s="404"/>
      <c r="R328" s="148"/>
      <c r="S328" s="242"/>
      <c r="T328" s="242"/>
      <c r="U328" s="242"/>
      <c r="V328" s="242"/>
      <c r="W328" s="242"/>
      <c r="X328" s="242"/>
      <c r="Y328" s="148"/>
      <c r="Z328" s="148"/>
    </row>
    <row r="329">
      <c r="A329" s="57"/>
      <c r="B329" s="57"/>
      <c r="C329" s="561" t="s">
        <v>793</v>
      </c>
      <c r="D329" s="423"/>
      <c r="E329" s="192"/>
      <c r="F329" s="546"/>
      <c r="G329" s="587"/>
      <c r="H329" s="419"/>
      <c r="I329" s="57"/>
      <c r="J329" s="456"/>
      <c r="K329" s="420"/>
      <c r="L329" s="150"/>
      <c r="M329" s="425"/>
      <c r="O329" s="431"/>
      <c r="P329" s="157"/>
      <c r="Q329" s="404"/>
      <c r="R329" s="148"/>
      <c r="S329" s="242"/>
      <c r="T329" s="242"/>
      <c r="U329" s="242"/>
      <c r="V329" s="242"/>
      <c r="W329" s="242"/>
      <c r="X329" s="242"/>
      <c r="Y329" s="148"/>
      <c r="Z329" s="148"/>
    </row>
    <row r="330">
      <c r="A330" s="239"/>
      <c r="B330" s="57"/>
      <c r="C330" s="561" t="s">
        <v>794</v>
      </c>
      <c r="D330" s="423"/>
      <c r="E330" s="192"/>
      <c r="F330" s="546"/>
      <c r="G330" s="419"/>
      <c r="H330" s="419"/>
      <c r="I330" s="57"/>
      <c r="J330" s="375"/>
      <c r="K330" s="420"/>
      <c r="L330" s="150"/>
      <c r="M330" s="425"/>
      <c r="O330" s="431"/>
      <c r="P330" s="157"/>
      <c r="Q330" s="404"/>
      <c r="R330" s="148"/>
      <c r="S330" s="242"/>
      <c r="T330" s="242"/>
      <c r="U330" s="242"/>
      <c r="V330" s="242"/>
      <c r="W330" s="242"/>
      <c r="X330" s="242"/>
      <c r="Y330" s="148"/>
      <c r="Z330" s="148"/>
    </row>
    <row r="331">
      <c r="A331" s="239"/>
      <c r="B331" s="57"/>
      <c r="C331" s="561" t="s">
        <v>18</v>
      </c>
      <c r="D331" s="423"/>
      <c r="E331" s="192"/>
      <c r="F331" s="546"/>
      <c r="G331" s="419"/>
      <c r="H331" s="419"/>
      <c r="I331" s="57"/>
      <c r="J331" s="375"/>
      <c r="K331" s="420"/>
      <c r="L331" s="193"/>
      <c r="M331" s="382"/>
      <c r="O331" s="431"/>
      <c r="P331" s="157"/>
      <c r="Q331" s="404"/>
      <c r="R331" s="148"/>
      <c r="S331" s="242"/>
      <c r="T331" s="242"/>
      <c r="U331" s="242"/>
      <c r="V331" s="242"/>
      <c r="W331" s="242"/>
      <c r="X331" s="242"/>
      <c r="Y331" s="148"/>
      <c r="Z331" s="148"/>
    </row>
    <row r="332">
      <c r="A332" s="239"/>
      <c r="B332" s="57"/>
      <c r="C332" s="563" t="s">
        <v>1115</v>
      </c>
      <c r="D332" s="157"/>
      <c r="E332" s="228"/>
      <c r="F332" s="547"/>
      <c r="G332" s="455"/>
      <c r="H332" s="419"/>
      <c r="I332" s="57"/>
      <c r="J332" s="452"/>
      <c r="K332" s="420"/>
      <c r="L332" s="150"/>
      <c r="M332" s="425"/>
      <c r="O332" s="431"/>
      <c r="P332" s="157"/>
      <c r="Q332" s="404"/>
      <c r="R332" s="148"/>
      <c r="S332" s="242"/>
      <c r="T332" s="242"/>
      <c r="U332" s="242"/>
      <c r="V332" s="242"/>
      <c r="W332" s="242"/>
      <c r="X332" s="242"/>
      <c r="Y332" s="148"/>
      <c r="Z332" s="148"/>
    </row>
    <row r="333">
      <c r="A333" s="57"/>
      <c r="B333" s="57"/>
      <c r="C333" s="561" t="s">
        <v>1116</v>
      </c>
      <c r="D333" s="423"/>
      <c r="E333" s="228"/>
      <c r="F333" s="547"/>
      <c r="G333" s="419"/>
      <c r="H333" s="419"/>
      <c r="I333" s="57"/>
      <c r="J333" s="105"/>
      <c r="K333" s="420"/>
      <c r="L333" s="193"/>
      <c r="M333" s="425"/>
      <c r="O333" s="431"/>
      <c r="P333" s="157"/>
      <c r="Q333" s="404"/>
      <c r="R333" s="148"/>
      <c r="S333" s="242"/>
      <c r="T333" s="242"/>
      <c r="U333" s="242"/>
      <c r="V333" s="242"/>
      <c r="W333" s="242"/>
      <c r="X333" s="242"/>
      <c r="Y333" s="148"/>
      <c r="Z333" s="148"/>
    </row>
    <row r="334">
      <c r="A334" s="239"/>
      <c r="B334" s="239"/>
      <c r="C334" s="561" t="s">
        <v>775</v>
      </c>
      <c r="D334" s="423"/>
      <c r="E334" s="228"/>
      <c r="F334" s="547"/>
      <c r="G334" s="419"/>
      <c r="H334" s="419"/>
      <c r="I334" s="57"/>
      <c r="J334" s="378" t="s">
        <v>682</v>
      </c>
      <c r="K334" s="420"/>
      <c r="L334" s="193"/>
      <c r="M334" s="377"/>
      <c r="O334" s="431"/>
      <c r="P334" s="157"/>
      <c r="Q334" s="404"/>
      <c r="R334" s="148"/>
      <c r="S334" s="242"/>
      <c r="T334" s="242"/>
      <c r="U334" s="242"/>
      <c r="V334" s="242"/>
      <c r="W334" s="242"/>
      <c r="X334" s="242"/>
      <c r="Y334" s="148"/>
      <c r="Z334" s="148"/>
    </row>
    <row r="335">
      <c r="A335" s="239"/>
      <c r="B335" s="239"/>
      <c r="C335" s="561" t="s">
        <v>10</v>
      </c>
      <c r="D335" s="157"/>
      <c r="E335" s="206"/>
      <c r="F335" s="564"/>
      <c r="G335" s="478"/>
      <c r="H335" s="419"/>
      <c r="I335" s="57"/>
      <c r="J335" s="461" t="s">
        <v>684</v>
      </c>
      <c r="K335" s="420"/>
      <c r="L335" s="193"/>
      <c r="M335" s="377"/>
      <c r="O335" s="431"/>
      <c r="P335" s="157"/>
      <c r="Q335" s="404"/>
      <c r="R335" s="148"/>
      <c r="S335" s="242"/>
      <c r="T335" s="242"/>
      <c r="U335" s="242"/>
      <c r="V335" s="242"/>
      <c r="W335" s="242"/>
      <c r="X335" s="242"/>
      <c r="Y335" s="148"/>
      <c r="Z335" s="148"/>
    </row>
    <row r="336">
      <c r="A336" s="239"/>
      <c r="B336" s="239"/>
      <c r="C336" s="561" t="s">
        <v>6</v>
      </c>
      <c r="D336" s="423"/>
      <c r="E336" s="595"/>
      <c r="F336" s="547"/>
      <c r="G336" s="455"/>
      <c r="H336" s="455"/>
      <c r="I336" s="57"/>
      <c r="J336" s="461" t="s">
        <v>686</v>
      </c>
      <c r="K336" s="420"/>
      <c r="L336" s="193"/>
      <c r="M336" s="377"/>
      <c r="O336" s="463"/>
      <c r="P336" s="157"/>
      <c r="Q336" s="404"/>
      <c r="R336" s="148"/>
      <c r="S336" s="242"/>
      <c r="T336" s="242"/>
      <c r="U336" s="242"/>
      <c r="V336" s="242"/>
      <c r="W336" s="242"/>
      <c r="X336" s="242"/>
      <c r="Y336" s="148"/>
      <c r="Z336" s="148"/>
    </row>
    <row r="337">
      <c r="A337" s="57"/>
      <c r="B337" s="57"/>
      <c r="C337" s="561" t="s">
        <v>779</v>
      </c>
      <c r="D337" s="157"/>
      <c r="E337" s="228"/>
      <c r="F337" s="547"/>
      <c r="G337" s="455"/>
      <c r="H337" s="455"/>
      <c r="I337" s="239"/>
      <c r="J337" s="460" t="s">
        <v>202</v>
      </c>
      <c r="K337" s="420"/>
      <c r="L337" s="193"/>
      <c r="M337" s="377"/>
      <c r="O337" s="463"/>
      <c r="P337" s="157"/>
      <c r="Q337" s="404"/>
      <c r="R337" s="148"/>
      <c r="S337" s="242"/>
      <c r="T337" s="242"/>
      <c r="U337" s="242"/>
      <c r="V337" s="242"/>
      <c r="W337" s="242"/>
      <c r="X337" s="242"/>
      <c r="Y337" s="148"/>
      <c r="Z337" s="148"/>
    </row>
    <row r="338">
      <c r="A338" s="239"/>
      <c r="B338" s="239"/>
      <c r="C338" s="561" t="s">
        <v>780</v>
      </c>
      <c r="D338" s="157"/>
      <c r="E338" s="228"/>
      <c r="F338" s="547"/>
      <c r="G338" s="455"/>
      <c r="H338" s="455"/>
      <c r="I338" s="57"/>
      <c r="J338" s="460" t="s">
        <v>274</v>
      </c>
      <c r="K338" s="420"/>
      <c r="L338" s="193"/>
      <c r="M338" s="374"/>
      <c r="O338" s="463"/>
      <c r="P338" s="157"/>
      <c r="Q338" s="404"/>
      <c r="R338" s="148"/>
      <c r="S338" s="242"/>
      <c r="T338" s="242"/>
      <c r="U338" s="242"/>
      <c r="V338" s="242"/>
      <c r="W338" s="242"/>
      <c r="X338" s="242"/>
      <c r="Y338" s="148"/>
      <c r="Z338" s="148"/>
    </row>
    <row r="339">
      <c r="A339" s="239"/>
      <c r="B339" s="239"/>
      <c r="C339" s="561" t="s">
        <v>781</v>
      </c>
      <c r="D339" s="423"/>
      <c r="E339" s="228"/>
      <c r="F339" s="547"/>
      <c r="G339" s="455"/>
      <c r="H339" s="419"/>
      <c r="I339" s="239"/>
      <c r="J339" s="685" t="s">
        <v>1117</v>
      </c>
      <c r="K339" s="420"/>
      <c r="L339" s="150"/>
      <c r="M339" s="374"/>
      <c r="O339" s="431"/>
      <c r="P339" s="157"/>
      <c r="Q339" s="404"/>
      <c r="R339" s="148"/>
      <c r="S339" s="242"/>
      <c r="T339" s="242"/>
      <c r="U339" s="242"/>
      <c r="V339" s="242"/>
      <c r="W339" s="242"/>
      <c r="X339" s="242"/>
      <c r="Y339" s="148"/>
      <c r="Z339" s="148"/>
    </row>
    <row r="340">
      <c r="A340" s="239"/>
      <c r="B340" s="157"/>
      <c r="C340" s="561" t="s">
        <v>1118</v>
      </c>
      <c r="D340" s="157"/>
      <c r="E340" s="569"/>
      <c r="F340" s="547"/>
      <c r="G340" s="419"/>
      <c r="H340" s="419"/>
      <c r="I340" s="57"/>
      <c r="J340" s="685" t="s">
        <v>1119</v>
      </c>
      <c r="K340" s="420"/>
      <c r="L340" s="193"/>
      <c r="M340" s="377"/>
      <c r="O340" s="431"/>
      <c r="P340" s="157"/>
      <c r="Q340" s="404"/>
      <c r="R340" s="148"/>
      <c r="S340" s="242"/>
      <c r="T340" s="242"/>
      <c r="U340" s="242"/>
      <c r="V340" s="242"/>
      <c r="W340" s="242"/>
      <c r="X340" s="242"/>
      <c r="Y340" s="148"/>
      <c r="Z340" s="148"/>
    </row>
    <row r="341">
      <c r="A341" s="239"/>
      <c r="B341" s="157"/>
      <c r="C341" s="561" t="s">
        <v>1120</v>
      </c>
      <c r="D341" s="157"/>
      <c r="E341" s="228"/>
      <c r="F341" s="547"/>
      <c r="G341" s="419"/>
      <c r="H341" s="419"/>
      <c r="I341" s="239"/>
      <c r="J341" s="596" t="s">
        <v>1001</v>
      </c>
      <c r="K341" s="420"/>
      <c r="L341" s="193"/>
      <c r="M341" s="377"/>
      <c r="O341" s="431"/>
      <c r="P341" s="157"/>
      <c r="Q341" s="404"/>
      <c r="R341" s="148"/>
      <c r="S341" s="242"/>
      <c r="T341" s="242"/>
      <c r="U341" s="242"/>
      <c r="V341" s="242"/>
      <c r="W341" s="242"/>
      <c r="X341" s="242"/>
      <c r="Y341" s="148"/>
      <c r="Z341" s="148"/>
    </row>
    <row r="342">
      <c r="A342" s="239"/>
      <c r="B342" s="157"/>
      <c r="C342" s="561"/>
      <c r="D342" s="157"/>
      <c r="E342" s="570"/>
      <c r="F342" s="547"/>
      <c r="G342" s="419"/>
      <c r="H342" s="419"/>
      <c r="I342" s="239"/>
      <c r="J342" s="568"/>
      <c r="K342" s="420"/>
      <c r="L342" s="193"/>
      <c r="M342" s="374"/>
      <c r="O342" s="431"/>
      <c r="P342" s="157"/>
      <c r="Q342" s="404"/>
      <c r="R342" s="148"/>
      <c r="S342" s="242"/>
      <c r="T342" s="242"/>
      <c r="U342" s="242"/>
      <c r="V342" s="242"/>
      <c r="W342" s="242"/>
      <c r="X342" s="242"/>
      <c r="Y342" s="148"/>
      <c r="Z342" s="148"/>
    </row>
    <row r="343">
      <c r="C343" s="571"/>
      <c r="D343" s="157"/>
      <c r="E343" s="570"/>
      <c r="F343" s="547"/>
      <c r="G343" s="419"/>
      <c r="H343" s="419"/>
      <c r="I343" s="239"/>
      <c r="J343" s="464" t="s">
        <v>692</v>
      </c>
      <c r="K343" s="420"/>
      <c r="L343" s="193"/>
      <c r="M343" s="377"/>
      <c r="O343" s="431"/>
      <c r="P343" s="157"/>
      <c r="Q343" s="404"/>
      <c r="R343" s="148"/>
      <c r="S343" s="242"/>
      <c r="T343" s="242"/>
      <c r="U343" s="242"/>
      <c r="V343" s="242"/>
      <c r="W343" s="242"/>
      <c r="X343" s="242"/>
      <c r="Y343" s="148"/>
      <c r="Z343" s="148"/>
    </row>
    <row r="344">
      <c r="C344" s="571"/>
      <c r="D344" s="157"/>
      <c r="E344" s="570"/>
      <c r="F344" s="547"/>
      <c r="G344" s="419"/>
      <c r="H344" s="419"/>
      <c r="I344" s="239"/>
      <c r="J344" s="464" t="s">
        <v>694</v>
      </c>
      <c r="K344" s="420"/>
      <c r="L344" s="193"/>
      <c r="M344" s="374"/>
      <c r="O344" s="431"/>
      <c r="P344" s="157"/>
      <c r="Q344" s="404"/>
      <c r="R344" s="148"/>
      <c r="S344" s="242"/>
      <c r="T344" s="242"/>
      <c r="U344" s="242"/>
      <c r="V344" s="242"/>
      <c r="W344" s="242"/>
      <c r="X344" s="242"/>
      <c r="Y344" s="148"/>
      <c r="Z344" s="148"/>
    </row>
    <row r="345">
      <c r="C345" s="571"/>
      <c r="D345" s="423"/>
      <c r="E345" s="570"/>
      <c r="F345" s="546"/>
      <c r="G345" s="419"/>
      <c r="H345" s="419"/>
      <c r="I345" s="57"/>
      <c r="J345" s="105"/>
      <c r="K345" s="57"/>
      <c r="L345" s="150"/>
      <c r="M345" s="57"/>
      <c r="N345" s="57"/>
      <c r="O345" s="57"/>
      <c r="P345" s="157"/>
      <c r="Q345" s="404"/>
      <c r="R345" s="148"/>
      <c r="S345" s="242"/>
      <c r="T345" s="242"/>
      <c r="U345" s="242"/>
      <c r="V345" s="242"/>
      <c r="W345" s="242"/>
      <c r="X345" s="242"/>
      <c r="Y345" s="148"/>
      <c r="Z345" s="148"/>
    </row>
    <row r="346">
      <c r="A346" s="125" t="s">
        <v>798</v>
      </c>
      <c r="B346" s="572">
        <f>C319-B323</f>
        <v>0</v>
      </c>
      <c r="D346" s="157"/>
      <c r="E346" s="570"/>
      <c r="F346" s="573"/>
      <c r="G346" s="478"/>
      <c r="H346" s="419"/>
      <c r="I346" s="239"/>
      <c r="J346" s="568"/>
      <c r="K346" s="57"/>
      <c r="L346" s="150"/>
      <c r="M346" s="57"/>
      <c r="N346" s="57"/>
      <c r="O346" s="57"/>
      <c r="P346" s="157"/>
      <c r="Q346" s="404"/>
      <c r="R346" s="148"/>
      <c r="S346" s="242"/>
      <c r="T346" s="242"/>
      <c r="U346" s="242"/>
      <c r="V346" s="242"/>
      <c r="W346" s="242"/>
      <c r="X346" s="242"/>
      <c r="Y346" s="148"/>
      <c r="Z346" s="148"/>
    </row>
    <row r="347">
      <c r="A347" s="274" t="s">
        <v>783</v>
      </c>
      <c r="B347" s="109"/>
      <c r="C347" s="395"/>
      <c r="D347" s="157"/>
      <c r="E347" s="570"/>
      <c r="F347" s="573"/>
      <c r="G347" s="478"/>
      <c r="H347" s="419"/>
      <c r="I347" s="239"/>
      <c r="J347" s="568"/>
      <c r="K347" s="57"/>
      <c r="L347" s="150"/>
      <c r="M347" s="57"/>
      <c r="N347" s="57"/>
      <c r="O347" s="57"/>
      <c r="P347" s="157"/>
      <c r="Q347" s="404"/>
      <c r="R347" s="148"/>
      <c r="S347" s="242"/>
      <c r="T347" s="242"/>
      <c r="U347" s="242"/>
      <c r="V347" s="242"/>
      <c r="W347" s="242"/>
      <c r="X347" s="242"/>
      <c r="Y347" s="148"/>
      <c r="Z347" s="148"/>
    </row>
    <row r="348">
      <c r="A348" s="274" t="s">
        <v>784</v>
      </c>
      <c r="B348" s="109"/>
      <c r="C348" s="395"/>
      <c r="D348" s="157"/>
      <c r="E348" s="570"/>
      <c r="F348" s="573"/>
      <c r="G348" s="478"/>
      <c r="H348" s="419"/>
      <c r="I348" s="239"/>
      <c r="J348" s="568"/>
      <c r="K348" s="57"/>
      <c r="L348" s="150"/>
      <c r="M348" s="57"/>
      <c r="N348" s="57"/>
      <c r="O348" s="57"/>
      <c r="P348" s="157"/>
      <c r="Q348" s="404"/>
      <c r="R348" s="148"/>
      <c r="S348" s="242"/>
      <c r="T348" s="242"/>
      <c r="U348" s="242"/>
      <c r="V348" s="242"/>
      <c r="W348" s="242"/>
      <c r="X348" s="242"/>
      <c r="Y348" s="148"/>
      <c r="Z348" s="148"/>
    </row>
    <row r="349">
      <c r="A349" s="274" t="s">
        <v>785</v>
      </c>
      <c r="B349" s="109"/>
      <c r="C349" s="686">
        <f>SUM(B347:B349)</f>
        <v>0</v>
      </c>
      <c r="D349" s="157"/>
      <c r="E349" s="570"/>
      <c r="F349" s="573"/>
      <c r="G349" s="478"/>
      <c r="H349" s="419"/>
      <c r="I349" s="239"/>
      <c r="J349" s="568"/>
      <c r="K349" s="57"/>
      <c r="L349" s="150"/>
      <c r="M349" s="57"/>
      <c r="N349" s="57"/>
      <c r="O349" s="57"/>
      <c r="P349" s="157"/>
      <c r="Q349" s="404"/>
      <c r="R349" s="148"/>
      <c r="S349" s="242"/>
      <c r="T349" s="242"/>
      <c r="U349" s="242"/>
      <c r="V349" s="242"/>
      <c r="W349" s="242"/>
      <c r="X349" s="242"/>
      <c r="Y349" s="148"/>
      <c r="Z349" s="148"/>
    </row>
    <row r="350">
      <c r="A350" s="402"/>
      <c r="B350" s="403"/>
      <c r="C350" s="403"/>
      <c r="D350" s="403"/>
      <c r="E350" s="574"/>
      <c r="F350" s="575"/>
      <c r="G350" s="159"/>
      <c r="H350" s="159"/>
      <c r="I350" s="159"/>
      <c r="J350" s="576"/>
      <c r="K350" s="159"/>
      <c r="L350" s="162"/>
      <c r="M350" s="402"/>
      <c r="N350" s="402"/>
      <c r="O350" s="159"/>
      <c r="P350" s="403"/>
      <c r="Q350" s="577"/>
      <c r="R350" s="148"/>
      <c r="S350" s="242"/>
      <c r="T350" s="242"/>
      <c r="U350" s="242"/>
      <c r="V350" s="242"/>
      <c r="W350" s="242"/>
      <c r="X350" s="242"/>
      <c r="Y350" s="148"/>
      <c r="Z350" s="148"/>
    </row>
    <row r="351">
      <c r="A351" s="148"/>
      <c r="B351" s="148"/>
      <c r="C351" s="148"/>
      <c r="D351" s="245"/>
      <c r="E351" s="585"/>
      <c r="F351" s="586"/>
      <c r="G351" s="148"/>
      <c r="H351" s="148"/>
      <c r="I351" s="251"/>
      <c r="J351" s="243"/>
      <c r="K351" s="148"/>
      <c r="L351" s="277"/>
      <c r="M351" s="252"/>
      <c r="N351" s="250"/>
      <c r="O351" s="253"/>
      <c r="P351" s="240"/>
      <c r="Q351" s="148"/>
      <c r="R351" s="148"/>
      <c r="S351" s="242"/>
      <c r="T351" s="242"/>
      <c r="U351" s="242"/>
      <c r="V351" s="242"/>
      <c r="W351" s="242"/>
      <c r="X351" s="242"/>
      <c r="Y351" s="148"/>
      <c r="Z351" s="148"/>
    </row>
    <row r="352">
      <c r="A352" s="169" t="s">
        <v>98</v>
      </c>
      <c r="B352" s="539"/>
      <c r="C352" s="540"/>
      <c r="D352" s="405"/>
      <c r="E352" s="541"/>
      <c r="F352" s="542"/>
      <c r="G352" s="467" t="s">
        <v>333</v>
      </c>
      <c r="H352" s="361"/>
      <c r="I352" s="57"/>
      <c r="J352" s="105"/>
      <c r="K352" s="57"/>
      <c r="L352" s="150"/>
      <c r="M352" s="239"/>
      <c r="N352" s="239"/>
      <c r="O352" s="57"/>
      <c r="P352" s="157"/>
      <c r="Q352" s="404"/>
      <c r="R352" s="148"/>
      <c r="S352" s="242"/>
      <c r="T352" s="242"/>
      <c r="U352" s="242"/>
      <c r="V352" s="242"/>
      <c r="W352" s="242"/>
      <c r="X352" s="242"/>
      <c r="Y352" s="148"/>
      <c r="Z352" s="148"/>
    </row>
    <row r="353">
      <c r="A353" s="468"/>
      <c r="B353" s="157"/>
      <c r="C353" s="466"/>
      <c r="D353" s="405"/>
      <c r="E353" s="543" t="s">
        <v>335</v>
      </c>
      <c r="F353" s="544" t="s">
        <v>237</v>
      </c>
      <c r="G353" s="412" t="s">
        <v>336</v>
      </c>
      <c r="H353" s="413" t="s">
        <v>337</v>
      </c>
      <c r="I353" s="239"/>
      <c r="J353" s="145" t="s">
        <v>60</v>
      </c>
      <c r="K353" s="57"/>
      <c r="L353" s="150"/>
      <c r="M353" s="414"/>
      <c r="N353" s="414"/>
      <c r="O353" s="57" t="s">
        <v>334</v>
      </c>
      <c r="P353" s="157"/>
      <c r="Q353" s="404"/>
      <c r="R353" s="148"/>
      <c r="S353" s="242"/>
      <c r="T353" s="242"/>
      <c r="U353" s="242"/>
      <c r="V353" s="242"/>
      <c r="W353" s="242"/>
      <c r="X353" s="242"/>
      <c r="Y353" s="148"/>
      <c r="Z353" s="148"/>
    </row>
    <row r="354">
      <c r="A354" s="470" t="s">
        <v>179</v>
      </c>
      <c r="C354" s="416">
        <f>SUM(F354:F388)</f>
        <v>0</v>
      </c>
      <c r="D354" s="405"/>
      <c r="E354" s="545"/>
      <c r="F354" s="546"/>
      <c r="G354" s="419"/>
      <c r="H354" s="419"/>
      <c r="I354" s="57"/>
      <c r="K354" s="57"/>
      <c r="L354" s="150"/>
      <c r="M354" s="377" t="s">
        <v>366</v>
      </c>
      <c r="P354" s="157"/>
      <c r="Q354" s="404"/>
      <c r="R354" s="148"/>
      <c r="S354" s="242"/>
      <c r="T354" s="242"/>
      <c r="U354" s="242"/>
      <c r="V354" s="242"/>
      <c r="W354" s="242"/>
      <c r="X354" s="242"/>
      <c r="Y354" s="148"/>
      <c r="Z354" s="148"/>
    </row>
    <row r="355">
      <c r="A355" s="421" t="s">
        <v>343</v>
      </c>
      <c r="B355" s="422" t="s">
        <v>321</v>
      </c>
      <c r="C355" s="416">
        <f>SUM(P355:P388)</f>
        <v>0</v>
      </c>
      <c r="D355" s="157"/>
      <c r="E355" s="545"/>
      <c r="F355" s="546"/>
      <c r="G355" s="419"/>
      <c r="H355" s="419"/>
      <c r="I355" s="239"/>
      <c r="J355" s="471" t="s">
        <v>341</v>
      </c>
      <c r="K355" s="420"/>
      <c r="L355" s="150"/>
      <c r="M355" s="374"/>
      <c r="O355" s="426"/>
      <c r="P355" s="423"/>
      <c r="Q355" s="404"/>
      <c r="R355" s="148"/>
      <c r="S355" s="242"/>
      <c r="T355" s="242"/>
      <c r="U355" s="242"/>
      <c r="V355" s="242"/>
      <c r="W355" s="242"/>
      <c r="X355" s="242"/>
      <c r="Y355" s="148"/>
      <c r="Z355" s="148"/>
    </row>
    <row r="356">
      <c r="A356" s="427" t="s">
        <v>201</v>
      </c>
      <c r="C356" s="204">
        <f>SUM(L355:L388)</f>
        <v>0</v>
      </c>
      <c r="D356" s="157"/>
      <c r="E356" s="545"/>
      <c r="F356" s="546"/>
      <c r="G356" s="419"/>
      <c r="H356" s="419"/>
      <c r="I356" s="239"/>
      <c r="J356" s="472" t="s">
        <v>345</v>
      </c>
      <c r="K356" s="420"/>
      <c r="L356" s="150"/>
      <c r="M356" s="374"/>
      <c r="O356" s="426"/>
      <c r="P356" s="423"/>
      <c r="Q356" s="404"/>
      <c r="R356" s="148"/>
      <c r="S356" s="242"/>
      <c r="T356" s="242"/>
      <c r="U356" s="242"/>
      <c r="V356" s="242"/>
      <c r="W356" s="242"/>
      <c r="X356" s="242"/>
      <c r="Y356" s="148"/>
      <c r="Z356" s="148"/>
    </row>
    <row r="357">
      <c r="A357" s="548" t="s">
        <v>761</v>
      </c>
      <c r="B357" s="549">
        <v>0.4</v>
      </c>
      <c r="C357" s="191"/>
      <c r="D357" s="157"/>
      <c r="E357" s="550" t="s">
        <v>695</v>
      </c>
      <c r="F357" s="546"/>
      <c r="G357" s="587"/>
      <c r="H357" s="419"/>
      <c r="I357" s="239"/>
      <c r="J357" s="433" t="s">
        <v>656</v>
      </c>
      <c r="K357" s="420"/>
      <c r="L357" s="193"/>
      <c r="M357" s="374"/>
      <c r="O357" s="426"/>
      <c r="P357" s="423"/>
      <c r="Q357" s="404"/>
      <c r="R357" s="148"/>
      <c r="S357" s="242"/>
      <c r="T357" s="242"/>
      <c r="U357" s="242"/>
      <c r="V357" s="242"/>
      <c r="W357" s="242"/>
      <c r="X357" s="242"/>
      <c r="Y357" s="148"/>
      <c r="Z357" s="148"/>
    </row>
    <row r="358">
      <c r="A358" s="434" t="s">
        <v>350</v>
      </c>
      <c r="C358" s="551">
        <f>C354-C356-C357</f>
        <v>0</v>
      </c>
      <c r="D358" s="157"/>
      <c r="E358" s="334"/>
      <c r="F358" s="546"/>
      <c r="G358" s="587"/>
      <c r="H358" s="419"/>
      <c r="I358" s="57"/>
      <c r="J358" s="444" t="s">
        <v>658</v>
      </c>
      <c r="K358" s="420"/>
      <c r="L358" s="193"/>
      <c r="M358" s="377"/>
      <c r="O358" s="431"/>
      <c r="P358" s="157"/>
      <c r="Q358" s="404"/>
      <c r="R358" s="148"/>
      <c r="S358" s="242"/>
      <c r="T358" s="242"/>
      <c r="U358" s="242"/>
      <c r="V358" s="242"/>
      <c r="W358" s="242"/>
      <c r="X358" s="242"/>
      <c r="Y358" s="148"/>
      <c r="Z358" s="148"/>
    </row>
    <row r="359">
      <c r="A359" s="554"/>
      <c r="B359" s="555"/>
      <c r="C359" s="447"/>
      <c r="D359" s="157"/>
      <c r="E359" s="192"/>
      <c r="F359" s="546"/>
      <c r="G359" s="419"/>
      <c r="H359" s="419"/>
      <c r="I359" s="57"/>
      <c r="J359" s="444" t="s">
        <v>660</v>
      </c>
      <c r="K359" s="420"/>
      <c r="L359" s="193"/>
      <c r="M359" s="377"/>
      <c r="O359" s="431"/>
      <c r="P359" s="157"/>
      <c r="Q359" s="404"/>
      <c r="R359" s="148"/>
      <c r="S359" s="242"/>
      <c r="T359" s="242"/>
      <c r="U359" s="242"/>
      <c r="V359" s="242"/>
      <c r="W359" s="242"/>
      <c r="X359" s="242"/>
      <c r="Y359" s="148"/>
      <c r="Z359" s="148"/>
    </row>
    <row r="360">
      <c r="A360" s="556"/>
      <c r="C360" s="395"/>
      <c r="D360" s="157"/>
      <c r="E360" s="192"/>
      <c r="F360" s="546"/>
      <c r="G360" s="455"/>
      <c r="H360" s="419"/>
      <c r="I360" s="239"/>
      <c r="J360" s="370" t="s">
        <v>662</v>
      </c>
      <c r="K360" s="420"/>
      <c r="L360" s="193"/>
      <c r="M360" s="377"/>
      <c r="O360" s="431"/>
      <c r="P360" s="157"/>
      <c r="Q360" s="404"/>
      <c r="R360" s="148"/>
      <c r="S360" s="242"/>
      <c r="T360" s="242"/>
      <c r="U360" s="242"/>
      <c r="V360" s="242"/>
      <c r="W360" s="242"/>
      <c r="X360" s="242"/>
      <c r="Y360" s="148"/>
      <c r="Z360" s="148"/>
    </row>
    <row r="361">
      <c r="A361" s="557"/>
      <c r="B361" s="109"/>
      <c r="C361" s="395"/>
      <c r="D361" s="373"/>
      <c r="E361" s="192"/>
      <c r="F361" s="546"/>
      <c r="G361" s="587"/>
      <c r="H361" s="419"/>
      <c r="I361" s="239"/>
      <c r="J361" s="433" t="s">
        <v>666</v>
      </c>
      <c r="K361" s="420"/>
      <c r="L361" s="193"/>
      <c r="M361" s="377"/>
      <c r="O361" s="431"/>
      <c r="P361" s="157"/>
      <c r="Q361" s="404"/>
      <c r="R361" s="148"/>
      <c r="S361" s="242"/>
      <c r="T361" s="242"/>
      <c r="U361" s="242"/>
      <c r="V361" s="242"/>
      <c r="W361" s="242"/>
      <c r="X361" s="242"/>
      <c r="Y361" s="148"/>
      <c r="Z361" s="148"/>
    </row>
    <row r="362">
      <c r="A362" s="559" t="s">
        <v>765</v>
      </c>
      <c r="B362" s="560">
        <f>SUM(D362:D388)</f>
        <v>0</v>
      </c>
      <c r="C362" s="477" t="s">
        <v>366</v>
      </c>
      <c r="D362" s="157"/>
      <c r="E362" s="192"/>
      <c r="F362" s="546"/>
      <c r="G362" s="419"/>
      <c r="H362" s="419"/>
      <c r="I362" s="239"/>
      <c r="J362" s="433" t="s">
        <v>668</v>
      </c>
      <c r="K362" s="420"/>
      <c r="L362" s="150"/>
      <c r="M362" s="377"/>
      <c r="O362" s="431"/>
      <c r="P362" s="157"/>
      <c r="Q362" s="404"/>
      <c r="R362" s="148"/>
      <c r="S362" s="242"/>
      <c r="T362" s="242"/>
      <c r="U362" s="242"/>
      <c r="V362" s="242"/>
      <c r="W362" s="242"/>
      <c r="X362" s="242"/>
      <c r="Y362" s="148"/>
      <c r="Z362" s="148"/>
    </row>
    <row r="363">
      <c r="A363" s="453" t="s">
        <v>369</v>
      </c>
      <c r="C363" s="561" t="s">
        <v>766</v>
      </c>
      <c r="D363" s="423"/>
      <c r="E363" s="192"/>
      <c r="F363" s="546"/>
      <c r="G363" s="419"/>
      <c r="H363" s="419"/>
      <c r="I363" s="239"/>
      <c r="J363" s="433" t="s">
        <v>670</v>
      </c>
      <c r="K363" s="458"/>
      <c r="L363" s="193"/>
      <c r="M363" s="377"/>
      <c r="O363" s="431"/>
      <c r="P363" s="157"/>
      <c r="Q363" s="404"/>
      <c r="R363" s="148"/>
      <c r="S363" s="242"/>
      <c r="T363" s="242"/>
      <c r="U363" s="242"/>
      <c r="V363" s="242"/>
      <c r="W363" s="242"/>
      <c r="X363" s="242"/>
      <c r="Y363" s="148"/>
      <c r="Z363" s="148"/>
    </row>
    <row r="364">
      <c r="C364" s="561" t="s">
        <v>767</v>
      </c>
      <c r="D364" s="157"/>
      <c r="E364" s="192"/>
      <c r="F364" s="546"/>
      <c r="G364" s="419"/>
      <c r="H364" s="419"/>
      <c r="I364" s="239"/>
      <c r="J364" s="433" t="s">
        <v>217</v>
      </c>
      <c r="K364" s="458"/>
      <c r="L364" s="150"/>
      <c r="M364" s="377"/>
      <c r="O364" s="431"/>
      <c r="P364" s="157"/>
      <c r="Q364" s="404"/>
      <c r="R364" s="148"/>
      <c r="S364" s="242"/>
      <c r="T364" s="242"/>
      <c r="U364" s="242"/>
      <c r="V364" s="242"/>
      <c r="W364" s="242"/>
      <c r="X364" s="242"/>
      <c r="Y364" s="148"/>
      <c r="Z364" s="148"/>
    </row>
    <row r="365">
      <c r="A365" s="57"/>
      <c r="B365" s="57"/>
      <c r="C365" s="561" t="s">
        <v>768</v>
      </c>
      <c r="D365" s="423"/>
      <c r="E365" s="192"/>
      <c r="F365" s="546"/>
      <c r="G365" s="587"/>
      <c r="H365" s="419"/>
      <c r="I365" s="239"/>
      <c r="J365" s="109"/>
      <c r="K365" s="420"/>
      <c r="L365" s="193"/>
      <c r="M365" s="374"/>
      <c r="O365" s="431"/>
      <c r="P365" s="157"/>
      <c r="Q365" s="404"/>
      <c r="R365" s="148"/>
      <c r="S365" s="242"/>
      <c r="T365" s="242"/>
      <c r="U365" s="242"/>
      <c r="V365" s="242"/>
      <c r="W365" s="242"/>
      <c r="X365" s="242"/>
      <c r="Y365" s="148"/>
      <c r="Z365" s="148"/>
    </row>
    <row r="366">
      <c r="A366" s="57"/>
      <c r="B366" s="57"/>
      <c r="C366" s="561" t="s">
        <v>769</v>
      </c>
      <c r="D366" s="157"/>
      <c r="E366" s="192"/>
      <c r="F366" s="546"/>
      <c r="G366" s="419"/>
      <c r="H366" s="419"/>
      <c r="I366" s="239"/>
      <c r="J366" s="456" t="s">
        <v>672</v>
      </c>
      <c r="K366" s="420"/>
      <c r="L366" s="150"/>
      <c r="M366" s="377"/>
      <c r="O366" s="431"/>
      <c r="P366" s="157"/>
      <c r="Q366" s="404"/>
      <c r="R366" s="148"/>
      <c r="S366" s="242"/>
      <c r="T366" s="242"/>
      <c r="U366" s="242"/>
      <c r="V366" s="242"/>
      <c r="W366" s="242"/>
      <c r="X366" s="242"/>
      <c r="Y366" s="148"/>
      <c r="Z366" s="148"/>
    </row>
    <row r="367">
      <c r="A367" s="57"/>
      <c r="B367" s="57"/>
      <c r="C367" s="561" t="s">
        <v>770</v>
      </c>
      <c r="D367" s="423"/>
      <c r="E367" s="192"/>
      <c r="F367" s="546"/>
      <c r="G367" s="587"/>
      <c r="H367" s="419"/>
      <c r="I367" s="57"/>
      <c r="J367" s="456" t="s">
        <v>675</v>
      </c>
      <c r="K367" s="420"/>
      <c r="L367" s="150"/>
      <c r="M367" s="382"/>
      <c r="O367" s="431"/>
      <c r="P367" s="157"/>
      <c r="Q367" s="404"/>
      <c r="R367" s="148"/>
      <c r="S367" s="242"/>
      <c r="T367" s="242"/>
      <c r="U367" s="242"/>
      <c r="V367" s="242"/>
      <c r="W367" s="242"/>
      <c r="X367" s="242"/>
      <c r="Y367" s="148"/>
      <c r="Z367" s="148"/>
    </row>
    <row r="368">
      <c r="A368" s="57"/>
      <c r="B368" s="57"/>
      <c r="C368" s="561" t="s">
        <v>793</v>
      </c>
      <c r="D368" s="423"/>
      <c r="E368" s="192"/>
      <c r="F368" s="546"/>
      <c r="G368" s="455"/>
      <c r="H368" s="419"/>
      <c r="I368" s="57"/>
      <c r="J368" s="456"/>
      <c r="K368" s="420"/>
      <c r="L368" s="150"/>
      <c r="M368" s="425"/>
      <c r="O368" s="431"/>
      <c r="P368" s="157"/>
      <c r="Q368" s="404"/>
      <c r="R368" s="148"/>
      <c r="S368" s="242"/>
      <c r="T368" s="242"/>
      <c r="U368" s="242"/>
      <c r="V368" s="242"/>
      <c r="W368" s="242"/>
      <c r="X368" s="242"/>
      <c r="Y368" s="148"/>
      <c r="Z368" s="148"/>
    </row>
    <row r="369">
      <c r="A369" s="239"/>
      <c r="B369" s="57"/>
      <c r="C369" s="561" t="s">
        <v>794</v>
      </c>
      <c r="D369" s="423"/>
      <c r="E369" s="228"/>
      <c r="F369" s="547"/>
      <c r="G369" s="419"/>
      <c r="H369" s="419"/>
      <c r="I369" s="57"/>
      <c r="J369" s="375"/>
      <c r="K369" s="420"/>
      <c r="L369" s="150"/>
      <c r="M369" s="425"/>
      <c r="O369" s="431"/>
      <c r="P369" s="157"/>
      <c r="Q369" s="404"/>
      <c r="R369" s="148"/>
      <c r="S369" s="242"/>
      <c r="T369" s="242"/>
      <c r="U369" s="242"/>
      <c r="V369" s="242"/>
      <c r="W369" s="242"/>
      <c r="X369" s="242"/>
      <c r="Y369" s="148"/>
      <c r="Z369" s="148"/>
    </row>
    <row r="370">
      <c r="A370" s="239"/>
      <c r="B370" s="57"/>
      <c r="C370" s="561" t="s">
        <v>18</v>
      </c>
      <c r="D370" s="423"/>
      <c r="E370" s="228"/>
      <c r="F370" s="547"/>
      <c r="G370" s="419"/>
      <c r="H370" s="419"/>
      <c r="I370" s="57"/>
      <c r="J370" s="375"/>
      <c r="K370" s="420"/>
      <c r="L370" s="193"/>
      <c r="M370" s="382"/>
      <c r="O370" s="431"/>
      <c r="P370" s="157"/>
      <c r="Q370" s="404"/>
      <c r="R370" s="148"/>
      <c r="S370" s="242"/>
      <c r="T370" s="242"/>
      <c r="U370" s="242"/>
      <c r="V370" s="242"/>
      <c r="W370" s="242"/>
      <c r="X370" s="242"/>
      <c r="Y370" s="148"/>
      <c r="Z370" s="148"/>
    </row>
    <row r="371">
      <c r="A371" s="239"/>
      <c r="B371" s="57"/>
      <c r="C371" s="563" t="s">
        <v>1115</v>
      </c>
      <c r="D371" s="157"/>
      <c r="E371" s="228"/>
      <c r="F371" s="547"/>
      <c r="G371" s="455"/>
      <c r="H371" s="419"/>
      <c r="I371" s="57"/>
      <c r="J371" s="452"/>
      <c r="K371" s="420"/>
      <c r="L371" s="150"/>
      <c r="M371" s="425"/>
      <c r="O371" s="431"/>
      <c r="P371" s="157"/>
      <c r="Q371" s="404"/>
      <c r="R371" s="148"/>
      <c r="S371" s="242"/>
      <c r="T371" s="242"/>
      <c r="U371" s="242"/>
      <c r="V371" s="242"/>
      <c r="W371" s="242"/>
      <c r="X371" s="242"/>
      <c r="Y371" s="148"/>
      <c r="Z371" s="148"/>
    </row>
    <row r="372">
      <c r="A372" s="57"/>
      <c r="B372" s="57"/>
      <c r="C372" s="561" t="s">
        <v>1116</v>
      </c>
      <c r="D372" s="423"/>
      <c r="E372" s="228"/>
      <c r="F372" s="547"/>
      <c r="G372" s="419"/>
      <c r="H372" s="419"/>
      <c r="I372" s="57"/>
      <c r="J372" s="105"/>
      <c r="K372" s="420"/>
      <c r="L372" s="150"/>
      <c r="M372" s="425"/>
      <c r="O372" s="431"/>
      <c r="P372" s="157"/>
      <c r="Q372" s="404"/>
      <c r="R372" s="148"/>
      <c r="S372" s="242"/>
      <c r="T372" s="242"/>
      <c r="U372" s="242"/>
      <c r="V372" s="242"/>
      <c r="W372" s="242"/>
      <c r="X372" s="242"/>
      <c r="Y372" s="148"/>
      <c r="Z372" s="148"/>
    </row>
    <row r="373">
      <c r="A373" s="239"/>
      <c r="B373" s="239"/>
      <c r="C373" s="561" t="s">
        <v>775</v>
      </c>
      <c r="D373" s="423"/>
      <c r="E373" s="228"/>
      <c r="F373" s="547"/>
      <c r="G373" s="419"/>
      <c r="H373" s="419"/>
      <c r="I373" s="57"/>
      <c r="J373" s="378" t="s">
        <v>682</v>
      </c>
      <c r="K373" s="420"/>
      <c r="L373" s="193"/>
      <c r="M373" s="377"/>
      <c r="O373" s="431"/>
      <c r="P373" s="157"/>
      <c r="Q373" s="404"/>
      <c r="R373" s="148"/>
      <c r="S373" s="242"/>
      <c r="T373" s="242"/>
      <c r="U373" s="242"/>
      <c r="V373" s="242"/>
      <c r="W373" s="242"/>
      <c r="X373" s="242"/>
      <c r="Y373" s="148"/>
      <c r="Z373" s="148"/>
    </row>
    <row r="374">
      <c r="A374" s="239"/>
      <c r="B374" s="239"/>
      <c r="C374" s="561" t="s">
        <v>10</v>
      </c>
      <c r="D374" s="157"/>
      <c r="E374" s="206"/>
      <c r="F374" s="564"/>
      <c r="G374" s="478"/>
      <c r="H374" s="419"/>
      <c r="I374" s="57"/>
      <c r="J374" s="461" t="s">
        <v>684</v>
      </c>
      <c r="K374" s="420"/>
      <c r="L374" s="193"/>
      <c r="M374" s="377"/>
      <c r="O374" s="431"/>
      <c r="P374" s="157"/>
      <c r="Q374" s="404"/>
      <c r="R374" s="148"/>
      <c r="S374" s="242"/>
      <c r="T374" s="242"/>
      <c r="U374" s="242"/>
      <c r="V374" s="242"/>
      <c r="W374" s="242"/>
      <c r="X374" s="242"/>
      <c r="Y374" s="148"/>
      <c r="Z374" s="148"/>
    </row>
    <row r="375">
      <c r="A375" s="239"/>
      <c r="B375" s="239"/>
      <c r="C375" s="561" t="s">
        <v>6</v>
      </c>
      <c r="D375" s="423"/>
      <c r="E375" s="206"/>
      <c r="F375" s="547"/>
      <c r="G375" s="455"/>
      <c r="H375" s="455"/>
      <c r="I375" s="57"/>
      <c r="J375" s="461" t="s">
        <v>686</v>
      </c>
      <c r="K375" s="420"/>
      <c r="L375" s="193"/>
      <c r="M375" s="377"/>
      <c r="O375" s="463"/>
      <c r="P375" s="157"/>
      <c r="Q375" s="404"/>
      <c r="R375" s="148"/>
      <c r="S375" s="242"/>
      <c r="T375" s="242"/>
      <c r="U375" s="242"/>
      <c r="V375" s="242"/>
      <c r="W375" s="242"/>
      <c r="X375" s="242"/>
      <c r="Y375" s="148"/>
      <c r="Z375" s="148"/>
    </row>
    <row r="376">
      <c r="A376" s="57"/>
      <c r="B376" s="57"/>
      <c r="C376" s="561" t="s">
        <v>779</v>
      </c>
      <c r="D376" s="157"/>
      <c r="E376" s="228"/>
      <c r="F376" s="547"/>
      <c r="G376" s="455"/>
      <c r="H376" s="455"/>
      <c r="I376" s="239"/>
      <c r="J376" s="460" t="s">
        <v>202</v>
      </c>
      <c r="K376" s="420"/>
      <c r="L376" s="193"/>
      <c r="M376" s="377"/>
      <c r="O376" s="463"/>
      <c r="P376" s="157"/>
      <c r="Q376" s="404"/>
      <c r="R376" s="148"/>
      <c r="S376" s="242"/>
      <c r="T376" s="242"/>
      <c r="U376" s="242"/>
      <c r="V376" s="242"/>
      <c r="W376" s="242"/>
      <c r="X376" s="242"/>
      <c r="Y376" s="148"/>
      <c r="Z376" s="148"/>
    </row>
    <row r="377">
      <c r="A377" s="239"/>
      <c r="B377" s="239"/>
      <c r="C377" s="561" t="s">
        <v>780</v>
      </c>
      <c r="D377" s="157"/>
      <c r="E377" s="228"/>
      <c r="F377" s="547"/>
      <c r="G377" s="455"/>
      <c r="H377" s="455"/>
      <c r="I377" s="57"/>
      <c r="J377" s="460" t="s">
        <v>274</v>
      </c>
      <c r="K377" s="420"/>
      <c r="L377" s="193"/>
      <c r="M377" s="374"/>
      <c r="O377" s="463"/>
      <c r="P377" s="157"/>
      <c r="Q377" s="404"/>
      <c r="R377" s="148"/>
      <c r="S377" s="242"/>
      <c r="T377" s="242"/>
      <c r="U377" s="242"/>
      <c r="V377" s="242"/>
      <c r="W377" s="242"/>
      <c r="X377" s="242"/>
      <c r="Y377" s="148"/>
      <c r="Z377" s="148"/>
    </row>
    <row r="378">
      <c r="A378" s="239"/>
      <c r="B378" s="239"/>
      <c r="C378" s="561" t="s">
        <v>781</v>
      </c>
      <c r="D378" s="423"/>
      <c r="E378" s="228"/>
      <c r="F378" s="547"/>
      <c r="G378" s="455"/>
      <c r="H378" s="419"/>
      <c r="I378" s="239"/>
      <c r="J378" s="685" t="s">
        <v>1117</v>
      </c>
      <c r="K378" s="420"/>
      <c r="L378" s="150"/>
      <c r="M378" s="374"/>
      <c r="O378" s="431"/>
      <c r="P378" s="157"/>
      <c r="Q378" s="404"/>
      <c r="R378" s="148"/>
      <c r="S378" s="242"/>
      <c r="T378" s="242"/>
      <c r="U378" s="242"/>
      <c r="V378" s="242"/>
      <c r="W378" s="242"/>
      <c r="X378" s="242"/>
      <c r="Y378" s="148"/>
      <c r="Z378" s="148"/>
    </row>
    <row r="379">
      <c r="A379" s="239"/>
      <c r="B379" s="157"/>
      <c r="C379" s="561" t="s">
        <v>1118</v>
      </c>
      <c r="D379" s="157"/>
      <c r="E379" s="569"/>
      <c r="F379" s="547"/>
      <c r="G379" s="419"/>
      <c r="H379" s="419"/>
      <c r="I379" s="57"/>
      <c r="J379" s="685" t="s">
        <v>1119</v>
      </c>
      <c r="K379" s="420"/>
      <c r="L379" s="193"/>
      <c r="M379" s="377"/>
      <c r="O379" s="431"/>
      <c r="P379" s="157"/>
      <c r="Q379" s="404"/>
      <c r="R379" s="148"/>
      <c r="S379" s="242"/>
      <c r="T379" s="242"/>
      <c r="U379" s="242"/>
      <c r="V379" s="242"/>
      <c r="W379" s="242"/>
      <c r="X379" s="242"/>
      <c r="Y379" s="148"/>
      <c r="Z379" s="148"/>
    </row>
    <row r="380">
      <c r="A380" s="239"/>
      <c r="B380" s="157"/>
      <c r="C380" s="561" t="s">
        <v>1120</v>
      </c>
      <c r="D380" s="157"/>
      <c r="E380" s="228"/>
      <c r="F380" s="547"/>
      <c r="G380" s="419"/>
      <c r="H380" s="419"/>
      <c r="I380" s="239"/>
      <c r="J380" s="596" t="s">
        <v>1001</v>
      </c>
      <c r="K380" s="420"/>
      <c r="L380" s="193"/>
      <c r="M380" s="377"/>
      <c r="O380" s="431"/>
      <c r="P380" s="157"/>
      <c r="Q380" s="404"/>
      <c r="R380" s="148"/>
      <c r="S380" s="242"/>
      <c r="T380" s="242"/>
      <c r="U380" s="242"/>
      <c r="V380" s="242"/>
      <c r="W380" s="242"/>
      <c r="X380" s="242"/>
      <c r="Y380" s="148"/>
      <c r="Z380" s="148"/>
    </row>
    <row r="381">
      <c r="A381" s="239"/>
      <c r="B381" s="157"/>
      <c r="C381" s="561"/>
      <c r="D381" s="157"/>
      <c r="E381" s="570"/>
      <c r="F381" s="547"/>
      <c r="G381" s="419"/>
      <c r="H381" s="419"/>
      <c r="I381" s="239"/>
      <c r="J381" s="568"/>
      <c r="K381" s="420"/>
      <c r="L381" s="193"/>
      <c r="M381" s="374"/>
      <c r="O381" s="431"/>
      <c r="P381" s="157"/>
      <c r="Q381" s="404"/>
      <c r="R381" s="148"/>
      <c r="S381" s="242"/>
      <c r="T381" s="242"/>
      <c r="U381" s="242"/>
      <c r="V381" s="242"/>
      <c r="W381" s="242"/>
      <c r="X381" s="242"/>
      <c r="Y381" s="148"/>
      <c r="Z381" s="148"/>
    </row>
    <row r="382">
      <c r="C382" s="571"/>
      <c r="D382" s="157"/>
      <c r="E382" s="570"/>
      <c r="F382" s="547"/>
      <c r="G382" s="419"/>
      <c r="H382" s="419"/>
      <c r="I382" s="239"/>
      <c r="J382" s="464" t="s">
        <v>692</v>
      </c>
      <c r="K382" s="420"/>
      <c r="L382" s="150"/>
      <c r="M382" s="377"/>
      <c r="O382" s="431"/>
      <c r="P382" s="157"/>
      <c r="Q382" s="404"/>
      <c r="R382" s="148"/>
      <c r="S382" s="242"/>
      <c r="T382" s="242"/>
      <c r="U382" s="242"/>
      <c r="V382" s="242"/>
      <c r="W382" s="242"/>
      <c r="X382" s="242"/>
      <c r="Y382" s="148"/>
      <c r="Z382" s="148"/>
    </row>
    <row r="383">
      <c r="C383" s="571"/>
      <c r="D383" s="157"/>
      <c r="E383" s="570"/>
      <c r="F383" s="547"/>
      <c r="G383" s="419"/>
      <c r="H383" s="419"/>
      <c r="I383" s="239"/>
      <c r="J383" s="464" t="s">
        <v>694</v>
      </c>
      <c r="K383" s="420"/>
      <c r="L383" s="193"/>
      <c r="M383" s="377"/>
      <c r="O383" s="431"/>
      <c r="P383" s="157"/>
      <c r="Q383" s="404"/>
      <c r="R383" s="148"/>
      <c r="S383" s="242"/>
      <c r="T383" s="242"/>
      <c r="U383" s="242"/>
      <c r="V383" s="242"/>
      <c r="W383" s="242"/>
      <c r="X383" s="242"/>
      <c r="Y383" s="148"/>
      <c r="Z383" s="148"/>
    </row>
    <row r="384">
      <c r="C384" s="571"/>
      <c r="D384" s="423"/>
      <c r="E384" s="570"/>
      <c r="F384" s="546"/>
      <c r="G384" s="419"/>
      <c r="H384" s="419"/>
      <c r="I384" s="57"/>
      <c r="J384" s="105"/>
      <c r="K384" s="57"/>
      <c r="L384" s="150"/>
      <c r="M384" s="57"/>
      <c r="N384" s="57"/>
      <c r="O384" s="57"/>
      <c r="P384" s="157"/>
      <c r="Q384" s="404"/>
      <c r="R384" s="148"/>
      <c r="S384" s="242"/>
      <c r="T384" s="242"/>
      <c r="U384" s="242"/>
      <c r="V384" s="242"/>
      <c r="W384" s="242"/>
      <c r="X384" s="242"/>
      <c r="Y384" s="148"/>
      <c r="Z384" s="148"/>
    </row>
    <row r="385">
      <c r="A385" s="125" t="s">
        <v>798</v>
      </c>
      <c r="B385" s="572">
        <f>C358-B362</f>
        <v>0</v>
      </c>
      <c r="D385" s="157"/>
      <c r="E385" s="570"/>
      <c r="F385" s="573"/>
      <c r="G385" s="478"/>
      <c r="H385" s="419"/>
      <c r="I385" s="239"/>
      <c r="J385" s="568"/>
      <c r="K385" s="57"/>
      <c r="L385" s="150"/>
      <c r="M385" s="57"/>
      <c r="N385" s="57"/>
      <c r="O385" s="57"/>
      <c r="P385" s="157"/>
      <c r="Q385" s="404"/>
      <c r="R385" s="148"/>
      <c r="S385" s="242"/>
      <c r="T385" s="242"/>
      <c r="U385" s="242"/>
      <c r="V385" s="242"/>
      <c r="W385" s="242"/>
      <c r="X385" s="242"/>
      <c r="Y385" s="148"/>
      <c r="Z385" s="148"/>
    </row>
    <row r="386">
      <c r="A386" s="274" t="s">
        <v>783</v>
      </c>
      <c r="B386" s="109"/>
      <c r="C386" s="395"/>
      <c r="D386" s="157"/>
      <c r="E386" s="570"/>
      <c r="F386" s="573"/>
      <c r="G386" s="478"/>
      <c r="H386" s="419"/>
      <c r="I386" s="239"/>
      <c r="J386" s="568"/>
      <c r="K386" s="57"/>
      <c r="L386" s="150"/>
      <c r="M386" s="57"/>
      <c r="N386" s="57"/>
      <c r="O386" s="57"/>
      <c r="P386" s="157"/>
      <c r="Q386" s="404"/>
      <c r="R386" s="148"/>
      <c r="S386" s="242"/>
      <c r="T386" s="242"/>
      <c r="U386" s="242"/>
      <c r="V386" s="242"/>
      <c r="W386" s="242"/>
      <c r="X386" s="242"/>
      <c r="Y386" s="148"/>
      <c r="Z386" s="148"/>
    </row>
    <row r="387">
      <c r="A387" s="274" t="s">
        <v>784</v>
      </c>
      <c r="B387" s="109"/>
      <c r="C387" s="395"/>
      <c r="D387" s="157"/>
      <c r="E387" s="570"/>
      <c r="F387" s="573"/>
      <c r="G387" s="478"/>
      <c r="H387" s="419"/>
      <c r="I387" s="239"/>
      <c r="J387" s="568"/>
      <c r="K387" s="57"/>
      <c r="L387" s="150"/>
      <c r="M387" s="57"/>
      <c r="N387" s="57"/>
      <c r="O387" s="57"/>
      <c r="P387" s="157"/>
      <c r="Q387" s="404"/>
      <c r="R387" s="148"/>
      <c r="S387" s="242"/>
      <c r="T387" s="242"/>
      <c r="U387" s="242"/>
      <c r="V387" s="242"/>
      <c r="W387" s="242"/>
      <c r="X387" s="242"/>
      <c r="Y387" s="148"/>
      <c r="Z387" s="148"/>
    </row>
    <row r="388">
      <c r="A388" s="274" t="s">
        <v>785</v>
      </c>
      <c r="B388" s="109"/>
      <c r="C388" s="686">
        <f>SUM(B386:B388)</f>
        <v>0</v>
      </c>
      <c r="D388" s="157"/>
      <c r="E388" s="570"/>
      <c r="F388" s="573"/>
      <c r="G388" s="478"/>
      <c r="H388" s="419"/>
      <c r="I388" s="239"/>
      <c r="J388" s="568"/>
      <c r="K388" s="57"/>
      <c r="L388" s="150"/>
      <c r="M388" s="57"/>
      <c r="N388" s="57"/>
      <c r="O388" s="57"/>
      <c r="P388" s="157"/>
      <c r="Q388" s="404"/>
      <c r="R388" s="148"/>
      <c r="S388" s="242"/>
      <c r="T388" s="242"/>
      <c r="U388" s="242"/>
      <c r="V388" s="242"/>
      <c r="W388" s="242"/>
      <c r="X388" s="242"/>
      <c r="Y388" s="148"/>
      <c r="Z388" s="148"/>
    </row>
    <row r="389">
      <c r="A389" s="402"/>
      <c r="B389" s="403"/>
      <c r="C389" s="403"/>
      <c r="D389" s="403"/>
      <c r="E389" s="574"/>
      <c r="F389" s="575"/>
      <c r="G389" s="159"/>
      <c r="H389" s="159"/>
      <c r="I389" s="159"/>
      <c r="J389" s="576"/>
      <c r="K389" s="159"/>
      <c r="L389" s="162"/>
      <c r="M389" s="402"/>
      <c r="N389" s="402"/>
      <c r="O389" s="159"/>
      <c r="P389" s="403"/>
      <c r="Q389" s="577"/>
      <c r="R389" s="148"/>
      <c r="S389" s="242"/>
      <c r="T389" s="242"/>
      <c r="U389" s="242"/>
      <c r="V389" s="242"/>
      <c r="W389" s="242"/>
      <c r="X389" s="242"/>
      <c r="Y389" s="148"/>
      <c r="Z389" s="148"/>
    </row>
    <row r="390">
      <c r="A390" s="148"/>
      <c r="B390" s="148"/>
      <c r="C390" s="148"/>
      <c r="D390" s="245"/>
      <c r="E390" s="585"/>
      <c r="F390" s="586"/>
      <c r="G390" s="148"/>
      <c r="H390" s="148"/>
      <c r="I390" s="251"/>
      <c r="J390" s="243"/>
      <c r="K390" s="148"/>
      <c r="L390" s="277"/>
      <c r="M390" s="252"/>
      <c r="N390" s="250"/>
      <c r="O390" s="253"/>
      <c r="P390" s="240"/>
      <c r="Q390" s="148"/>
      <c r="R390" s="148"/>
      <c r="S390" s="242"/>
      <c r="T390" s="242"/>
      <c r="U390" s="242"/>
      <c r="V390" s="242"/>
      <c r="W390" s="242"/>
      <c r="X390" s="242"/>
      <c r="Y390" s="148"/>
      <c r="Z390" s="148"/>
    </row>
    <row r="391">
      <c r="A391" s="169" t="s">
        <v>104</v>
      </c>
      <c r="B391" s="539"/>
      <c r="C391" s="540"/>
      <c r="D391" s="405"/>
      <c r="E391" s="541"/>
      <c r="F391" s="542"/>
      <c r="G391" s="467" t="s">
        <v>333</v>
      </c>
      <c r="H391" s="361"/>
      <c r="I391" s="57"/>
      <c r="J391" s="105"/>
      <c r="K391" s="57"/>
      <c r="L391" s="150"/>
      <c r="M391" s="239"/>
      <c r="N391" s="239"/>
      <c r="O391" s="57"/>
      <c r="P391" s="157"/>
      <c r="Q391" s="404"/>
      <c r="R391" s="148"/>
      <c r="S391" s="242"/>
      <c r="T391" s="242"/>
      <c r="U391" s="242"/>
      <c r="V391" s="242"/>
      <c r="W391" s="242"/>
      <c r="X391" s="242"/>
      <c r="Y391" s="148"/>
      <c r="Z391" s="148"/>
    </row>
    <row r="392">
      <c r="A392" s="468"/>
      <c r="B392" s="157"/>
      <c r="C392" s="466"/>
      <c r="D392" s="405"/>
      <c r="E392" s="543" t="s">
        <v>335</v>
      </c>
      <c r="F392" s="544" t="s">
        <v>237</v>
      </c>
      <c r="G392" s="412" t="s">
        <v>336</v>
      </c>
      <c r="H392" s="413" t="s">
        <v>337</v>
      </c>
      <c r="I392" s="239"/>
      <c r="J392" s="145" t="s">
        <v>60</v>
      </c>
      <c r="K392" s="57"/>
      <c r="L392" s="150"/>
      <c r="M392" s="414"/>
      <c r="N392" s="414"/>
      <c r="O392" s="57" t="s">
        <v>334</v>
      </c>
      <c r="P392" s="157"/>
      <c r="Q392" s="404"/>
      <c r="R392" s="148"/>
      <c r="S392" s="242"/>
      <c r="T392" s="242"/>
      <c r="U392" s="242"/>
      <c r="V392" s="242"/>
      <c r="W392" s="242"/>
      <c r="X392" s="242"/>
      <c r="Y392" s="148"/>
      <c r="Z392" s="148"/>
    </row>
    <row r="393">
      <c r="A393" s="470" t="s">
        <v>179</v>
      </c>
      <c r="C393" s="416">
        <f>SUM(F393:F427)</f>
        <v>0</v>
      </c>
      <c r="D393" s="405"/>
      <c r="E393" s="545"/>
      <c r="F393" s="546"/>
      <c r="G393" s="419"/>
      <c r="H393" s="419"/>
      <c r="I393" s="57"/>
      <c r="K393" s="57"/>
      <c r="L393" s="150"/>
      <c r="M393" s="377" t="s">
        <v>366</v>
      </c>
      <c r="P393" s="157"/>
      <c r="Q393" s="404"/>
      <c r="R393" s="148"/>
      <c r="S393" s="242"/>
      <c r="T393" s="242"/>
      <c r="U393" s="242"/>
      <c r="V393" s="242"/>
      <c r="W393" s="242"/>
      <c r="X393" s="242"/>
      <c r="Y393" s="148"/>
      <c r="Z393" s="148"/>
    </row>
    <row r="394">
      <c r="A394" s="421" t="s">
        <v>343</v>
      </c>
      <c r="B394" s="422" t="s">
        <v>321</v>
      </c>
      <c r="C394" s="416">
        <f>SUM(P394:P427)</f>
        <v>0</v>
      </c>
      <c r="D394" s="157"/>
      <c r="E394" s="545"/>
      <c r="F394" s="546"/>
      <c r="G394" s="419"/>
      <c r="H394" s="419"/>
      <c r="I394" s="239"/>
      <c r="J394" s="471" t="s">
        <v>341</v>
      </c>
      <c r="K394" s="420"/>
      <c r="L394" s="150"/>
      <c r="M394" s="374"/>
      <c r="O394" s="426"/>
      <c r="P394" s="423"/>
      <c r="Q394" s="404"/>
      <c r="R394" s="148"/>
      <c r="S394" s="242"/>
      <c r="T394" s="242"/>
      <c r="U394" s="242"/>
      <c r="V394" s="242"/>
      <c r="W394" s="242"/>
      <c r="X394" s="242"/>
      <c r="Y394" s="148"/>
      <c r="Z394" s="148"/>
    </row>
    <row r="395">
      <c r="A395" s="427" t="s">
        <v>201</v>
      </c>
      <c r="C395" s="204">
        <f>SUM(L394:L427)</f>
        <v>0</v>
      </c>
      <c r="D395" s="157"/>
      <c r="E395" s="545"/>
      <c r="F395" s="546"/>
      <c r="G395" s="419"/>
      <c r="H395" s="419"/>
      <c r="I395" s="239"/>
      <c r="J395" s="472" t="s">
        <v>345</v>
      </c>
      <c r="K395" s="420"/>
      <c r="L395" s="150"/>
      <c r="M395" s="374"/>
      <c r="O395" s="426"/>
      <c r="P395" s="423"/>
      <c r="Q395" s="404"/>
      <c r="R395" s="148"/>
      <c r="S395" s="242"/>
      <c r="T395" s="242"/>
      <c r="U395" s="242"/>
      <c r="V395" s="242"/>
      <c r="W395" s="242"/>
      <c r="X395" s="242"/>
      <c r="Y395" s="148"/>
      <c r="Z395" s="148"/>
    </row>
    <row r="396">
      <c r="A396" s="548" t="s">
        <v>761</v>
      </c>
      <c r="B396" s="549">
        <v>0.4</v>
      </c>
      <c r="C396" s="191"/>
      <c r="D396" s="157"/>
      <c r="E396" s="550" t="s">
        <v>695</v>
      </c>
      <c r="F396" s="546"/>
      <c r="G396" s="419"/>
      <c r="H396" s="419"/>
      <c r="I396" s="239"/>
      <c r="J396" s="433" t="s">
        <v>656</v>
      </c>
      <c r="K396" s="420"/>
      <c r="L396" s="193"/>
      <c r="M396" s="377"/>
      <c r="O396" s="426"/>
      <c r="P396" s="423"/>
      <c r="Q396" s="404"/>
      <c r="R396" s="148"/>
      <c r="S396" s="242"/>
      <c r="T396" s="242"/>
      <c r="U396" s="242"/>
      <c r="V396" s="242"/>
      <c r="W396" s="242"/>
      <c r="X396" s="242"/>
      <c r="Y396" s="148"/>
      <c r="Z396" s="148"/>
    </row>
    <row r="397">
      <c r="A397" s="434" t="s">
        <v>350</v>
      </c>
      <c r="C397" s="551">
        <f>C393-C395-C396</f>
        <v>0</v>
      </c>
      <c r="D397" s="157"/>
      <c r="E397" s="192"/>
      <c r="F397" s="546"/>
      <c r="G397" s="455"/>
      <c r="H397" s="419"/>
      <c r="I397" s="57"/>
      <c r="J397" s="444" t="s">
        <v>658</v>
      </c>
      <c r="K397" s="420"/>
      <c r="L397" s="193"/>
      <c r="M397" s="377"/>
      <c r="O397" s="426"/>
      <c r="P397" s="423"/>
      <c r="Q397" s="404"/>
      <c r="R397" s="148"/>
      <c r="S397" s="242"/>
      <c r="T397" s="242"/>
      <c r="U397" s="242"/>
      <c r="V397" s="242"/>
      <c r="W397" s="242"/>
      <c r="X397" s="242"/>
      <c r="Y397" s="148"/>
      <c r="Z397" s="148"/>
    </row>
    <row r="398">
      <c r="A398" s="554"/>
      <c r="B398" s="555"/>
      <c r="C398" s="447"/>
      <c r="D398" s="157"/>
      <c r="E398" s="192"/>
      <c r="F398" s="546"/>
      <c r="G398" s="587"/>
      <c r="H398" s="419"/>
      <c r="I398" s="57"/>
      <c r="J398" s="444" t="s">
        <v>660</v>
      </c>
      <c r="K398" s="420"/>
      <c r="L398" s="193"/>
      <c r="M398" s="377"/>
      <c r="O398" s="431"/>
      <c r="P398" s="157"/>
      <c r="Q398" s="404"/>
      <c r="R398" s="148"/>
      <c r="S398" s="242"/>
      <c r="T398" s="242"/>
      <c r="U398" s="242"/>
      <c r="V398" s="242"/>
      <c r="W398" s="242"/>
      <c r="X398" s="242"/>
      <c r="Y398" s="148"/>
      <c r="Z398" s="148"/>
    </row>
    <row r="399">
      <c r="A399" s="556"/>
      <c r="C399" s="395"/>
      <c r="D399" s="157"/>
      <c r="E399" s="192"/>
      <c r="F399" s="546"/>
      <c r="G399" s="455"/>
      <c r="H399" s="419"/>
      <c r="I399" s="239"/>
      <c r="J399" s="370" t="s">
        <v>662</v>
      </c>
      <c r="K399" s="420"/>
      <c r="L399" s="193"/>
      <c r="M399" s="374"/>
      <c r="O399" s="431"/>
      <c r="P399" s="157"/>
      <c r="Q399" s="404"/>
      <c r="R399" s="148"/>
      <c r="S399" s="242"/>
      <c r="T399" s="242"/>
      <c r="U399" s="242"/>
      <c r="V399" s="242"/>
      <c r="W399" s="242"/>
      <c r="X399" s="242"/>
      <c r="Y399" s="148"/>
      <c r="Z399" s="148"/>
    </row>
    <row r="400">
      <c r="A400" s="557"/>
      <c r="B400" s="109"/>
      <c r="C400" s="395"/>
      <c r="D400" s="373"/>
      <c r="E400" s="192"/>
      <c r="F400" s="546"/>
      <c r="G400" s="419"/>
      <c r="H400" s="419"/>
      <c r="I400" s="239"/>
      <c r="J400" s="433" t="s">
        <v>666</v>
      </c>
      <c r="K400" s="420"/>
      <c r="L400" s="150"/>
      <c r="M400" s="374"/>
      <c r="O400" s="431"/>
      <c r="P400" s="157"/>
      <c r="Q400" s="404"/>
      <c r="R400" s="148"/>
      <c r="S400" s="242"/>
      <c r="T400" s="242"/>
      <c r="U400" s="242"/>
      <c r="V400" s="242"/>
      <c r="W400" s="242"/>
      <c r="X400" s="242"/>
      <c r="Y400" s="148"/>
      <c r="Z400" s="148"/>
    </row>
    <row r="401">
      <c r="A401" s="559" t="s">
        <v>765</v>
      </c>
      <c r="B401" s="560">
        <f>SUM(D401:D427)</f>
        <v>0</v>
      </c>
      <c r="C401" s="477" t="s">
        <v>366</v>
      </c>
      <c r="D401" s="157"/>
      <c r="E401" s="192"/>
      <c r="F401" s="546"/>
      <c r="G401" s="419"/>
      <c r="H401" s="419"/>
      <c r="I401" s="239"/>
      <c r="J401" s="433" t="s">
        <v>668</v>
      </c>
      <c r="K401" s="420"/>
      <c r="L401" s="150"/>
      <c r="M401" s="377"/>
      <c r="O401" s="431"/>
      <c r="P401" s="157"/>
      <c r="Q401" s="404"/>
      <c r="R401" s="148"/>
      <c r="S401" s="242"/>
      <c r="T401" s="242"/>
      <c r="U401" s="242"/>
      <c r="V401" s="242"/>
      <c r="W401" s="242"/>
      <c r="X401" s="242"/>
      <c r="Y401" s="148"/>
      <c r="Z401" s="148"/>
    </row>
    <row r="402">
      <c r="A402" s="453" t="s">
        <v>369</v>
      </c>
      <c r="C402" s="561" t="s">
        <v>766</v>
      </c>
      <c r="D402" s="423"/>
      <c r="E402" s="192"/>
      <c r="F402" s="546"/>
      <c r="G402" s="419"/>
      <c r="H402" s="419"/>
      <c r="I402" s="239"/>
      <c r="J402" s="433" t="s">
        <v>670</v>
      </c>
      <c r="K402" s="458"/>
      <c r="L402" s="193"/>
      <c r="M402" s="377"/>
      <c r="O402" s="431"/>
      <c r="P402" s="157"/>
      <c r="Q402" s="404"/>
      <c r="R402" s="148"/>
      <c r="S402" s="242"/>
      <c r="T402" s="242"/>
      <c r="U402" s="242"/>
      <c r="V402" s="242"/>
      <c r="W402" s="242"/>
      <c r="X402" s="242"/>
      <c r="Y402" s="148"/>
      <c r="Z402" s="148"/>
    </row>
    <row r="403">
      <c r="C403" s="561" t="s">
        <v>767</v>
      </c>
      <c r="D403" s="423"/>
      <c r="E403" s="192"/>
      <c r="F403" s="546"/>
      <c r="G403" s="419"/>
      <c r="H403" s="419"/>
      <c r="I403" s="239"/>
      <c r="J403" s="433" t="s">
        <v>217</v>
      </c>
      <c r="K403" s="458"/>
      <c r="L403" s="150"/>
      <c r="M403" s="377"/>
      <c r="O403" s="431"/>
      <c r="P403" s="157"/>
      <c r="Q403" s="404"/>
      <c r="R403" s="148"/>
      <c r="S403" s="242"/>
      <c r="T403" s="242"/>
      <c r="U403" s="242"/>
      <c r="V403" s="242"/>
      <c r="W403" s="242"/>
      <c r="X403" s="242"/>
      <c r="Y403" s="148"/>
      <c r="Z403" s="148"/>
    </row>
    <row r="404">
      <c r="A404" s="57"/>
      <c r="B404" s="272" t="s">
        <v>889</v>
      </c>
      <c r="C404" s="561" t="s">
        <v>768</v>
      </c>
      <c r="D404" s="423"/>
      <c r="E404" s="192"/>
      <c r="F404" s="546"/>
      <c r="G404" s="419"/>
      <c r="H404" s="419"/>
      <c r="I404" s="239"/>
      <c r="J404" s="109"/>
      <c r="K404" s="420"/>
      <c r="L404" s="193"/>
      <c r="M404" s="374"/>
      <c r="O404" s="431"/>
      <c r="P404" s="157"/>
      <c r="Q404" s="404"/>
      <c r="R404" s="148"/>
      <c r="S404" s="242"/>
      <c r="T404" s="242"/>
      <c r="U404" s="242"/>
      <c r="V404" s="242"/>
      <c r="W404" s="242"/>
      <c r="X404" s="242"/>
      <c r="Y404" s="148"/>
      <c r="Z404" s="148"/>
    </row>
    <row r="405">
      <c r="A405" s="57"/>
      <c r="B405" s="57"/>
      <c r="C405" s="561" t="s">
        <v>769</v>
      </c>
      <c r="D405" s="157"/>
      <c r="E405" s="192"/>
      <c r="F405" s="546"/>
      <c r="G405" s="419"/>
      <c r="H405" s="419"/>
      <c r="I405" s="239"/>
      <c r="J405" s="456" t="s">
        <v>672</v>
      </c>
      <c r="K405" s="420"/>
      <c r="L405" s="150"/>
      <c r="M405" s="377"/>
      <c r="O405" s="431"/>
      <c r="P405" s="157"/>
      <c r="Q405" s="404"/>
      <c r="R405" s="148"/>
      <c r="S405" s="242"/>
      <c r="T405" s="242"/>
      <c r="U405" s="242"/>
      <c r="V405" s="242"/>
      <c r="W405" s="242"/>
      <c r="X405" s="242"/>
      <c r="Y405" s="148"/>
      <c r="Z405" s="148"/>
    </row>
    <row r="406">
      <c r="A406" s="597"/>
      <c r="C406" s="561" t="s">
        <v>770</v>
      </c>
      <c r="D406" s="423"/>
      <c r="E406" s="192"/>
      <c r="F406" s="546"/>
      <c r="G406" s="419"/>
      <c r="H406" s="419"/>
      <c r="I406" s="57"/>
      <c r="J406" s="456" t="s">
        <v>675</v>
      </c>
      <c r="K406" s="420"/>
      <c r="L406" s="150"/>
      <c r="M406" s="382"/>
      <c r="O406" s="431"/>
      <c r="P406" s="157"/>
      <c r="Q406" s="404"/>
      <c r="R406" s="148"/>
      <c r="S406" s="242"/>
      <c r="T406" s="242"/>
      <c r="U406" s="242"/>
      <c r="V406" s="242"/>
      <c r="W406" s="242"/>
      <c r="X406" s="242"/>
      <c r="Y406" s="148"/>
      <c r="Z406" s="148"/>
    </row>
    <row r="407">
      <c r="A407" s="57"/>
      <c r="B407" s="57"/>
      <c r="C407" s="561" t="s">
        <v>793</v>
      </c>
      <c r="D407" s="423"/>
      <c r="E407" s="192"/>
      <c r="F407" s="546"/>
      <c r="G407" s="587"/>
      <c r="H407" s="419"/>
      <c r="I407" s="57"/>
      <c r="J407" s="456"/>
      <c r="K407" s="420"/>
      <c r="L407" s="150"/>
      <c r="M407" s="425"/>
      <c r="O407" s="431"/>
      <c r="P407" s="157"/>
      <c r="Q407" s="404"/>
      <c r="R407" s="148"/>
      <c r="S407" s="242"/>
      <c r="T407" s="242"/>
      <c r="U407" s="242"/>
      <c r="V407" s="242"/>
      <c r="W407" s="242"/>
      <c r="X407" s="242"/>
      <c r="Y407" s="148"/>
      <c r="Z407" s="148"/>
    </row>
    <row r="408">
      <c r="A408" s="239"/>
      <c r="B408" s="57"/>
      <c r="C408" s="561" t="s">
        <v>794</v>
      </c>
      <c r="D408" s="157"/>
      <c r="E408" s="192"/>
      <c r="F408" s="546"/>
      <c r="G408" s="587"/>
      <c r="H408" s="419"/>
      <c r="I408" s="57"/>
      <c r="J408" s="375"/>
      <c r="K408" s="420"/>
      <c r="L408" s="150"/>
      <c r="M408" s="425"/>
      <c r="O408" s="431"/>
      <c r="P408" s="157"/>
      <c r="Q408" s="404"/>
      <c r="R408" s="148"/>
      <c r="S408" s="242"/>
      <c r="T408" s="242"/>
      <c r="U408" s="242"/>
      <c r="V408" s="242"/>
      <c r="W408" s="242"/>
      <c r="X408" s="242"/>
      <c r="Y408" s="148"/>
      <c r="Z408" s="148"/>
    </row>
    <row r="409">
      <c r="A409" s="239"/>
      <c r="B409" s="57"/>
      <c r="C409" s="561" t="s">
        <v>18</v>
      </c>
      <c r="D409" s="157"/>
      <c r="E409" s="192"/>
      <c r="F409" s="546"/>
      <c r="G409" s="419"/>
      <c r="H409" s="419"/>
      <c r="I409" s="57"/>
      <c r="J409" s="375"/>
      <c r="K409" s="420"/>
      <c r="L409" s="193"/>
      <c r="M409" s="382"/>
      <c r="O409" s="431"/>
      <c r="P409" s="157"/>
      <c r="Q409" s="404"/>
      <c r="R409" s="148"/>
      <c r="S409" s="242"/>
      <c r="T409" s="242"/>
      <c r="U409" s="242"/>
      <c r="V409" s="242"/>
      <c r="W409" s="242"/>
      <c r="X409" s="242"/>
      <c r="Y409" s="148"/>
      <c r="Z409" s="148"/>
    </row>
    <row r="410">
      <c r="A410" s="239"/>
      <c r="B410" s="57"/>
      <c r="C410" s="563" t="s">
        <v>1115</v>
      </c>
      <c r="D410" s="157"/>
      <c r="E410" s="192"/>
      <c r="F410" s="546"/>
      <c r="G410" s="587"/>
      <c r="H410" s="419"/>
      <c r="I410" s="57"/>
      <c r="J410" s="452"/>
      <c r="K410" s="420"/>
      <c r="L410" s="150"/>
      <c r="M410" s="425"/>
      <c r="O410" s="431"/>
      <c r="P410" s="157"/>
      <c r="Q410" s="404"/>
      <c r="R410" s="148"/>
      <c r="S410" s="242"/>
      <c r="T410" s="242"/>
      <c r="U410" s="242"/>
      <c r="V410" s="242"/>
      <c r="W410" s="242"/>
      <c r="X410" s="242"/>
      <c r="Y410" s="148"/>
      <c r="Z410" s="148"/>
    </row>
    <row r="411">
      <c r="A411" s="57"/>
      <c r="B411" s="57"/>
      <c r="C411" s="561" t="s">
        <v>1116</v>
      </c>
      <c r="D411" s="423"/>
      <c r="E411" s="192"/>
      <c r="F411" s="546"/>
      <c r="G411" s="587"/>
      <c r="H411" s="419"/>
      <c r="I411" s="57"/>
      <c r="J411" s="105"/>
      <c r="K411" s="420"/>
      <c r="L411" s="150"/>
      <c r="M411" s="425"/>
      <c r="O411" s="431"/>
      <c r="P411" s="157"/>
      <c r="Q411" s="404"/>
      <c r="R411" s="148"/>
      <c r="S411" s="242"/>
      <c r="T411" s="242"/>
      <c r="U411" s="242"/>
      <c r="V411" s="242"/>
      <c r="W411" s="242"/>
      <c r="X411" s="242"/>
      <c r="Y411" s="148"/>
      <c r="Z411" s="148"/>
    </row>
    <row r="412">
      <c r="A412" s="239"/>
      <c r="B412" s="239"/>
      <c r="C412" s="561" t="s">
        <v>775</v>
      </c>
      <c r="D412" s="423"/>
      <c r="E412" s="228"/>
      <c r="F412" s="547"/>
      <c r="G412" s="419"/>
      <c r="H412" s="419"/>
      <c r="I412" s="57"/>
      <c r="J412" s="378" t="s">
        <v>682</v>
      </c>
      <c r="K412" s="420"/>
      <c r="L412" s="193"/>
      <c r="M412" s="377"/>
      <c r="O412" s="431"/>
      <c r="P412" s="157"/>
      <c r="Q412" s="404"/>
      <c r="R412" s="148"/>
      <c r="S412" s="242"/>
      <c r="T412" s="242"/>
      <c r="U412" s="242"/>
      <c r="V412" s="242"/>
      <c r="W412" s="242"/>
      <c r="X412" s="242"/>
      <c r="Y412" s="148"/>
      <c r="Z412" s="148"/>
    </row>
    <row r="413">
      <c r="A413" s="239"/>
      <c r="B413" s="239"/>
      <c r="C413" s="561" t="s">
        <v>10</v>
      </c>
      <c r="D413" s="157"/>
      <c r="E413" s="206"/>
      <c r="F413" s="564"/>
      <c r="G413" s="478"/>
      <c r="H413" s="419"/>
      <c r="I413" s="57"/>
      <c r="J413" s="461" t="s">
        <v>684</v>
      </c>
      <c r="K413" s="420"/>
      <c r="L413" s="193"/>
      <c r="M413" s="377"/>
      <c r="O413" s="431"/>
      <c r="P413" s="157"/>
      <c r="Q413" s="404"/>
      <c r="R413" s="148"/>
      <c r="S413" s="242"/>
      <c r="T413" s="242"/>
      <c r="U413" s="242"/>
      <c r="V413" s="242"/>
      <c r="W413" s="242"/>
      <c r="X413" s="242"/>
      <c r="Y413" s="148"/>
      <c r="Z413" s="148"/>
    </row>
    <row r="414">
      <c r="A414" s="239"/>
      <c r="B414" s="239"/>
      <c r="C414" s="561" t="s">
        <v>6</v>
      </c>
      <c r="D414" s="157"/>
      <c r="E414" s="206"/>
      <c r="F414" s="547"/>
      <c r="G414" s="455"/>
      <c r="H414" s="455"/>
      <c r="I414" s="57"/>
      <c r="J414" s="461" t="s">
        <v>686</v>
      </c>
      <c r="K414" s="420"/>
      <c r="L414" s="150"/>
      <c r="M414" s="374"/>
      <c r="O414" s="463"/>
      <c r="P414" s="157"/>
      <c r="Q414" s="404"/>
      <c r="R414" s="148"/>
      <c r="S414" s="242"/>
      <c r="T414" s="242"/>
      <c r="U414" s="242"/>
      <c r="V414" s="242"/>
      <c r="W414" s="242"/>
      <c r="X414" s="242"/>
      <c r="Y414" s="148"/>
      <c r="Z414" s="148"/>
    </row>
    <row r="415">
      <c r="A415" s="57"/>
      <c r="B415" s="57"/>
      <c r="C415" s="561" t="s">
        <v>779</v>
      </c>
      <c r="D415" s="157"/>
      <c r="E415" s="228"/>
      <c r="F415" s="547"/>
      <c r="G415" s="455"/>
      <c r="H415" s="455"/>
      <c r="I415" s="239"/>
      <c r="J415" s="460" t="s">
        <v>202</v>
      </c>
      <c r="K415" s="420"/>
      <c r="L415" s="193"/>
      <c r="M415" s="377"/>
      <c r="O415" s="463"/>
      <c r="P415" s="157"/>
      <c r="Q415" s="404"/>
      <c r="R415" s="148"/>
      <c r="S415" s="242"/>
      <c r="T415" s="242"/>
      <c r="U415" s="242"/>
      <c r="V415" s="242"/>
      <c r="W415" s="242"/>
      <c r="X415" s="242"/>
      <c r="Y415" s="148"/>
      <c r="Z415" s="148"/>
    </row>
    <row r="416">
      <c r="A416" s="239"/>
      <c r="B416" s="239"/>
      <c r="C416" s="561" t="s">
        <v>780</v>
      </c>
      <c r="D416" s="423"/>
      <c r="E416" s="228"/>
      <c r="F416" s="547"/>
      <c r="G416" s="455"/>
      <c r="H416" s="455"/>
      <c r="I416" s="57"/>
      <c r="J416" s="460" t="s">
        <v>274</v>
      </c>
      <c r="K416" s="420"/>
      <c r="L416" s="193"/>
      <c r="M416" s="374"/>
      <c r="O416" s="463"/>
      <c r="P416" s="157"/>
      <c r="Q416" s="404"/>
      <c r="R416" s="148"/>
      <c r="S416" s="242"/>
      <c r="T416" s="242"/>
      <c r="U416" s="242"/>
      <c r="V416" s="242"/>
      <c r="W416" s="242"/>
      <c r="X416" s="242"/>
      <c r="Y416" s="148"/>
      <c r="Z416" s="148"/>
    </row>
    <row r="417">
      <c r="A417" s="239"/>
      <c r="B417" s="239"/>
      <c r="C417" s="561" t="s">
        <v>781</v>
      </c>
      <c r="D417" s="423"/>
      <c r="E417" s="228"/>
      <c r="F417" s="547"/>
      <c r="G417" s="455"/>
      <c r="H417" s="419"/>
      <c r="I417" s="239"/>
      <c r="J417" s="685" t="s">
        <v>1117</v>
      </c>
      <c r="K417" s="420"/>
      <c r="L417" s="150"/>
      <c r="M417" s="374"/>
      <c r="O417" s="431"/>
      <c r="P417" s="157"/>
      <c r="Q417" s="404"/>
      <c r="R417" s="148"/>
      <c r="S417" s="242"/>
      <c r="T417" s="242"/>
      <c r="U417" s="242"/>
      <c r="V417" s="242"/>
      <c r="W417" s="242"/>
      <c r="X417" s="242"/>
      <c r="Y417" s="148"/>
      <c r="Z417" s="148"/>
    </row>
    <row r="418">
      <c r="A418" s="239"/>
      <c r="B418" s="157"/>
      <c r="C418" s="561" t="s">
        <v>1118</v>
      </c>
      <c r="D418" s="157"/>
      <c r="E418" s="569"/>
      <c r="F418" s="547"/>
      <c r="G418" s="419"/>
      <c r="H418" s="419"/>
      <c r="I418" s="57"/>
      <c r="J418" s="685" t="s">
        <v>1119</v>
      </c>
      <c r="K418" s="420"/>
      <c r="L418" s="193"/>
      <c r="M418" s="377"/>
      <c r="O418" s="431"/>
      <c r="P418" s="157"/>
      <c r="Q418" s="404"/>
      <c r="R418" s="148"/>
      <c r="S418" s="242"/>
      <c r="T418" s="242"/>
      <c r="U418" s="242"/>
      <c r="V418" s="242"/>
      <c r="W418" s="242"/>
      <c r="X418" s="242"/>
      <c r="Y418" s="148"/>
      <c r="Z418" s="148"/>
    </row>
    <row r="419">
      <c r="A419" s="239"/>
      <c r="B419" s="157"/>
      <c r="C419" s="561" t="s">
        <v>1120</v>
      </c>
      <c r="D419" s="157"/>
      <c r="E419" s="228"/>
      <c r="F419" s="547"/>
      <c r="G419" s="419"/>
      <c r="H419" s="419"/>
      <c r="I419" s="239"/>
      <c r="J419" s="596" t="s">
        <v>1001</v>
      </c>
      <c r="K419" s="420"/>
      <c r="L419" s="193"/>
      <c r="M419" s="377"/>
      <c r="O419" s="431"/>
      <c r="P419" s="157"/>
      <c r="Q419" s="404"/>
      <c r="R419" s="148"/>
      <c r="S419" s="242"/>
      <c r="T419" s="242"/>
      <c r="U419" s="242"/>
      <c r="V419" s="242"/>
      <c r="W419" s="242"/>
      <c r="X419" s="242"/>
      <c r="Y419" s="148"/>
      <c r="Z419" s="148"/>
    </row>
    <row r="420">
      <c r="A420" s="239"/>
      <c r="B420" s="157"/>
      <c r="C420" s="561"/>
      <c r="D420" s="157"/>
      <c r="E420" s="570"/>
      <c r="F420" s="547"/>
      <c r="G420" s="419"/>
      <c r="H420" s="419"/>
      <c r="I420" s="239"/>
      <c r="J420" s="568"/>
      <c r="K420" s="420"/>
      <c r="L420" s="193"/>
      <c r="M420" s="374"/>
      <c r="O420" s="431"/>
      <c r="P420" s="157"/>
      <c r="Q420" s="404"/>
      <c r="R420" s="148"/>
      <c r="S420" s="242"/>
      <c r="T420" s="242"/>
      <c r="U420" s="242"/>
      <c r="V420" s="242"/>
      <c r="W420" s="242"/>
      <c r="X420" s="242"/>
      <c r="Y420" s="148"/>
      <c r="Z420" s="148"/>
    </row>
    <row r="421">
      <c r="C421" s="571"/>
      <c r="D421" s="157"/>
      <c r="E421" s="570"/>
      <c r="F421" s="547"/>
      <c r="G421" s="419"/>
      <c r="H421" s="419"/>
      <c r="I421" s="239"/>
      <c r="J421" s="464" t="s">
        <v>692</v>
      </c>
      <c r="K421" s="420"/>
      <c r="L421" s="150"/>
      <c r="M421" s="377"/>
      <c r="O421" s="431"/>
      <c r="P421" s="157"/>
      <c r="Q421" s="404"/>
      <c r="R421" s="148"/>
      <c r="S421" s="242"/>
      <c r="T421" s="242"/>
      <c r="U421" s="242"/>
      <c r="V421" s="242"/>
      <c r="W421" s="242"/>
      <c r="X421" s="242"/>
      <c r="Y421" s="148"/>
      <c r="Z421" s="148"/>
    </row>
    <row r="422">
      <c r="C422" s="571"/>
      <c r="D422" s="157"/>
      <c r="E422" s="570"/>
      <c r="F422" s="547"/>
      <c r="G422" s="419"/>
      <c r="H422" s="419"/>
      <c r="I422" s="239"/>
      <c r="J422" s="464" t="s">
        <v>694</v>
      </c>
      <c r="K422" s="420"/>
      <c r="L422" s="193"/>
      <c r="M422" s="374"/>
      <c r="O422" s="431"/>
      <c r="P422" s="157"/>
      <c r="Q422" s="404"/>
      <c r="R422" s="148"/>
      <c r="S422" s="242"/>
      <c r="T422" s="242"/>
      <c r="U422" s="242"/>
      <c r="V422" s="242"/>
      <c r="W422" s="242"/>
      <c r="X422" s="242"/>
      <c r="Y422" s="148"/>
      <c r="Z422" s="148"/>
    </row>
    <row r="423">
      <c r="C423" s="571"/>
      <c r="D423" s="423"/>
      <c r="E423" s="570"/>
      <c r="F423" s="546"/>
      <c r="G423" s="419"/>
      <c r="H423" s="419"/>
      <c r="I423" s="57"/>
      <c r="J423" s="105"/>
      <c r="K423" s="57"/>
      <c r="L423" s="150"/>
      <c r="M423" s="57"/>
      <c r="N423" s="57"/>
      <c r="O423" s="57"/>
      <c r="P423" s="157"/>
      <c r="Q423" s="404"/>
      <c r="R423" s="148"/>
      <c r="S423" s="242"/>
      <c r="T423" s="242"/>
      <c r="U423" s="242"/>
      <c r="V423" s="242"/>
      <c r="W423" s="242"/>
      <c r="X423" s="242"/>
      <c r="Y423" s="148"/>
      <c r="Z423" s="148"/>
    </row>
    <row r="424">
      <c r="A424" s="125" t="s">
        <v>798</v>
      </c>
      <c r="B424" s="572">
        <f>C397-B401</f>
        <v>0</v>
      </c>
      <c r="D424" s="157"/>
      <c r="E424" s="570"/>
      <c r="F424" s="573"/>
      <c r="G424" s="478"/>
      <c r="H424" s="419"/>
      <c r="I424" s="239"/>
      <c r="J424" s="568"/>
      <c r="K424" s="57"/>
      <c r="L424" s="150"/>
      <c r="M424" s="57"/>
      <c r="N424" s="57"/>
      <c r="O424" s="57"/>
      <c r="P424" s="157"/>
      <c r="Q424" s="404"/>
      <c r="R424" s="148"/>
      <c r="S424" s="242"/>
      <c r="T424" s="242"/>
      <c r="U424" s="242"/>
      <c r="V424" s="242"/>
      <c r="W424" s="242"/>
      <c r="X424" s="242"/>
      <c r="Y424" s="148"/>
      <c r="Z424" s="148"/>
    </row>
    <row r="425">
      <c r="A425" s="274" t="s">
        <v>783</v>
      </c>
      <c r="B425" s="109"/>
      <c r="C425" s="395"/>
      <c r="D425" s="157"/>
      <c r="E425" s="570"/>
      <c r="F425" s="573"/>
      <c r="G425" s="478"/>
      <c r="H425" s="419"/>
      <c r="I425" s="239"/>
      <c r="J425" s="568"/>
      <c r="K425" s="57"/>
      <c r="L425" s="150"/>
      <c r="M425" s="57"/>
      <c r="N425" s="57"/>
      <c r="O425" s="57"/>
      <c r="P425" s="157"/>
      <c r="Q425" s="404"/>
      <c r="R425" s="148"/>
      <c r="S425" s="242"/>
      <c r="T425" s="242"/>
      <c r="U425" s="242"/>
      <c r="V425" s="242"/>
      <c r="W425" s="242"/>
      <c r="X425" s="242"/>
      <c r="Y425" s="148"/>
      <c r="Z425" s="148"/>
    </row>
    <row r="426">
      <c r="A426" s="274" t="s">
        <v>784</v>
      </c>
      <c r="B426" s="109"/>
      <c r="C426" s="395"/>
      <c r="D426" s="157"/>
      <c r="E426" s="570"/>
      <c r="F426" s="573"/>
      <c r="G426" s="478"/>
      <c r="H426" s="419"/>
      <c r="I426" s="239"/>
      <c r="J426" s="568"/>
      <c r="K426" s="57"/>
      <c r="L426" s="150"/>
      <c r="M426" s="57"/>
      <c r="N426" s="57"/>
      <c r="O426" s="57"/>
      <c r="P426" s="157"/>
      <c r="Q426" s="404"/>
      <c r="R426" s="148"/>
      <c r="S426" s="242"/>
      <c r="T426" s="242"/>
      <c r="U426" s="242"/>
      <c r="V426" s="242"/>
      <c r="W426" s="242"/>
      <c r="X426" s="242"/>
      <c r="Y426" s="148"/>
      <c r="Z426" s="148"/>
    </row>
    <row r="427">
      <c r="A427" s="274" t="s">
        <v>785</v>
      </c>
      <c r="B427" s="109"/>
      <c r="C427" s="686">
        <f>SUM(B425:B427)</f>
        <v>0</v>
      </c>
      <c r="D427" s="157"/>
      <c r="E427" s="570"/>
      <c r="F427" s="573"/>
      <c r="G427" s="478"/>
      <c r="H427" s="419"/>
      <c r="I427" s="239"/>
      <c r="J427" s="568"/>
      <c r="K427" s="57"/>
      <c r="L427" s="150"/>
      <c r="M427" s="57"/>
      <c r="N427" s="57"/>
      <c r="O427" s="57"/>
      <c r="P427" s="157"/>
      <c r="Q427" s="404"/>
      <c r="R427" s="148"/>
      <c r="S427" s="242"/>
      <c r="T427" s="242"/>
      <c r="U427" s="242"/>
      <c r="V427" s="242"/>
      <c r="W427" s="242"/>
      <c r="X427" s="242"/>
      <c r="Y427" s="148"/>
      <c r="Z427" s="148"/>
    </row>
    <row r="428">
      <c r="A428" s="402"/>
      <c r="B428" s="403"/>
      <c r="C428" s="403"/>
      <c r="D428" s="403"/>
      <c r="E428" s="574"/>
      <c r="F428" s="575"/>
      <c r="G428" s="159"/>
      <c r="H428" s="159"/>
      <c r="I428" s="159"/>
      <c r="J428" s="576"/>
      <c r="K428" s="159"/>
      <c r="L428" s="162"/>
      <c r="M428" s="402"/>
      <c r="N428" s="402"/>
      <c r="O428" s="159"/>
      <c r="P428" s="403"/>
      <c r="Q428" s="577"/>
      <c r="R428" s="148"/>
      <c r="S428" s="242"/>
      <c r="T428" s="242"/>
      <c r="U428" s="242"/>
      <c r="V428" s="242"/>
      <c r="W428" s="242"/>
      <c r="X428" s="242"/>
      <c r="Y428" s="148"/>
      <c r="Z428" s="148"/>
    </row>
    <row r="429">
      <c r="A429" s="148"/>
      <c r="B429" s="148"/>
      <c r="C429" s="148"/>
      <c r="D429" s="245"/>
      <c r="E429" s="585"/>
      <c r="F429" s="586"/>
      <c r="G429" s="148"/>
      <c r="H429" s="148"/>
      <c r="I429" s="251"/>
      <c r="J429" s="243"/>
      <c r="K429" s="148"/>
      <c r="L429" s="277"/>
      <c r="M429" s="252"/>
      <c r="N429" s="250"/>
      <c r="O429" s="253"/>
      <c r="P429" s="240"/>
      <c r="Q429" s="148"/>
      <c r="R429" s="148"/>
      <c r="S429" s="242"/>
      <c r="T429" s="242"/>
      <c r="U429" s="242"/>
      <c r="V429" s="242"/>
      <c r="W429" s="242"/>
      <c r="X429" s="242"/>
      <c r="Y429" s="148"/>
      <c r="Z429" s="148"/>
    </row>
    <row r="430">
      <c r="A430" s="169" t="s">
        <v>109</v>
      </c>
      <c r="B430" s="539"/>
      <c r="C430" s="540"/>
      <c r="D430" s="405"/>
      <c r="E430" s="541"/>
      <c r="F430" s="542"/>
      <c r="G430" s="467" t="s">
        <v>333</v>
      </c>
      <c r="H430" s="361"/>
      <c r="I430" s="57"/>
      <c r="J430" s="105"/>
      <c r="K430" s="57"/>
      <c r="L430" s="150"/>
      <c r="M430" s="239"/>
      <c r="N430" s="239"/>
      <c r="O430" s="57"/>
      <c r="P430" s="157"/>
      <c r="Q430" s="404"/>
      <c r="R430" s="148"/>
      <c r="S430" s="242"/>
      <c r="T430" s="242"/>
      <c r="U430" s="242"/>
      <c r="V430" s="242"/>
      <c r="W430" s="242"/>
      <c r="X430" s="242"/>
      <c r="Y430" s="148"/>
      <c r="Z430" s="148"/>
    </row>
    <row r="431">
      <c r="A431" s="468"/>
      <c r="B431" s="157"/>
      <c r="C431" s="466"/>
      <c r="D431" s="405"/>
      <c r="E431" s="543" t="s">
        <v>335</v>
      </c>
      <c r="F431" s="544" t="s">
        <v>237</v>
      </c>
      <c r="G431" s="412" t="s">
        <v>336</v>
      </c>
      <c r="H431" s="413" t="s">
        <v>337</v>
      </c>
      <c r="I431" s="239"/>
      <c r="J431" s="145" t="s">
        <v>60</v>
      </c>
      <c r="K431" s="57"/>
      <c r="L431" s="150"/>
      <c r="M431" s="414"/>
      <c r="N431" s="414"/>
      <c r="O431" s="57" t="s">
        <v>334</v>
      </c>
      <c r="P431" s="157"/>
      <c r="Q431" s="404"/>
      <c r="R431" s="148"/>
      <c r="S431" s="242"/>
      <c r="T431" s="242"/>
      <c r="U431" s="242"/>
      <c r="V431" s="242"/>
      <c r="W431" s="242"/>
      <c r="X431" s="242"/>
      <c r="Y431" s="148"/>
      <c r="Z431" s="148"/>
    </row>
    <row r="432">
      <c r="A432" s="470" t="s">
        <v>179</v>
      </c>
      <c r="C432" s="416">
        <f>SUM(F432:F466)</f>
        <v>0</v>
      </c>
      <c r="D432" s="405"/>
      <c r="E432" s="545"/>
      <c r="F432" s="546"/>
      <c r="G432" s="578"/>
      <c r="H432" s="419"/>
      <c r="I432" s="57"/>
      <c r="K432" s="57"/>
      <c r="L432" s="150"/>
      <c r="M432" s="377" t="s">
        <v>366</v>
      </c>
      <c r="P432" s="157"/>
      <c r="Q432" s="404"/>
      <c r="R432" s="148"/>
      <c r="S432" s="242"/>
      <c r="T432" s="242"/>
      <c r="U432" s="242"/>
      <c r="V432" s="242"/>
      <c r="W432" s="242"/>
      <c r="X432" s="242"/>
      <c r="Y432" s="148"/>
      <c r="Z432" s="148"/>
    </row>
    <row r="433">
      <c r="A433" s="421" t="s">
        <v>343</v>
      </c>
      <c r="B433" s="422" t="s">
        <v>321</v>
      </c>
      <c r="C433" s="416">
        <f>SUM(P433:P466)</f>
        <v>0</v>
      </c>
      <c r="D433" s="157"/>
      <c r="E433" s="545"/>
      <c r="F433" s="546"/>
      <c r="G433" s="578"/>
      <c r="H433" s="419"/>
      <c r="I433" s="239"/>
      <c r="J433" s="471" t="s">
        <v>341</v>
      </c>
      <c r="K433" s="420"/>
      <c r="L433" s="150"/>
      <c r="M433" s="374"/>
      <c r="O433" s="426"/>
      <c r="P433" s="423"/>
      <c r="Q433" s="404"/>
      <c r="R433" s="148"/>
      <c r="S433" s="242"/>
      <c r="T433" s="242"/>
      <c r="U433" s="242"/>
      <c r="V433" s="242"/>
      <c r="W433" s="242"/>
      <c r="X433" s="242"/>
      <c r="Y433" s="148"/>
      <c r="Z433" s="148"/>
    </row>
    <row r="434">
      <c r="A434" s="427" t="s">
        <v>201</v>
      </c>
      <c r="C434" s="204">
        <f>SUM(L433:L466)</f>
        <v>0</v>
      </c>
      <c r="D434" s="157"/>
      <c r="E434" s="545"/>
      <c r="F434" s="546"/>
      <c r="G434" s="578"/>
      <c r="H434" s="419"/>
      <c r="I434" s="239"/>
      <c r="J434" s="472" t="s">
        <v>345</v>
      </c>
      <c r="K434" s="420"/>
      <c r="L434" s="193"/>
      <c r="M434" s="377"/>
      <c r="O434" s="426"/>
      <c r="P434" s="423"/>
      <c r="Q434" s="404"/>
      <c r="R434" s="148"/>
      <c r="S434" s="242"/>
      <c r="T434" s="242"/>
      <c r="U434" s="242"/>
      <c r="V434" s="242"/>
      <c r="W434" s="242"/>
      <c r="X434" s="242"/>
      <c r="Y434" s="148"/>
      <c r="Z434" s="148"/>
    </row>
    <row r="435">
      <c r="A435" s="548" t="s">
        <v>761</v>
      </c>
      <c r="B435" s="549">
        <v>0.4</v>
      </c>
      <c r="C435" s="191"/>
      <c r="D435" s="157"/>
      <c r="E435" s="550" t="s">
        <v>695</v>
      </c>
      <c r="F435" s="546"/>
      <c r="G435" s="578"/>
      <c r="H435" s="419"/>
      <c r="I435" s="239"/>
      <c r="J435" s="433" t="s">
        <v>656</v>
      </c>
      <c r="K435" s="420"/>
      <c r="L435" s="598"/>
      <c r="M435" s="377"/>
      <c r="O435" s="426"/>
      <c r="P435" s="423"/>
      <c r="Q435" s="404"/>
      <c r="R435" s="148"/>
      <c r="S435" s="242"/>
      <c r="T435" s="242"/>
      <c r="U435" s="242"/>
      <c r="V435" s="242"/>
      <c r="W435" s="242"/>
      <c r="X435" s="242"/>
      <c r="Y435" s="148"/>
      <c r="Z435" s="148"/>
    </row>
    <row r="436">
      <c r="A436" s="434" t="s">
        <v>350</v>
      </c>
      <c r="C436" s="551">
        <f>C432-C434-C435</f>
        <v>0</v>
      </c>
      <c r="D436" s="157"/>
      <c r="E436" s="192"/>
      <c r="F436" s="546"/>
      <c r="G436" s="562"/>
      <c r="H436" s="419"/>
      <c r="I436" s="57"/>
      <c r="J436" s="444" t="s">
        <v>658</v>
      </c>
      <c r="K436" s="420"/>
      <c r="L436" s="193"/>
      <c r="M436" s="377"/>
      <c r="O436" s="431"/>
      <c r="P436" s="157"/>
      <c r="Q436" s="404"/>
      <c r="R436" s="148"/>
      <c r="S436" s="242"/>
      <c r="T436" s="242"/>
      <c r="U436" s="242"/>
      <c r="V436" s="242"/>
      <c r="W436" s="242"/>
      <c r="X436" s="242"/>
      <c r="Y436" s="148"/>
      <c r="Z436" s="148"/>
    </row>
    <row r="437">
      <c r="A437" s="554"/>
      <c r="B437" s="555"/>
      <c r="C437" s="447"/>
      <c r="D437" s="157"/>
      <c r="E437" s="192"/>
      <c r="F437" s="546"/>
      <c r="G437" s="562"/>
      <c r="H437" s="419"/>
      <c r="I437" s="57"/>
      <c r="J437" s="444" t="s">
        <v>660</v>
      </c>
      <c r="K437" s="420"/>
      <c r="L437" s="193"/>
      <c r="M437" s="377"/>
      <c r="O437" s="431"/>
      <c r="P437" s="157"/>
      <c r="Q437" s="404"/>
      <c r="R437" s="148"/>
      <c r="S437" s="242"/>
      <c r="T437" s="242"/>
      <c r="U437" s="242"/>
      <c r="V437" s="242"/>
      <c r="W437" s="242"/>
      <c r="X437" s="242"/>
      <c r="Y437" s="148"/>
      <c r="Z437" s="148"/>
    </row>
    <row r="438">
      <c r="A438" s="556"/>
      <c r="C438" s="395"/>
      <c r="D438" s="157"/>
      <c r="E438" s="192"/>
      <c r="F438" s="546"/>
      <c r="G438" s="579"/>
      <c r="H438" s="419"/>
      <c r="I438" s="239"/>
      <c r="J438" s="370" t="s">
        <v>662</v>
      </c>
      <c r="K438" s="420"/>
      <c r="L438" s="193"/>
      <c r="M438" s="374"/>
      <c r="O438" s="431"/>
      <c r="P438" s="157"/>
      <c r="Q438" s="404"/>
      <c r="R438" s="148"/>
      <c r="S438" s="242"/>
      <c r="T438" s="242"/>
      <c r="U438" s="242"/>
      <c r="V438" s="242"/>
      <c r="W438" s="242"/>
      <c r="X438" s="242"/>
      <c r="Y438" s="148"/>
      <c r="Z438" s="148"/>
    </row>
    <row r="439">
      <c r="A439" s="557"/>
      <c r="B439" s="109"/>
      <c r="C439" s="395"/>
      <c r="D439" s="681"/>
      <c r="E439" s="192"/>
      <c r="F439" s="546"/>
      <c r="G439" s="562"/>
      <c r="H439" s="419"/>
      <c r="I439" s="239"/>
      <c r="J439" s="433" t="s">
        <v>666</v>
      </c>
      <c r="K439" s="420"/>
      <c r="L439" s="150"/>
      <c r="M439" s="374"/>
      <c r="O439" s="431"/>
      <c r="P439" s="157"/>
      <c r="Q439" s="404"/>
      <c r="R439" s="148"/>
      <c r="S439" s="242"/>
      <c r="T439" s="242"/>
      <c r="U439" s="242"/>
      <c r="V439" s="242"/>
      <c r="W439" s="242"/>
      <c r="X439" s="242"/>
      <c r="Y439" s="148"/>
      <c r="Z439" s="148"/>
    </row>
    <row r="440">
      <c r="A440" s="559" t="s">
        <v>765</v>
      </c>
      <c r="B440" s="560">
        <f>SUM(D440:D466)</f>
        <v>0</v>
      </c>
      <c r="C440" s="477" t="s">
        <v>366</v>
      </c>
      <c r="D440" s="157"/>
      <c r="E440" s="192"/>
      <c r="F440" s="546"/>
      <c r="G440" s="578"/>
      <c r="H440" s="419"/>
      <c r="I440" s="239"/>
      <c r="J440" s="433" t="s">
        <v>668</v>
      </c>
      <c r="K440" s="420"/>
      <c r="L440" s="150"/>
      <c r="M440" s="377"/>
      <c r="O440" s="431"/>
      <c r="P440" s="157"/>
      <c r="Q440" s="404"/>
      <c r="R440" s="148"/>
      <c r="S440" s="242"/>
      <c r="T440" s="242"/>
      <c r="U440" s="242"/>
      <c r="V440" s="242"/>
      <c r="W440" s="242"/>
      <c r="X440" s="242"/>
      <c r="Y440" s="148"/>
      <c r="Z440" s="148"/>
    </row>
    <row r="441">
      <c r="A441" s="453" t="s">
        <v>369</v>
      </c>
      <c r="C441" s="561" t="s">
        <v>766</v>
      </c>
      <c r="D441" s="423"/>
      <c r="E441" s="192"/>
      <c r="F441" s="546"/>
      <c r="G441" s="578"/>
      <c r="H441" s="419"/>
      <c r="I441" s="239"/>
      <c r="J441" s="433" t="s">
        <v>670</v>
      </c>
      <c r="K441" s="458"/>
      <c r="L441" s="193"/>
      <c r="M441" s="377"/>
      <c r="O441" s="431"/>
      <c r="P441" s="157"/>
      <c r="Q441" s="404"/>
      <c r="R441" s="148"/>
      <c r="S441" s="242"/>
      <c r="T441" s="242"/>
      <c r="U441" s="242"/>
      <c r="V441" s="242"/>
      <c r="W441" s="242"/>
      <c r="X441" s="242"/>
      <c r="Y441" s="148"/>
      <c r="Z441" s="148"/>
    </row>
    <row r="442">
      <c r="C442" s="561" t="s">
        <v>767</v>
      </c>
      <c r="D442" s="423"/>
      <c r="E442" s="192"/>
      <c r="F442" s="546"/>
      <c r="G442" s="578"/>
      <c r="H442" s="419"/>
      <c r="I442" s="239"/>
      <c r="J442" s="433" t="s">
        <v>217</v>
      </c>
      <c r="K442" s="458"/>
      <c r="L442" s="150"/>
      <c r="M442" s="377"/>
      <c r="O442" s="431"/>
      <c r="P442" s="157"/>
      <c r="Q442" s="404"/>
      <c r="R442" s="148"/>
      <c r="S442" s="242"/>
      <c r="T442" s="242"/>
      <c r="U442" s="242"/>
      <c r="V442" s="242"/>
      <c r="W442" s="242"/>
      <c r="X442" s="242"/>
      <c r="Y442" s="148"/>
      <c r="Z442" s="148"/>
    </row>
    <row r="443">
      <c r="A443" s="57"/>
      <c r="B443" s="57"/>
      <c r="C443" s="561" t="s">
        <v>768</v>
      </c>
      <c r="D443" s="423"/>
      <c r="E443" s="228"/>
      <c r="F443" s="547"/>
      <c r="G443" s="578"/>
      <c r="H443" s="419"/>
      <c r="I443" s="239"/>
      <c r="J443" s="109"/>
      <c r="K443" s="420"/>
      <c r="L443" s="193"/>
      <c r="M443" s="374"/>
      <c r="O443" s="431"/>
      <c r="P443" s="157"/>
      <c r="Q443" s="404"/>
      <c r="R443" s="148"/>
      <c r="S443" s="242"/>
      <c r="T443" s="242"/>
      <c r="U443" s="242"/>
      <c r="V443" s="242"/>
      <c r="W443" s="242"/>
      <c r="X443" s="242"/>
      <c r="Y443" s="148"/>
      <c r="Z443" s="148"/>
    </row>
    <row r="444">
      <c r="A444" s="57"/>
      <c r="B444" s="57"/>
      <c r="C444" s="561" t="s">
        <v>769</v>
      </c>
      <c r="D444" s="157"/>
      <c r="E444" s="228"/>
      <c r="F444" s="547"/>
      <c r="G444" s="578"/>
      <c r="H444" s="419"/>
      <c r="I444" s="239"/>
      <c r="J444" s="456" t="s">
        <v>672</v>
      </c>
      <c r="K444" s="420"/>
      <c r="L444" s="150"/>
      <c r="M444" s="377"/>
      <c r="O444" s="431"/>
      <c r="P444" s="157"/>
      <c r="Q444" s="404"/>
      <c r="R444" s="148"/>
      <c r="S444" s="242"/>
      <c r="T444" s="242"/>
      <c r="U444" s="242"/>
      <c r="V444" s="242"/>
      <c r="W444" s="242"/>
      <c r="X444" s="242"/>
      <c r="Y444" s="148"/>
      <c r="Z444" s="148"/>
    </row>
    <row r="445">
      <c r="A445" s="57"/>
      <c r="B445" s="57"/>
      <c r="C445" s="561" t="s">
        <v>770</v>
      </c>
      <c r="D445" s="423"/>
      <c r="E445" s="228"/>
      <c r="F445" s="547"/>
      <c r="G445" s="578"/>
      <c r="H445" s="419"/>
      <c r="I445" s="57"/>
      <c r="J445" s="456" t="s">
        <v>675</v>
      </c>
      <c r="K445" s="420"/>
      <c r="L445" s="150"/>
      <c r="M445" s="382"/>
      <c r="O445" s="431"/>
      <c r="P445" s="157"/>
      <c r="Q445" s="404"/>
      <c r="R445" s="148"/>
      <c r="S445" s="242"/>
      <c r="T445" s="242"/>
      <c r="U445" s="242"/>
      <c r="V445" s="242"/>
      <c r="W445" s="242"/>
      <c r="X445" s="242"/>
      <c r="Y445" s="148"/>
      <c r="Z445" s="148"/>
    </row>
    <row r="446">
      <c r="A446" s="57"/>
      <c r="B446" s="57"/>
      <c r="C446" s="561" t="s">
        <v>793</v>
      </c>
      <c r="D446" s="423"/>
      <c r="E446" s="228"/>
      <c r="F446" s="547"/>
      <c r="G446" s="579"/>
      <c r="H446" s="419"/>
      <c r="I446" s="57"/>
      <c r="J446" s="456"/>
      <c r="K446" s="420"/>
      <c r="L446" s="150"/>
      <c r="M446" s="425"/>
      <c r="O446" s="431"/>
      <c r="P446" s="157"/>
      <c r="Q446" s="404"/>
      <c r="R446" s="148"/>
      <c r="S446" s="242"/>
      <c r="T446" s="242"/>
      <c r="U446" s="242"/>
      <c r="V446" s="242"/>
      <c r="W446" s="242"/>
      <c r="X446" s="242"/>
      <c r="Y446" s="148"/>
      <c r="Z446" s="148"/>
    </row>
    <row r="447">
      <c r="A447" s="239"/>
      <c r="B447" s="57"/>
      <c r="C447" s="561" t="s">
        <v>794</v>
      </c>
      <c r="D447" s="157"/>
      <c r="E447" s="228"/>
      <c r="F447" s="547"/>
      <c r="G447" s="578"/>
      <c r="H447" s="419"/>
      <c r="I447" s="57"/>
      <c r="J447" s="375"/>
      <c r="K447" s="420"/>
      <c r="L447" s="150"/>
      <c r="M447" s="425"/>
      <c r="O447" s="431"/>
      <c r="P447" s="157"/>
      <c r="Q447" s="404"/>
      <c r="R447" s="148"/>
      <c r="S447" s="242"/>
      <c r="T447" s="242"/>
      <c r="U447" s="242"/>
      <c r="V447" s="242"/>
      <c r="W447" s="242"/>
      <c r="X447" s="242"/>
      <c r="Y447" s="148"/>
      <c r="Z447" s="148"/>
    </row>
    <row r="448">
      <c r="A448" s="238"/>
      <c r="B448" s="57"/>
      <c r="C448" s="561" t="s">
        <v>18</v>
      </c>
      <c r="D448" s="423"/>
      <c r="E448" s="228"/>
      <c r="F448" s="547"/>
      <c r="G448" s="578"/>
      <c r="H448" s="419"/>
      <c r="I448" s="57"/>
      <c r="J448" s="375"/>
      <c r="K448" s="420"/>
      <c r="L448" s="193"/>
      <c r="M448" s="382"/>
      <c r="O448" s="431"/>
      <c r="P448" s="157"/>
      <c r="Q448" s="404"/>
      <c r="R448" s="148"/>
      <c r="S448" s="242"/>
      <c r="T448" s="242"/>
      <c r="U448" s="242"/>
      <c r="V448" s="242"/>
      <c r="W448" s="242"/>
      <c r="X448" s="242"/>
      <c r="Y448" s="148"/>
      <c r="Z448" s="148"/>
    </row>
    <row r="449">
      <c r="A449" s="239"/>
      <c r="B449" s="57"/>
      <c r="C449" s="563" t="s">
        <v>1115</v>
      </c>
      <c r="D449" s="157"/>
      <c r="E449" s="228"/>
      <c r="F449" s="547"/>
      <c r="G449" s="579"/>
      <c r="H449" s="419"/>
      <c r="I449" s="57"/>
      <c r="J449" s="452"/>
      <c r="K449" s="420"/>
      <c r="L449" s="150"/>
      <c r="M449" s="425"/>
      <c r="O449" s="431"/>
      <c r="P449" s="157"/>
      <c r="Q449" s="404"/>
      <c r="R449" s="148"/>
      <c r="S449" s="242"/>
      <c r="T449" s="242"/>
      <c r="U449" s="242"/>
      <c r="V449" s="242"/>
      <c r="W449" s="242"/>
      <c r="X449" s="242"/>
      <c r="Y449" s="148"/>
      <c r="Z449" s="148"/>
    </row>
    <row r="450">
      <c r="A450" s="238"/>
      <c r="B450" s="57"/>
      <c r="C450" s="561" t="s">
        <v>1116</v>
      </c>
      <c r="D450" s="423"/>
      <c r="E450" s="228"/>
      <c r="F450" s="547"/>
      <c r="G450" s="578"/>
      <c r="H450" s="419"/>
      <c r="I450" s="57"/>
      <c r="J450" s="105"/>
      <c r="K450" s="420"/>
      <c r="L450" s="150"/>
      <c r="M450" s="425"/>
      <c r="O450" s="431"/>
      <c r="P450" s="157"/>
      <c r="Q450" s="404"/>
      <c r="R450" s="148"/>
      <c r="S450" s="242"/>
      <c r="T450" s="242"/>
      <c r="U450" s="242"/>
      <c r="V450" s="242"/>
      <c r="W450" s="242"/>
      <c r="X450" s="242"/>
      <c r="Y450" s="148"/>
      <c r="Z450" s="148"/>
    </row>
    <row r="451">
      <c r="A451" s="238"/>
      <c r="B451" s="239"/>
      <c r="C451" s="561" t="s">
        <v>775</v>
      </c>
      <c r="D451" s="423"/>
      <c r="E451" s="192"/>
      <c r="F451" s="547"/>
      <c r="G451" s="578"/>
      <c r="H451" s="419"/>
      <c r="I451" s="57"/>
      <c r="J451" s="378" t="s">
        <v>682</v>
      </c>
      <c r="K451" s="420"/>
      <c r="L451" s="193"/>
      <c r="M451" s="377"/>
      <c r="O451" s="431"/>
      <c r="P451" s="157"/>
      <c r="Q451" s="404"/>
      <c r="R451" s="148"/>
      <c r="S451" s="242"/>
      <c r="T451" s="242"/>
      <c r="U451" s="242"/>
      <c r="V451" s="242"/>
      <c r="W451" s="242"/>
      <c r="X451" s="242"/>
      <c r="Y451" s="148"/>
      <c r="Z451" s="148"/>
    </row>
    <row r="452">
      <c r="A452" s="238"/>
      <c r="B452" s="239"/>
      <c r="C452" s="561" t="s">
        <v>10</v>
      </c>
      <c r="D452" s="423"/>
      <c r="E452" s="206"/>
      <c r="F452" s="564"/>
      <c r="G452" s="581"/>
      <c r="H452" s="419"/>
      <c r="I452" s="57"/>
      <c r="J452" s="461" t="s">
        <v>684</v>
      </c>
      <c r="K452" s="420"/>
      <c r="L452" s="193"/>
      <c r="M452" s="377"/>
      <c r="O452" s="431"/>
      <c r="P452" s="157"/>
      <c r="Q452" s="404"/>
      <c r="R452" s="148"/>
      <c r="S452" s="242"/>
      <c r="T452" s="242"/>
      <c r="U452" s="242"/>
      <c r="V452" s="242"/>
      <c r="W452" s="242"/>
      <c r="X452" s="242"/>
      <c r="Y452" s="148"/>
      <c r="Z452" s="148"/>
    </row>
    <row r="453">
      <c r="A453" s="238"/>
      <c r="B453" s="239"/>
      <c r="C453" s="561" t="s">
        <v>6</v>
      </c>
      <c r="D453" s="423"/>
      <c r="E453" s="206"/>
      <c r="F453" s="547"/>
      <c r="G453" s="579"/>
      <c r="H453" s="455"/>
      <c r="I453" s="57"/>
      <c r="J453" s="461" t="s">
        <v>686</v>
      </c>
      <c r="K453" s="420"/>
      <c r="L453" s="150"/>
      <c r="M453" s="374"/>
      <c r="O453" s="463"/>
      <c r="P453" s="157"/>
      <c r="Q453" s="404"/>
      <c r="R453" s="148"/>
      <c r="S453" s="242"/>
      <c r="T453" s="242"/>
      <c r="U453" s="242"/>
      <c r="V453" s="242"/>
      <c r="W453" s="242"/>
      <c r="X453" s="242"/>
      <c r="Y453" s="148"/>
      <c r="Z453" s="148"/>
    </row>
    <row r="454">
      <c r="A454" s="57"/>
      <c r="B454" s="57"/>
      <c r="C454" s="561" t="s">
        <v>779</v>
      </c>
      <c r="D454" s="157"/>
      <c r="E454" s="228"/>
      <c r="F454" s="547"/>
      <c r="G454" s="579"/>
      <c r="H454" s="455"/>
      <c r="I454" s="239"/>
      <c r="J454" s="460" t="s">
        <v>202</v>
      </c>
      <c r="K454" s="420"/>
      <c r="L454" s="193"/>
      <c r="M454" s="377"/>
      <c r="O454" s="463"/>
      <c r="P454" s="157"/>
      <c r="Q454" s="404"/>
      <c r="R454" s="148"/>
      <c r="S454" s="242"/>
      <c r="T454" s="242"/>
      <c r="U454" s="242"/>
      <c r="V454" s="242"/>
      <c r="W454" s="242"/>
      <c r="X454" s="242"/>
      <c r="Y454" s="148"/>
      <c r="Z454" s="148"/>
    </row>
    <row r="455">
      <c r="A455" s="239"/>
      <c r="B455" s="239"/>
      <c r="C455" s="561" t="s">
        <v>780</v>
      </c>
      <c r="D455" s="423"/>
      <c r="E455" s="228"/>
      <c r="F455" s="547"/>
      <c r="G455" s="579"/>
      <c r="H455" s="455"/>
      <c r="I455" s="57"/>
      <c r="J455" s="460" t="s">
        <v>274</v>
      </c>
      <c r="K455" s="420"/>
      <c r="L455" s="193"/>
      <c r="M455" s="374"/>
      <c r="O455" s="463"/>
      <c r="P455" s="157"/>
      <c r="Q455" s="404"/>
      <c r="R455" s="148"/>
      <c r="S455" s="242"/>
      <c r="T455" s="242"/>
      <c r="U455" s="242"/>
      <c r="V455" s="242"/>
      <c r="W455" s="242"/>
      <c r="X455" s="242"/>
      <c r="Y455" s="148"/>
      <c r="Z455" s="148"/>
    </row>
    <row r="456">
      <c r="A456" s="215"/>
      <c r="B456" s="239"/>
      <c r="C456" s="561" t="s">
        <v>781</v>
      </c>
      <c r="D456" s="423"/>
      <c r="E456" s="192"/>
      <c r="F456" s="547"/>
      <c r="G456" s="579"/>
      <c r="H456" s="419"/>
      <c r="I456" s="239"/>
      <c r="J456" s="685" t="s">
        <v>1117</v>
      </c>
      <c r="K456" s="420"/>
      <c r="L456" s="150"/>
      <c r="M456" s="374"/>
      <c r="O456" s="431"/>
      <c r="P456" s="157"/>
      <c r="Q456" s="404"/>
      <c r="R456" s="148"/>
      <c r="S456" s="242"/>
      <c r="T456" s="242"/>
      <c r="U456" s="242"/>
      <c r="V456" s="242"/>
      <c r="W456" s="242"/>
      <c r="X456" s="242"/>
      <c r="Y456" s="148"/>
      <c r="Z456" s="148"/>
    </row>
    <row r="457">
      <c r="A457" s="239"/>
      <c r="B457" s="157"/>
      <c r="C457" s="561" t="s">
        <v>1118</v>
      </c>
      <c r="D457" s="157"/>
      <c r="E457" s="569"/>
      <c r="F457" s="547"/>
      <c r="G457" s="578"/>
      <c r="H457" s="419"/>
      <c r="I457" s="57"/>
      <c r="J457" s="685" t="s">
        <v>1119</v>
      </c>
      <c r="K457" s="420"/>
      <c r="L457" s="193"/>
      <c r="M457" s="377"/>
      <c r="O457" s="431"/>
      <c r="P457" s="157"/>
      <c r="Q457" s="404"/>
      <c r="R457" s="148"/>
      <c r="S457" s="242"/>
      <c r="T457" s="242"/>
      <c r="U457" s="242"/>
      <c r="V457" s="242"/>
      <c r="W457" s="242"/>
      <c r="X457" s="242"/>
      <c r="Y457" s="148"/>
      <c r="Z457" s="148"/>
    </row>
    <row r="458">
      <c r="A458" s="239"/>
      <c r="B458" s="157"/>
      <c r="C458" s="561" t="s">
        <v>1120</v>
      </c>
      <c r="D458" s="157"/>
      <c r="E458" s="228"/>
      <c r="F458" s="547"/>
      <c r="G458" s="578"/>
      <c r="H458" s="419"/>
      <c r="I458" s="239"/>
      <c r="J458" s="596" t="s">
        <v>1001</v>
      </c>
      <c r="K458" s="420"/>
      <c r="L458" s="193"/>
      <c r="M458" s="377"/>
      <c r="O458" s="431"/>
      <c r="P458" s="157"/>
      <c r="Q458" s="404"/>
      <c r="R458" s="148"/>
      <c r="S458" s="242"/>
      <c r="T458" s="242"/>
      <c r="U458" s="242"/>
      <c r="V458" s="242"/>
      <c r="W458" s="242"/>
      <c r="X458" s="242"/>
      <c r="Y458" s="148"/>
      <c r="Z458" s="148"/>
    </row>
    <row r="459">
      <c r="A459" s="239"/>
      <c r="B459" s="157"/>
      <c r="C459" s="561"/>
      <c r="D459" s="157"/>
      <c r="E459" s="570"/>
      <c r="F459" s="547"/>
      <c r="G459" s="578"/>
      <c r="H459" s="419"/>
      <c r="I459" s="239"/>
      <c r="J459" s="568"/>
      <c r="K459" s="420"/>
      <c r="L459" s="193"/>
      <c r="M459" s="374"/>
      <c r="O459" s="431"/>
      <c r="P459" s="157"/>
      <c r="Q459" s="404"/>
      <c r="R459" s="148"/>
      <c r="S459" s="242"/>
      <c r="T459" s="242"/>
      <c r="U459" s="242"/>
      <c r="V459" s="242"/>
      <c r="W459" s="242"/>
      <c r="X459" s="242"/>
      <c r="Y459" s="148"/>
      <c r="Z459" s="148"/>
    </row>
    <row r="460">
      <c r="C460" s="571"/>
      <c r="D460" s="157"/>
      <c r="E460" s="570"/>
      <c r="F460" s="547"/>
      <c r="G460" s="578"/>
      <c r="H460" s="419"/>
      <c r="I460" s="239"/>
      <c r="J460" s="464" t="s">
        <v>692</v>
      </c>
      <c r="K460" s="420"/>
      <c r="L460" s="150"/>
      <c r="M460" s="377"/>
      <c r="O460" s="431"/>
      <c r="P460" s="157"/>
      <c r="Q460" s="404"/>
      <c r="R460" s="148"/>
      <c r="S460" s="242"/>
      <c r="T460" s="242"/>
      <c r="U460" s="242"/>
      <c r="V460" s="242"/>
      <c r="W460" s="242"/>
      <c r="X460" s="242"/>
      <c r="Y460" s="148"/>
      <c r="Z460" s="148"/>
    </row>
    <row r="461">
      <c r="C461" s="571"/>
      <c r="D461" s="157"/>
      <c r="E461" s="570"/>
      <c r="F461" s="547"/>
      <c r="G461" s="578"/>
      <c r="H461" s="419"/>
      <c r="I461" s="239"/>
      <c r="J461" s="464" t="s">
        <v>694</v>
      </c>
      <c r="K461" s="420"/>
      <c r="L461" s="150"/>
      <c r="M461" s="374"/>
      <c r="O461" s="431"/>
      <c r="P461" s="157"/>
      <c r="Q461" s="404"/>
      <c r="R461" s="148"/>
      <c r="S461" s="242"/>
      <c r="T461" s="242"/>
      <c r="U461" s="242"/>
      <c r="V461" s="242"/>
      <c r="W461" s="242"/>
      <c r="X461" s="242"/>
      <c r="Y461" s="148"/>
      <c r="Z461" s="148"/>
    </row>
    <row r="462">
      <c r="C462" s="571"/>
      <c r="D462" s="423"/>
      <c r="E462" s="570"/>
      <c r="F462" s="546"/>
      <c r="G462" s="419"/>
      <c r="H462" s="419"/>
      <c r="I462" s="57"/>
      <c r="J462" s="105"/>
      <c r="K462" s="57"/>
      <c r="L462" s="150"/>
      <c r="M462" s="57"/>
      <c r="N462" s="57"/>
      <c r="O462" s="57"/>
      <c r="P462" s="157"/>
      <c r="Q462" s="404"/>
      <c r="R462" s="148"/>
      <c r="S462" s="242"/>
      <c r="T462" s="242"/>
      <c r="U462" s="242"/>
      <c r="V462" s="242"/>
      <c r="W462" s="242"/>
      <c r="X462" s="242"/>
      <c r="Y462" s="148"/>
      <c r="Z462" s="148"/>
    </row>
    <row r="463">
      <c r="A463" s="125" t="s">
        <v>798</v>
      </c>
      <c r="B463" s="572">
        <f>C436-B440</f>
        <v>0</v>
      </c>
      <c r="D463" s="157"/>
      <c r="E463" s="570"/>
      <c r="F463" s="573"/>
      <c r="G463" s="478"/>
      <c r="H463" s="419"/>
      <c r="I463" s="239"/>
      <c r="J463" s="568"/>
      <c r="K463" s="57"/>
      <c r="L463" s="150"/>
      <c r="M463" s="57"/>
      <c r="N463" s="57"/>
      <c r="O463" s="57"/>
      <c r="P463" s="157"/>
      <c r="Q463" s="404"/>
      <c r="R463" s="148"/>
      <c r="S463" s="242"/>
      <c r="T463" s="242"/>
      <c r="U463" s="242"/>
      <c r="V463" s="242"/>
      <c r="W463" s="242"/>
      <c r="X463" s="242"/>
      <c r="Y463" s="148"/>
      <c r="Z463" s="148"/>
    </row>
    <row r="464">
      <c r="A464" s="274" t="s">
        <v>783</v>
      </c>
      <c r="B464" s="109"/>
      <c r="C464" s="395"/>
      <c r="D464" s="157"/>
      <c r="E464" s="570"/>
      <c r="F464" s="573"/>
      <c r="G464" s="478"/>
      <c r="H464" s="419"/>
      <c r="I464" s="239"/>
      <c r="J464" s="568"/>
      <c r="K464" s="57"/>
      <c r="L464" s="150"/>
      <c r="M464" s="57"/>
      <c r="N464" s="57"/>
      <c r="O464" s="57"/>
      <c r="P464" s="157"/>
      <c r="Q464" s="404"/>
      <c r="R464" s="148"/>
      <c r="S464" s="242"/>
      <c r="T464" s="242"/>
      <c r="U464" s="242"/>
      <c r="V464" s="242"/>
      <c r="W464" s="242"/>
      <c r="X464" s="242"/>
      <c r="Y464" s="148"/>
      <c r="Z464" s="148"/>
    </row>
    <row r="465">
      <c r="A465" s="274" t="s">
        <v>784</v>
      </c>
      <c r="B465" s="109"/>
      <c r="C465" s="395"/>
      <c r="D465" s="157"/>
      <c r="E465" s="570"/>
      <c r="F465" s="573"/>
      <c r="G465" s="478"/>
      <c r="H465" s="419"/>
      <c r="I465" s="239"/>
      <c r="J465" s="568"/>
      <c r="K465" s="57"/>
      <c r="L465" s="150"/>
      <c r="M465" s="57"/>
      <c r="N465" s="57"/>
      <c r="O465" s="57"/>
      <c r="P465" s="157"/>
      <c r="Q465" s="404"/>
      <c r="R465" s="148"/>
      <c r="S465" s="242"/>
      <c r="T465" s="242"/>
      <c r="U465" s="242"/>
      <c r="V465" s="242"/>
      <c r="W465" s="242"/>
      <c r="X465" s="242"/>
      <c r="Y465" s="148"/>
      <c r="Z465" s="148"/>
    </row>
    <row r="466">
      <c r="A466" s="274" t="s">
        <v>785</v>
      </c>
      <c r="B466" s="109"/>
      <c r="C466" s="686">
        <f>SUM(B464:B466)</f>
        <v>0</v>
      </c>
      <c r="D466" s="157"/>
      <c r="E466" s="570"/>
      <c r="F466" s="573"/>
      <c r="G466" s="478"/>
      <c r="H466" s="419"/>
      <c r="I466" s="239"/>
      <c r="J466" s="568"/>
      <c r="K466" s="57"/>
      <c r="L466" s="150"/>
      <c r="M466" s="57"/>
      <c r="N466" s="57"/>
      <c r="O466" s="57"/>
      <c r="P466" s="157"/>
      <c r="Q466" s="404"/>
      <c r="R466" s="148"/>
      <c r="S466" s="242"/>
      <c r="T466" s="242"/>
      <c r="U466" s="242"/>
      <c r="V466" s="242"/>
      <c r="W466" s="242"/>
      <c r="X466" s="242"/>
      <c r="Y466" s="148"/>
      <c r="Z466" s="148"/>
    </row>
    <row r="467">
      <c r="A467" s="402"/>
      <c r="B467" s="403"/>
      <c r="C467" s="403"/>
      <c r="D467" s="403"/>
      <c r="E467" s="574"/>
      <c r="F467" s="575"/>
      <c r="G467" s="159"/>
      <c r="H467" s="159"/>
      <c r="I467" s="159"/>
      <c r="J467" s="576"/>
      <c r="K467" s="159"/>
      <c r="L467" s="162"/>
      <c r="M467" s="402"/>
      <c r="N467" s="402"/>
      <c r="O467" s="159"/>
      <c r="P467" s="403"/>
      <c r="Q467" s="577"/>
      <c r="R467" s="148"/>
      <c r="S467" s="242"/>
      <c r="T467" s="242"/>
      <c r="U467" s="242"/>
      <c r="V467" s="242"/>
      <c r="W467" s="242"/>
      <c r="X467" s="242"/>
      <c r="Y467" s="148"/>
      <c r="Z467" s="148"/>
    </row>
    <row r="468">
      <c r="A468" s="148"/>
      <c r="B468" s="148"/>
      <c r="C468" s="148"/>
      <c r="D468" s="245"/>
      <c r="E468" s="585"/>
      <c r="F468" s="586"/>
      <c r="G468" s="148"/>
      <c r="H468" s="148"/>
      <c r="I468" s="251"/>
      <c r="J468" s="243"/>
      <c r="K468" s="148"/>
      <c r="L468" s="277"/>
      <c r="M468" s="252"/>
      <c r="N468" s="250"/>
      <c r="O468" s="253"/>
      <c r="P468" s="240"/>
      <c r="Q468" s="148"/>
      <c r="R468" s="148"/>
      <c r="S468" s="242"/>
      <c r="T468" s="242"/>
      <c r="U468" s="242"/>
      <c r="V468" s="242"/>
      <c r="W468" s="242"/>
      <c r="X468" s="242"/>
      <c r="Y468" s="148"/>
      <c r="Z468" s="148"/>
    </row>
    <row r="469">
      <c r="A469" s="601" t="s">
        <v>911</v>
      </c>
      <c r="B469" s="361"/>
      <c r="C469" s="602" t="s">
        <v>912</v>
      </c>
      <c r="D469" s="601" t="s">
        <v>913</v>
      </c>
      <c r="E469" s="361"/>
      <c r="F469" s="603"/>
      <c r="G469" s="243"/>
      <c r="H469" s="243"/>
      <c r="I469" s="243"/>
      <c r="J469" s="243"/>
      <c r="K469" s="243"/>
      <c r="L469" s="277"/>
      <c r="M469" s="425"/>
      <c r="N469" s="604"/>
      <c r="O469" s="323"/>
      <c r="P469" s="317"/>
      <c r="Q469" s="243"/>
      <c r="R469" s="243"/>
      <c r="S469" s="317"/>
      <c r="T469" s="317"/>
      <c r="U469" s="317"/>
      <c r="V469" s="317"/>
      <c r="W469" s="317"/>
      <c r="X469" s="317"/>
      <c r="Y469" s="243"/>
      <c r="Z469" s="243"/>
    </row>
    <row r="470">
      <c r="A470" s="605" t="s">
        <v>341</v>
      </c>
      <c r="B470" s="606">
        <f t="shared" ref="B470:B479" si="1">SUM(L4,L43,L82,L121,L160,L199,L238,L277,L316,L355,L394,L433)</f>
        <v>0</v>
      </c>
      <c r="C470" s="109"/>
      <c r="D470" s="607" t="s">
        <v>766</v>
      </c>
      <c r="E470" s="608">
        <f>SUM(D12,D51,D90,D129,D168,D207,D246,D285,D324,D363,D402,D441)</f>
        <v>0</v>
      </c>
      <c r="F470" s="609"/>
      <c r="G470" s="243"/>
      <c r="H470" s="243"/>
      <c r="I470" s="243"/>
      <c r="J470" s="243"/>
      <c r="K470" s="243"/>
      <c r="L470" s="277"/>
      <c r="M470" s="425"/>
      <c r="N470" s="604"/>
      <c r="O470" s="323"/>
      <c r="P470" s="317"/>
      <c r="Q470" s="243"/>
      <c r="R470" s="243"/>
      <c r="S470" s="317"/>
      <c r="T470" s="317"/>
      <c r="U470" s="317"/>
      <c r="V470" s="317"/>
      <c r="W470" s="317"/>
      <c r="X470" s="317"/>
      <c r="Y470" s="243"/>
      <c r="Z470" s="243"/>
    </row>
    <row r="471">
      <c r="A471" s="610" t="s">
        <v>345</v>
      </c>
      <c r="B471" s="611">
        <f t="shared" si="1"/>
        <v>0</v>
      </c>
      <c r="C471" s="538"/>
      <c r="D471" s="607" t="s">
        <v>767</v>
      </c>
      <c r="E471" s="608">
        <f t="shared" ref="E471:E473" si="2">SUM(D442,D403,D364,D325,D286,D247,D208,D169,D130,D91,D52,D13)</f>
        <v>0</v>
      </c>
      <c r="F471" s="612"/>
      <c r="G471" s="243"/>
      <c r="H471" s="243"/>
      <c r="I471" s="243"/>
      <c r="J471" s="243"/>
      <c r="K471" s="243"/>
      <c r="L471" s="277"/>
      <c r="M471" s="425"/>
      <c r="N471" s="604"/>
      <c r="O471" s="323"/>
      <c r="P471" s="317"/>
      <c r="Q471" s="243"/>
      <c r="R471" s="243"/>
      <c r="S471" s="317"/>
      <c r="T471" s="317"/>
      <c r="U471" s="317"/>
      <c r="V471" s="317"/>
      <c r="W471" s="317"/>
      <c r="X471" s="317"/>
      <c r="Y471" s="243"/>
      <c r="Z471" s="243"/>
    </row>
    <row r="472">
      <c r="A472" s="613" t="s">
        <v>656</v>
      </c>
      <c r="B472" s="611">
        <f t="shared" si="1"/>
        <v>0</v>
      </c>
      <c r="C472" s="614"/>
      <c r="D472" s="607" t="s">
        <v>768</v>
      </c>
      <c r="E472" s="608">
        <f t="shared" si="2"/>
        <v>0</v>
      </c>
      <c r="F472" s="612"/>
      <c r="G472" s="243"/>
      <c r="H472" s="243"/>
      <c r="I472" s="243"/>
      <c r="J472" s="243"/>
      <c r="K472" s="243"/>
      <c r="L472" s="277"/>
      <c r="M472" s="425"/>
      <c r="N472" s="604"/>
      <c r="O472" s="323"/>
      <c r="P472" s="317"/>
      <c r="Q472" s="243"/>
      <c r="R472" s="243"/>
      <c r="S472" s="317"/>
      <c r="T472" s="317"/>
      <c r="U472" s="317"/>
      <c r="V472" s="317"/>
      <c r="W472" s="317"/>
      <c r="X472" s="317"/>
      <c r="Y472" s="243"/>
      <c r="Z472" s="243"/>
    </row>
    <row r="473">
      <c r="A473" s="615" t="s">
        <v>658</v>
      </c>
      <c r="B473" s="611">
        <f t="shared" si="1"/>
        <v>0</v>
      </c>
      <c r="C473" s="400"/>
      <c r="D473" s="607" t="s">
        <v>769</v>
      </c>
      <c r="E473" s="608">
        <f t="shared" si="2"/>
        <v>0</v>
      </c>
      <c r="F473" s="612"/>
      <c r="G473" s="243"/>
      <c r="H473" s="243"/>
      <c r="I473" s="243"/>
      <c r="J473" s="243"/>
      <c r="K473" s="243"/>
      <c r="L473" s="277"/>
      <c r="M473" s="425"/>
      <c r="N473" s="604"/>
      <c r="O473" s="323"/>
      <c r="P473" s="317"/>
      <c r="Q473" s="243"/>
      <c r="R473" s="243"/>
      <c r="S473" s="317"/>
      <c r="T473" s="317"/>
      <c r="U473" s="317"/>
      <c r="V473" s="317"/>
      <c r="W473" s="317"/>
      <c r="X473" s="317"/>
      <c r="Y473" s="243"/>
      <c r="Z473" s="243"/>
    </row>
    <row r="474">
      <c r="A474" s="615" t="s">
        <v>660</v>
      </c>
      <c r="B474" s="611">
        <f t="shared" si="1"/>
        <v>0</v>
      </c>
      <c r="C474" s="400"/>
      <c r="D474" s="607" t="s">
        <v>770</v>
      </c>
      <c r="E474" s="608">
        <f>SUM(D16,D55,D94,D133,D172,D211,D250,D289,D328,D367,D406,D445)</f>
        <v>0</v>
      </c>
      <c r="F474" s="612"/>
      <c r="G474" s="243"/>
      <c r="H474" s="243"/>
      <c r="I474" s="243"/>
      <c r="J474" s="243"/>
      <c r="K474" s="243"/>
      <c r="L474" s="277"/>
      <c r="M474" s="425"/>
      <c r="N474" s="604"/>
      <c r="O474" s="323"/>
      <c r="P474" s="317"/>
      <c r="Q474" s="243"/>
      <c r="R474" s="243"/>
      <c r="S474" s="317"/>
      <c r="T474" s="317"/>
      <c r="U474" s="317"/>
      <c r="V474" s="317"/>
      <c r="W474" s="317"/>
      <c r="X474" s="317"/>
      <c r="Y474" s="243"/>
      <c r="Z474" s="243"/>
    </row>
    <row r="475">
      <c r="A475" s="616" t="s">
        <v>662</v>
      </c>
      <c r="B475" s="611">
        <f t="shared" si="1"/>
        <v>0</v>
      </c>
      <c r="C475" s="400"/>
      <c r="D475" s="617" t="s">
        <v>793</v>
      </c>
      <c r="E475" s="608">
        <f>SUM(D446,D407,D368,D329,D290,D251,D212,D173,D134,D95,D56,D17)</f>
        <v>0</v>
      </c>
      <c r="F475" s="618"/>
      <c r="G475" s="243"/>
      <c r="H475" s="243"/>
      <c r="I475" s="243"/>
      <c r="J475" s="243"/>
      <c r="K475" s="243"/>
      <c r="L475" s="277"/>
      <c r="M475" s="425"/>
      <c r="N475" s="604"/>
      <c r="O475" s="323"/>
      <c r="P475" s="317"/>
      <c r="Q475" s="243"/>
      <c r="R475" s="243"/>
      <c r="S475" s="317"/>
      <c r="T475" s="317"/>
      <c r="U475" s="317"/>
      <c r="V475" s="317"/>
      <c r="W475" s="317"/>
      <c r="X475" s="317"/>
      <c r="Y475" s="243"/>
      <c r="Z475" s="243"/>
    </row>
    <row r="476">
      <c r="A476" s="613" t="s">
        <v>666</v>
      </c>
      <c r="B476" s="611">
        <f t="shared" si="1"/>
        <v>0</v>
      </c>
      <c r="C476" s="400"/>
      <c r="D476" s="617" t="s">
        <v>794</v>
      </c>
      <c r="E476" s="608">
        <f>SUM(D18,D57,D96,D135,D174,D213,D252,D291,D330,D369,D408,D447)</f>
        <v>0</v>
      </c>
      <c r="F476" s="612"/>
      <c r="G476" s="243"/>
      <c r="H476" s="243"/>
      <c r="I476" s="243"/>
      <c r="J476" s="243"/>
      <c r="K476" s="243"/>
      <c r="L476" s="277"/>
      <c r="M476" s="425"/>
      <c r="N476" s="604"/>
      <c r="O476" s="323"/>
      <c r="P476" s="317"/>
      <c r="Q476" s="243"/>
      <c r="R476" s="243"/>
      <c r="S476" s="317"/>
      <c r="T476" s="317"/>
      <c r="U476" s="317"/>
      <c r="V476" s="317"/>
      <c r="W476" s="317"/>
      <c r="X476" s="317"/>
      <c r="Y476" s="243"/>
      <c r="Z476" s="243"/>
    </row>
    <row r="477">
      <c r="A477" s="613" t="s">
        <v>668</v>
      </c>
      <c r="B477" s="611">
        <f t="shared" si="1"/>
        <v>0</v>
      </c>
      <c r="C477" s="400"/>
      <c r="D477" s="607" t="s">
        <v>18</v>
      </c>
      <c r="E477" s="608">
        <f t="shared" ref="E477:E480" si="3">SUM(D448,D409,D370,D331,D292,D253,D214,D175,D136,D97,D58,D19)</f>
        <v>0</v>
      </c>
      <c r="F477" s="612"/>
      <c r="G477" s="243"/>
      <c r="H477" s="243"/>
      <c r="I477" s="243"/>
      <c r="J477" s="243"/>
      <c r="K477" s="243"/>
      <c r="L477" s="277"/>
      <c r="M477" s="425"/>
      <c r="N477" s="604"/>
      <c r="O477" s="323"/>
      <c r="P477" s="317"/>
      <c r="Q477" s="243"/>
      <c r="R477" s="243"/>
      <c r="S477" s="317"/>
      <c r="T477" s="317"/>
      <c r="U477" s="317"/>
      <c r="V477" s="317"/>
      <c r="W477" s="317"/>
      <c r="X477" s="317"/>
      <c r="Y477" s="243"/>
      <c r="Z477" s="243"/>
    </row>
    <row r="478">
      <c r="A478" s="613" t="s">
        <v>670</v>
      </c>
      <c r="B478" s="611">
        <f t="shared" si="1"/>
        <v>0</v>
      </c>
      <c r="C478" s="619"/>
      <c r="D478" s="617" t="s">
        <v>1115</v>
      </c>
      <c r="E478" s="608">
        <f t="shared" si="3"/>
        <v>0</v>
      </c>
      <c r="F478" s="612"/>
      <c r="G478" s="243"/>
      <c r="H478" s="243"/>
      <c r="I478" s="243"/>
      <c r="J478" s="243"/>
      <c r="K478" s="243"/>
      <c r="L478" s="277"/>
      <c r="M478" s="425"/>
      <c r="N478" s="604"/>
      <c r="O478" s="323"/>
      <c r="P478" s="317"/>
      <c r="Q478" s="243"/>
      <c r="R478" s="243"/>
      <c r="S478" s="317"/>
      <c r="T478" s="317"/>
      <c r="U478" s="317"/>
      <c r="V478" s="317"/>
      <c r="W478" s="317"/>
      <c r="X478" s="317"/>
      <c r="Y478" s="243"/>
      <c r="Z478" s="243"/>
    </row>
    <row r="479">
      <c r="A479" s="613" t="s">
        <v>217</v>
      </c>
      <c r="B479" s="611">
        <f t="shared" si="1"/>
        <v>0</v>
      </c>
      <c r="C479" s="400"/>
      <c r="D479" s="607" t="s">
        <v>1116</v>
      </c>
      <c r="E479" s="608">
        <f t="shared" si="3"/>
        <v>0</v>
      </c>
      <c r="F479" s="612"/>
      <c r="G479" s="243"/>
      <c r="H479" s="243"/>
      <c r="I479" s="243"/>
      <c r="J479" s="243"/>
      <c r="K479" s="243"/>
      <c r="L479" s="277"/>
      <c r="M479" s="425"/>
      <c r="N479" s="604"/>
      <c r="O479" s="323"/>
      <c r="P479" s="317"/>
      <c r="Q479" s="243"/>
      <c r="R479" s="243"/>
      <c r="S479" s="317"/>
      <c r="T479" s="317"/>
      <c r="U479" s="317"/>
      <c r="V479" s="317"/>
      <c r="W479" s="317"/>
      <c r="X479" s="317"/>
      <c r="Y479" s="243"/>
      <c r="Z479" s="243"/>
    </row>
    <row r="480">
      <c r="A480" s="620" t="s">
        <v>672</v>
      </c>
      <c r="B480" s="611">
        <f>SUM(L444,L405,L366,L327,L288,L249,L210,L171,L132,L93,L54,L15)</f>
        <v>0</v>
      </c>
      <c r="C480" s="400"/>
      <c r="D480" s="607" t="s">
        <v>775</v>
      </c>
      <c r="E480" s="608">
        <f t="shared" si="3"/>
        <v>0</v>
      </c>
      <c r="F480" s="612"/>
      <c r="G480" s="243"/>
      <c r="H480" s="243"/>
      <c r="I480" s="243"/>
      <c r="J480" s="243"/>
      <c r="K480" s="243"/>
      <c r="L480" s="277"/>
      <c r="M480" s="425"/>
      <c r="N480" s="604"/>
      <c r="O480" s="323"/>
      <c r="P480" s="317"/>
      <c r="Q480" s="243"/>
      <c r="R480" s="243"/>
      <c r="S480" s="317"/>
      <c r="T480" s="317"/>
      <c r="U480" s="317"/>
      <c r="V480" s="317"/>
      <c r="W480" s="317"/>
      <c r="X480" s="317"/>
      <c r="Y480" s="243"/>
      <c r="Z480" s="243"/>
    </row>
    <row r="481">
      <c r="A481" s="620" t="s">
        <v>675</v>
      </c>
      <c r="B481" s="611">
        <f>SUM(L445,L406,L367,L328,L328,L289,L250,L211,L172,L133,L94,L55,L16)</f>
        <v>0</v>
      </c>
      <c r="C481" s="400"/>
      <c r="D481" s="607" t="s">
        <v>10</v>
      </c>
      <c r="E481" s="608">
        <f t="shared" ref="E481:E482" si="4">SUM(D23,D62,D101,D140,D179,D218,D257,D296,D335,D374,D413,D452)</f>
        <v>0</v>
      </c>
      <c r="F481" s="612"/>
      <c r="G481" s="243"/>
      <c r="H481" s="243"/>
      <c r="I481" s="243"/>
      <c r="J481" s="243"/>
      <c r="K481" s="243"/>
      <c r="L481" s="277"/>
      <c r="M481" s="425"/>
      <c r="N481" s="604"/>
      <c r="O481" s="323"/>
      <c r="P481" s="317"/>
      <c r="Q481" s="243"/>
      <c r="R481" s="243"/>
      <c r="S481" s="317"/>
      <c r="T481" s="317"/>
      <c r="U481" s="317"/>
      <c r="V481" s="317"/>
      <c r="W481" s="317"/>
      <c r="X481" s="317"/>
      <c r="Y481" s="243"/>
      <c r="Z481" s="243"/>
    </row>
    <row r="482">
      <c r="A482" s="621" t="s">
        <v>682</v>
      </c>
      <c r="B482" s="611">
        <f>SUM(L22,L61,L100,L139,L178,L217,L256,L295,L334,L373,L412,L451)</f>
        <v>0</v>
      </c>
      <c r="C482" s="400"/>
      <c r="D482" s="607" t="s">
        <v>6</v>
      </c>
      <c r="E482" s="608">
        <f t="shared" si="4"/>
        <v>0</v>
      </c>
      <c r="F482" s="612"/>
      <c r="G482" s="243"/>
      <c r="H482" s="243"/>
      <c r="I482" s="243"/>
      <c r="J482" s="243"/>
      <c r="K482" s="243"/>
      <c r="L482" s="277"/>
      <c r="M482" s="425"/>
      <c r="N482" s="622"/>
      <c r="O482" s="323"/>
      <c r="P482" s="317"/>
      <c r="Q482" s="243"/>
      <c r="R482" s="243"/>
      <c r="S482" s="317"/>
      <c r="T482" s="317"/>
      <c r="U482" s="317"/>
      <c r="V482" s="317"/>
      <c r="W482" s="317"/>
      <c r="X482" s="317"/>
      <c r="Y482" s="243"/>
      <c r="Z482" s="243"/>
    </row>
    <row r="483">
      <c r="A483" s="623" t="s">
        <v>684</v>
      </c>
      <c r="B483" s="611">
        <f>SUM(L452,L413,L374,L335,L296,L257,L218,L179,L140,L101,L62,L23)</f>
        <v>0</v>
      </c>
      <c r="C483" s="400"/>
      <c r="D483" s="607" t="s">
        <v>779</v>
      </c>
      <c r="E483" s="608">
        <f t="shared" ref="E483:E487" si="5">SUM(D454,D415,D376,D337,D298,D259,D220,D181,D142,D103,D64,D25)</f>
        <v>0</v>
      </c>
      <c r="F483" s="586"/>
      <c r="G483" s="243"/>
      <c r="H483" s="243"/>
      <c r="I483" s="243"/>
      <c r="J483" s="243"/>
      <c r="K483" s="243"/>
      <c r="L483" s="277"/>
      <c r="M483" s="425"/>
      <c r="N483" s="622"/>
      <c r="O483" s="323"/>
      <c r="P483" s="317"/>
      <c r="Q483" s="243"/>
      <c r="R483" s="243"/>
      <c r="S483" s="317"/>
      <c r="T483" s="317"/>
      <c r="U483" s="317"/>
      <c r="V483" s="317"/>
      <c r="W483" s="317"/>
      <c r="X483" s="317"/>
      <c r="Y483" s="243"/>
      <c r="Z483" s="243"/>
    </row>
    <row r="484">
      <c r="A484" s="623" t="s">
        <v>686</v>
      </c>
      <c r="B484" s="611">
        <f>SUM(L24,L63,L102,L141,L180,L219,L258,L297,L336,L375,L414,L453)</f>
        <v>0</v>
      </c>
      <c r="C484" s="400"/>
      <c r="D484" s="607" t="s">
        <v>780</v>
      </c>
      <c r="E484" s="608">
        <f t="shared" si="5"/>
        <v>0</v>
      </c>
      <c r="F484" s="586"/>
      <c r="G484" s="243"/>
      <c r="H484" s="243"/>
      <c r="I484" s="243"/>
      <c r="J484" s="243"/>
      <c r="K484" s="243"/>
      <c r="L484" s="277"/>
      <c r="M484" s="425"/>
      <c r="N484" s="604"/>
      <c r="O484" s="323"/>
      <c r="P484" s="317"/>
      <c r="Q484" s="243"/>
      <c r="R484" s="243"/>
      <c r="S484" s="317"/>
      <c r="T484" s="317"/>
      <c r="U484" s="317"/>
      <c r="V484" s="317"/>
      <c r="W484" s="317"/>
      <c r="X484" s="317"/>
      <c r="Y484" s="243"/>
      <c r="Z484" s="243"/>
    </row>
    <row r="485">
      <c r="A485" s="624" t="s">
        <v>202</v>
      </c>
      <c r="B485" s="611">
        <f t="shared" ref="B485:B486" si="6">SUM(L454,L415,L376,L337,L298,L259,L220,L181,L142,L103,L64,L25)</f>
        <v>0</v>
      </c>
      <c r="C485" s="400"/>
      <c r="D485" s="607" t="s">
        <v>781</v>
      </c>
      <c r="E485" s="608">
        <f t="shared" si="5"/>
        <v>0</v>
      </c>
      <c r="F485" s="586"/>
      <c r="G485" s="243"/>
      <c r="H485" s="243"/>
      <c r="I485" s="243"/>
      <c r="J485" s="243"/>
      <c r="K485" s="243"/>
      <c r="L485" s="277"/>
      <c r="M485" s="425"/>
      <c r="N485" s="604"/>
      <c r="O485" s="323"/>
      <c r="P485" s="317"/>
      <c r="Q485" s="243"/>
      <c r="R485" s="243"/>
      <c r="S485" s="317"/>
      <c r="T485" s="317"/>
      <c r="U485" s="317"/>
      <c r="V485" s="317"/>
      <c r="W485" s="317"/>
      <c r="X485" s="317"/>
      <c r="Y485" s="243"/>
      <c r="Z485" s="243"/>
    </row>
    <row r="486">
      <c r="A486" s="624" t="s">
        <v>274</v>
      </c>
      <c r="B486" s="611">
        <f t="shared" si="6"/>
        <v>0</v>
      </c>
      <c r="C486" s="400"/>
      <c r="D486" s="607" t="s">
        <v>1118</v>
      </c>
      <c r="E486" s="608">
        <f t="shared" si="5"/>
        <v>0</v>
      </c>
      <c r="F486" s="586"/>
      <c r="G486" s="243"/>
      <c r="H486" s="243"/>
      <c r="I486" s="243"/>
      <c r="J486" s="243"/>
      <c r="K486" s="243"/>
      <c r="L486" s="277"/>
      <c r="M486" s="425"/>
      <c r="N486" s="604"/>
      <c r="O486" s="323"/>
      <c r="P486" s="317"/>
      <c r="Q486" s="243"/>
      <c r="R486" s="243"/>
      <c r="S486" s="317"/>
      <c r="T486" s="317"/>
      <c r="U486" s="317"/>
      <c r="V486" s="317"/>
      <c r="W486" s="317"/>
      <c r="X486" s="317"/>
      <c r="Y486" s="243"/>
      <c r="Z486" s="243"/>
    </row>
    <row r="487">
      <c r="A487" s="621" t="s">
        <v>1121</v>
      </c>
      <c r="B487" s="611">
        <f>SUM(L456,L457,L417,L418,L378,L379,L339,L340,L300,L301,L261,L262,L222,L223,L183,L184,L144,L145,L105,L106,L66,L67,L27,L28)</f>
        <v>0</v>
      </c>
      <c r="C487" s="400"/>
      <c r="D487" s="607" t="s">
        <v>1122</v>
      </c>
      <c r="E487" s="608">
        <f t="shared" si="5"/>
        <v>0</v>
      </c>
      <c r="F487" s="586"/>
      <c r="G487" s="243"/>
      <c r="H487" s="243"/>
      <c r="I487" s="243"/>
      <c r="J487" s="243"/>
      <c r="K487" s="243"/>
      <c r="L487" s="277"/>
      <c r="M487" s="425"/>
      <c r="N487" s="604"/>
      <c r="O487" s="323"/>
      <c r="P487" s="317"/>
      <c r="Q487" s="243"/>
      <c r="R487" s="243"/>
      <c r="S487" s="317"/>
      <c r="T487" s="317"/>
      <c r="U487" s="317"/>
      <c r="V487" s="317"/>
      <c r="W487" s="317"/>
      <c r="X487" s="317"/>
      <c r="Y487" s="243"/>
      <c r="Z487" s="243"/>
    </row>
    <row r="488">
      <c r="A488" s="627" t="s">
        <v>381</v>
      </c>
      <c r="B488" s="611">
        <f t="shared" ref="B488:B489" si="7">SUM(L28,L67,L106,L145,L184,L223,L262,L301,L340,L379,L418,L457)</f>
        <v>0</v>
      </c>
      <c r="C488" s="400"/>
      <c r="D488" s="628"/>
      <c r="E488" s="626"/>
      <c r="F488" s="586"/>
      <c r="G488" s="243"/>
      <c r="H488" s="243"/>
      <c r="I488" s="243"/>
      <c r="J488" s="243"/>
      <c r="K488" s="243"/>
      <c r="L488" s="277"/>
      <c r="M488" s="425"/>
      <c r="N488" s="604"/>
      <c r="O488" s="323"/>
      <c r="P488" s="317"/>
      <c r="Q488" s="243"/>
      <c r="R488" s="243"/>
      <c r="S488" s="317"/>
      <c r="T488" s="317"/>
      <c r="U488" s="317"/>
      <c r="V488" s="317"/>
      <c r="W488" s="317"/>
      <c r="X488" s="317"/>
      <c r="Y488" s="243"/>
      <c r="Z488" s="243"/>
    </row>
    <row r="489">
      <c r="A489" s="629" t="s">
        <v>914</v>
      </c>
      <c r="B489" s="611">
        <f t="shared" si="7"/>
        <v>0</v>
      </c>
      <c r="C489" s="400"/>
      <c r="D489" s="628"/>
      <c r="E489" s="626"/>
      <c r="F489" s="586"/>
      <c r="G489" s="243"/>
      <c r="H489" s="243"/>
      <c r="I489" s="243"/>
      <c r="J489" s="243"/>
      <c r="K489" s="243"/>
      <c r="L489" s="277"/>
      <c r="M489" s="425"/>
      <c r="N489" s="604"/>
      <c r="O489" s="323"/>
      <c r="P489" s="317"/>
      <c r="Q489" s="243"/>
      <c r="R489" s="243"/>
      <c r="S489" s="317"/>
      <c r="T489" s="317"/>
      <c r="U489" s="317"/>
      <c r="V489" s="317"/>
      <c r="W489" s="317"/>
      <c r="X489" s="317"/>
      <c r="Y489" s="243"/>
      <c r="Z489" s="243"/>
    </row>
    <row r="490">
      <c r="A490" s="630" t="s">
        <v>692</v>
      </c>
      <c r="B490" s="611">
        <f>SUM(L460,L421,L382,L343,L304,L265,L226,L187,L148,L109,L70,L31)</f>
        <v>0</v>
      </c>
      <c r="D490" s="628"/>
      <c r="E490" s="626"/>
      <c r="F490" s="586"/>
      <c r="G490" s="243"/>
      <c r="H490" s="243"/>
      <c r="I490" s="243"/>
      <c r="J490" s="243"/>
      <c r="K490" s="243"/>
      <c r="L490" s="277"/>
      <c r="M490" s="425"/>
      <c r="N490" s="604"/>
      <c r="O490" s="323"/>
      <c r="P490" s="317"/>
      <c r="Q490" s="243"/>
      <c r="R490" s="243"/>
      <c r="S490" s="317"/>
      <c r="T490" s="317"/>
      <c r="U490" s="317"/>
      <c r="V490" s="317"/>
      <c r="W490" s="317"/>
      <c r="X490" s="317"/>
      <c r="Y490" s="243"/>
      <c r="Z490" s="243"/>
    </row>
    <row r="491">
      <c r="A491" s="631" t="s">
        <v>915</v>
      </c>
      <c r="B491" s="632">
        <f>SUM(C6,C45,C84,C123,C162,C201,C240,C279,C318,C357,C396,C435)</f>
        <v>0</v>
      </c>
      <c r="D491" s="628"/>
      <c r="E491" s="626"/>
      <c r="F491" s="586"/>
      <c r="G491" s="243"/>
      <c r="H491" s="243"/>
      <c r="I491" s="243"/>
      <c r="J491" s="243"/>
      <c r="K491" s="243"/>
      <c r="L491" s="277"/>
      <c r="M491" s="425"/>
      <c r="N491" s="604"/>
      <c r="O491" s="323"/>
      <c r="P491" s="317"/>
      <c r="Q491" s="243"/>
      <c r="R491" s="243"/>
      <c r="S491" s="317"/>
      <c r="T491" s="317"/>
      <c r="U491" s="317"/>
      <c r="V491" s="317"/>
      <c r="W491" s="317"/>
      <c r="X491" s="317"/>
      <c r="Y491" s="243"/>
      <c r="Z491" s="243"/>
    </row>
    <row r="492">
      <c r="A492" s="633" t="s">
        <v>916</v>
      </c>
      <c r="B492" s="332">
        <f>SUM(B470:B491)</f>
        <v>0</v>
      </c>
      <c r="C492" s="634">
        <f>SUM(C433,C394,C355,C316,C277,C238,C199,C160,C121,C82,C43,C4)</f>
        <v>0</v>
      </c>
      <c r="D492" s="524" t="s">
        <v>916</v>
      </c>
      <c r="E492" s="635">
        <f>SUM(E470:E491)</f>
        <v>0</v>
      </c>
      <c r="F492" s="586"/>
      <c r="G492" s="243"/>
      <c r="H492" s="243"/>
      <c r="I492" s="243"/>
      <c r="J492" s="243"/>
      <c r="K492" s="243"/>
      <c r="L492" s="277"/>
      <c r="M492" s="425"/>
      <c r="N492" s="604"/>
      <c r="O492" s="323"/>
      <c r="P492" s="317"/>
      <c r="Q492" s="243"/>
      <c r="R492" s="243"/>
      <c r="S492" s="317"/>
      <c r="T492" s="317"/>
      <c r="U492" s="317"/>
      <c r="V492" s="317"/>
      <c r="W492" s="317"/>
      <c r="X492" s="317"/>
      <c r="Y492" s="243"/>
      <c r="Z492" s="243"/>
    </row>
    <row r="493">
      <c r="A493" s="377"/>
      <c r="B493" s="243"/>
      <c r="C493" s="243"/>
      <c r="D493" s="243"/>
      <c r="E493" s="585"/>
      <c r="F493" s="586"/>
      <c r="G493" s="243"/>
      <c r="H493" s="243"/>
      <c r="I493" s="243"/>
      <c r="J493" s="243"/>
      <c r="K493" s="243"/>
      <c r="L493" s="277"/>
      <c r="M493" s="425"/>
      <c r="N493" s="604"/>
      <c r="O493" s="323"/>
      <c r="P493" s="317"/>
      <c r="Q493" s="243"/>
      <c r="R493" s="243"/>
      <c r="S493" s="317"/>
      <c r="T493" s="317"/>
      <c r="U493" s="317"/>
      <c r="V493" s="317"/>
      <c r="W493" s="317"/>
      <c r="X493" s="317"/>
      <c r="Y493" s="243"/>
      <c r="Z493" s="243"/>
    </row>
    <row r="494">
      <c r="A494" s="636" t="s">
        <v>917</v>
      </c>
      <c r="B494" s="319"/>
      <c r="C494" s="319"/>
      <c r="D494" s="319"/>
      <c r="E494" s="319"/>
      <c r="F494" s="319"/>
      <c r="G494" s="319"/>
      <c r="H494" s="319"/>
      <c r="I494" s="319"/>
      <c r="J494" s="319"/>
      <c r="K494" s="319"/>
      <c r="L494" s="319"/>
      <c r="M494" s="319"/>
      <c r="N494" s="26"/>
      <c r="O494" s="323"/>
      <c r="P494" s="317"/>
      <c r="Q494" s="243"/>
      <c r="R494" s="243"/>
      <c r="S494" s="317"/>
      <c r="T494" s="317"/>
      <c r="U494" s="317"/>
      <c r="V494" s="317"/>
      <c r="W494" s="317"/>
      <c r="X494" s="317"/>
      <c r="Y494" s="243"/>
      <c r="Z494" s="243"/>
    </row>
    <row r="495">
      <c r="A495" s="637" t="s">
        <v>1123</v>
      </c>
      <c r="B495" s="638" t="s">
        <v>919</v>
      </c>
      <c r="C495" s="638" t="s">
        <v>920</v>
      </c>
      <c r="D495" s="638" t="s">
        <v>921</v>
      </c>
      <c r="E495" s="639" t="s">
        <v>922</v>
      </c>
      <c r="F495" s="640" t="s">
        <v>923</v>
      </c>
      <c r="G495" s="638" t="s">
        <v>924</v>
      </c>
      <c r="J495" s="639" t="s">
        <v>925</v>
      </c>
      <c r="L495" s="641" t="s">
        <v>926</v>
      </c>
      <c r="M495" s="638" t="s">
        <v>1114</v>
      </c>
      <c r="N495" s="642" t="s">
        <v>928</v>
      </c>
      <c r="O495" s="643" t="s">
        <v>929</v>
      </c>
      <c r="P495" s="317"/>
      <c r="Q495" s="243"/>
      <c r="R495" s="243"/>
      <c r="S495" s="317"/>
      <c r="T495" s="317"/>
      <c r="U495" s="317"/>
      <c r="V495" s="317"/>
      <c r="W495" s="317"/>
      <c r="X495" s="317"/>
      <c r="Y495" s="243"/>
      <c r="Z495" s="243"/>
    </row>
    <row r="496">
      <c r="A496" s="644">
        <f>SUM(C5,C44,C83,C122,C161,C200,C239,C278,C317,C356,C395,C434,B491)</f>
        <v>0</v>
      </c>
      <c r="B496" s="645">
        <f>SUM(C3,C42,C81,C120,C159,C198,C237,C276,C315,C354,C393,C432)</f>
        <v>0</v>
      </c>
      <c r="C496" s="645">
        <f>SUM(L461,L422,L383,L344,L305,L266,L227,L188,L149,L110,L71,L32)</f>
        <v>0</v>
      </c>
      <c r="D496" s="645">
        <f>SUM(B11,B50,B89,B128,B167,B206,B245,B284,B323,B362,B401,B440)</f>
        <v>0</v>
      </c>
      <c r="E496" s="645">
        <f>B496-A496-C496</f>
        <v>0</v>
      </c>
      <c r="F496" s="646">
        <f>B496-A496-C496-D496</f>
        <v>0</v>
      </c>
      <c r="G496" s="647">
        <f>AVERAGE(C3,C42,C81,C120,C159,C198,C237,C276,C315,C354,C393,C432)</f>
        <v>0</v>
      </c>
      <c r="H496" s="648"/>
      <c r="I496" s="648"/>
      <c r="J496" s="647">
        <f>AVERAGE(C436,C397,C358,C319,C280,C241,C202,C163,C124,C85,C46,C7)</f>
        <v>0</v>
      </c>
      <c r="K496" s="648"/>
      <c r="L496" s="647">
        <f>AVERAGE(B463,B424,B385,B346,B307,B268,B229,B190,B151,B112,B73,B34)</f>
        <v>0</v>
      </c>
      <c r="M496" s="649">
        <f>AVERAGE(C434,C395,C356,C317,C278,C239,C200,C161,C122,C83,C44,C5)</f>
        <v>0</v>
      </c>
      <c r="N496" s="650">
        <f>AVERAGE(B11,B50,B89,B128,B167,B245,B284,B323,B362,B401,B440,B206)</f>
        <v>0</v>
      </c>
      <c r="O496" s="687">
        <f>SUM(B464:B466)</f>
        <v>0</v>
      </c>
      <c r="P496" s="317"/>
      <c r="Q496" s="243"/>
      <c r="R496" s="243"/>
      <c r="S496" s="317"/>
      <c r="T496" s="317"/>
      <c r="U496" s="317"/>
      <c r="V496" s="317"/>
      <c r="W496" s="317"/>
      <c r="X496" s="317"/>
      <c r="Y496" s="243"/>
      <c r="Z496" s="243"/>
    </row>
    <row r="497">
      <c r="A497" s="243"/>
      <c r="B497" s="243"/>
      <c r="C497" s="243"/>
      <c r="D497" s="652"/>
      <c r="E497" s="246"/>
      <c r="F497" s="586"/>
      <c r="G497" s="243"/>
      <c r="H497" s="243"/>
      <c r="I497" s="243"/>
      <c r="J497" s="243"/>
      <c r="K497" s="243"/>
      <c r="L497" s="277"/>
      <c r="M497" s="425"/>
      <c r="N497" s="604"/>
      <c r="O497" s="323"/>
      <c r="P497" s="317"/>
      <c r="Q497" s="243"/>
      <c r="R497" s="243"/>
      <c r="S497" s="317"/>
      <c r="T497" s="317"/>
      <c r="U497" s="317"/>
      <c r="V497" s="317"/>
      <c r="W497" s="317"/>
      <c r="X497" s="317"/>
      <c r="Y497" s="243"/>
      <c r="Z497" s="243"/>
    </row>
    <row r="498">
      <c r="F498" s="586"/>
      <c r="G498" s="148"/>
      <c r="H498" s="148"/>
      <c r="I498" s="251"/>
      <c r="J498" s="243"/>
      <c r="K498" s="148"/>
      <c r="L498" s="277"/>
      <c r="M498" s="252"/>
      <c r="N498" s="250"/>
      <c r="O498" s="253"/>
      <c r="P498" s="240"/>
      <c r="Q498" s="148"/>
      <c r="R498" s="148"/>
      <c r="S498" s="242"/>
      <c r="T498" s="242"/>
      <c r="U498" s="242"/>
      <c r="V498" s="242"/>
      <c r="W498" s="242"/>
      <c r="X498" s="242"/>
      <c r="Y498" s="148"/>
      <c r="Z498" s="148"/>
    </row>
    <row r="499">
      <c r="A499" s="333"/>
      <c r="B499" s="333"/>
      <c r="C499" s="333"/>
      <c r="D499" s="333"/>
      <c r="E499" s="333"/>
      <c r="F499" s="333"/>
      <c r="G499" s="148"/>
      <c r="H499" s="148"/>
      <c r="I499" s="251"/>
      <c r="J499" s="243"/>
      <c r="K499" s="148"/>
      <c r="L499" s="277"/>
      <c r="M499" s="252"/>
      <c r="N499" s="250"/>
      <c r="O499" s="253"/>
      <c r="P499" s="240"/>
      <c r="Q499" s="148"/>
      <c r="R499" s="148"/>
      <c r="S499" s="242"/>
      <c r="T499" s="242"/>
      <c r="U499" s="242"/>
      <c r="V499" s="242"/>
      <c r="W499" s="242"/>
      <c r="X499" s="242"/>
      <c r="Y499" s="148"/>
      <c r="Z499" s="148"/>
    </row>
    <row r="500">
      <c r="A500" s="688" t="s">
        <v>930</v>
      </c>
      <c r="F500" s="333"/>
      <c r="G500" s="148"/>
      <c r="H500" s="148"/>
      <c r="I500" s="251"/>
      <c r="J500" s="243"/>
      <c r="K500" s="148"/>
      <c r="L500" s="277"/>
      <c r="M500" s="252"/>
      <c r="N500" s="250"/>
      <c r="O500" s="253"/>
      <c r="P500" s="240"/>
      <c r="Q500" s="148"/>
      <c r="R500" s="148"/>
      <c r="S500" s="242"/>
      <c r="T500" s="242"/>
      <c r="U500" s="242"/>
      <c r="V500" s="242"/>
      <c r="W500" s="242"/>
      <c r="X500" s="242"/>
      <c r="Y500" s="148"/>
      <c r="Z500" s="148"/>
    </row>
    <row r="501">
      <c r="A501" s="333"/>
      <c r="B501" s="333"/>
      <c r="C501" s="333"/>
      <c r="D501" s="333"/>
      <c r="E501" s="333"/>
      <c r="F501" s="333"/>
      <c r="G501" s="148"/>
      <c r="H501" s="148"/>
      <c r="I501" s="251"/>
      <c r="J501" s="243"/>
      <c r="K501" s="148"/>
      <c r="L501" s="277"/>
      <c r="M501" s="252"/>
      <c r="N501" s="250"/>
      <c r="O501" s="253"/>
      <c r="P501" s="240"/>
      <c r="Q501" s="148"/>
      <c r="R501" s="148"/>
      <c r="S501" s="242"/>
      <c r="T501" s="242"/>
      <c r="U501" s="242"/>
      <c r="V501" s="242"/>
      <c r="W501" s="242"/>
      <c r="X501" s="242"/>
      <c r="Y501" s="148"/>
      <c r="Z501" s="148"/>
    </row>
    <row r="502">
      <c r="A502" s="333"/>
      <c r="B502" s="333"/>
      <c r="C502" s="333"/>
      <c r="D502" s="333"/>
      <c r="E502" s="333"/>
      <c r="F502" s="333"/>
      <c r="G502" s="148"/>
      <c r="H502" s="148"/>
      <c r="I502" s="251"/>
      <c r="J502" s="243"/>
      <c r="K502" s="148"/>
      <c r="L502" s="277"/>
      <c r="M502" s="252"/>
      <c r="N502" s="250"/>
      <c r="O502" s="253"/>
      <c r="P502" s="240"/>
      <c r="Q502" s="148"/>
      <c r="R502" s="148"/>
      <c r="S502" s="242"/>
      <c r="T502" s="242"/>
      <c r="U502" s="242"/>
      <c r="V502" s="242"/>
      <c r="W502" s="242"/>
      <c r="X502" s="242"/>
      <c r="Y502" s="148"/>
      <c r="Z502" s="148"/>
    </row>
    <row r="503">
      <c r="A503" s="333"/>
      <c r="B503" s="333"/>
      <c r="C503" s="333"/>
      <c r="D503" s="333"/>
      <c r="E503" s="333"/>
      <c r="F503" s="333"/>
      <c r="G503" s="148"/>
      <c r="H503" s="148"/>
      <c r="I503" s="251"/>
      <c r="J503" s="243"/>
      <c r="K503" s="148"/>
      <c r="L503" s="277"/>
      <c r="M503" s="252"/>
      <c r="N503" s="250"/>
      <c r="O503" s="253"/>
      <c r="P503" s="240"/>
      <c r="Q503" s="148"/>
      <c r="R503" s="148"/>
      <c r="S503" s="242"/>
      <c r="T503" s="242"/>
      <c r="U503" s="242"/>
      <c r="V503" s="242"/>
      <c r="W503" s="242"/>
      <c r="X503" s="242"/>
      <c r="Y503" s="148"/>
      <c r="Z503" s="148"/>
    </row>
    <row r="504">
      <c r="A504" s="333"/>
      <c r="B504" s="333"/>
      <c r="C504" s="333"/>
      <c r="D504" s="333"/>
      <c r="E504" s="333"/>
      <c r="F504" s="333"/>
      <c r="G504" s="148"/>
      <c r="H504" s="148"/>
      <c r="I504" s="251"/>
      <c r="J504" s="243"/>
      <c r="K504" s="148"/>
      <c r="L504" s="277"/>
      <c r="M504" s="252"/>
      <c r="N504" s="250"/>
      <c r="O504" s="253"/>
      <c r="P504" s="240"/>
      <c r="Q504" s="148"/>
      <c r="R504" s="148"/>
      <c r="S504" s="242"/>
      <c r="T504" s="242"/>
      <c r="U504" s="242"/>
      <c r="V504" s="242"/>
      <c r="W504" s="242"/>
      <c r="X504" s="242"/>
      <c r="Y504" s="148"/>
      <c r="Z504" s="148"/>
    </row>
    <row r="505">
      <c r="A505" s="333" t="s">
        <v>1124</v>
      </c>
      <c r="E505" s="333"/>
      <c r="F505" s="333"/>
      <c r="G505" s="148"/>
      <c r="H505" s="148"/>
      <c r="I505" s="251"/>
      <c r="J505" s="243"/>
      <c r="K505" s="148"/>
      <c r="L505" s="277"/>
      <c r="M505" s="252"/>
      <c r="N505" s="250"/>
      <c r="O505" s="253"/>
      <c r="P505" s="240"/>
      <c r="Q505" s="148"/>
      <c r="R505" s="148"/>
      <c r="S505" s="242"/>
      <c r="T505" s="242"/>
      <c r="U505" s="242"/>
      <c r="V505" s="242"/>
      <c r="W505" s="242"/>
      <c r="X505" s="242"/>
      <c r="Y505" s="148"/>
      <c r="Z505" s="148"/>
    </row>
    <row r="506">
      <c r="A506" s="333"/>
      <c r="B506" s="333"/>
      <c r="C506" s="333"/>
      <c r="D506" s="333"/>
      <c r="E506" s="333"/>
      <c r="F506" s="333"/>
      <c r="G506" s="148"/>
      <c r="H506" s="148"/>
      <c r="I506" s="251"/>
      <c r="J506" s="243"/>
      <c r="K506" s="148"/>
      <c r="L506" s="277"/>
      <c r="M506" s="252"/>
      <c r="N506" s="250"/>
      <c r="O506" s="253"/>
      <c r="P506" s="240"/>
      <c r="Q506" s="148"/>
      <c r="R506" s="148"/>
      <c r="S506" s="242"/>
      <c r="T506" s="242"/>
      <c r="U506" s="242"/>
      <c r="V506" s="242"/>
      <c r="W506" s="242"/>
      <c r="X506" s="242"/>
      <c r="Y506" s="148"/>
      <c r="Z506" s="148"/>
    </row>
    <row r="507">
      <c r="A507" s="333"/>
      <c r="B507" s="333"/>
      <c r="C507" s="333"/>
      <c r="D507" s="333"/>
      <c r="E507" s="333"/>
      <c r="F507" s="333"/>
      <c r="G507" s="148"/>
      <c r="H507" s="148"/>
      <c r="I507" s="251"/>
      <c r="J507" s="243"/>
      <c r="K507" s="148"/>
      <c r="L507" s="277"/>
      <c r="M507" s="252"/>
      <c r="N507" s="250"/>
      <c r="O507" s="253"/>
      <c r="P507" s="240"/>
      <c r="Q507" s="148"/>
      <c r="R507" s="148"/>
      <c r="S507" s="242"/>
      <c r="T507" s="242"/>
      <c r="U507" s="242"/>
      <c r="V507" s="242"/>
      <c r="W507" s="242"/>
      <c r="X507" s="242"/>
      <c r="Y507" s="148"/>
      <c r="Z507" s="148"/>
    </row>
    <row r="508">
      <c r="A508" s="333"/>
      <c r="B508" s="333"/>
      <c r="C508" s="333"/>
      <c r="D508" s="333"/>
      <c r="E508" s="333"/>
      <c r="F508" s="333"/>
      <c r="G508" s="148"/>
      <c r="H508" s="148"/>
      <c r="I508" s="251"/>
      <c r="J508" s="243"/>
      <c r="K508" s="148"/>
      <c r="L508" s="277"/>
      <c r="M508" s="252"/>
      <c r="N508" s="250"/>
      <c r="O508" s="253"/>
      <c r="P508" s="240"/>
      <c r="Q508" s="148"/>
      <c r="R508" s="148"/>
      <c r="S508" s="242"/>
      <c r="T508" s="242"/>
      <c r="U508" s="242"/>
      <c r="V508" s="242"/>
      <c r="W508" s="242"/>
      <c r="X508" s="242"/>
      <c r="Y508" s="148"/>
      <c r="Z508" s="148"/>
    </row>
    <row r="509">
      <c r="A509" s="333"/>
      <c r="B509" s="333"/>
      <c r="C509" s="333"/>
      <c r="D509" s="333"/>
      <c r="E509" s="333"/>
      <c r="F509" s="333"/>
      <c r="G509" s="148"/>
      <c r="H509" s="148"/>
      <c r="I509" s="251"/>
      <c r="J509" s="243"/>
      <c r="K509" s="148"/>
      <c r="L509" s="277"/>
      <c r="M509" s="252"/>
      <c r="N509" s="250"/>
      <c r="O509" s="253"/>
      <c r="P509" s="240"/>
      <c r="Q509" s="148"/>
      <c r="R509" s="148"/>
      <c r="S509" s="242"/>
      <c r="T509" s="242"/>
      <c r="U509" s="242"/>
      <c r="V509" s="242"/>
      <c r="W509" s="242"/>
      <c r="X509" s="242"/>
      <c r="Y509" s="148"/>
      <c r="Z509" s="148"/>
    </row>
    <row r="510">
      <c r="A510" s="333"/>
      <c r="B510" s="333"/>
      <c r="C510" s="333"/>
      <c r="D510" s="333"/>
      <c r="E510" s="333"/>
      <c r="F510" s="333"/>
      <c r="G510" s="148"/>
      <c r="H510" s="148"/>
      <c r="I510" s="251"/>
      <c r="J510" s="243"/>
      <c r="K510" s="148"/>
      <c r="L510" s="277"/>
      <c r="M510" s="252"/>
      <c r="N510" s="250"/>
      <c r="O510" s="253"/>
      <c r="P510" s="240"/>
      <c r="Q510" s="148"/>
      <c r="R510" s="148"/>
      <c r="S510" s="242"/>
      <c r="T510" s="242"/>
      <c r="U510" s="242"/>
      <c r="V510" s="242"/>
      <c r="W510" s="242"/>
      <c r="X510" s="242"/>
      <c r="Y510" s="148"/>
      <c r="Z510" s="148"/>
    </row>
    <row r="511">
      <c r="A511" s="333"/>
      <c r="B511" s="333"/>
      <c r="C511" s="333"/>
      <c r="D511" s="333"/>
      <c r="E511" s="333"/>
      <c r="F511" s="333"/>
      <c r="G511" s="148"/>
      <c r="H511" s="148"/>
      <c r="I511" s="251"/>
      <c r="J511" s="243"/>
      <c r="K511" s="148"/>
      <c r="L511" s="277"/>
      <c r="M511" s="252"/>
      <c r="N511" s="250"/>
      <c r="O511" s="253"/>
      <c r="P511" s="240"/>
      <c r="Q511" s="148"/>
      <c r="R511" s="148"/>
      <c r="S511" s="242"/>
      <c r="T511" s="242"/>
      <c r="U511" s="242"/>
      <c r="V511" s="242"/>
      <c r="W511" s="242"/>
      <c r="X511" s="242"/>
      <c r="Y511" s="148"/>
      <c r="Z511" s="148"/>
    </row>
    <row r="512">
      <c r="A512" s="333"/>
      <c r="B512" s="333"/>
      <c r="C512" s="333"/>
      <c r="D512" s="333"/>
      <c r="E512" s="333"/>
      <c r="F512" s="333"/>
      <c r="G512" s="148"/>
      <c r="H512" s="148"/>
      <c r="I512" s="251"/>
      <c r="J512" s="243"/>
      <c r="K512" s="148"/>
      <c r="L512" s="277"/>
      <c r="M512" s="252"/>
      <c r="N512" s="250"/>
      <c r="O512" s="253"/>
      <c r="P512" s="240"/>
      <c r="Q512" s="148"/>
      <c r="R512" s="148"/>
      <c r="S512" s="242"/>
      <c r="T512" s="242"/>
      <c r="U512" s="242"/>
      <c r="V512" s="242"/>
      <c r="W512" s="242"/>
      <c r="X512" s="242"/>
      <c r="Y512" s="148"/>
      <c r="Z512" s="148"/>
    </row>
    <row r="513">
      <c r="A513" s="333"/>
      <c r="B513" s="333"/>
      <c r="C513" s="333"/>
      <c r="D513" s="333"/>
      <c r="E513" s="333"/>
      <c r="F513" s="333"/>
      <c r="G513" s="148"/>
      <c r="H513" s="148"/>
      <c r="I513" s="251"/>
      <c r="J513" s="243"/>
      <c r="K513" s="148"/>
      <c r="L513" s="277"/>
      <c r="M513" s="252"/>
      <c r="N513" s="250"/>
      <c r="O513" s="253"/>
      <c r="P513" s="240"/>
      <c r="Q513" s="148"/>
      <c r="R513" s="148"/>
      <c r="S513" s="242"/>
      <c r="T513" s="242"/>
      <c r="U513" s="242"/>
      <c r="V513" s="242"/>
      <c r="W513" s="242"/>
      <c r="X513" s="242"/>
      <c r="Y513" s="148"/>
      <c r="Z513" s="148"/>
    </row>
    <row r="514">
      <c r="A514" s="333"/>
      <c r="B514" s="333"/>
      <c r="C514" s="333"/>
      <c r="D514" s="333"/>
      <c r="E514" s="333"/>
      <c r="F514" s="333"/>
      <c r="G514" s="148"/>
      <c r="H514" s="148"/>
      <c r="I514" s="251"/>
      <c r="J514" s="243"/>
      <c r="K514" s="148"/>
      <c r="L514" s="277"/>
      <c r="M514" s="252"/>
      <c r="N514" s="250"/>
      <c r="O514" s="253"/>
      <c r="P514" s="240"/>
      <c r="Q514" s="148"/>
      <c r="R514" s="148"/>
      <c r="S514" s="242"/>
      <c r="T514" s="242"/>
      <c r="U514" s="242"/>
      <c r="V514" s="242"/>
      <c r="W514" s="242"/>
      <c r="X514" s="242"/>
      <c r="Y514" s="148"/>
      <c r="Z514" s="148"/>
    </row>
    <row r="515">
      <c r="A515" s="333"/>
      <c r="B515" s="333"/>
      <c r="C515" s="333"/>
      <c r="D515" s="333"/>
      <c r="E515" s="333"/>
      <c r="F515" s="333"/>
      <c r="G515" s="148"/>
      <c r="H515" s="148"/>
      <c r="I515" s="251"/>
      <c r="J515" s="243"/>
      <c r="K515" s="148"/>
      <c r="L515" s="277"/>
      <c r="M515" s="252"/>
      <c r="N515" s="250"/>
      <c r="O515" s="253"/>
      <c r="P515" s="240"/>
      <c r="Q515" s="148"/>
      <c r="R515" s="148"/>
      <c r="S515" s="242"/>
      <c r="T515" s="242"/>
      <c r="U515" s="242"/>
      <c r="V515" s="242"/>
      <c r="W515" s="242"/>
      <c r="X515" s="242"/>
      <c r="Y515" s="148"/>
      <c r="Z515" s="148"/>
    </row>
    <row r="516">
      <c r="A516" s="333"/>
      <c r="B516" s="333"/>
      <c r="C516" s="333"/>
      <c r="D516" s="333"/>
      <c r="E516" s="333"/>
      <c r="F516" s="333"/>
      <c r="G516" s="148"/>
      <c r="H516" s="148"/>
      <c r="I516" s="251"/>
      <c r="J516" s="243"/>
      <c r="K516" s="148"/>
      <c r="L516" s="277"/>
      <c r="M516" s="252"/>
      <c r="N516" s="250"/>
      <c r="O516" s="253"/>
      <c r="P516" s="240"/>
      <c r="Q516" s="148"/>
      <c r="R516" s="148"/>
      <c r="S516" s="242"/>
      <c r="T516" s="242"/>
      <c r="U516" s="242"/>
      <c r="V516" s="242"/>
      <c r="W516" s="242"/>
      <c r="X516" s="242"/>
      <c r="Y516" s="148"/>
      <c r="Z516" s="148"/>
    </row>
    <row r="517">
      <c r="A517" s="333"/>
      <c r="B517" s="333"/>
      <c r="C517" s="333"/>
      <c r="D517" s="333"/>
      <c r="E517" s="333"/>
      <c r="F517" s="333"/>
      <c r="G517" s="148"/>
      <c r="H517" s="148"/>
      <c r="I517" s="251"/>
      <c r="J517" s="243"/>
      <c r="K517" s="148"/>
      <c r="L517" s="277"/>
      <c r="M517" s="252"/>
      <c r="N517" s="250"/>
      <c r="O517" s="253"/>
      <c r="P517" s="240"/>
      <c r="Q517" s="148"/>
      <c r="R517" s="148"/>
      <c r="S517" s="242"/>
      <c r="T517" s="242"/>
      <c r="U517" s="242"/>
      <c r="V517" s="242"/>
      <c r="W517" s="242"/>
      <c r="X517" s="242"/>
      <c r="Y517" s="148"/>
      <c r="Z517" s="148"/>
    </row>
    <row r="518">
      <c r="A518" s="333"/>
      <c r="B518" s="333"/>
      <c r="C518" s="333"/>
      <c r="D518" s="333"/>
      <c r="E518" s="333"/>
      <c r="F518" s="333"/>
      <c r="G518" s="148"/>
      <c r="H518" s="148"/>
      <c r="I518" s="251"/>
      <c r="J518" s="243"/>
      <c r="K518" s="148"/>
      <c r="L518" s="277"/>
      <c r="M518" s="252"/>
      <c r="N518" s="250"/>
      <c r="O518" s="253"/>
      <c r="P518" s="240"/>
      <c r="Q518" s="148"/>
      <c r="R518" s="148"/>
      <c r="S518" s="242"/>
      <c r="T518" s="242"/>
      <c r="U518" s="242"/>
      <c r="V518" s="242"/>
      <c r="W518" s="242"/>
      <c r="X518" s="242"/>
      <c r="Y518" s="148"/>
      <c r="Z518" s="148"/>
    </row>
    <row r="519">
      <c r="A519" s="333"/>
      <c r="B519" s="333"/>
      <c r="C519" s="333"/>
      <c r="D519" s="333"/>
      <c r="E519" s="333"/>
      <c r="F519" s="333"/>
      <c r="G519" s="148"/>
      <c r="H519" s="148"/>
      <c r="I519" s="251"/>
      <c r="J519" s="243"/>
      <c r="K519" s="148"/>
      <c r="L519" s="277"/>
      <c r="M519" s="252"/>
      <c r="N519" s="250"/>
      <c r="O519" s="253"/>
      <c r="P519" s="240"/>
      <c r="Q519" s="148"/>
      <c r="R519" s="148"/>
      <c r="S519" s="242"/>
      <c r="T519" s="242"/>
      <c r="U519" s="242"/>
      <c r="V519" s="242"/>
      <c r="W519" s="242"/>
      <c r="X519" s="242"/>
      <c r="Y519" s="148"/>
      <c r="Z519" s="148"/>
    </row>
    <row r="520">
      <c r="A520" s="333"/>
      <c r="B520" s="333"/>
      <c r="C520" s="333"/>
      <c r="D520" s="333"/>
      <c r="E520" s="333"/>
      <c r="F520" s="333"/>
      <c r="G520" s="148"/>
      <c r="H520" s="148"/>
      <c r="I520" s="251"/>
      <c r="J520" s="243"/>
      <c r="K520" s="148"/>
      <c r="L520" s="277"/>
      <c r="M520" s="252"/>
      <c r="N520" s="250"/>
      <c r="O520" s="253"/>
      <c r="P520" s="240"/>
      <c r="Q520" s="148"/>
      <c r="R520" s="148"/>
      <c r="S520" s="242"/>
      <c r="T520" s="242"/>
      <c r="U520" s="242"/>
      <c r="V520" s="242"/>
      <c r="W520" s="242"/>
      <c r="X520" s="242"/>
      <c r="Y520" s="148"/>
      <c r="Z520" s="148"/>
    </row>
    <row r="521">
      <c r="A521" s="333"/>
      <c r="B521" s="333"/>
      <c r="C521" s="333"/>
      <c r="D521" s="333"/>
      <c r="E521" s="333"/>
      <c r="F521" s="333"/>
      <c r="G521" s="148"/>
      <c r="H521" s="148"/>
      <c r="I521" s="251"/>
      <c r="J521" s="243"/>
      <c r="K521" s="148"/>
      <c r="L521" s="277"/>
      <c r="M521" s="252"/>
      <c r="N521" s="250"/>
      <c r="O521" s="253"/>
      <c r="P521" s="240"/>
      <c r="Q521" s="148"/>
      <c r="R521" s="148"/>
      <c r="S521" s="242"/>
      <c r="T521" s="242"/>
      <c r="U521" s="242"/>
      <c r="V521" s="242"/>
      <c r="W521" s="242"/>
      <c r="X521" s="242"/>
      <c r="Y521" s="148"/>
      <c r="Z521" s="148"/>
    </row>
    <row r="522">
      <c r="A522" s="333"/>
      <c r="B522" s="333"/>
      <c r="C522" s="333"/>
      <c r="D522" s="333"/>
      <c r="E522" s="333"/>
      <c r="F522" s="333"/>
      <c r="G522" s="148"/>
      <c r="H522" s="148"/>
      <c r="I522" s="251"/>
      <c r="J522" s="243"/>
      <c r="K522" s="148"/>
      <c r="L522" s="277"/>
      <c r="M522" s="252"/>
      <c r="N522" s="250"/>
      <c r="O522" s="253"/>
      <c r="P522" s="240"/>
      <c r="Q522" s="148"/>
      <c r="R522" s="148"/>
      <c r="S522" s="242"/>
      <c r="T522" s="242"/>
      <c r="U522" s="242"/>
      <c r="V522" s="242"/>
      <c r="W522" s="242"/>
      <c r="X522" s="242"/>
      <c r="Y522" s="148"/>
      <c r="Z522" s="148"/>
    </row>
    <row r="523">
      <c r="A523" s="333"/>
      <c r="B523" s="333"/>
      <c r="C523" s="333"/>
      <c r="D523" s="333"/>
      <c r="E523" s="333"/>
      <c r="F523" s="333"/>
      <c r="G523" s="148"/>
      <c r="H523" s="148"/>
      <c r="I523" s="251"/>
      <c r="J523" s="243"/>
      <c r="K523" s="148"/>
      <c r="L523" s="277"/>
      <c r="M523" s="252"/>
      <c r="N523" s="250"/>
      <c r="O523" s="253"/>
      <c r="P523" s="240"/>
      <c r="Q523" s="148"/>
      <c r="R523" s="148"/>
      <c r="S523" s="242"/>
      <c r="T523" s="242"/>
      <c r="U523" s="242"/>
      <c r="V523" s="242"/>
      <c r="W523" s="242"/>
      <c r="X523" s="242"/>
      <c r="Y523" s="148"/>
      <c r="Z523" s="148"/>
    </row>
    <row r="524">
      <c r="A524" s="333"/>
      <c r="B524" s="333"/>
      <c r="C524" s="333"/>
      <c r="D524" s="333"/>
      <c r="E524" s="333"/>
      <c r="F524" s="333"/>
      <c r="G524" s="148"/>
      <c r="H524" s="148"/>
      <c r="I524" s="251"/>
      <c r="J524" s="243"/>
      <c r="K524" s="148"/>
      <c r="L524" s="277"/>
      <c r="M524" s="252"/>
      <c r="N524" s="250"/>
      <c r="O524" s="253"/>
      <c r="P524" s="240"/>
      <c r="Q524" s="148"/>
      <c r="R524" s="148"/>
      <c r="S524" s="242"/>
      <c r="T524" s="242"/>
      <c r="U524" s="242"/>
      <c r="V524" s="242"/>
      <c r="W524" s="242"/>
      <c r="X524" s="242"/>
      <c r="Y524" s="148"/>
      <c r="Z524" s="148"/>
    </row>
    <row r="525">
      <c r="A525" s="333"/>
      <c r="B525" s="333"/>
      <c r="C525" s="333"/>
      <c r="D525" s="333"/>
      <c r="E525" s="333"/>
      <c r="F525" s="333"/>
      <c r="G525" s="148"/>
      <c r="H525" s="148"/>
      <c r="I525" s="251"/>
      <c r="J525" s="243"/>
      <c r="K525" s="148"/>
      <c r="L525" s="277"/>
      <c r="M525" s="252"/>
      <c r="N525" s="250"/>
      <c r="O525" s="253"/>
      <c r="P525" s="240"/>
      <c r="Q525" s="148"/>
      <c r="R525" s="148"/>
      <c r="S525" s="242"/>
      <c r="T525" s="242"/>
      <c r="U525" s="242"/>
      <c r="V525" s="242"/>
      <c r="W525" s="242"/>
      <c r="X525" s="242"/>
      <c r="Y525" s="148"/>
      <c r="Z525" s="148"/>
    </row>
    <row r="526">
      <c r="A526" s="333"/>
      <c r="B526" s="333"/>
      <c r="C526" s="333"/>
      <c r="D526" s="333"/>
      <c r="E526" s="333"/>
      <c r="F526" s="333"/>
      <c r="G526" s="148"/>
      <c r="H526" s="148"/>
      <c r="I526" s="251"/>
      <c r="J526" s="243"/>
      <c r="K526" s="148"/>
      <c r="L526" s="277"/>
      <c r="M526" s="252"/>
      <c r="N526" s="250"/>
      <c r="O526" s="253"/>
      <c r="P526" s="240"/>
      <c r="Q526" s="148"/>
      <c r="R526" s="148"/>
      <c r="S526" s="242"/>
      <c r="T526" s="242"/>
      <c r="U526" s="242"/>
      <c r="V526" s="242"/>
      <c r="W526" s="242"/>
      <c r="X526" s="242"/>
      <c r="Y526" s="148"/>
      <c r="Z526" s="148"/>
    </row>
    <row r="527">
      <c r="A527" s="333"/>
      <c r="B527" s="333"/>
      <c r="C527" s="333"/>
      <c r="D527" s="333"/>
      <c r="E527" s="333"/>
      <c r="F527" s="333"/>
      <c r="G527" s="148"/>
      <c r="H527" s="148"/>
      <c r="I527" s="251"/>
      <c r="J527" s="243"/>
      <c r="K527" s="148"/>
      <c r="L527" s="277"/>
      <c r="M527" s="252"/>
      <c r="N527" s="250"/>
      <c r="O527" s="253"/>
      <c r="P527" s="240"/>
      <c r="Q527" s="148"/>
      <c r="R527" s="148"/>
      <c r="S527" s="242"/>
      <c r="T527" s="242"/>
      <c r="U527" s="242"/>
      <c r="V527" s="242"/>
      <c r="W527" s="242"/>
      <c r="X527" s="242"/>
      <c r="Y527" s="148"/>
      <c r="Z527" s="148"/>
    </row>
    <row r="528">
      <c r="A528" s="333"/>
      <c r="B528" s="333"/>
      <c r="C528" s="333"/>
      <c r="D528" s="333"/>
      <c r="E528" s="333"/>
      <c r="F528" s="333"/>
      <c r="G528" s="148"/>
      <c r="H528" s="148"/>
      <c r="I528" s="251"/>
      <c r="J528" s="243"/>
      <c r="K528" s="148"/>
      <c r="L528" s="277"/>
      <c r="M528" s="252"/>
      <c r="N528" s="250"/>
      <c r="O528" s="253"/>
      <c r="P528" s="240"/>
      <c r="Q528" s="148"/>
      <c r="R528" s="148"/>
      <c r="S528" s="242"/>
      <c r="T528" s="242"/>
      <c r="U528" s="242"/>
      <c r="V528" s="242"/>
      <c r="W528" s="242"/>
      <c r="X528" s="242"/>
      <c r="Y528" s="148"/>
      <c r="Z528" s="148"/>
    </row>
    <row r="529">
      <c r="A529" s="333"/>
      <c r="B529" s="333"/>
      <c r="C529" s="333"/>
      <c r="D529" s="333"/>
      <c r="E529" s="333"/>
      <c r="F529" s="333"/>
      <c r="G529" s="148"/>
      <c r="H529" s="148"/>
      <c r="I529" s="251"/>
      <c r="J529" s="243"/>
      <c r="K529" s="148"/>
      <c r="L529" s="277"/>
      <c r="M529" s="252"/>
      <c r="N529" s="250"/>
      <c r="O529" s="253"/>
      <c r="P529" s="240"/>
      <c r="Q529" s="148"/>
      <c r="R529" s="148"/>
      <c r="S529" s="242"/>
      <c r="T529" s="242"/>
      <c r="U529" s="242"/>
      <c r="V529" s="242"/>
      <c r="W529" s="242"/>
      <c r="X529" s="242"/>
      <c r="Y529" s="148"/>
      <c r="Z529" s="148"/>
    </row>
    <row r="530">
      <c r="A530" s="333"/>
      <c r="B530" s="333"/>
      <c r="C530" s="333"/>
      <c r="D530" s="333"/>
      <c r="E530" s="333"/>
      <c r="F530" s="333"/>
      <c r="G530" s="148"/>
      <c r="H530" s="148"/>
      <c r="I530" s="251"/>
      <c r="J530" s="243"/>
      <c r="K530" s="148"/>
      <c r="L530" s="277"/>
      <c r="M530" s="252"/>
      <c r="N530" s="250"/>
      <c r="O530" s="253"/>
      <c r="P530" s="240"/>
      <c r="Q530" s="148"/>
      <c r="R530" s="148"/>
      <c r="S530" s="242"/>
      <c r="T530" s="242"/>
      <c r="U530" s="242"/>
      <c r="V530" s="242"/>
      <c r="W530" s="242"/>
      <c r="X530" s="242"/>
      <c r="Y530" s="148"/>
      <c r="Z530" s="148"/>
    </row>
    <row r="531">
      <c r="A531" s="333"/>
      <c r="B531" s="333"/>
      <c r="C531" s="333"/>
      <c r="D531" s="333"/>
      <c r="E531" s="333"/>
      <c r="F531" s="333"/>
      <c r="G531" s="148"/>
      <c r="H531" s="148"/>
      <c r="I531" s="251"/>
      <c r="J531" s="243"/>
      <c r="K531" s="148"/>
      <c r="L531" s="277"/>
      <c r="M531" s="252"/>
      <c r="N531" s="250"/>
      <c r="O531" s="253"/>
      <c r="P531" s="240"/>
      <c r="Q531" s="148"/>
      <c r="R531" s="148"/>
      <c r="S531" s="242"/>
      <c r="T531" s="242"/>
      <c r="U531" s="242"/>
      <c r="V531" s="242"/>
      <c r="W531" s="242"/>
      <c r="X531" s="242"/>
      <c r="Y531" s="148"/>
      <c r="Z531" s="148"/>
    </row>
    <row r="532">
      <c r="A532" s="333"/>
      <c r="B532" s="333"/>
      <c r="C532" s="333"/>
      <c r="D532" s="333"/>
      <c r="E532" s="333"/>
      <c r="F532" s="333"/>
      <c r="G532" s="148"/>
      <c r="H532" s="148"/>
      <c r="I532" s="251"/>
      <c r="J532" s="243"/>
      <c r="K532" s="148"/>
      <c r="L532" s="277"/>
      <c r="M532" s="252"/>
      <c r="N532" s="250"/>
      <c r="O532" s="253"/>
      <c r="P532" s="240"/>
      <c r="Q532" s="148"/>
      <c r="R532" s="148"/>
      <c r="S532" s="242"/>
      <c r="T532" s="242"/>
      <c r="U532" s="242"/>
      <c r="V532" s="242"/>
      <c r="W532" s="242"/>
      <c r="X532" s="242"/>
      <c r="Y532" s="148"/>
      <c r="Z532" s="148"/>
    </row>
    <row r="533">
      <c r="A533" s="333"/>
      <c r="B533" s="333"/>
      <c r="C533" s="333"/>
      <c r="D533" s="333"/>
      <c r="E533" s="333"/>
      <c r="F533" s="333"/>
      <c r="G533" s="148"/>
      <c r="H533" s="148"/>
      <c r="I533" s="251"/>
      <c r="J533" s="243"/>
      <c r="K533" s="148"/>
      <c r="L533" s="277"/>
      <c r="M533" s="252"/>
      <c r="N533" s="250"/>
      <c r="O533" s="253"/>
      <c r="P533" s="240"/>
      <c r="Q533" s="148"/>
      <c r="R533" s="148"/>
      <c r="S533" s="242"/>
      <c r="T533" s="242"/>
      <c r="U533" s="242"/>
      <c r="V533" s="242"/>
      <c r="W533" s="242"/>
      <c r="X533" s="242"/>
      <c r="Y533" s="148"/>
      <c r="Z533" s="148"/>
    </row>
    <row r="534">
      <c r="A534" s="333"/>
      <c r="B534" s="333"/>
      <c r="C534" s="333"/>
      <c r="D534" s="333"/>
      <c r="E534" s="333"/>
      <c r="F534" s="333"/>
      <c r="G534" s="148"/>
      <c r="H534" s="148"/>
      <c r="I534" s="251"/>
      <c r="J534" s="243"/>
      <c r="K534" s="148"/>
      <c r="L534" s="277"/>
      <c r="M534" s="252"/>
      <c r="N534" s="250"/>
      <c r="O534" s="253"/>
      <c r="P534" s="240"/>
      <c r="Q534" s="148"/>
      <c r="R534" s="148"/>
      <c r="S534" s="242"/>
      <c r="T534" s="242"/>
      <c r="U534" s="242"/>
      <c r="V534" s="242"/>
      <c r="W534" s="242"/>
      <c r="X534" s="242"/>
      <c r="Y534" s="148"/>
      <c r="Z534" s="148"/>
    </row>
    <row r="535">
      <c r="A535" s="333"/>
      <c r="B535" s="333"/>
      <c r="C535" s="333"/>
      <c r="D535" s="333"/>
      <c r="E535" s="333"/>
      <c r="F535" s="333"/>
      <c r="G535" s="148"/>
      <c r="H535" s="148"/>
      <c r="I535" s="251"/>
      <c r="J535" s="243"/>
      <c r="K535" s="148"/>
      <c r="L535" s="277"/>
      <c r="M535" s="252"/>
      <c r="N535" s="250"/>
      <c r="O535" s="253"/>
      <c r="P535" s="240"/>
      <c r="Q535" s="148"/>
      <c r="R535" s="148"/>
      <c r="S535" s="242"/>
      <c r="T535" s="242"/>
      <c r="U535" s="242"/>
      <c r="V535" s="242"/>
      <c r="W535" s="242"/>
      <c r="X535" s="242"/>
      <c r="Y535" s="148"/>
      <c r="Z535" s="148"/>
    </row>
    <row r="536">
      <c r="A536" s="333"/>
      <c r="B536" s="333"/>
      <c r="C536" s="333"/>
      <c r="D536" s="333"/>
      <c r="E536" s="333"/>
      <c r="F536" s="333"/>
      <c r="G536" s="148"/>
      <c r="H536" s="148"/>
      <c r="I536" s="251"/>
      <c r="J536" s="243"/>
      <c r="K536" s="148"/>
      <c r="L536" s="277"/>
      <c r="M536" s="252"/>
      <c r="N536" s="250"/>
      <c r="O536" s="253"/>
      <c r="P536" s="240"/>
      <c r="Q536" s="148"/>
      <c r="R536" s="148"/>
      <c r="S536" s="242"/>
      <c r="T536" s="242"/>
      <c r="U536" s="242"/>
      <c r="V536" s="242"/>
      <c r="W536" s="242"/>
      <c r="X536" s="242"/>
      <c r="Y536" s="148"/>
      <c r="Z536" s="148"/>
    </row>
    <row r="537">
      <c r="A537" s="333"/>
      <c r="B537" s="333"/>
      <c r="C537" s="333"/>
      <c r="D537" s="333"/>
      <c r="E537" s="333"/>
      <c r="F537" s="333"/>
      <c r="G537" s="148"/>
      <c r="H537" s="148"/>
      <c r="I537" s="251"/>
      <c r="J537" s="243"/>
      <c r="K537" s="148"/>
      <c r="L537" s="277"/>
      <c r="M537" s="252"/>
      <c r="N537" s="250"/>
      <c r="O537" s="253"/>
      <c r="P537" s="240"/>
      <c r="Q537" s="148"/>
      <c r="R537" s="148"/>
      <c r="S537" s="242"/>
      <c r="T537" s="242"/>
      <c r="U537" s="242"/>
      <c r="V537" s="242"/>
      <c r="W537" s="242"/>
      <c r="X537" s="242"/>
      <c r="Y537" s="148"/>
      <c r="Z537" s="148"/>
    </row>
    <row r="538">
      <c r="A538" s="333"/>
      <c r="B538" s="333"/>
      <c r="C538" s="333"/>
      <c r="D538" s="333"/>
      <c r="E538" s="333"/>
      <c r="F538" s="333"/>
      <c r="G538" s="148"/>
      <c r="H538" s="148"/>
      <c r="I538" s="251"/>
      <c r="J538" s="243"/>
      <c r="K538" s="148"/>
      <c r="L538" s="277"/>
      <c r="M538" s="252"/>
      <c r="N538" s="250"/>
      <c r="O538" s="253"/>
      <c r="P538" s="240"/>
      <c r="Q538" s="148"/>
      <c r="R538" s="148"/>
      <c r="S538" s="242"/>
      <c r="T538" s="242"/>
      <c r="U538" s="242"/>
      <c r="V538" s="242"/>
      <c r="W538" s="242"/>
      <c r="X538" s="242"/>
      <c r="Y538" s="148"/>
      <c r="Z538" s="148"/>
    </row>
    <row r="539">
      <c r="A539" s="333"/>
      <c r="B539" s="333"/>
      <c r="C539" s="333"/>
      <c r="D539" s="333"/>
      <c r="E539" s="333"/>
      <c r="F539" s="333"/>
      <c r="G539" s="148"/>
      <c r="H539" s="148"/>
      <c r="I539" s="251"/>
      <c r="J539" s="243"/>
      <c r="K539" s="148"/>
      <c r="L539" s="277"/>
      <c r="M539" s="252"/>
      <c r="N539" s="250"/>
      <c r="O539" s="253"/>
      <c r="P539" s="240"/>
      <c r="Q539" s="148"/>
      <c r="R539" s="148"/>
      <c r="S539" s="242"/>
      <c r="T539" s="242"/>
      <c r="U539" s="242"/>
      <c r="V539" s="242"/>
      <c r="W539" s="242"/>
      <c r="X539" s="242"/>
      <c r="Y539" s="148"/>
      <c r="Z539" s="148"/>
    </row>
    <row r="540">
      <c r="A540" s="333"/>
      <c r="B540" s="333"/>
      <c r="C540" s="333"/>
      <c r="D540" s="333"/>
      <c r="E540" s="333"/>
      <c r="F540" s="333"/>
      <c r="G540" s="148"/>
      <c r="H540" s="148"/>
      <c r="I540" s="251"/>
      <c r="J540" s="243"/>
      <c r="K540" s="148"/>
      <c r="L540" s="277"/>
      <c r="M540" s="252"/>
      <c r="N540" s="250"/>
      <c r="O540" s="253"/>
      <c r="P540" s="240"/>
      <c r="Q540" s="148"/>
      <c r="R540" s="148"/>
      <c r="S540" s="242"/>
      <c r="T540" s="242"/>
      <c r="U540" s="242"/>
      <c r="V540" s="242"/>
      <c r="W540" s="242"/>
      <c r="X540" s="242"/>
      <c r="Y540" s="148"/>
      <c r="Z540" s="148"/>
    </row>
    <row r="541">
      <c r="A541" s="333"/>
      <c r="B541" s="333"/>
      <c r="C541" s="333"/>
      <c r="D541" s="333"/>
      <c r="E541" s="333"/>
      <c r="F541" s="333"/>
      <c r="G541" s="148"/>
      <c r="H541" s="148"/>
      <c r="I541" s="251"/>
      <c r="J541" s="243"/>
      <c r="K541" s="148"/>
      <c r="L541" s="277"/>
      <c r="M541" s="252"/>
      <c r="N541" s="250"/>
      <c r="O541" s="253"/>
      <c r="P541" s="240"/>
      <c r="Q541" s="148"/>
      <c r="R541" s="148"/>
      <c r="S541" s="242"/>
      <c r="T541" s="242"/>
      <c r="U541" s="242"/>
      <c r="V541" s="242"/>
      <c r="W541" s="242"/>
      <c r="X541" s="242"/>
      <c r="Y541" s="148"/>
      <c r="Z541" s="148"/>
    </row>
    <row r="542">
      <c r="A542" s="333"/>
      <c r="B542" s="333"/>
      <c r="C542" s="333"/>
      <c r="D542" s="333"/>
      <c r="E542" s="333"/>
      <c r="F542" s="333"/>
      <c r="G542" s="148"/>
      <c r="H542" s="148"/>
      <c r="I542" s="251"/>
      <c r="J542" s="243"/>
      <c r="K542" s="148"/>
      <c r="L542" s="277"/>
      <c r="M542" s="252"/>
      <c r="N542" s="250"/>
      <c r="O542" s="253"/>
      <c r="P542" s="240"/>
      <c r="Q542" s="148"/>
      <c r="R542" s="148"/>
      <c r="S542" s="242"/>
      <c r="T542" s="242"/>
      <c r="U542" s="242"/>
      <c r="V542" s="242"/>
      <c r="W542" s="242"/>
      <c r="X542" s="242"/>
      <c r="Y542" s="148"/>
      <c r="Z542" s="148"/>
    </row>
    <row r="543">
      <c r="A543" s="333"/>
      <c r="B543" s="333"/>
      <c r="C543" s="333"/>
      <c r="D543" s="333"/>
      <c r="E543" s="333"/>
      <c r="F543" s="333"/>
      <c r="G543" s="148"/>
      <c r="H543" s="148"/>
      <c r="I543" s="251"/>
      <c r="J543" s="243"/>
      <c r="K543" s="148"/>
      <c r="L543" s="277"/>
      <c r="M543" s="252"/>
      <c r="N543" s="250"/>
      <c r="O543" s="253"/>
      <c r="P543" s="240"/>
      <c r="Q543" s="148"/>
      <c r="R543" s="148"/>
      <c r="S543" s="242"/>
      <c r="T543" s="242"/>
      <c r="U543" s="242"/>
      <c r="V543" s="242"/>
      <c r="W543" s="242"/>
      <c r="X543" s="242"/>
      <c r="Y543" s="148"/>
      <c r="Z543" s="148"/>
    </row>
    <row r="544">
      <c r="A544" s="333"/>
      <c r="B544" s="333"/>
      <c r="C544" s="333"/>
      <c r="D544" s="333"/>
      <c r="E544" s="333"/>
      <c r="F544" s="333"/>
      <c r="G544" s="148"/>
      <c r="H544" s="148"/>
      <c r="I544" s="251"/>
      <c r="J544" s="243"/>
      <c r="K544" s="148"/>
      <c r="L544" s="277"/>
      <c r="M544" s="252"/>
      <c r="N544" s="250"/>
      <c r="O544" s="253"/>
      <c r="P544" s="240"/>
      <c r="Q544" s="148"/>
      <c r="R544" s="148"/>
      <c r="S544" s="242"/>
      <c r="T544" s="242"/>
      <c r="U544" s="242"/>
      <c r="V544" s="242"/>
      <c r="W544" s="242"/>
      <c r="X544" s="242"/>
      <c r="Y544" s="148"/>
      <c r="Z544" s="148"/>
    </row>
    <row r="545">
      <c r="A545" s="333"/>
      <c r="B545" s="333"/>
      <c r="C545" s="333"/>
      <c r="D545" s="333"/>
      <c r="E545" s="333"/>
      <c r="F545" s="333"/>
      <c r="G545" s="148"/>
      <c r="H545" s="148"/>
      <c r="I545" s="251"/>
      <c r="J545" s="243"/>
      <c r="K545" s="148"/>
      <c r="L545" s="277"/>
      <c r="M545" s="252"/>
      <c r="N545" s="250"/>
      <c r="O545" s="253"/>
      <c r="P545" s="240"/>
      <c r="Q545" s="148"/>
      <c r="R545" s="148"/>
      <c r="S545" s="242"/>
      <c r="T545" s="242"/>
      <c r="U545" s="242"/>
      <c r="V545" s="242"/>
      <c r="W545" s="242"/>
      <c r="X545" s="242"/>
      <c r="Y545" s="148"/>
      <c r="Z545" s="148"/>
    </row>
    <row r="546">
      <c r="A546" s="333"/>
      <c r="B546" s="333"/>
      <c r="C546" s="333"/>
      <c r="D546" s="333"/>
      <c r="E546" s="333"/>
      <c r="F546" s="333"/>
      <c r="G546" s="148"/>
      <c r="H546" s="148"/>
      <c r="I546" s="251"/>
      <c r="J546" s="243"/>
      <c r="K546" s="148"/>
      <c r="L546" s="277"/>
      <c r="M546" s="252"/>
      <c r="N546" s="250"/>
      <c r="O546" s="253"/>
      <c r="P546" s="240"/>
      <c r="Q546" s="148"/>
      <c r="R546" s="148"/>
      <c r="S546" s="242"/>
      <c r="T546" s="242"/>
      <c r="U546" s="242"/>
      <c r="V546" s="242"/>
      <c r="W546" s="242"/>
      <c r="X546" s="242"/>
      <c r="Y546" s="148"/>
      <c r="Z546" s="148"/>
    </row>
    <row r="547">
      <c r="A547" s="333"/>
      <c r="B547" s="333"/>
      <c r="C547" s="333"/>
      <c r="D547" s="333"/>
      <c r="E547" s="333"/>
      <c r="F547" s="333"/>
      <c r="G547" s="148"/>
      <c r="H547" s="148"/>
      <c r="I547" s="251"/>
      <c r="J547" s="243"/>
      <c r="K547" s="148"/>
      <c r="L547" s="277"/>
      <c r="M547" s="252"/>
      <c r="N547" s="250"/>
      <c r="O547" s="253"/>
      <c r="P547" s="240"/>
      <c r="Q547" s="148"/>
      <c r="R547" s="148"/>
      <c r="S547" s="242"/>
      <c r="T547" s="242"/>
      <c r="U547" s="242"/>
      <c r="V547" s="242"/>
      <c r="W547" s="242"/>
      <c r="X547" s="242"/>
      <c r="Y547" s="148"/>
      <c r="Z547" s="148"/>
    </row>
    <row r="548">
      <c r="A548" s="333"/>
      <c r="B548" s="333"/>
      <c r="C548" s="333"/>
      <c r="D548" s="333"/>
      <c r="E548" s="333"/>
      <c r="F548" s="333"/>
      <c r="G548" s="148"/>
      <c r="H548" s="148"/>
      <c r="I548" s="251"/>
      <c r="J548" s="243"/>
      <c r="K548" s="148"/>
      <c r="L548" s="277"/>
      <c r="M548" s="252"/>
      <c r="N548" s="250"/>
      <c r="O548" s="253"/>
      <c r="P548" s="240"/>
      <c r="Q548" s="148"/>
      <c r="R548" s="148"/>
      <c r="S548" s="242"/>
      <c r="T548" s="242"/>
      <c r="U548" s="242"/>
      <c r="V548" s="242"/>
      <c r="W548" s="242"/>
      <c r="X548" s="242"/>
      <c r="Y548" s="148"/>
      <c r="Z548" s="148"/>
    </row>
    <row r="549">
      <c r="A549" s="333"/>
      <c r="B549" s="333"/>
      <c r="C549" s="333"/>
      <c r="D549" s="333"/>
      <c r="E549" s="333"/>
      <c r="F549" s="333"/>
      <c r="G549" s="148"/>
      <c r="H549" s="148"/>
      <c r="I549" s="251"/>
      <c r="J549" s="243"/>
      <c r="K549" s="148"/>
      <c r="L549" s="277"/>
      <c r="M549" s="252"/>
      <c r="N549" s="250"/>
      <c r="O549" s="253"/>
      <c r="P549" s="240"/>
      <c r="Q549" s="148"/>
      <c r="R549" s="148"/>
      <c r="S549" s="242"/>
      <c r="T549" s="242"/>
      <c r="U549" s="242"/>
      <c r="V549" s="242"/>
      <c r="W549" s="242"/>
      <c r="X549" s="242"/>
      <c r="Y549" s="148"/>
      <c r="Z549" s="148"/>
    </row>
    <row r="550">
      <c r="A550" s="333"/>
      <c r="B550" s="333"/>
      <c r="C550" s="333"/>
      <c r="D550" s="333"/>
      <c r="E550" s="333"/>
      <c r="F550" s="333"/>
      <c r="G550" s="148"/>
      <c r="H550" s="148"/>
      <c r="I550" s="251"/>
      <c r="J550" s="243"/>
      <c r="K550" s="148"/>
      <c r="L550" s="277"/>
      <c r="M550" s="252"/>
      <c r="N550" s="250"/>
      <c r="O550" s="253"/>
      <c r="P550" s="240"/>
      <c r="Q550" s="148"/>
      <c r="R550" s="148"/>
      <c r="S550" s="242"/>
      <c r="T550" s="242"/>
      <c r="U550" s="242"/>
      <c r="V550" s="242"/>
      <c r="W550" s="242"/>
      <c r="X550" s="242"/>
      <c r="Y550" s="148"/>
      <c r="Z550" s="148"/>
    </row>
    <row r="551">
      <c r="A551" s="333"/>
      <c r="B551" s="333"/>
      <c r="C551" s="333"/>
      <c r="D551" s="333"/>
      <c r="E551" s="333"/>
      <c r="F551" s="333"/>
      <c r="G551" s="148"/>
      <c r="H551" s="148"/>
      <c r="I551" s="251"/>
      <c r="J551" s="243"/>
      <c r="K551" s="148"/>
      <c r="L551" s="277"/>
      <c r="M551" s="252"/>
      <c r="N551" s="250"/>
      <c r="O551" s="253"/>
      <c r="P551" s="240"/>
      <c r="Q551" s="148"/>
      <c r="R551" s="148"/>
      <c r="S551" s="242"/>
      <c r="T551" s="242"/>
      <c r="U551" s="242"/>
      <c r="V551" s="242"/>
      <c r="W551" s="242"/>
      <c r="X551" s="242"/>
      <c r="Y551" s="148"/>
      <c r="Z551" s="148"/>
    </row>
    <row r="552">
      <c r="A552" s="333"/>
      <c r="B552" s="333"/>
      <c r="C552" s="333"/>
      <c r="D552" s="333"/>
      <c r="E552" s="333"/>
      <c r="F552" s="333"/>
      <c r="G552" s="148"/>
      <c r="H552" s="148"/>
      <c r="I552" s="251"/>
      <c r="J552" s="243"/>
      <c r="K552" s="148"/>
      <c r="L552" s="277"/>
      <c r="M552" s="252"/>
      <c r="N552" s="250"/>
      <c r="O552" s="253"/>
      <c r="P552" s="240"/>
      <c r="Q552" s="148"/>
      <c r="R552" s="148"/>
      <c r="S552" s="242"/>
      <c r="T552" s="242"/>
      <c r="U552" s="242"/>
      <c r="V552" s="242"/>
      <c r="W552" s="242"/>
      <c r="X552" s="242"/>
      <c r="Y552" s="148"/>
      <c r="Z552" s="148"/>
    </row>
    <row r="553">
      <c r="A553" s="333"/>
      <c r="B553" s="333"/>
      <c r="C553" s="333"/>
      <c r="D553" s="333"/>
      <c r="E553" s="333"/>
      <c r="F553" s="333"/>
      <c r="G553" s="148"/>
      <c r="H553" s="148"/>
      <c r="I553" s="251"/>
      <c r="J553" s="243"/>
      <c r="K553" s="148"/>
      <c r="L553" s="277"/>
      <c r="M553" s="252"/>
      <c r="N553" s="250"/>
      <c r="O553" s="253"/>
      <c r="P553" s="240"/>
      <c r="Q553" s="148"/>
      <c r="R553" s="148"/>
      <c r="S553" s="242"/>
      <c r="T553" s="242"/>
      <c r="U553" s="242"/>
      <c r="V553" s="242"/>
      <c r="W553" s="242"/>
      <c r="X553" s="242"/>
      <c r="Y553" s="148"/>
      <c r="Z553" s="148"/>
    </row>
    <row r="554">
      <c r="A554" s="148"/>
      <c r="B554" s="148"/>
      <c r="C554" s="148"/>
      <c r="D554" s="245"/>
      <c r="E554" s="585"/>
      <c r="F554" s="586"/>
      <c r="G554" s="148"/>
      <c r="H554" s="148"/>
      <c r="I554" s="251"/>
      <c r="J554" s="243"/>
      <c r="K554" s="148"/>
      <c r="L554" s="277"/>
      <c r="M554" s="252"/>
      <c r="N554" s="250"/>
      <c r="O554" s="253"/>
      <c r="P554" s="240"/>
      <c r="Q554" s="148"/>
      <c r="R554" s="148"/>
      <c r="S554" s="242"/>
      <c r="T554" s="242"/>
      <c r="U554" s="242"/>
      <c r="V554" s="242"/>
      <c r="W554" s="242"/>
      <c r="X554" s="242"/>
      <c r="Y554" s="148"/>
      <c r="Z554" s="148"/>
    </row>
    <row r="555">
      <c r="A555" s="148"/>
      <c r="B555" s="148"/>
      <c r="C555" s="148"/>
      <c r="D555" s="245"/>
      <c r="E555" s="585"/>
      <c r="F555" s="586"/>
      <c r="G555" s="148"/>
      <c r="H555" s="148"/>
      <c r="I555" s="251"/>
      <c r="J555" s="243"/>
      <c r="K555" s="148"/>
      <c r="L555" s="277"/>
      <c r="M555" s="252"/>
      <c r="N555" s="250"/>
      <c r="O555" s="253"/>
      <c r="P555" s="240"/>
      <c r="Q555" s="148"/>
      <c r="R555" s="148"/>
      <c r="S555" s="242"/>
      <c r="T555" s="242"/>
      <c r="U555" s="242"/>
      <c r="V555" s="242"/>
      <c r="W555" s="242"/>
      <c r="X555" s="242"/>
      <c r="Y555" s="148"/>
      <c r="Z555" s="148"/>
    </row>
    <row r="556">
      <c r="A556" s="148"/>
      <c r="B556" s="148"/>
      <c r="C556" s="148"/>
      <c r="D556" s="245"/>
      <c r="E556" s="585"/>
      <c r="F556" s="586"/>
      <c r="G556" s="148"/>
      <c r="H556" s="148"/>
      <c r="I556" s="251"/>
      <c r="J556" s="243"/>
      <c r="K556" s="148"/>
      <c r="L556" s="277"/>
      <c r="M556" s="252"/>
      <c r="N556" s="250"/>
      <c r="O556" s="253"/>
      <c r="P556" s="240"/>
      <c r="Q556" s="148"/>
      <c r="R556" s="148"/>
      <c r="S556" s="242"/>
      <c r="T556" s="242"/>
      <c r="U556" s="242"/>
      <c r="V556" s="242"/>
      <c r="W556" s="242"/>
      <c r="X556" s="242"/>
      <c r="Y556" s="148"/>
      <c r="Z556" s="148"/>
    </row>
    <row r="557">
      <c r="A557" s="148"/>
      <c r="B557" s="148"/>
      <c r="C557" s="148"/>
      <c r="D557" s="245"/>
      <c r="E557" s="585"/>
      <c r="F557" s="586"/>
      <c r="G557" s="148"/>
      <c r="H557" s="148"/>
      <c r="I557" s="251"/>
      <c r="J557" s="243"/>
      <c r="K557" s="148"/>
      <c r="L557" s="277"/>
      <c r="M557" s="252"/>
      <c r="N557" s="250"/>
      <c r="O557" s="253"/>
      <c r="P557" s="240"/>
      <c r="Q557" s="148"/>
      <c r="R557" s="148"/>
      <c r="S557" s="242"/>
      <c r="T557" s="242"/>
      <c r="U557" s="242"/>
      <c r="V557" s="242"/>
      <c r="W557" s="242"/>
      <c r="X557" s="242"/>
      <c r="Y557" s="148"/>
      <c r="Z557" s="148"/>
    </row>
    <row r="558">
      <c r="A558" s="148"/>
      <c r="B558" s="148"/>
      <c r="C558" s="148"/>
      <c r="D558" s="245"/>
      <c r="E558" s="585"/>
      <c r="F558" s="586"/>
      <c r="G558" s="148"/>
      <c r="H558" s="148"/>
      <c r="I558" s="251"/>
      <c r="J558" s="243"/>
      <c r="K558" s="148"/>
      <c r="L558" s="277"/>
      <c r="M558" s="252"/>
      <c r="N558" s="250"/>
      <c r="O558" s="253"/>
      <c r="P558" s="240"/>
      <c r="Q558" s="148"/>
      <c r="R558" s="148"/>
      <c r="S558" s="242"/>
      <c r="T558" s="242"/>
      <c r="U558" s="242"/>
      <c r="V558" s="242"/>
      <c r="W558" s="242"/>
      <c r="X558" s="242"/>
      <c r="Y558" s="148"/>
      <c r="Z558" s="148"/>
    </row>
    <row r="559">
      <c r="A559" s="148"/>
      <c r="B559" s="148"/>
      <c r="C559" s="148"/>
      <c r="D559" s="245"/>
      <c r="E559" s="585"/>
      <c r="F559" s="586"/>
      <c r="G559" s="148"/>
      <c r="H559" s="148"/>
      <c r="I559" s="251"/>
      <c r="J559" s="243"/>
      <c r="K559" s="148"/>
      <c r="L559" s="277"/>
      <c r="M559" s="252"/>
      <c r="N559" s="250"/>
      <c r="O559" s="253"/>
      <c r="P559" s="240"/>
      <c r="Q559" s="148"/>
      <c r="R559" s="148"/>
      <c r="S559" s="242"/>
      <c r="T559" s="242"/>
      <c r="U559" s="242"/>
      <c r="V559" s="242"/>
      <c r="W559" s="242"/>
      <c r="X559" s="242"/>
      <c r="Y559" s="148"/>
      <c r="Z559" s="148"/>
    </row>
    <row r="560">
      <c r="A560" s="148"/>
      <c r="B560" s="148"/>
      <c r="C560" s="148"/>
      <c r="D560" s="245"/>
      <c r="E560" s="585"/>
      <c r="F560" s="586"/>
      <c r="G560" s="148"/>
      <c r="H560" s="148"/>
      <c r="I560" s="251"/>
      <c r="J560" s="243"/>
      <c r="K560" s="148"/>
      <c r="L560" s="277"/>
      <c r="M560" s="252"/>
      <c r="N560" s="250"/>
      <c r="O560" s="253"/>
      <c r="P560" s="240"/>
      <c r="Q560" s="148"/>
      <c r="R560" s="148"/>
      <c r="S560" s="242"/>
      <c r="T560" s="242"/>
      <c r="U560" s="242"/>
      <c r="V560" s="242"/>
      <c r="W560" s="242"/>
      <c r="X560" s="242"/>
      <c r="Y560" s="148"/>
      <c r="Z560" s="148"/>
    </row>
    <row r="561">
      <c r="A561" s="148"/>
      <c r="B561" s="148"/>
      <c r="C561" s="148"/>
      <c r="D561" s="245"/>
      <c r="E561" s="585"/>
      <c r="F561" s="586"/>
      <c r="G561" s="148"/>
      <c r="H561" s="148"/>
      <c r="I561" s="251"/>
      <c r="J561" s="243"/>
      <c r="K561" s="148"/>
      <c r="L561" s="277"/>
      <c r="M561" s="252"/>
      <c r="N561" s="250"/>
      <c r="O561" s="253"/>
      <c r="P561" s="240"/>
      <c r="Q561" s="148"/>
      <c r="R561" s="148"/>
      <c r="S561" s="242"/>
      <c r="T561" s="242"/>
      <c r="U561" s="242"/>
      <c r="V561" s="242"/>
      <c r="W561" s="242"/>
      <c r="X561" s="242"/>
      <c r="Y561" s="148"/>
      <c r="Z561" s="148"/>
    </row>
    <row r="562">
      <c r="A562" s="148"/>
      <c r="B562" s="148"/>
      <c r="C562" s="148"/>
      <c r="D562" s="245"/>
      <c r="E562" s="585"/>
      <c r="F562" s="586"/>
      <c r="G562" s="148"/>
      <c r="H562" s="148"/>
      <c r="I562" s="251"/>
      <c r="J562" s="243"/>
      <c r="K562" s="148"/>
      <c r="L562" s="277"/>
      <c r="M562" s="252"/>
      <c r="N562" s="250"/>
      <c r="O562" s="253"/>
      <c r="P562" s="240"/>
      <c r="Q562" s="148"/>
      <c r="R562" s="148"/>
      <c r="S562" s="242"/>
      <c r="T562" s="242"/>
      <c r="U562" s="242"/>
      <c r="V562" s="242"/>
      <c r="W562" s="242"/>
      <c r="X562" s="242"/>
      <c r="Y562" s="148"/>
      <c r="Z562" s="148"/>
    </row>
    <row r="563">
      <c r="A563" s="148"/>
      <c r="B563" s="148"/>
      <c r="C563" s="148"/>
      <c r="D563" s="245"/>
      <c r="E563" s="585"/>
      <c r="F563" s="586"/>
      <c r="G563" s="148"/>
      <c r="H563" s="148"/>
      <c r="I563" s="251"/>
      <c r="J563" s="243"/>
      <c r="K563" s="148"/>
      <c r="L563" s="277"/>
      <c r="M563" s="252"/>
      <c r="N563" s="250"/>
      <c r="O563" s="253"/>
      <c r="P563" s="240"/>
      <c r="Q563" s="148"/>
      <c r="R563" s="148"/>
      <c r="S563" s="242"/>
      <c r="T563" s="242"/>
      <c r="U563" s="242"/>
      <c r="V563" s="242"/>
      <c r="W563" s="242"/>
      <c r="X563" s="242"/>
      <c r="Y563" s="148"/>
      <c r="Z563" s="148"/>
    </row>
    <row r="564">
      <c r="A564" s="148"/>
      <c r="B564" s="148"/>
      <c r="C564" s="148"/>
      <c r="D564" s="245"/>
      <c r="E564" s="585"/>
      <c r="F564" s="586"/>
      <c r="G564" s="148"/>
      <c r="H564" s="148"/>
      <c r="I564" s="251"/>
      <c r="J564" s="243"/>
      <c r="K564" s="148"/>
      <c r="L564" s="277"/>
      <c r="M564" s="252"/>
      <c r="N564" s="250"/>
      <c r="O564" s="253"/>
      <c r="P564" s="240"/>
      <c r="Q564" s="148"/>
      <c r="R564" s="148"/>
      <c r="S564" s="242"/>
      <c r="T564" s="242"/>
      <c r="U564" s="242"/>
      <c r="V564" s="242"/>
      <c r="W564" s="242"/>
      <c r="X564" s="242"/>
      <c r="Y564" s="148"/>
      <c r="Z564" s="148"/>
    </row>
    <row r="565">
      <c r="A565" s="148"/>
      <c r="B565" s="148"/>
      <c r="C565" s="148"/>
      <c r="D565" s="245"/>
      <c r="E565" s="585"/>
      <c r="F565" s="586"/>
      <c r="G565" s="148"/>
      <c r="H565" s="148"/>
      <c r="I565" s="251"/>
      <c r="J565" s="243"/>
      <c r="K565" s="148"/>
      <c r="L565" s="277"/>
      <c r="M565" s="252"/>
      <c r="N565" s="250"/>
      <c r="O565" s="253"/>
      <c r="P565" s="240"/>
      <c r="Q565" s="148"/>
      <c r="R565" s="148"/>
      <c r="S565" s="242"/>
      <c r="T565" s="242"/>
      <c r="U565" s="242"/>
      <c r="V565" s="242"/>
      <c r="W565" s="242"/>
      <c r="X565" s="242"/>
      <c r="Y565" s="148"/>
      <c r="Z565" s="148"/>
    </row>
    <row r="566">
      <c r="A566" s="148"/>
      <c r="B566" s="148"/>
      <c r="C566" s="148"/>
      <c r="D566" s="245"/>
      <c r="E566" s="585"/>
      <c r="F566" s="586"/>
      <c r="G566" s="148"/>
      <c r="H566" s="148"/>
      <c r="I566" s="251"/>
      <c r="J566" s="243"/>
      <c r="K566" s="148"/>
      <c r="L566" s="277"/>
      <c r="M566" s="252"/>
      <c r="N566" s="250"/>
      <c r="O566" s="253"/>
      <c r="P566" s="240"/>
      <c r="Q566" s="148"/>
      <c r="R566" s="148"/>
      <c r="S566" s="242"/>
      <c r="T566" s="242"/>
      <c r="U566" s="242"/>
      <c r="V566" s="242"/>
      <c r="W566" s="242"/>
      <c r="X566" s="242"/>
      <c r="Y566" s="148"/>
      <c r="Z566" s="148"/>
    </row>
    <row r="567">
      <c r="A567" s="148"/>
      <c r="B567" s="148"/>
      <c r="C567" s="148"/>
      <c r="D567" s="245"/>
      <c r="E567" s="585"/>
      <c r="F567" s="586"/>
      <c r="G567" s="148"/>
      <c r="H567" s="148"/>
      <c r="I567" s="251"/>
      <c r="J567" s="243"/>
      <c r="K567" s="148"/>
      <c r="L567" s="277"/>
      <c r="M567" s="252"/>
      <c r="N567" s="250"/>
      <c r="O567" s="253"/>
      <c r="P567" s="240"/>
      <c r="Q567" s="148"/>
      <c r="R567" s="148"/>
      <c r="S567" s="242"/>
      <c r="T567" s="242"/>
      <c r="U567" s="242"/>
      <c r="V567" s="242"/>
      <c r="W567" s="242"/>
      <c r="X567" s="242"/>
      <c r="Y567" s="148"/>
      <c r="Z567" s="148"/>
    </row>
    <row r="568">
      <c r="A568" s="148"/>
      <c r="B568" s="148"/>
      <c r="C568" s="148"/>
      <c r="D568" s="245"/>
      <c r="E568" s="585"/>
      <c r="F568" s="586"/>
      <c r="G568" s="148"/>
      <c r="H568" s="148"/>
      <c r="I568" s="251"/>
      <c r="J568" s="243"/>
      <c r="K568" s="148"/>
      <c r="L568" s="277"/>
      <c r="M568" s="252"/>
      <c r="N568" s="250"/>
      <c r="O568" s="253"/>
      <c r="P568" s="240"/>
      <c r="Q568" s="148"/>
      <c r="R568" s="148"/>
      <c r="S568" s="242"/>
      <c r="T568" s="242"/>
      <c r="U568" s="242"/>
      <c r="V568" s="242"/>
      <c r="W568" s="242"/>
      <c r="X568" s="242"/>
      <c r="Y568" s="148"/>
      <c r="Z568" s="148"/>
    </row>
    <row r="569">
      <c r="A569" s="148"/>
      <c r="B569" s="148"/>
      <c r="C569" s="148"/>
      <c r="D569" s="245"/>
      <c r="E569" s="585"/>
      <c r="F569" s="586"/>
      <c r="G569" s="148"/>
      <c r="H569" s="148"/>
      <c r="I569" s="251"/>
      <c r="J569" s="243"/>
      <c r="K569" s="148"/>
      <c r="L569" s="277"/>
      <c r="M569" s="252"/>
      <c r="N569" s="250"/>
      <c r="O569" s="253"/>
      <c r="P569" s="240"/>
      <c r="Q569" s="148"/>
      <c r="R569" s="148"/>
      <c r="S569" s="242"/>
      <c r="T569" s="242"/>
      <c r="U569" s="242"/>
      <c r="V569" s="242"/>
      <c r="W569" s="242"/>
      <c r="X569" s="242"/>
      <c r="Y569" s="148"/>
      <c r="Z569" s="148"/>
    </row>
    <row r="570">
      <c r="A570" s="148"/>
      <c r="B570" s="148"/>
      <c r="C570" s="148"/>
      <c r="D570" s="245"/>
      <c r="E570" s="585"/>
      <c r="F570" s="586"/>
      <c r="G570" s="148"/>
      <c r="H570" s="148"/>
      <c r="I570" s="251"/>
      <c r="J570" s="243"/>
      <c r="K570" s="148"/>
      <c r="L570" s="277"/>
      <c r="M570" s="252"/>
      <c r="N570" s="250"/>
      <c r="O570" s="253"/>
      <c r="P570" s="240"/>
      <c r="Q570" s="148"/>
      <c r="R570" s="148"/>
      <c r="S570" s="242"/>
      <c r="T570" s="242"/>
      <c r="U570" s="242"/>
      <c r="V570" s="242"/>
      <c r="W570" s="242"/>
      <c r="X570" s="242"/>
      <c r="Y570" s="148"/>
      <c r="Z570" s="148"/>
    </row>
    <row r="571">
      <c r="A571" s="148"/>
      <c r="B571" s="148"/>
      <c r="C571" s="148"/>
      <c r="D571" s="245"/>
      <c r="E571" s="585"/>
      <c r="F571" s="586"/>
      <c r="G571" s="148"/>
      <c r="H571" s="148"/>
      <c r="I571" s="251"/>
      <c r="J571" s="243"/>
      <c r="K571" s="148"/>
      <c r="L571" s="277"/>
      <c r="M571" s="252"/>
      <c r="N571" s="250"/>
      <c r="O571" s="253"/>
      <c r="P571" s="240"/>
      <c r="Q571" s="148"/>
      <c r="R571" s="148"/>
      <c r="S571" s="242"/>
      <c r="T571" s="242"/>
      <c r="U571" s="242"/>
      <c r="V571" s="242"/>
      <c r="W571" s="242"/>
      <c r="X571" s="242"/>
      <c r="Y571" s="148"/>
      <c r="Z571" s="148"/>
    </row>
    <row r="572">
      <c r="A572" s="148"/>
      <c r="B572" s="148"/>
      <c r="C572" s="148"/>
      <c r="D572" s="245"/>
      <c r="E572" s="585"/>
      <c r="F572" s="586"/>
      <c r="G572" s="148"/>
      <c r="H572" s="148"/>
      <c r="I572" s="251"/>
      <c r="J572" s="243"/>
      <c r="K572" s="148"/>
      <c r="L572" s="277"/>
      <c r="M572" s="252"/>
      <c r="N572" s="250"/>
      <c r="O572" s="253"/>
      <c r="P572" s="240"/>
      <c r="Q572" s="148"/>
      <c r="R572" s="148"/>
      <c r="S572" s="242"/>
      <c r="T572" s="242"/>
      <c r="U572" s="242"/>
      <c r="V572" s="242"/>
      <c r="W572" s="242"/>
      <c r="X572" s="242"/>
      <c r="Y572" s="148"/>
      <c r="Z572" s="148"/>
    </row>
    <row r="573">
      <c r="A573" s="148"/>
      <c r="B573" s="148"/>
      <c r="C573" s="148"/>
      <c r="D573" s="245"/>
      <c r="E573" s="585"/>
      <c r="F573" s="586"/>
      <c r="G573" s="148"/>
      <c r="H573" s="148"/>
      <c r="I573" s="251"/>
      <c r="J573" s="243"/>
      <c r="K573" s="148"/>
      <c r="L573" s="277"/>
      <c r="M573" s="252"/>
      <c r="N573" s="250"/>
      <c r="O573" s="253"/>
      <c r="P573" s="240"/>
      <c r="Q573" s="148"/>
      <c r="R573" s="148"/>
      <c r="S573" s="242"/>
      <c r="T573" s="242"/>
      <c r="U573" s="242"/>
      <c r="V573" s="242"/>
      <c r="W573" s="242"/>
      <c r="X573" s="242"/>
      <c r="Y573" s="148"/>
      <c r="Z573" s="148"/>
    </row>
    <row r="574">
      <c r="A574" s="148"/>
      <c r="B574" s="148"/>
      <c r="C574" s="148"/>
      <c r="D574" s="245"/>
      <c r="E574" s="585"/>
      <c r="F574" s="586"/>
      <c r="G574" s="148"/>
      <c r="H574" s="148"/>
      <c r="I574" s="251"/>
      <c r="J574" s="243"/>
      <c r="K574" s="148"/>
      <c r="L574" s="277"/>
      <c r="M574" s="252"/>
      <c r="N574" s="250"/>
      <c r="O574" s="253"/>
      <c r="P574" s="240"/>
      <c r="Q574" s="148"/>
      <c r="R574" s="148"/>
      <c r="S574" s="242"/>
      <c r="T574" s="242"/>
      <c r="U574" s="242"/>
      <c r="V574" s="242"/>
      <c r="W574" s="242"/>
      <c r="X574" s="242"/>
      <c r="Y574" s="148"/>
      <c r="Z574" s="148"/>
    </row>
    <row r="575">
      <c r="A575" s="148"/>
      <c r="B575" s="148"/>
      <c r="C575" s="148"/>
      <c r="D575" s="245"/>
      <c r="E575" s="585"/>
      <c r="F575" s="586"/>
      <c r="G575" s="148"/>
      <c r="H575" s="148"/>
      <c r="I575" s="251"/>
      <c r="J575" s="243"/>
      <c r="K575" s="148"/>
      <c r="L575" s="277"/>
      <c r="M575" s="252"/>
      <c r="N575" s="250"/>
      <c r="O575" s="253"/>
      <c r="P575" s="240"/>
      <c r="Q575" s="148"/>
      <c r="R575" s="148"/>
      <c r="S575" s="242"/>
      <c r="T575" s="242"/>
      <c r="U575" s="242"/>
      <c r="V575" s="242"/>
      <c r="W575" s="242"/>
      <c r="X575" s="242"/>
      <c r="Y575" s="148"/>
      <c r="Z575" s="148"/>
    </row>
    <row r="576">
      <c r="A576" s="148"/>
      <c r="B576" s="148"/>
      <c r="C576" s="148"/>
      <c r="D576" s="245"/>
      <c r="E576" s="585"/>
      <c r="F576" s="586"/>
      <c r="G576" s="148"/>
      <c r="H576" s="148"/>
      <c r="I576" s="251"/>
      <c r="J576" s="243"/>
      <c r="K576" s="148"/>
      <c r="L576" s="277"/>
      <c r="M576" s="252"/>
      <c r="N576" s="250"/>
      <c r="O576" s="253"/>
      <c r="P576" s="240"/>
      <c r="Q576" s="148"/>
      <c r="R576" s="148"/>
      <c r="S576" s="242"/>
      <c r="T576" s="242"/>
      <c r="U576" s="242"/>
      <c r="V576" s="242"/>
      <c r="W576" s="242"/>
      <c r="X576" s="242"/>
      <c r="Y576" s="148"/>
      <c r="Z576" s="148"/>
    </row>
    <row r="577">
      <c r="A577" s="148"/>
      <c r="B577" s="148"/>
      <c r="C577" s="148"/>
      <c r="D577" s="245"/>
      <c r="E577" s="585"/>
      <c r="F577" s="586"/>
      <c r="G577" s="148"/>
      <c r="H577" s="148"/>
      <c r="I577" s="251"/>
      <c r="J577" s="243"/>
      <c r="K577" s="148"/>
      <c r="L577" s="277"/>
      <c r="M577" s="252"/>
      <c r="N577" s="250"/>
      <c r="O577" s="253"/>
      <c r="P577" s="240"/>
      <c r="Q577" s="148"/>
      <c r="R577" s="148"/>
      <c r="S577" s="242"/>
      <c r="T577" s="242"/>
      <c r="U577" s="242"/>
      <c r="V577" s="242"/>
      <c r="W577" s="242"/>
      <c r="X577" s="242"/>
      <c r="Y577" s="148"/>
      <c r="Z577" s="148"/>
    </row>
    <row r="578">
      <c r="A578" s="148"/>
      <c r="B578" s="148"/>
      <c r="C578" s="148"/>
      <c r="D578" s="245"/>
      <c r="E578" s="585"/>
      <c r="F578" s="586"/>
      <c r="G578" s="148"/>
      <c r="H578" s="148"/>
      <c r="I578" s="251"/>
      <c r="J578" s="243"/>
      <c r="K578" s="148"/>
      <c r="L578" s="277"/>
      <c r="M578" s="252"/>
      <c r="N578" s="250"/>
      <c r="O578" s="253"/>
      <c r="P578" s="240"/>
      <c r="Q578" s="148"/>
      <c r="R578" s="148"/>
      <c r="S578" s="242"/>
      <c r="T578" s="242"/>
      <c r="U578" s="242"/>
      <c r="V578" s="242"/>
      <c r="W578" s="242"/>
      <c r="X578" s="242"/>
      <c r="Y578" s="148"/>
      <c r="Z578" s="148"/>
    </row>
    <row r="579">
      <c r="A579" s="148"/>
      <c r="B579" s="148"/>
      <c r="C579" s="148"/>
      <c r="D579" s="245"/>
      <c r="E579" s="585"/>
      <c r="F579" s="586"/>
      <c r="G579" s="148"/>
      <c r="H579" s="148"/>
      <c r="I579" s="251"/>
      <c r="J579" s="243"/>
      <c r="K579" s="148"/>
      <c r="L579" s="277"/>
      <c r="M579" s="252"/>
      <c r="N579" s="250"/>
      <c r="O579" s="253"/>
      <c r="P579" s="240"/>
      <c r="Q579" s="148"/>
      <c r="R579" s="148"/>
      <c r="S579" s="242"/>
      <c r="T579" s="242"/>
      <c r="U579" s="242"/>
      <c r="V579" s="242"/>
      <c r="W579" s="242"/>
      <c r="X579" s="242"/>
      <c r="Y579" s="148"/>
      <c r="Z579" s="148"/>
    </row>
    <row r="580">
      <c r="A580" s="148"/>
      <c r="B580" s="148"/>
      <c r="C580" s="148"/>
      <c r="D580" s="245"/>
      <c r="E580" s="585"/>
      <c r="F580" s="586"/>
      <c r="G580" s="148"/>
      <c r="H580" s="148"/>
      <c r="I580" s="251"/>
      <c r="J580" s="243"/>
      <c r="K580" s="148"/>
      <c r="L580" s="277"/>
      <c r="M580" s="252"/>
      <c r="N580" s="250"/>
      <c r="O580" s="253"/>
      <c r="P580" s="240"/>
      <c r="Q580" s="148"/>
      <c r="R580" s="148"/>
      <c r="S580" s="242"/>
      <c r="T580" s="242"/>
      <c r="U580" s="242"/>
      <c r="V580" s="242"/>
      <c r="W580" s="242"/>
      <c r="X580" s="242"/>
      <c r="Y580" s="148"/>
      <c r="Z580" s="148"/>
    </row>
    <row r="581">
      <c r="A581" s="148"/>
      <c r="B581" s="148"/>
      <c r="C581" s="148"/>
      <c r="D581" s="245"/>
      <c r="E581" s="585"/>
      <c r="F581" s="586"/>
      <c r="G581" s="148"/>
      <c r="H581" s="148"/>
      <c r="I581" s="251"/>
      <c r="J581" s="243"/>
      <c r="K581" s="148"/>
      <c r="L581" s="277"/>
      <c r="M581" s="252"/>
      <c r="N581" s="250"/>
      <c r="O581" s="253"/>
      <c r="P581" s="240"/>
      <c r="Q581" s="148"/>
      <c r="R581" s="148"/>
      <c r="S581" s="242"/>
      <c r="T581" s="242"/>
      <c r="U581" s="242"/>
      <c r="V581" s="242"/>
      <c r="W581" s="242"/>
      <c r="X581" s="242"/>
      <c r="Y581" s="148"/>
      <c r="Z581" s="148"/>
    </row>
    <row r="582">
      <c r="A582" s="148"/>
      <c r="B582" s="148"/>
      <c r="C582" s="148"/>
      <c r="D582" s="245"/>
      <c r="E582" s="585"/>
      <c r="F582" s="586"/>
      <c r="G582" s="148"/>
      <c r="H582" s="148"/>
      <c r="I582" s="251"/>
      <c r="J582" s="243"/>
      <c r="K582" s="148"/>
      <c r="L582" s="277"/>
      <c r="M582" s="252"/>
      <c r="N582" s="250"/>
      <c r="O582" s="253"/>
      <c r="P582" s="240"/>
      <c r="Q582" s="148"/>
      <c r="R582" s="148"/>
      <c r="S582" s="242"/>
      <c r="T582" s="242"/>
      <c r="U582" s="242"/>
      <c r="V582" s="242"/>
      <c r="W582" s="242"/>
      <c r="X582" s="242"/>
      <c r="Y582" s="148"/>
      <c r="Z582" s="148"/>
    </row>
    <row r="583">
      <c r="A583" s="148"/>
      <c r="B583" s="148"/>
      <c r="C583" s="148"/>
      <c r="D583" s="245"/>
      <c r="E583" s="585"/>
      <c r="F583" s="586"/>
      <c r="G583" s="148"/>
      <c r="H583" s="148"/>
      <c r="I583" s="251"/>
      <c r="J583" s="243"/>
      <c r="K583" s="148"/>
      <c r="L583" s="277"/>
      <c r="M583" s="252"/>
      <c r="N583" s="250"/>
      <c r="O583" s="253"/>
      <c r="P583" s="240"/>
      <c r="Q583" s="148"/>
      <c r="R583" s="148"/>
      <c r="S583" s="242"/>
      <c r="T583" s="242"/>
      <c r="U583" s="242"/>
      <c r="V583" s="242"/>
      <c r="W583" s="242"/>
      <c r="X583" s="242"/>
      <c r="Y583" s="148"/>
      <c r="Z583" s="148"/>
    </row>
    <row r="584">
      <c r="A584" s="148"/>
      <c r="B584" s="148"/>
      <c r="C584" s="148"/>
      <c r="D584" s="245"/>
      <c r="E584" s="585"/>
      <c r="F584" s="586"/>
      <c r="G584" s="148"/>
      <c r="H584" s="148"/>
      <c r="I584" s="251"/>
      <c r="J584" s="243"/>
      <c r="K584" s="148"/>
      <c r="L584" s="277"/>
      <c r="M584" s="252"/>
      <c r="N584" s="250"/>
      <c r="O584" s="253"/>
      <c r="P584" s="240"/>
      <c r="Q584" s="148"/>
      <c r="R584" s="148"/>
      <c r="S584" s="242"/>
      <c r="T584" s="242"/>
      <c r="U584" s="242"/>
      <c r="V584" s="242"/>
      <c r="W584" s="242"/>
      <c r="X584" s="242"/>
      <c r="Y584" s="148"/>
      <c r="Z584" s="148"/>
    </row>
    <row r="585">
      <c r="A585" s="148"/>
      <c r="B585" s="148"/>
      <c r="C585" s="148"/>
      <c r="D585" s="245"/>
      <c r="E585" s="585"/>
      <c r="F585" s="586"/>
      <c r="G585" s="148"/>
      <c r="H585" s="148"/>
      <c r="I585" s="251"/>
      <c r="J585" s="243"/>
      <c r="K585" s="148"/>
      <c r="L585" s="277"/>
      <c r="M585" s="252"/>
      <c r="N585" s="250"/>
      <c r="O585" s="253"/>
      <c r="P585" s="240"/>
      <c r="Q585" s="148"/>
      <c r="R585" s="148"/>
      <c r="S585" s="242"/>
      <c r="T585" s="242"/>
      <c r="U585" s="242"/>
      <c r="V585" s="242"/>
      <c r="W585" s="242"/>
      <c r="X585" s="242"/>
      <c r="Y585" s="148"/>
      <c r="Z585" s="148"/>
    </row>
    <row r="586">
      <c r="A586" s="148"/>
      <c r="B586" s="148"/>
      <c r="C586" s="148"/>
      <c r="D586" s="245"/>
      <c r="E586" s="585"/>
      <c r="F586" s="586"/>
      <c r="G586" s="148"/>
      <c r="H586" s="148"/>
      <c r="I586" s="251"/>
      <c r="J586" s="243"/>
      <c r="K586" s="148"/>
      <c r="L586" s="277"/>
      <c r="M586" s="252"/>
      <c r="N586" s="250"/>
      <c r="O586" s="253"/>
      <c r="P586" s="240"/>
      <c r="Q586" s="148"/>
      <c r="R586" s="148"/>
      <c r="S586" s="242"/>
      <c r="T586" s="242"/>
      <c r="U586" s="242"/>
      <c r="V586" s="242"/>
      <c r="W586" s="242"/>
      <c r="X586" s="242"/>
      <c r="Y586" s="148"/>
      <c r="Z586" s="148"/>
    </row>
    <row r="587">
      <c r="A587" s="148"/>
      <c r="B587" s="148"/>
      <c r="C587" s="148"/>
      <c r="D587" s="245"/>
      <c r="E587" s="585"/>
      <c r="F587" s="586"/>
      <c r="G587" s="148"/>
      <c r="H587" s="148"/>
      <c r="I587" s="251"/>
      <c r="J587" s="243"/>
      <c r="K587" s="148"/>
      <c r="L587" s="277"/>
      <c r="M587" s="252"/>
      <c r="N587" s="250"/>
      <c r="O587" s="253"/>
      <c r="P587" s="240"/>
      <c r="Q587" s="148"/>
      <c r="R587" s="148"/>
      <c r="S587" s="242"/>
      <c r="T587" s="242"/>
      <c r="U587" s="242"/>
      <c r="V587" s="242"/>
      <c r="W587" s="242"/>
      <c r="X587" s="242"/>
      <c r="Y587" s="148"/>
      <c r="Z587" s="148"/>
    </row>
    <row r="588">
      <c r="A588" s="148"/>
      <c r="B588" s="148"/>
      <c r="C588" s="148"/>
      <c r="D588" s="245"/>
      <c r="E588" s="585"/>
      <c r="F588" s="586"/>
      <c r="G588" s="148"/>
      <c r="H588" s="148"/>
      <c r="I588" s="251"/>
      <c r="J588" s="243"/>
      <c r="K588" s="148"/>
      <c r="L588" s="277"/>
      <c r="M588" s="252"/>
      <c r="N588" s="250"/>
      <c r="O588" s="253"/>
      <c r="P588" s="240"/>
      <c r="Q588" s="148"/>
      <c r="R588" s="148"/>
      <c r="S588" s="242"/>
      <c r="T588" s="242"/>
      <c r="U588" s="242"/>
      <c r="V588" s="242"/>
      <c r="W588" s="242"/>
      <c r="X588" s="242"/>
      <c r="Y588" s="148"/>
      <c r="Z588" s="148"/>
    </row>
    <row r="589">
      <c r="A589" s="148"/>
      <c r="B589" s="148"/>
      <c r="C589" s="148"/>
      <c r="D589" s="245"/>
      <c r="E589" s="585"/>
      <c r="F589" s="586"/>
      <c r="G589" s="148"/>
      <c r="H589" s="148"/>
      <c r="I589" s="251"/>
      <c r="J589" s="243"/>
      <c r="K589" s="148"/>
      <c r="L589" s="277"/>
      <c r="M589" s="252"/>
      <c r="N589" s="250"/>
      <c r="O589" s="253"/>
      <c r="P589" s="240"/>
      <c r="Q589" s="148"/>
      <c r="R589" s="148"/>
      <c r="S589" s="242"/>
      <c r="T589" s="242"/>
      <c r="U589" s="242"/>
      <c r="V589" s="242"/>
      <c r="W589" s="242"/>
      <c r="X589" s="242"/>
      <c r="Y589" s="148"/>
      <c r="Z589" s="148"/>
    </row>
    <row r="590">
      <c r="A590" s="148"/>
      <c r="B590" s="148"/>
      <c r="C590" s="148"/>
      <c r="D590" s="245"/>
      <c r="E590" s="585"/>
      <c r="F590" s="586"/>
      <c r="G590" s="148"/>
      <c r="H590" s="148"/>
      <c r="I590" s="251"/>
      <c r="J590" s="243"/>
      <c r="K590" s="148"/>
      <c r="L590" s="277"/>
      <c r="M590" s="252"/>
      <c r="N590" s="250"/>
      <c r="O590" s="253"/>
      <c r="P590" s="240"/>
      <c r="Q590" s="148"/>
      <c r="R590" s="148"/>
      <c r="S590" s="242"/>
      <c r="T590" s="242"/>
      <c r="U590" s="242"/>
      <c r="V590" s="242"/>
      <c r="W590" s="242"/>
      <c r="X590" s="242"/>
      <c r="Y590" s="148"/>
      <c r="Z590" s="148"/>
    </row>
    <row r="591">
      <c r="A591" s="148"/>
      <c r="B591" s="148"/>
      <c r="C591" s="148"/>
      <c r="D591" s="245"/>
      <c r="E591" s="585"/>
      <c r="F591" s="586"/>
      <c r="G591" s="148"/>
      <c r="H591" s="148"/>
      <c r="I591" s="251"/>
      <c r="J591" s="243"/>
      <c r="K591" s="148"/>
      <c r="L591" s="277"/>
      <c r="M591" s="252"/>
      <c r="N591" s="250"/>
      <c r="O591" s="253"/>
      <c r="P591" s="240"/>
      <c r="Q591" s="148"/>
      <c r="R591" s="148"/>
      <c r="S591" s="242"/>
      <c r="T591" s="242"/>
      <c r="U591" s="242"/>
      <c r="V591" s="242"/>
      <c r="W591" s="242"/>
      <c r="X591" s="242"/>
      <c r="Y591" s="148"/>
      <c r="Z591" s="148"/>
    </row>
    <row r="592">
      <c r="A592" s="148"/>
      <c r="B592" s="148"/>
      <c r="C592" s="148"/>
      <c r="D592" s="245"/>
      <c r="E592" s="585"/>
      <c r="F592" s="586"/>
      <c r="G592" s="148"/>
      <c r="H592" s="148"/>
      <c r="I592" s="251"/>
      <c r="J592" s="243"/>
      <c r="K592" s="148"/>
      <c r="L592" s="277"/>
      <c r="M592" s="252"/>
      <c r="N592" s="250"/>
      <c r="O592" s="253"/>
      <c r="P592" s="240"/>
      <c r="Q592" s="148"/>
      <c r="R592" s="148"/>
      <c r="S592" s="242"/>
      <c r="T592" s="242"/>
      <c r="U592" s="242"/>
      <c r="V592" s="242"/>
      <c r="W592" s="242"/>
      <c r="X592" s="242"/>
      <c r="Y592" s="148"/>
      <c r="Z592" s="148"/>
    </row>
    <row r="593">
      <c r="A593" s="148"/>
      <c r="B593" s="148"/>
      <c r="C593" s="148"/>
      <c r="D593" s="245"/>
      <c r="E593" s="585"/>
      <c r="F593" s="586"/>
      <c r="G593" s="148"/>
      <c r="H593" s="148"/>
      <c r="I593" s="251"/>
      <c r="J593" s="243"/>
      <c r="K593" s="148"/>
      <c r="L593" s="277"/>
      <c r="M593" s="252"/>
      <c r="N593" s="250"/>
      <c r="O593" s="253"/>
      <c r="P593" s="240"/>
      <c r="Q593" s="148"/>
      <c r="R593" s="148"/>
      <c r="S593" s="242"/>
      <c r="T593" s="242"/>
      <c r="U593" s="242"/>
      <c r="V593" s="242"/>
      <c r="W593" s="242"/>
      <c r="X593" s="242"/>
      <c r="Y593" s="148"/>
      <c r="Z593" s="148"/>
    </row>
    <row r="594">
      <c r="A594" s="148"/>
      <c r="B594" s="148"/>
      <c r="C594" s="148"/>
      <c r="D594" s="245"/>
      <c r="E594" s="585"/>
      <c r="F594" s="586"/>
      <c r="G594" s="148"/>
      <c r="H594" s="148"/>
      <c r="I594" s="251"/>
      <c r="J594" s="243"/>
      <c r="K594" s="148"/>
      <c r="L594" s="277"/>
      <c r="M594" s="252"/>
      <c r="N594" s="250"/>
      <c r="O594" s="253"/>
      <c r="P594" s="240"/>
      <c r="Q594" s="148"/>
      <c r="R594" s="148"/>
      <c r="S594" s="242"/>
      <c r="T594" s="242"/>
      <c r="U594" s="242"/>
      <c r="V594" s="242"/>
      <c r="W594" s="242"/>
      <c r="X594" s="242"/>
      <c r="Y594" s="148"/>
      <c r="Z594" s="148"/>
    </row>
    <row r="595">
      <c r="A595" s="148"/>
      <c r="B595" s="148"/>
      <c r="C595" s="148"/>
      <c r="D595" s="245"/>
      <c r="E595" s="585"/>
      <c r="F595" s="586"/>
      <c r="G595" s="148"/>
      <c r="H595" s="148"/>
      <c r="I595" s="251"/>
      <c r="J595" s="243"/>
      <c r="K595" s="148"/>
      <c r="L595" s="277"/>
      <c r="M595" s="252"/>
      <c r="N595" s="250"/>
      <c r="O595" s="253"/>
      <c r="P595" s="240"/>
      <c r="Q595" s="148"/>
      <c r="R595" s="148"/>
      <c r="S595" s="242"/>
      <c r="T595" s="242"/>
      <c r="U595" s="242"/>
      <c r="V595" s="242"/>
      <c r="W595" s="242"/>
      <c r="X595" s="242"/>
      <c r="Y595" s="148"/>
      <c r="Z595" s="148"/>
    </row>
    <row r="596">
      <c r="A596" s="148"/>
      <c r="B596" s="148"/>
      <c r="C596" s="148"/>
      <c r="D596" s="245"/>
      <c r="E596" s="585"/>
      <c r="F596" s="586"/>
      <c r="G596" s="148"/>
      <c r="H596" s="148"/>
      <c r="I596" s="251"/>
      <c r="J596" s="243"/>
      <c r="K596" s="148"/>
      <c r="L596" s="277"/>
      <c r="M596" s="252"/>
      <c r="N596" s="250"/>
      <c r="O596" s="253"/>
      <c r="P596" s="240"/>
      <c r="Q596" s="148"/>
      <c r="R596" s="148"/>
      <c r="S596" s="242"/>
      <c r="T596" s="242"/>
      <c r="U596" s="242"/>
      <c r="V596" s="242"/>
      <c r="W596" s="242"/>
      <c r="X596" s="242"/>
      <c r="Y596" s="148"/>
      <c r="Z596" s="148"/>
    </row>
    <row r="597">
      <c r="A597" s="148"/>
      <c r="B597" s="148"/>
      <c r="C597" s="148"/>
      <c r="D597" s="245"/>
      <c r="E597" s="585"/>
      <c r="F597" s="586"/>
      <c r="G597" s="148"/>
      <c r="H597" s="148"/>
      <c r="I597" s="251"/>
      <c r="J597" s="243"/>
      <c r="K597" s="148"/>
      <c r="L597" s="277"/>
      <c r="M597" s="252"/>
      <c r="N597" s="250"/>
      <c r="O597" s="253"/>
      <c r="P597" s="240"/>
      <c r="Q597" s="148"/>
      <c r="R597" s="148"/>
      <c r="S597" s="242"/>
      <c r="T597" s="242"/>
      <c r="U597" s="242"/>
      <c r="V597" s="242"/>
      <c r="W597" s="242"/>
      <c r="X597" s="242"/>
      <c r="Y597" s="148"/>
      <c r="Z597" s="148"/>
    </row>
    <row r="598">
      <c r="A598" s="148"/>
      <c r="B598" s="148"/>
      <c r="C598" s="148"/>
      <c r="D598" s="245"/>
      <c r="E598" s="585"/>
      <c r="F598" s="586"/>
      <c r="G598" s="148"/>
      <c r="H598" s="148"/>
      <c r="I598" s="251"/>
      <c r="J598" s="243"/>
      <c r="K598" s="148"/>
      <c r="L598" s="277"/>
      <c r="M598" s="252"/>
      <c r="N598" s="250"/>
      <c r="O598" s="253"/>
      <c r="P598" s="240"/>
      <c r="Q598" s="148"/>
      <c r="R598" s="148"/>
      <c r="S598" s="242"/>
      <c r="T598" s="242"/>
      <c r="U598" s="242"/>
      <c r="V598" s="242"/>
      <c r="W598" s="242"/>
      <c r="X598" s="242"/>
      <c r="Y598" s="148"/>
      <c r="Z598" s="148"/>
    </row>
    <row r="599">
      <c r="A599" s="148"/>
      <c r="B599" s="148"/>
      <c r="C599" s="148"/>
      <c r="D599" s="245"/>
      <c r="E599" s="585"/>
      <c r="F599" s="586"/>
      <c r="G599" s="148"/>
      <c r="H599" s="148"/>
      <c r="I599" s="251"/>
      <c r="J599" s="243"/>
      <c r="K599" s="148"/>
      <c r="L599" s="277"/>
      <c r="M599" s="252"/>
      <c r="N599" s="250"/>
      <c r="O599" s="253"/>
      <c r="P599" s="240"/>
      <c r="Q599" s="148"/>
      <c r="R599" s="148"/>
      <c r="S599" s="242"/>
      <c r="T599" s="242"/>
      <c r="U599" s="242"/>
      <c r="V599" s="242"/>
      <c r="W599" s="242"/>
      <c r="X599" s="242"/>
      <c r="Y599" s="148"/>
      <c r="Z599" s="148"/>
    </row>
    <row r="600">
      <c r="A600" s="148"/>
      <c r="B600" s="148"/>
      <c r="C600" s="148"/>
      <c r="D600" s="245"/>
      <c r="E600" s="585"/>
      <c r="F600" s="586"/>
      <c r="G600" s="148"/>
      <c r="H600" s="148"/>
      <c r="I600" s="251"/>
      <c r="J600" s="243"/>
      <c r="K600" s="148"/>
      <c r="L600" s="277"/>
      <c r="M600" s="252"/>
      <c r="N600" s="250"/>
      <c r="O600" s="253"/>
      <c r="P600" s="240"/>
      <c r="Q600" s="148"/>
      <c r="R600" s="148"/>
      <c r="S600" s="242"/>
      <c r="T600" s="242"/>
      <c r="U600" s="242"/>
      <c r="V600" s="242"/>
      <c r="W600" s="242"/>
      <c r="X600" s="242"/>
      <c r="Y600" s="148"/>
      <c r="Z600" s="148"/>
    </row>
    <row r="601">
      <c r="A601" s="148"/>
      <c r="B601" s="148"/>
      <c r="C601" s="148"/>
      <c r="D601" s="245"/>
      <c r="E601" s="585"/>
      <c r="F601" s="586"/>
      <c r="G601" s="148"/>
      <c r="H601" s="148"/>
      <c r="I601" s="251"/>
      <c r="J601" s="243"/>
      <c r="K601" s="148"/>
      <c r="L601" s="277"/>
      <c r="M601" s="252"/>
      <c r="N601" s="250"/>
      <c r="O601" s="253"/>
      <c r="P601" s="240"/>
      <c r="Q601" s="148"/>
      <c r="R601" s="148"/>
      <c r="S601" s="242"/>
      <c r="T601" s="242"/>
      <c r="U601" s="242"/>
      <c r="V601" s="242"/>
      <c r="W601" s="242"/>
      <c r="X601" s="242"/>
      <c r="Y601" s="148"/>
      <c r="Z601" s="148"/>
    </row>
    <row r="602">
      <c r="A602" s="148"/>
      <c r="B602" s="148"/>
      <c r="C602" s="148"/>
      <c r="D602" s="245"/>
      <c r="E602" s="585"/>
      <c r="F602" s="586"/>
      <c r="G602" s="148"/>
      <c r="H602" s="148"/>
      <c r="I602" s="251"/>
      <c r="J602" s="243"/>
      <c r="K602" s="148"/>
      <c r="L602" s="277"/>
      <c r="M602" s="252"/>
      <c r="N602" s="250"/>
      <c r="O602" s="253"/>
      <c r="P602" s="240"/>
      <c r="Q602" s="148"/>
      <c r="R602" s="148"/>
      <c r="S602" s="242"/>
      <c r="T602" s="242"/>
      <c r="U602" s="242"/>
      <c r="V602" s="242"/>
      <c r="W602" s="242"/>
      <c r="X602" s="242"/>
      <c r="Y602" s="148"/>
      <c r="Z602" s="148"/>
    </row>
    <row r="603">
      <c r="A603" s="148"/>
      <c r="B603" s="148"/>
      <c r="C603" s="148"/>
      <c r="D603" s="245"/>
      <c r="E603" s="585"/>
      <c r="F603" s="586"/>
      <c r="G603" s="148"/>
      <c r="H603" s="148"/>
      <c r="I603" s="251"/>
      <c r="J603" s="243"/>
      <c r="K603" s="148"/>
      <c r="L603" s="277"/>
      <c r="M603" s="252"/>
      <c r="N603" s="250"/>
      <c r="O603" s="253"/>
      <c r="P603" s="240"/>
      <c r="Q603" s="148"/>
      <c r="R603" s="148"/>
      <c r="S603" s="242"/>
      <c r="T603" s="242"/>
      <c r="U603" s="242"/>
      <c r="V603" s="242"/>
      <c r="W603" s="242"/>
      <c r="X603" s="242"/>
      <c r="Y603" s="148"/>
      <c r="Z603" s="148"/>
    </row>
    <row r="604">
      <c r="A604" s="148"/>
      <c r="B604" s="148"/>
      <c r="C604" s="148"/>
      <c r="D604" s="245"/>
      <c r="E604" s="585"/>
      <c r="F604" s="586"/>
      <c r="G604" s="148"/>
      <c r="H604" s="148"/>
      <c r="I604" s="251"/>
      <c r="J604" s="243"/>
      <c r="K604" s="148"/>
      <c r="L604" s="277"/>
      <c r="M604" s="252"/>
      <c r="N604" s="250"/>
      <c r="O604" s="253"/>
      <c r="P604" s="240"/>
      <c r="Q604" s="148"/>
      <c r="R604" s="148"/>
      <c r="S604" s="242"/>
      <c r="T604" s="242"/>
      <c r="U604" s="242"/>
      <c r="V604" s="242"/>
      <c r="W604" s="242"/>
      <c r="X604" s="242"/>
      <c r="Y604" s="148"/>
      <c r="Z604" s="148"/>
    </row>
    <row r="605">
      <c r="A605" s="148"/>
      <c r="B605" s="148"/>
      <c r="C605" s="148"/>
      <c r="D605" s="245"/>
      <c r="E605" s="585"/>
      <c r="F605" s="586"/>
      <c r="G605" s="148"/>
      <c r="H605" s="148"/>
      <c r="I605" s="251"/>
      <c r="J605" s="243"/>
      <c r="K605" s="148"/>
      <c r="L605" s="277"/>
      <c r="M605" s="252"/>
      <c r="N605" s="250"/>
      <c r="O605" s="253"/>
      <c r="P605" s="240"/>
      <c r="Q605" s="148"/>
      <c r="R605" s="148"/>
      <c r="S605" s="242"/>
      <c r="T605" s="242"/>
      <c r="U605" s="242"/>
      <c r="V605" s="242"/>
      <c r="W605" s="242"/>
      <c r="X605" s="242"/>
      <c r="Y605" s="148"/>
      <c r="Z605" s="148"/>
    </row>
    <row r="606">
      <c r="A606" s="148"/>
      <c r="B606" s="148"/>
      <c r="C606" s="148"/>
      <c r="D606" s="245"/>
      <c r="E606" s="585"/>
      <c r="F606" s="586"/>
      <c r="G606" s="148"/>
      <c r="H606" s="148"/>
      <c r="I606" s="251"/>
      <c r="J606" s="243"/>
      <c r="K606" s="148"/>
      <c r="L606" s="277"/>
      <c r="M606" s="252"/>
      <c r="N606" s="250"/>
      <c r="O606" s="253"/>
      <c r="P606" s="240"/>
      <c r="Q606" s="148"/>
      <c r="R606" s="148"/>
      <c r="S606" s="242"/>
      <c r="T606" s="242"/>
      <c r="U606" s="242"/>
      <c r="V606" s="242"/>
      <c r="W606" s="242"/>
      <c r="X606" s="242"/>
      <c r="Y606" s="148"/>
      <c r="Z606" s="148"/>
    </row>
    <row r="607">
      <c r="A607" s="148"/>
      <c r="B607" s="148"/>
      <c r="C607" s="148"/>
      <c r="D607" s="245"/>
      <c r="E607" s="585"/>
      <c r="F607" s="586"/>
      <c r="G607" s="148"/>
      <c r="H607" s="148"/>
      <c r="I607" s="251"/>
      <c r="J607" s="243"/>
      <c r="K607" s="148"/>
      <c r="L607" s="277"/>
      <c r="M607" s="252"/>
      <c r="N607" s="250"/>
      <c r="O607" s="253"/>
      <c r="P607" s="240"/>
      <c r="Q607" s="148"/>
      <c r="R607" s="148"/>
      <c r="S607" s="242"/>
      <c r="T607" s="242"/>
      <c r="U607" s="242"/>
      <c r="V607" s="242"/>
      <c r="W607" s="242"/>
      <c r="X607" s="242"/>
      <c r="Y607" s="148"/>
      <c r="Z607" s="148"/>
    </row>
    <row r="608">
      <c r="A608" s="148"/>
      <c r="B608" s="148"/>
      <c r="C608" s="148"/>
      <c r="D608" s="245"/>
      <c r="E608" s="585"/>
      <c r="F608" s="586"/>
      <c r="G608" s="148"/>
      <c r="H608" s="148"/>
      <c r="I608" s="251"/>
      <c r="J608" s="243"/>
      <c r="K608" s="148"/>
      <c r="L608" s="277"/>
      <c r="M608" s="252"/>
      <c r="N608" s="250"/>
      <c r="O608" s="253"/>
      <c r="P608" s="240"/>
      <c r="Q608" s="148"/>
      <c r="R608" s="148"/>
      <c r="S608" s="242"/>
      <c r="T608" s="242"/>
      <c r="U608" s="242"/>
      <c r="V608" s="242"/>
      <c r="W608" s="242"/>
      <c r="X608" s="242"/>
      <c r="Y608" s="148"/>
      <c r="Z608" s="148"/>
    </row>
    <row r="609">
      <c r="A609" s="148"/>
      <c r="B609" s="148"/>
      <c r="C609" s="148"/>
      <c r="D609" s="245"/>
      <c r="E609" s="585"/>
      <c r="F609" s="586"/>
      <c r="G609" s="148"/>
      <c r="H609" s="148"/>
      <c r="I609" s="251"/>
      <c r="J609" s="243"/>
      <c r="K609" s="148"/>
      <c r="L609" s="277"/>
      <c r="M609" s="252"/>
      <c r="N609" s="250"/>
      <c r="O609" s="253"/>
      <c r="P609" s="240"/>
      <c r="Q609" s="148"/>
      <c r="R609" s="148"/>
      <c r="S609" s="242"/>
      <c r="T609" s="242"/>
      <c r="U609" s="242"/>
      <c r="V609" s="242"/>
      <c r="W609" s="242"/>
      <c r="X609" s="242"/>
      <c r="Y609" s="148"/>
      <c r="Z609" s="148"/>
    </row>
    <row r="610">
      <c r="A610" s="148"/>
      <c r="B610" s="148"/>
      <c r="C610" s="148"/>
      <c r="D610" s="245"/>
      <c r="E610" s="585"/>
      <c r="F610" s="586"/>
      <c r="G610" s="148"/>
      <c r="H610" s="148"/>
      <c r="I610" s="251"/>
      <c r="J610" s="243"/>
      <c r="K610" s="148"/>
      <c r="L610" s="277"/>
      <c r="M610" s="252"/>
      <c r="N610" s="250"/>
      <c r="O610" s="253"/>
      <c r="P610" s="240"/>
      <c r="Q610" s="148"/>
      <c r="R610" s="148"/>
      <c r="S610" s="242"/>
      <c r="T610" s="242"/>
      <c r="U610" s="242"/>
      <c r="V610" s="242"/>
      <c r="W610" s="242"/>
      <c r="X610" s="242"/>
      <c r="Y610" s="148"/>
      <c r="Z610" s="148"/>
    </row>
    <row r="611">
      <c r="A611" s="148"/>
      <c r="B611" s="148"/>
      <c r="C611" s="148"/>
      <c r="D611" s="245"/>
      <c r="E611" s="585"/>
      <c r="F611" s="586"/>
      <c r="G611" s="148"/>
      <c r="H611" s="148"/>
      <c r="I611" s="251"/>
      <c r="J611" s="243"/>
      <c r="K611" s="148"/>
      <c r="L611" s="277"/>
      <c r="M611" s="252"/>
      <c r="N611" s="250"/>
      <c r="O611" s="253"/>
      <c r="P611" s="240"/>
      <c r="Q611" s="148"/>
      <c r="R611" s="148"/>
      <c r="S611" s="242"/>
      <c r="T611" s="242"/>
      <c r="U611" s="242"/>
      <c r="V611" s="242"/>
      <c r="W611" s="242"/>
      <c r="X611" s="242"/>
      <c r="Y611" s="148"/>
      <c r="Z611" s="148"/>
    </row>
    <row r="612">
      <c r="A612" s="148"/>
      <c r="B612" s="148"/>
      <c r="C612" s="148"/>
      <c r="D612" s="245"/>
      <c r="E612" s="585"/>
      <c r="F612" s="586"/>
      <c r="G612" s="148"/>
      <c r="H612" s="148"/>
      <c r="I612" s="251"/>
      <c r="J612" s="243"/>
      <c r="K612" s="148"/>
      <c r="L612" s="277"/>
      <c r="M612" s="252"/>
      <c r="N612" s="250"/>
      <c r="O612" s="253"/>
      <c r="P612" s="240"/>
      <c r="Q612" s="148"/>
      <c r="R612" s="148"/>
      <c r="S612" s="242"/>
      <c r="T612" s="242"/>
      <c r="U612" s="242"/>
      <c r="V612" s="242"/>
      <c r="W612" s="242"/>
      <c r="X612" s="242"/>
      <c r="Y612" s="148"/>
      <c r="Z612" s="148"/>
    </row>
    <row r="613">
      <c r="A613" s="148"/>
      <c r="B613" s="148"/>
      <c r="C613" s="148"/>
      <c r="D613" s="245"/>
      <c r="E613" s="585"/>
      <c r="F613" s="586"/>
      <c r="G613" s="148"/>
      <c r="H613" s="148"/>
      <c r="I613" s="251"/>
      <c r="J613" s="243"/>
      <c r="K613" s="148"/>
      <c r="L613" s="277"/>
      <c r="M613" s="252"/>
      <c r="N613" s="250"/>
      <c r="O613" s="253"/>
      <c r="P613" s="240"/>
      <c r="Q613" s="148"/>
      <c r="R613" s="148"/>
      <c r="S613" s="242"/>
      <c r="T613" s="242"/>
      <c r="U613" s="242"/>
      <c r="V613" s="242"/>
      <c r="W613" s="242"/>
      <c r="X613" s="242"/>
      <c r="Y613" s="148"/>
      <c r="Z613" s="148"/>
    </row>
    <row r="614">
      <c r="A614" s="148"/>
      <c r="B614" s="148"/>
      <c r="C614" s="148"/>
      <c r="D614" s="245"/>
      <c r="E614" s="585"/>
      <c r="F614" s="586"/>
      <c r="G614" s="148"/>
      <c r="H614" s="148"/>
      <c r="I614" s="251"/>
      <c r="J614" s="243"/>
      <c r="K614" s="148"/>
      <c r="L614" s="277"/>
      <c r="M614" s="252"/>
      <c r="N614" s="250"/>
      <c r="O614" s="253"/>
      <c r="P614" s="240"/>
      <c r="Q614" s="148"/>
      <c r="R614" s="148"/>
      <c r="S614" s="242"/>
      <c r="T614" s="242"/>
      <c r="U614" s="242"/>
      <c r="V614" s="242"/>
      <c r="W614" s="242"/>
      <c r="X614" s="242"/>
      <c r="Y614" s="148"/>
      <c r="Z614" s="148"/>
    </row>
    <row r="615">
      <c r="A615" s="148"/>
      <c r="B615" s="148"/>
      <c r="C615" s="148"/>
      <c r="D615" s="245"/>
      <c r="E615" s="585"/>
      <c r="F615" s="586"/>
      <c r="G615" s="148"/>
      <c r="H615" s="148"/>
      <c r="I615" s="251"/>
      <c r="J615" s="243"/>
      <c r="K615" s="148"/>
      <c r="L615" s="277"/>
      <c r="M615" s="252"/>
      <c r="N615" s="250"/>
      <c r="O615" s="253"/>
      <c r="P615" s="240"/>
      <c r="Q615" s="148"/>
      <c r="R615" s="148"/>
      <c r="S615" s="242"/>
      <c r="T615" s="242"/>
      <c r="U615" s="242"/>
      <c r="V615" s="242"/>
      <c r="W615" s="242"/>
      <c r="X615" s="242"/>
      <c r="Y615" s="148"/>
      <c r="Z615" s="148"/>
    </row>
    <row r="616">
      <c r="A616" s="148"/>
      <c r="B616" s="148"/>
      <c r="C616" s="148"/>
      <c r="D616" s="245"/>
      <c r="E616" s="585"/>
      <c r="F616" s="586"/>
      <c r="G616" s="148"/>
      <c r="H616" s="148"/>
      <c r="I616" s="251"/>
      <c r="J616" s="243"/>
      <c r="K616" s="148"/>
      <c r="L616" s="277"/>
      <c r="M616" s="252"/>
      <c r="N616" s="250"/>
      <c r="O616" s="253"/>
      <c r="P616" s="240"/>
      <c r="Q616" s="148"/>
      <c r="R616" s="148"/>
      <c r="S616" s="242"/>
      <c r="T616" s="242"/>
      <c r="U616" s="242"/>
      <c r="V616" s="242"/>
      <c r="W616" s="242"/>
      <c r="X616" s="242"/>
      <c r="Y616" s="148"/>
      <c r="Z616" s="148"/>
    </row>
    <row r="617">
      <c r="A617" s="148"/>
      <c r="B617" s="148"/>
      <c r="C617" s="148"/>
      <c r="D617" s="245"/>
      <c r="E617" s="585"/>
      <c r="F617" s="586"/>
      <c r="G617" s="148"/>
      <c r="H617" s="148"/>
      <c r="I617" s="251"/>
      <c r="J617" s="243"/>
      <c r="K617" s="148"/>
      <c r="L617" s="277"/>
      <c r="M617" s="252"/>
      <c r="N617" s="250"/>
      <c r="O617" s="253"/>
      <c r="P617" s="240"/>
      <c r="Q617" s="148"/>
      <c r="R617" s="148"/>
      <c r="S617" s="242"/>
      <c r="T617" s="242"/>
      <c r="U617" s="242"/>
      <c r="V617" s="242"/>
      <c r="W617" s="242"/>
      <c r="X617" s="242"/>
      <c r="Y617" s="148"/>
      <c r="Z617" s="148"/>
    </row>
    <row r="618">
      <c r="A618" s="148"/>
      <c r="B618" s="148"/>
      <c r="C618" s="148"/>
      <c r="D618" s="245"/>
      <c r="E618" s="585"/>
      <c r="F618" s="586"/>
      <c r="G618" s="148"/>
      <c r="H618" s="148"/>
      <c r="I618" s="251"/>
      <c r="J618" s="243"/>
      <c r="K618" s="148"/>
      <c r="L618" s="277"/>
      <c r="M618" s="252"/>
      <c r="N618" s="250"/>
      <c r="O618" s="253"/>
      <c r="P618" s="240"/>
      <c r="Q618" s="148"/>
      <c r="R618" s="148"/>
      <c r="S618" s="242"/>
      <c r="T618" s="242"/>
      <c r="U618" s="242"/>
      <c r="V618" s="242"/>
      <c r="W618" s="242"/>
      <c r="X618" s="242"/>
      <c r="Y618" s="148"/>
      <c r="Z618" s="148"/>
    </row>
    <row r="619">
      <c r="A619" s="148"/>
      <c r="B619" s="148"/>
      <c r="C619" s="148"/>
      <c r="D619" s="245"/>
      <c r="E619" s="585"/>
      <c r="F619" s="586"/>
      <c r="G619" s="148"/>
      <c r="H619" s="148"/>
      <c r="I619" s="251"/>
      <c r="J619" s="243"/>
      <c r="K619" s="148"/>
      <c r="L619" s="277"/>
      <c r="M619" s="252"/>
      <c r="N619" s="250"/>
      <c r="O619" s="253"/>
      <c r="P619" s="240"/>
      <c r="Q619" s="148"/>
      <c r="R619" s="148"/>
      <c r="S619" s="242"/>
      <c r="T619" s="242"/>
      <c r="U619" s="242"/>
      <c r="V619" s="242"/>
      <c r="W619" s="242"/>
      <c r="X619" s="242"/>
      <c r="Y619" s="148"/>
      <c r="Z619" s="148"/>
    </row>
    <row r="620">
      <c r="A620" s="148"/>
      <c r="B620" s="148"/>
      <c r="C620" s="148"/>
      <c r="D620" s="245"/>
      <c r="E620" s="585"/>
      <c r="F620" s="586"/>
      <c r="G620" s="148"/>
      <c r="H620" s="148"/>
      <c r="I620" s="251"/>
      <c r="J620" s="243"/>
      <c r="K620" s="148"/>
      <c r="L620" s="277"/>
      <c r="M620" s="252"/>
      <c r="N620" s="250"/>
      <c r="O620" s="253"/>
      <c r="P620" s="240"/>
      <c r="Q620" s="148"/>
      <c r="R620" s="148"/>
      <c r="S620" s="242"/>
      <c r="T620" s="242"/>
      <c r="U620" s="242"/>
      <c r="V620" s="242"/>
      <c r="W620" s="242"/>
      <c r="X620" s="242"/>
      <c r="Y620" s="148"/>
      <c r="Z620" s="148"/>
    </row>
    <row r="621">
      <c r="A621" s="148"/>
      <c r="B621" s="148"/>
      <c r="C621" s="148"/>
      <c r="D621" s="245"/>
      <c r="E621" s="585"/>
      <c r="F621" s="586"/>
      <c r="G621" s="148"/>
      <c r="H621" s="148"/>
      <c r="I621" s="251"/>
      <c r="J621" s="243"/>
      <c r="K621" s="148"/>
      <c r="L621" s="277"/>
      <c r="M621" s="252"/>
      <c r="N621" s="250"/>
      <c r="O621" s="253"/>
      <c r="P621" s="240"/>
      <c r="Q621" s="148"/>
      <c r="R621" s="148"/>
      <c r="S621" s="242"/>
      <c r="T621" s="242"/>
      <c r="U621" s="242"/>
      <c r="V621" s="242"/>
      <c r="W621" s="242"/>
      <c r="X621" s="242"/>
      <c r="Y621" s="148"/>
      <c r="Z621" s="148"/>
    </row>
    <row r="622">
      <c r="A622" s="148"/>
      <c r="B622" s="148"/>
      <c r="C622" s="148"/>
      <c r="D622" s="245"/>
      <c r="E622" s="585"/>
      <c r="F622" s="586"/>
      <c r="G622" s="148"/>
      <c r="H622" s="148"/>
      <c r="I622" s="251"/>
      <c r="J622" s="243"/>
      <c r="K622" s="148"/>
      <c r="L622" s="277"/>
      <c r="M622" s="252"/>
      <c r="N622" s="250"/>
      <c r="O622" s="253"/>
      <c r="P622" s="240"/>
      <c r="Q622" s="148"/>
      <c r="R622" s="148"/>
      <c r="S622" s="242"/>
      <c r="T622" s="242"/>
      <c r="U622" s="242"/>
      <c r="V622" s="242"/>
      <c r="W622" s="242"/>
      <c r="X622" s="242"/>
      <c r="Y622" s="148"/>
      <c r="Z622" s="148"/>
    </row>
    <row r="623">
      <c r="A623" s="148"/>
      <c r="B623" s="148"/>
      <c r="C623" s="148"/>
      <c r="D623" s="245"/>
      <c r="E623" s="585"/>
      <c r="F623" s="586"/>
      <c r="G623" s="148"/>
      <c r="H623" s="148"/>
      <c r="I623" s="251"/>
      <c r="J623" s="243"/>
      <c r="K623" s="148"/>
      <c r="L623" s="277"/>
      <c r="M623" s="252"/>
      <c r="N623" s="250"/>
      <c r="O623" s="253"/>
      <c r="P623" s="240"/>
      <c r="Q623" s="148"/>
      <c r="R623" s="148"/>
      <c r="S623" s="242"/>
      <c r="T623" s="242"/>
      <c r="U623" s="242"/>
      <c r="V623" s="242"/>
      <c r="W623" s="242"/>
      <c r="X623" s="242"/>
      <c r="Y623" s="148"/>
      <c r="Z623" s="148"/>
    </row>
    <row r="624">
      <c r="A624" s="148"/>
      <c r="B624" s="148"/>
      <c r="C624" s="148"/>
      <c r="D624" s="245"/>
      <c r="E624" s="585"/>
      <c r="F624" s="586"/>
      <c r="G624" s="148"/>
      <c r="H624" s="148"/>
      <c r="I624" s="251"/>
      <c r="J624" s="243"/>
      <c r="K624" s="148"/>
      <c r="L624" s="277"/>
      <c r="M624" s="252"/>
      <c r="N624" s="250"/>
      <c r="O624" s="253"/>
      <c r="P624" s="240"/>
      <c r="Q624" s="148"/>
      <c r="R624" s="148"/>
      <c r="S624" s="242"/>
      <c r="T624" s="242"/>
      <c r="U624" s="242"/>
      <c r="V624" s="242"/>
      <c r="W624" s="242"/>
      <c r="X624" s="242"/>
      <c r="Y624" s="148"/>
      <c r="Z624" s="148"/>
    </row>
    <row r="625">
      <c r="A625" s="148"/>
      <c r="B625" s="148"/>
      <c r="C625" s="148"/>
      <c r="D625" s="245"/>
      <c r="E625" s="585"/>
      <c r="F625" s="586"/>
      <c r="G625" s="148"/>
      <c r="H625" s="148"/>
      <c r="I625" s="251"/>
      <c r="J625" s="243"/>
      <c r="K625" s="148"/>
      <c r="L625" s="277"/>
      <c r="M625" s="252"/>
      <c r="N625" s="250"/>
      <c r="O625" s="253"/>
      <c r="P625" s="240"/>
      <c r="Q625" s="148"/>
      <c r="R625" s="148"/>
      <c r="S625" s="242"/>
      <c r="T625" s="242"/>
      <c r="U625" s="242"/>
      <c r="V625" s="242"/>
      <c r="W625" s="242"/>
      <c r="X625" s="242"/>
      <c r="Y625" s="148"/>
      <c r="Z625" s="148"/>
    </row>
    <row r="626">
      <c r="A626" s="148"/>
      <c r="B626" s="148"/>
      <c r="C626" s="148"/>
      <c r="D626" s="245"/>
      <c r="E626" s="585"/>
      <c r="F626" s="586"/>
      <c r="G626" s="148"/>
      <c r="H626" s="148"/>
      <c r="I626" s="251"/>
      <c r="J626" s="243"/>
      <c r="K626" s="148"/>
      <c r="L626" s="277"/>
      <c r="M626" s="252"/>
      <c r="N626" s="250"/>
      <c r="O626" s="253"/>
      <c r="P626" s="240"/>
      <c r="Q626" s="148"/>
      <c r="R626" s="148"/>
      <c r="S626" s="242"/>
      <c r="T626" s="242"/>
      <c r="U626" s="242"/>
      <c r="V626" s="242"/>
      <c r="W626" s="242"/>
      <c r="X626" s="242"/>
      <c r="Y626" s="148"/>
      <c r="Z626" s="148"/>
    </row>
    <row r="627">
      <c r="A627" s="148"/>
      <c r="B627" s="148"/>
      <c r="C627" s="148"/>
      <c r="D627" s="245"/>
      <c r="E627" s="585"/>
      <c r="F627" s="586"/>
      <c r="G627" s="148"/>
      <c r="H627" s="148"/>
      <c r="I627" s="251"/>
      <c r="J627" s="243"/>
      <c r="K627" s="148"/>
      <c r="L627" s="277"/>
      <c r="M627" s="252"/>
      <c r="N627" s="250"/>
      <c r="O627" s="253"/>
      <c r="P627" s="240"/>
      <c r="Q627" s="148"/>
      <c r="R627" s="148"/>
      <c r="S627" s="242"/>
      <c r="T627" s="242"/>
      <c r="U627" s="242"/>
      <c r="V627" s="242"/>
      <c r="W627" s="242"/>
      <c r="X627" s="242"/>
      <c r="Y627" s="148"/>
      <c r="Z627" s="148"/>
    </row>
    <row r="628">
      <c r="A628" s="148"/>
      <c r="B628" s="148"/>
      <c r="C628" s="148"/>
      <c r="D628" s="245"/>
      <c r="E628" s="585"/>
      <c r="F628" s="586"/>
      <c r="G628" s="148"/>
      <c r="H628" s="148"/>
      <c r="I628" s="251"/>
      <c r="J628" s="243"/>
      <c r="K628" s="148"/>
      <c r="L628" s="277"/>
      <c r="M628" s="252"/>
      <c r="N628" s="250"/>
      <c r="O628" s="253"/>
      <c r="P628" s="240"/>
      <c r="Q628" s="148"/>
      <c r="R628" s="148"/>
      <c r="S628" s="242"/>
      <c r="T628" s="242"/>
      <c r="U628" s="242"/>
      <c r="V628" s="242"/>
      <c r="W628" s="242"/>
      <c r="X628" s="242"/>
      <c r="Y628" s="148"/>
      <c r="Z628" s="148"/>
    </row>
    <row r="629">
      <c r="A629" s="148"/>
      <c r="B629" s="148"/>
      <c r="C629" s="148"/>
      <c r="D629" s="245"/>
      <c r="E629" s="585"/>
      <c r="F629" s="586"/>
      <c r="G629" s="148"/>
      <c r="H629" s="148"/>
      <c r="I629" s="251"/>
      <c r="J629" s="243"/>
      <c r="K629" s="148"/>
      <c r="L629" s="277"/>
      <c r="M629" s="252"/>
      <c r="N629" s="250"/>
      <c r="O629" s="253"/>
      <c r="P629" s="240"/>
      <c r="Q629" s="148"/>
      <c r="R629" s="148"/>
      <c r="S629" s="242"/>
      <c r="T629" s="242"/>
      <c r="U629" s="242"/>
      <c r="V629" s="242"/>
      <c r="W629" s="242"/>
      <c r="X629" s="242"/>
      <c r="Y629" s="148"/>
      <c r="Z629" s="148"/>
    </row>
    <row r="630">
      <c r="A630" s="148"/>
      <c r="B630" s="148"/>
      <c r="C630" s="148"/>
      <c r="D630" s="245"/>
      <c r="E630" s="585"/>
      <c r="F630" s="586"/>
      <c r="G630" s="148"/>
      <c r="H630" s="148"/>
      <c r="I630" s="251"/>
      <c r="J630" s="243"/>
      <c r="K630" s="148"/>
      <c r="L630" s="277"/>
      <c r="M630" s="252"/>
      <c r="N630" s="250"/>
      <c r="O630" s="253"/>
      <c r="P630" s="240"/>
      <c r="Q630" s="148"/>
      <c r="R630" s="148"/>
      <c r="S630" s="242"/>
      <c r="T630" s="242"/>
      <c r="U630" s="242"/>
      <c r="V630" s="242"/>
      <c r="W630" s="242"/>
      <c r="X630" s="242"/>
      <c r="Y630" s="148"/>
      <c r="Z630" s="148"/>
    </row>
    <row r="631">
      <c r="A631" s="148"/>
      <c r="B631" s="148"/>
      <c r="C631" s="148"/>
      <c r="D631" s="245"/>
      <c r="E631" s="585"/>
      <c r="F631" s="586"/>
      <c r="G631" s="148"/>
      <c r="H631" s="148"/>
      <c r="I631" s="251"/>
      <c r="J631" s="243"/>
      <c r="K631" s="148"/>
      <c r="L631" s="277"/>
      <c r="M631" s="252"/>
      <c r="N631" s="250"/>
      <c r="O631" s="253"/>
      <c r="P631" s="240"/>
      <c r="Q631" s="148"/>
      <c r="R631" s="148"/>
      <c r="S631" s="242"/>
      <c r="T631" s="242"/>
      <c r="U631" s="242"/>
      <c r="V631" s="242"/>
      <c r="W631" s="242"/>
      <c r="X631" s="242"/>
      <c r="Y631" s="148"/>
      <c r="Z631" s="148"/>
    </row>
    <row r="632">
      <c r="A632" s="148"/>
      <c r="B632" s="148"/>
      <c r="C632" s="148"/>
      <c r="D632" s="245"/>
      <c r="E632" s="585"/>
      <c r="F632" s="586"/>
      <c r="G632" s="148"/>
      <c r="H632" s="148"/>
      <c r="I632" s="251"/>
      <c r="J632" s="243"/>
      <c r="K632" s="148"/>
      <c r="L632" s="277"/>
      <c r="M632" s="252"/>
      <c r="N632" s="250"/>
      <c r="O632" s="253"/>
      <c r="P632" s="240"/>
      <c r="Q632" s="148"/>
      <c r="R632" s="148"/>
      <c r="S632" s="242"/>
      <c r="T632" s="242"/>
      <c r="U632" s="242"/>
      <c r="V632" s="242"/>
      <c r="W632" s="242"/>
      <c r="X632" s="242"/>
      <c r="Y632" s="148"/>
      <c r="Z632" s="148"/>
    </row>
    <row r="633">
      <c r="A633" s="148"/>
      <c r="B633" s="148"/>
      <c r="C633" s="148"/>
      <c r="D633" s="245"/>
      <c r="E633" s="585"/>
      <c r="F633" s="586"/>
      <c r="G633" s="148"/>
      <c r="H633" s="148"/>
      <c r="I633" s="251"/>
      <c r="J633" s="243"/>
      <c r="K633" s="148"/>
      <c r="L633" s="277"/>
      <c r="M633" s="252"/>
      <c r="N633" s="250"/>
      <c r="O633" s="253"/>
      <c r="P633" s="240"/>
      <c r="Q633" s="148"/>
      <c r="R633" s="148"/>
      <c r="S633" s="242"/>
      <c r="T633" s="242"/>
      <c r="U633" s="242"/>
      <c r="V633" s="242"/>
      <c r="W633" s="242"/>
      <c r="X633" s="242"/>
      <c r="Y633" s="148"/>
      <c r="Z633" s="148"/>
    </row>
    <row r="634">
      <c r="A634" s="148"/>
      <c r="B634" s="148"/>
      <c r="C634" s="148"/>
      <c r="D634" s="245"/>
      <c r="E634" s="585"/>
      <c r="F634" s="586"/>
      <c r="G634" s="148"/>
      <c r="H634" s="148"/>
      <c r="I634" s="251"/>
      <c r="J634" s="243"/>
      <c r="K634" s="148"/>
      <c r="L634" s="277"/>
      <c r="M634" s="252"/>
      <c r="N634" s="250"/>
      <c r="O634" s="253"/>
      <c r="P634" s="240"/>
      <c r="Q634" s="148"/>
      <c r="R634" s="148"/>
      <c r="S634" s="242"/>
      <c r="T634" s="242"/>
      <c r="U634" s="242"/>
      <c r="V634" s="242"/>
      <c r="W634" s="242"/>
      <c r="X634" s="242"/>
      <c r="Y634" s="148"/>
      <c r="Z634" s="148"/>
    </row>
    <row r="635">
      <c r="A635" s="148"/>
      <c r="B635" s="148"/>
      <c r="C635" s="148"/>
      <c r="D635" s="245"/>
      <c r="E635" s="585"/>
      <c r="F635" s="586"/>
      <c r="G635" s="148"/>
      <c r="H635" s="148"/>
      <c r="I635" s="251"/>
      <c r="J635" s="243"/>
      <c r="K635" s="148"/>
      <c r="L635" s="277"/>
      <c r="M635" s="252"/>
      <c r="N635" s="250"/>
      <c r="O635" s="253"/>
      <c r="P635" s="240"/>
      <c r="Q635" s="148"/>
      <c r="R635" s="148"/>
      <c r="S635" s="242"/>
      <c r="T635" s="242"/>
      <c r="U635" s="242"/>
      <c r="V635" s="242"/>
      <c r="W635" s="242"/>
      <c r="X635" s="242"/>
      <c r="Y635" s="148"/>
      <c r="Z635" s="148"/>
    </row>
    <row r="636">
      <c r="A636" s="148"/>
      <c r="B636" s="148"/>
      <c r="C636" s="148"/>
      <c r="D636" s="245"/>
      <c r="E636" s="585"/>
      <c r="F636" s="586"/>
      <c r="G636" s="148"/>
      <c r="H636" s="148"/>
      <c r="I636" s="251"/>
      <c r="J636" s="243"/>
      <c r="K636" s="148"/>
      <c r="L636" s="277"/>
      <c r="M636" s="252"/>
      <c r="N636" s="250"/>
      <c r="O636" s="253"/>
      <c r="P636" s="240"/>
      <c r="Q636" s="148"/>
      <c r="R636" s="148"/>
      <c r="S636" s="242"/>
      <c r="T636" s="242"/>
      <c r="U636" s="242"/>
      <c r="V636" s="242"/>
      <c r="W636" s="242"/>
      <c r="X636" s="242"/>
      <c r="Y636" s="148"/>
      <c r="Z636" s="148"/>
    </row>
    <row r="637">
      <c r="A637" s="148"/>
      <c r="B637" s="148"/>
      <c r="C637" s="148"/>
      <c r="D637" s="245"/>
      <c r="E637" s="585"/>
      <c r="F637" s="586"/>
      <c r="G637" s="148"/>
      <c r="H637" s="148"/>
      <c r="I637" s="251"/>
      <c r="J637" s="243"/>
      <c r="K637" s="148"/>
      <c r="L637" s="277"/>
      <c r="M637" s="252"/>
      <c r="N637" s="250"/>
      <c r="O637" s="253"/>
      <c r="P637" s="240"/>
      <c r="Q637" s="148"/>
      <c r="R637" s="148"/>
      <c r="S637" s="242"/>
      <c r="T637" s="242"/>
      <c r="U637" s="242"/>
      <c r="V637" s="242"/>
      <c r="W637" s="242"/>
      <c r="X637" s="242"/>
      <c r="Y637" s="148"/>
      <c r="Z637" s="148"/>
    </row>
    <row r="638">
      <c r="A638" s="148"/>
      <c r="B638" s="148"/>
      <c r="C638" s="148"/>
      <c r="D638" s="245"/>
      <c r="E638" s="585"/>
      <c r="F638" s="586"/>
      <c r="G638" s="148"/>
      <c r="H638" s="148"/>
      <c r="I638" s="251"/>
      <c r="J638" s="243"/>
      <c r="K638" s="148"/>
      <c r="L638" s="277"/>
      <c r="M638" s="252"/>
      <c r="N638" s="250"/>
      <c r="O638" s="253"/>
      <c r="P638" s="240"/>
      <c r="Q638" s="148"/>
      <c r="R638" s="148"/>
      <c r="S638" s="242"/>
      <c r="T638" s="242"/>
      <c r="U638" s="242"/>
      <c r="V638" s="242"/>
      <c r="W638" s="242"/>
      <c r="X638" s="242"/>
      <c r="Y638" s="148"/>
      <c r="Z638" s="148"/>
    </row>
    <row r="639">
      <c r="A639" s="148"/>
      <c r="B639" s="148"/>
      <c r="C639" s="148"/>
      <c r="D639" s="245"/>
      <c r="E639" s="585"/>
      <c r="F639" s="586"/>
      <c r="G639" s="148"/>
      <c r="H639" s="148"/>
      <c r="I639" s="251"/>
      <c r="J639" s="243"/>
      <c r="K639" s="148"/>
      <c r="L639" s="277"/>
      <c r="M639" s="252"/>
      <c r="N639" s="250"/>
      <c r="O639" s="253"/>
      <c r="P639" s="240"/>
      <c r="Q639" s="148"/>
      <c r="R639" s="148"/>
      <c r="S639" s="242"/>
      <c r="T639" s="242"/>
      <c r="U639" s="242"/>
      <c r="V639" s="242"/>
      <c r="W639" s="242"/>
      <c r="X639" s="242"/>
      <c r="Y639" s="148"/>
      <c r="Z639" s="148"/>
    </row>
    <row r="640">
      <c r="A640" s="148"/>
      <c r="B640" s="148"/>
      <c r="C640" s="148"/>
      <c r="D640" s="245"/>
      <c r="E640" s="585"/>
      <c r="F640" s="586"/>
      <c r="G640" s="148"/>
      <c r="H640" s="148"/>
      <c r="I640" s="251"/>
      <c r="J640" s="243"/>
      <c r="K640" s="148"/>
      <c r="L640" s="277"/>
      <c r="M640" s="252"/>
      <c r="N640" s="250"/>
      <c r="O640" s="253"/>
      <c r="P640" s="240"/>
      <c r="Q640" s="148"/>
      <c r="R640" s="148"/>
      <c r="S640" s="242"/>
      <c r="T640" s="242"/>
      <c r="U640" s="242"/>
      <c r="V640" s="242"/>
      <c r="W640" s="242"/>
      <c r="X640" s="242"/>
      <c r="Y640" s="148"/>
      <c r="Z640" s="148"/>
    </row>
    <row r="641">
      <c r="A641" s="148"/>
      <c r="B641" s="148"/>
      <c r="C641" s="148"/>
      <c r="D641" s="245"/>
      <c r="E641" s="585"/>
      <c r="F641" s="586"/>
      <c r="G641" s="148"/>
      <c r="H641" s="148"/>
      <c r="I641" s="251"/>
      <c r="J641" s="243"/>
      <c r="K641" s="148"/>
      <c r="L641" s="277"/>
      <c r="M641" s="252"/>
      <c r="N641" s="250"/>
      <c r="O641" s="253"/>
      <c r="P641" s="240"/>
      <c r="Q641" s="148"/>
      <c r="R641" s="148"/>
      <c r="S641" s="242"/>
      <c r="T641" s="242"/>
      <c r="U641" s="242"/>
      <c r="V641" s="242"/>
      <c r="W641" s="242"/>
      <c r="X641" s="242"/>
      <c r="Y641" s="148"/>
      <c r="Z641" s="148"/>
    </row>
    <row r="642">
      <c r="A642" s="148"/>
      <c r="B642" s="148"/>
      <c r="C642" s="148"/>
      <c r="D642" s="245"/>
      <c r="E642" s="585"/>
      <c r="F642" s="586"/>
      <c r="G642" s="148"/>
      <c r="H642" s="148"/>
      <c r="I642" s="251"/>
      <c r="J642" s="243"/>
      <c r="K642" s="148"/>
      <c r="L642" s="277"/>
      <c r="M642" s="252"/>
      <c r="N642" s="250"/>
      <c r="O642" s="253"/>
      <c r="P642" s="240"/>
      <c r="Q642" s="148"/>
      <c r="R642" s="148"/>
      <c r="S642" s="242"/>
      <c r="T642" s="242"/>
      <c r="U642" s="242"/>
      <c r="V642" s="242"/>
      <c r="W642" s="242"/>
      <c r="X642" s="242"/>
      <c r="Y642" s="148"/>
      <c r="Z642" s="148"/>
    </row>
    <row r="643">
      <c r="A643" s="148"/>
      <c r="B643" s="148"/>
      <c r="C643" s="148"/>
      <c r="D643" s="245"/>
      <c r="E643" s="585"/>
      <c r="F643" s="586"/>
      <c r="G643" s="148"/>
      <c r="H643" s="148"/>
      <c r="I643" s="251"/>
      <c r="J643" s="243"/>
      <c r="K643" s="148"/>
      <c r="L643" s="277"/>
      <c r="M643" s="252"/>
      <c r="N643" s="250"/>
      <c r="O643" s="253"/>
      <c r="P643" s="240"/>
      <c r="Q643" s="148"/>
      <c r="R643" s="148"/>
      <c r="S643" s="242"/>
      <c r="T643" s="242"/>
      <c r="U643" s="242"/>
      <c r="V643" s="242"/>
      <c r="W643" s="242"/>
      <c r="X643" s="242"/>
      <c r="Y643" s="148"/>
      <c r="Z643" s="148"/>
    </row>
    <row r="644">
      <c r="A644" s="148"/>
      <c r="B644" s="148"/>
      <c r="C644" s="148"/>
      <c r="D644" s="245"/>
      <c r="E644" s="585"/>
      <c r="F644" s="586"/>
      <c r="G644" s="148"/>
      <c r="H644" s="148"/>
      <c r="I644" s="251"/>
      <c r="J644" s="243"/>
      <c r="K644" s="148"/>
      <c r="L644" s="277"/>
      <c r="M644" s="252"/>
      <c r="N644" s="250"/>
      <c r="O644" s="253"/>
      <c r="P644" s="240"/>
      <c r="Q644" s="148"/>
      <c r="R644" s="148"/>
      <c r="S644" s="242"/>
      <c r="T644" s="242"/>
      <c r="U644" s="242"/>
      <c r="V644" s="242"/>
      <c r="W644" s="242"/>
      <c r="X644" s="242"/>
      <c r="Y644" s="148"/>
      <c r="Z644" s="148"/>
    </row>
    <row r="645">
      <c r="A645" s="148"/>
      <c r="B645" s="148"/>
      <c r="C645" s="148"/>
      <c r="D645" s="245"/>
      <c r="E645" s="585"/>
      <c r="F645" s="586"/>
      <c r="G645" s="148"/>
      <c r="H645" s="148"/>
      <c r="I645" s="251"/>
      <c r="J645" s="243"/>
      <c r="K645" s="148"/>
      <c r="L645" s="277"/>
      <c r="M645" s="252"/>
      <c r="N645" s="250"/>
      <c r="O645" s="253"/>
      <c r="P645" s="240"/>
      <c r="Q645" s="148"/>
      <c r="R645" s="148"/>
      <c r="S645" s="242"/>
      <c r="T645" s="242"/>
      <c r="U645" s="242"/>
      <c r="V645" s="242"/>
      <c r="W645" s="242"/>
      <c r="X645" s="242"/>
      <c r="Y645" s="148"/>
      <c r="Z645" s="148"/>
    </row>
    <row r="646">
      <c r="A646" s="148"/>
      <c r="B646" s="148"/>
      <c r="C646" s="148"/>
      <c r="D646" s="245"/>
      <c r="E646" s="585"/>
      <c r="F646" s="586"/>
      <c r="G646" s="148"/>
      <c r="H646" s="148"/>
      <c r="I646" s="251"/>
      <c r="J646" s="243"/>
      <c r="K646" s="148"/>
      <c r="L646" s="277"/>
      <c r="M646" s="252"/>
      <c r="N646" s="250"/>
      <c r="O646" s="253"/>
      <c r="P646" s="240"/>
      <c r="Q646" s="148"/>
      <c r="R646" s="148"/>
      <c r="S646" s="242"/>
      <c r="T646" s="242"/>
      <c r="U646" s="242"/>
      <c r="V646" s="242"/>
      <c r="W646" s="242"/>
      <c r="X646" s="242"/>
      <c r="Y646" s="148"/>
      <c r="Z646" s="148"/>
    </row>
    <row r="647">
      <c r="A647" s="148"/>
      <c r="B647" s="148"/>
      <c r="C647" s="148"/>
      <c r="D647" s="245"/>
      <c r="E647" s="585"/>
      <c r="F647" s="586"/>
      <c r="G647" s="148"/>
      <c r="H647" s="148"/>
      <c r="I647" s="251"/>
      <c r="J647" s="243"/>
      <c r="K647" s="148"/>
      <c r="L647" s="277"/>
      <c r="M647" s="252"/>
      <c r="N647" s="250"/>
      <c r="O647" s="253"/>
      <c r="P647" s="240"/>
      <c r="Q647" s="148"/>
      <c r="R647" s="148"/>
      <c r="S647" s="242"/>
      <c r="T647" s="242"/>
      <c r="U647" s="242"/>
      <c r="V647" s="242"/>
      <c r="W647" s="242"/>
      <c r="X647" s="242"/>
      <c r="Y647" s="148"/>
      <c r="Z647" s="148"/>
    </row>
    <row r="648">
      <c r="A648" s="148"/>
      <c r="B648" s="148"/>
      <c r="C648" s="148"/>
      <c r="D648" s="245"/>
      <c r="E648" s="585"/>
      <c r="F648" s="586"/>
      <c r="G648" s="148"/>
      <c r="H648" s="148"/>
      <c r="I648" s="251"/>
      <c r="J648" s="243"/>
      <c r="K648" s="148"/>
      <c r="L648" s="277"/>
      <c r="M648" s="252"/>
      <c r="N648" s="250"/>
      <c r="O648" s="253"/>
      <c r="P648" s="240"/>
      <c r="Q648" s="148"/>
      <c r="R648" s="148"/>
      <c r="S648" s="242"/>
      <c r="T648" s="242"/>
      <c r="U648" s="242"/>
      <c r="V648" s="242"/>
      <c r="W648" s="242"/>
      <c r="X648" s="242"/>
      <c r="Y648" s="148"/>
      <c r="Z648" s="148"/>
    </row>
    <row r="649">
      <c r="A649" s="148"/>
      <c r="B649" s="148"/>
      <c r="C649" s="148"/>
      <c r="D649" s="245"/>
      <c r="E649" s="585"/>
      <c r="F649" s="586"/>
      <c r="G649" s="148"/>
      <c r="H649" s="148"/>
      <c r="I649" s="251"/>
      <c r="J649" s="243"/>
      <c r="K649" s="148"/>
      <c r="L649" s="277"/>
      <c r="M649" s="252"/>
      <c r="N649" s="250"/>
      <c r="O649" s="253"/>
      <c r="P649" s="240"/>
      <c r="Q649" s="148"/>
      <c r="R649" s="148"/>
      <c r="S649" s="242"/>
      <c r="T649" s="242"/>
      <c r="U649" s="242"/>
      <c r="V649" s="242"/>
      <c r="W649" s="242"/>
      <c r="X649" s="242"/>
      <c r="Y649" s="148"/>
      <c r="Z649" s="148"/>
    </row>
    <row r="650">
      <c r="A650" s="148"/>
      <c r="B650" s="148"/>
      <c r="C650" s="148"/>
      <c r="D650" s="245"/>
      <c r="E650" s="585"/>
      <c r="F650" s="586"/>
      <c r="G650" s="148"/>
      <c r="H650" s="148"/>
      <c r="I650" s="251"/>
      <c r="J650" s="243"/>
      <c r="K650" s="148"/>
      <c r="L650" s="277"/>
      <c r="M650" s="252"/>
      <c r="N650" s="250"/>
      <c r="O650" s="253"/>
      <c r="P650" s="240"/>
      <c r="Q650" s="148"/>
      <c r="R650" s="148"/>
      <c r="S650" s="242"/>
      <c r="T650" s="242"/>
      <c r="U650" s="242"/>
      <c r="V650" s="242"/>
      <c r="W650" s="242"/>
      <c r="X650" s="242"/>
      <c r="Y650" s="148"/>
      <c r="Z650" s="148"/>
    </row>
    <row r="651">
      <c r="A651" s="148"/>
      <c r="B651" s="148"/>
      <c r="C651" s="148"/>
      <c r="D651" s="245"/>
      <c r="E651" s="585"/>
      <c r="F651" s="586"/>
      <c r="G651" s="148"/>
      <c r="H651" s="148"/>
      <c r="I651" s="251"/>
      <c r="J651" s="243"/>
      <c r="K651" s="148"/>
      <c r="L651" s="277"/>
      <c r="M651" s="252"/>
      <c r="N651" s="250"/>
      <c r="O651" s="253"/>
      <c r="P651" s="240"/>
      <c r="Q651" s="148"/>
      <c r="R651" s="148"/>
      <c r="S651" s="242"/>
      <c r="T651" s="242"/>
      <c r="U651" s="242"/>
      <c r="V651" s="242"/>
      <c r="W651" s="242"/>
      <c r="X651" s="242"/>
      <c r="Y651" s="148"/>
      <c r="Z651" s="148"/>
    </row>
    <row r="652">
      <c r="A652" s="148"/>
      <c r="B652" s="148"/>
      <c r="C652" s="148"/>
      <c r="D652" s="245"/>
      <c r="E652" s="585"/>
      <c r="F652" s="586"/>
      <c r="G652" s="148"/>
      <c r="H652" s="148"/>
      <c r="I652" s="251"/>
      <c r="J652" s="243"/>
      <c r="K652" s="148"/>
      <c r="L652" s="277"/>
      <c r="M652" s="252"/>
      <c r="N652" s="250"/>
      <c r="O652" s="253"/>
      <c r="P652" s="240"/>
      <c r="Q652" s="148"/>
      <c r="R652" s="148"/>
      <c r="S652" s="242"/>
      <c r="T652" s="242"/>
      <c r="U652" s="242"/>
      <c r="V652" s="242"/>
      <c r="W652" s="242"/>
      <c r="X652" s="242"/>
      <c r="Y652" s="148"/>
      <c r="Z652" s="148"/>
    </row>
    <row r="653">
      <c r="A653" s="148"/>
      <c r="B653" s="148"/>
      <c r="C653" s="148"/>
      <c r="D653" s="245"/>
      <c r="E653" s="585"/>
      <c r="F653" s="586"/>
      <c r="G653" s="148"/>
      <c r="H653" s="148"/>
      <c r="I653" s="251"/>
      <c r="J653" s="243"/>
      <c r="K653" s="148"/>
      <c r="L653" s="277"/>
      <c r="M653" s="252"/>
      <c r="N653" s="250"/>
      <c r="O653" s="253"/>
      <c r="P653" s="240"/>
      <c r="Q653" s="148"/>
      <c r="R653" s="148"/>
      <c r="S653" s="242"/>
      <c r="T653" s="242"/>
      <c r="U653" s="242"/>
      <c r="V653" s="242"/>
      <c r="W653" s="242"/>
      <c r="X653" s="242"/>
      <c r="Y653" s="148"/>
      <c r="Z653" s="148"/>
    </row>
    <row r="654">
      <c r="A654" s="148"/>
      <c r="B654" s="148"/>
      <c r="C654" s="148"/>
      <c r="D654" s="245"/>
      <c r="E654" s="585"/>
      <c r="F654" s="586"/>
      <c r="G654" s="148"/>
      <c r="H654" s="148"/>
      <c r="I654" s="251"/>
      <c r="J654" s="243"/>
      <c r="K654" s="148"/>
      <c r="L654" s="277"/>
      <c r="M654" s="252"/>
      <c r="N654" s="250"/>
      <c r="O654" s="253"/>
      <c r="P654" s="240"/>
      <c r="Q654" s="148"/>
      <c r="R654" s="148"/>
      <c r="S654" s="242"/>
      <c r="T654" s="242"/>
      <c r="U654" s="242"/>
      <c r="V654" s="242"/>
      <c r="W654" s="242"/>
      <c r="X654" s="242"/>
      <c r="Y654" s="148"/>
      <c r="Z654" s="148"/>
    </row>
    <row r="655">
      <c r="A655" s="148"/>
      <c r="B655" s="148"/>
      <c r="C655" s="148"/>
      <c r="D655" s="245"/>
      <c r="E655" s="585"/>
      <c r="F655" s="586"/>
      <c r="G655" s="148"/>
      <c r="H655" s="148"/>
      <c r="I655" s="251"/>
      <c r="J655" s="243"/>
      <c r="K655" s="148"/>
      <c r="L655" s="277"/>
      <c r="M655" s="252"/>
      <c r="N655" s="250"/>
      <c r="O655" s="253"/>
      <c r="P655" s="240"/>
      <c r="Q655" s="148"/>
      <c r="R655" s="148"/>
      <c r="S655" s="242"/>
      <c r="T655" s="242"/>
      <c r="U655" s="242"/>
      <c r="V655" s="242"/>
      <c r="W655" s="242"/>
      <c r="X655" s="242"/>
      <c r="Y655" s="148"/>
      <c r="Z655" s="148"/>
    </row>
    <row r="656">
      <c r="A656" s="148"/>
      <c r="B656" s="148"/>
      <c r="C656" s="148"/>
      <c r="D656" s="245"/>
      <c r="E656" s="585"/>
      <c r="F656" s="586"/>
      <c r="G656" s="148"/>
      <c r="H656" s="148"/>
      <c r="I656" s="251"/>
      <c r="J656" s="243"/>
      <c r="K656" s="148"/>
      <c r="L656" s="277"/>
      <c r="M656" s="252"/>
      <c r="N656" s="250"/>
      <c r="O656" s="253"/>
      <c r="P656" s="240"/>
      <c r="Q656" s="148"/>
      <c r="R656" s="148"/>
      <c r="S656" s="242"/>
      <c r="T656" s="242"/>
      <c r="U656" s="242"/>
      <c r="V656" s="242"/>
      <c r="W656" s="242"/>
      <c r="X656" s="242"/>
      <c r="Y656" s="148"/>
      <c r="Z656" s="148"/>
    </row>
    <row r="657">
      <c r="A657" s="148"/>
      <c r="B657" s="148"/>
      <c r="C657" s="148"/>
      <c r="D657" s="245"/>
      <c r="E657" s="585"/>
      <c r="F657" s="586"/>
      <c r="G657" s="148"/>
      <c r="H657" s="148"/>
      <c r="I657" s="251"/>
      <c r="J657" s="243"/>
      <c r="K657" s="148"/>
      <c r="L657" s="277"/>
      <c r="M657" s="252"/>
      <c r="N657" s="250"/>
      <c r="O657" s="253"/>
      <c r="P657" s="240"/>
      <c r="Q657" s="148"/>
      <c r="R657" s="148"/>
      <c r="S657" s="242"/>
      <c r="T657" s="242"/>
      <c r="U657" s="242"/>
      <c r="V657" s="242"/>
      <c r="W657" s="242"/>
      <c r="X657" s="242"/>
      <c r="Y657" s="148"/>
      <c r="Z657" s="148"/>
    </row>
    <row r="658">
      <c r="A658" s="148"/>
      <c r="B658" s="148"/>
      <c r="C658" s="148"/>
      <c r="D658" s="245"/>
      <c r="E658" s="585"/>
      <c r="F658" s="586"/>
      <c r="G658" s="148"/>
      <c r="H658" s="148"/>
      <c r="I658" s="251"/>
      <c r="J658" s="243"/>
      <c r="K658" s="148"/>
      <c r="L658" s="277"/>
      <c r="M658" s="252"/>
      <c r="N658" s="250"/>
      <c r="O658" s="253"/>
      <c r="P658" s="240"/>
      <c r="Q658" s="148"/>
      <c r="R658" s="148"/>
      <c r="S658" s="242"/>
      <c r="T658" s="242"/>
      <c r="U658" s="242"/>
      <c r="V658" s="242"/>
      <c r="W658" s="242"/>
      <c r="X658" s="242"/>
      <c r="Y658" s="148"/>
      <c r="Z658" s="148"/>
    </row>
    <row r="659">
      <c r="A659" s="148"/>
      <c r="B659" s="148"/>
      <c r="C659" s="148"/>
      <c r="D659" s="245"/>
      <c r="E659" s="585"/>
      <c r="F659" s="586"/>
      <c r="G659" s="148"/>
      <c r="H659" s="148"/>
      <c r="I659" s="251"/>
      <c r="J659" s="243"/>
      <c r="K659" s="148"/>
      <c r="L659" s="277"/>
      <c r="M659" s="252"/>
      <c r="N659" s="250"/>
      <c r="O659" s="253"/>
      <c r="P659" s="240"/>
      <c r="Q659" s="148"/>
      <c r="R659" s="148"/>
      <c r="S659" s="242"/>
      <c r="T659" s="242"/>
      <c r="U659" s="242"/>
      <c r="V659" s="242"/>
      <c r="W659" s="242"/>
      <c r="X659" s="242"/>
      <c r="Y659" s="148"/>
      <c r="Z659" s="148"/>
    </row>
    <row r="660">
      <c r="A660" s="148"/>
      <c r="B660" s="148"/>
      <c r="C660" s="148"/>
      <c r="D660" s="245"/>
      <c r="E660" s="585"/>
      <c r="F660" s="586"/>
      <c r="G660" s="148"/>
      <c r="H660" s="148"/>
      <c r="I660" s="251"/>
      <c r="J660" s="243"/>
      <c r="K660" s="148"/>
      <c r="L660" s="277"/>
      <c r="M660" s="252"/>
      <c r="N660" s="250"/>
      <c r="O660" s="253"/>
      <c r="P660" s="240"/>
      <c r="Q660" s="148"/>
      <c r="R660" s="148"/>
      <c r="S660" s="242"/>
      <c r="T660" s="242"/>
      <c r="U660" s="242"/>
      <c r="V660" s="242"/>
      <c r="W660" s="242"/>
      <c r="X660" s="242"/>
      <c r="Y660" s="148"/>
      <c r="Z660" s="148"/>
    </row>
  </sheetData>
  <mergeCells count="466">
    <mergeCell ref="M238:N238"/>
    <mergeCell ref="M239:N239"/>
    <mergeCell ref="M240:N240"/>
    <mergeCell ref="M237:N237"/>
    <mergeCell ref="M241:N241"/>
    <mergeCell ref="M242:N242"/>
    <mergeCell ref="M244:N244"/>
    <mergeCell ref="M245:N245"/>
    <mergeCell ref="M248:N248"/>
    <mergeCell ref="M249:N249"/>
    <mergeCell ref="M252:N252"/>
    <mergeCell ref="M253:N253"/>
    <mergeCell ref="M254:N254"/>
    <mergeCell ref="M255:N255"/>
    <mergeCell ref="M256:N256"/>
    <mergeCell ref="M257:N257"/>
    <mergeCell ref="M258:N258"/>
    <mergeCell ref="M259:N259"/>
    <mergeCell ref="M260:N260"/>
    <mergeCell ref="M261:N261"/>
    <mergeCell ref="M262:N262"/>
    <mergeCell ref="M263:N263"/>
    <mergeCell ref="M264:N264"/>
    <mergeCell ref="M265:N265"/>
    <mergeCell ref="A282:B282"/>
    <mergeCell ref="M282:N282"/>
    <mergeCell ref="A285:B286"/>
    <mergeCell ref="M285:N285"/>
    <mergeCell ref="M286:N286"/>
    <mergeCell ref="M266:N266"/>
    <mergeCell ref="G274:H274"/>
    <mergeCell ref="J275:J276"/>
    <mergeCell ref="O275:O276"/>
    <mergeCell ref="A276:B276"/>
    <mergeCell ref="A278:B278"/>
    <mergeCell ref="A280:B280"/>
    <mergeCell ref="M289:N289"/>
    <mergeCell ref="M290:N290"/>
    <mergeCell ref="M277:N277"/>
    <mergeCell ref="M278:N278"/>
    <mergeCell ref="M279:N279"/>
    <mergeCell ref="M276:N276"/>
    <mergeCell ref="M280:N280"/>
    <mergeCell ref="M281:N281"/>
    <mergeCell ref="M283:N283"/>
    <mergeCell ref="M284:N284"/>
    <mergeCell ref="M287:N287"/>
    <mergeCell ref="M288:N288"/>
    <mergeCell ref="M291:N291"/>
    <mergeCell ref="M292:N292"/>
    <mergeCell ref="M293:N293"/>
    <mergeCell ref="M294:N294"/>
    <mergeCell ref="M295:N295"/>
    <mergeCell ref="M296:N296"/>
    <mergeCell ref="M297:N297"/>
    <mergeCell ref="M298:N298"/>
    <mergeCell ref="M299:N299"/>
    <mergeCell ref="M300:N300"/>
    <mergeCell ref="M301:N301"/>
    <mergeCell ref="M302:N302"/>
    <mergeCell ref="M303:N303"/>
    <mergeCell ref="M304:N304"/>
    <mergeCell ref="A321:B321"/>
    <mergeCell ref="M321:N321"/>
    <mergeCell ref="A324:B325"/>
    <mergeCell ref="M324:N324"/>
    <mergeCell ref="M325:N325"/>
    <mergeCell ref="M305:N305"/>
    <mergeCell ref="G313:H313"/>
    <mergeCell ref="J314:J315"/>
    <mergeCell ref="O314:O315"/>
    <mergeCell ref="A315:B315"/>
    <mergeCell ref="A317:B317"/>
    <mergeCell ref="A319:B319"/>
    <mergeCell ref="M328:N328"/>
    <mergeCell ref="M329:N329"/>
    <mergeCell ref="M330:N330"/>
    <mergeCell ref="M331:N331"/>
    <mergeCell ref="M332:N332"/>
    <mergeCell ref="M333:N333"/>
    <mergeCell ref="M334:N334"/>
    <mergeCell ref="M335:N335"/>
    <mergeCell ref="M336:N336"/>
    <mergeCell ref="M337:N337"/>
    <mergeCell ref="M338:N338"/>
    <mergeCell ref="M339:N339"/>
    <mergeCell ref="M340:N340"/>
    <mergeCell ref="M341:N341"/>
    <mergeCell ref="M354:N354"/>
    <mergeCell ref="M355:N355"/>
    <mergeCell ref="A358:B358"/>
    <mergeCell ref="M358:N358"/>
    <mergeCell ref="A360:B360"/>
    <mergeCell ref="M360:N360"/>
    <mergeCell ref="A363:B364"/>
    <mergeCell ref="M363:N363"/>
    <mergeCell ref="M364:N364"/>
    <mergeCell ref="M342:N342"/>
    <mergeCell ref="M343:N343"/>
    <mergeCell ref="M344:N344"/>
    <mergeCell ref="G352:H352"/>
    <mergeCell ref="J353:J354"/>
    <mergeCell ref="A354:B354"/>
    <mergeCell ref="A356:B356"/>
    <mergeCell ref="O353:O354"/>
    <mergeCell ref="M356:N356"/>
    <mergeCell ref="M357:N357"/>
    <mergeCell ref="M359:N359"/>
    <mergeCell ref="M361:N361"/>
    <mergeCell ref="M362:N362"/>
    <mergeCell ref="M365:N365"/>
    <mergeCell ref="M366:N366"/>
    <mergeCell ref="M367:N367"/>
    <mergeCell ref="M368:N368"/>
    <mergeCell ref="M369:N369"/>
    <mergeCell ref="M370:N370"/>
    <mergeCell ref="M371:N371"/>
    <mergeCell ref="M372:N372"/>
    <mergeCell ref="M373:N373"/>
    <mergeCell ref="M374:N374"/>
    <mergeCell ref="M375:N375"/>
    <mergeCell ref="M376:N376"/>
    <mergeCell ref="M377:N377"/>
    <mergeCell ref="M378:N378"/>
    <mergeCell ref="M379:N379"/>
    <mergeCell ref="A434:B434"/>
    <mergeCell ref="A436:B436"/>
    <mergeCell ref="A438:B438"/>
    <mergeCell ref="A441:B442"/>
    <mergeCell ref="A469:B469"/>
    <mergeCell ref="D469:E469"/>
    <mergeCell ref="J431:J432"/>
    <mergeCell ref="O431:O432"/>
    <mergeCell ref="A432:B432"/>
    <mergeCell ref="M432:N432"/>
    <mergeCell ref="M433:N433"/>
    <mergeCell ref="M434:N434"/>
    <mergeCell ref="M435:N435"/>
    <mergeCell ref="M436:N436"/>
    <mergeCell ref="M437:N437"/>
    <mergeCell ref="M438:N438"/>
    <mergeCell ref="M439:N439"/>
    <mergeCell ref="M440:N440"/>
    <mergeCell ref="M441:N441"/>
    <mergeCell ref="M442:N442"/>
    <mergeCell ref="M443:N443"/>
    <mergeCell ref="M444:N444"/>
    <mergeCell ref="M445:N445"/>
    <mergeCell ref="M446:N446"/>
    <mergeCell ref="M447:N447"/>
    <mergeCell ref="M448:N448"/>
    <mergeCell ref="M449:N449"/>
    <mergeCell ref="M450:N450"/>
    <mergeCell ref="M451:N451"/>
    <mergeCell ref="M452:N452"/>
    <mergeCell ref="M453:N453"/>
    <mergeCell ref="M454:N454"/>
    <mergeCell ref="M455:N455"/>
    <mergeCell ref="M456:N456"/>
    <mergeCell ref="G495:I495"/>
    <mergeCell ref="G496:I496"/>
    <mergeCell ref="J496:K496"/>
    <mergeCell ref="A500:E500"/>
    <mergeCell ref="A505:D505"/>
    <mergeCell ref="M457:N457"/>
    <mergeCell ref="M458:N458"/>
    <mergeCell ref="M459:N459"/>
    <mergeCell ref="M460:N460"/>
    <mergeCell ref="M461:N461"/>
    <mergeCell ref="A494:N494"/>
    <mergeCell ref="J495:K495"/>
    <mergeCell ref="O392:O393"/>
    <mergeCell ref="M393:N393"/>
    <mergeCell ref="M394:N394"/>
    <mergeCell ref="M396:N396"/>
    <mergeCell ref="M398:N398"/>
    <mergeCell ref="M400:N400"/>
    <mergeCell ref="M401:N401"/>
    <mergeCell ref="M380:N380"/>
    <mergeCell ref="M381:N381"/>
    <mergeCell ref="M382:N382"/>
    <mergeCell ref="M383:N383"/>
    <mergeCell ref="G391:H391"/>
    <mergeCell ref="J392:J393"/>
    <mergeCell ref="A393:B393"/>
    <mergeCell ref="A406:B406"/>
    <mergeCell ref="M406:N406"/>
    <mergeCell ref="A395:B395"/>
    <mergeCell ref="M395:N395"/>
    <mergeCell ref="A397:B397"/>
    <mergeCell ref="M397:N397"/>
    <mergeCell ref="A399:B399"/>
    <mergeCell ref="M399:N399"/>
    <mergeCell ref="A402:B403"/>
    <mergeCell ref="M402:N402"/>
    <mergeCell ref="M403:N403"/>
    <mergeCell ref="M404:N404"/>
    <mergeCell ref="M405:N405"/>
    <mergeCell ref="M407:N407"/>
    <mergeCell ref="M408:N408"/>
    <mergeCell ref="M409:N409"/>
    <mergeCell ref="M410:N410"/>
    <mergeCell ref="M411:N411"/>
    <mergeCell ref="M412:N412"/>
    <mergeCell ref="M413:N413"/>
    <mergeCell ref="M414:N414"/>
    <mergeCell ref="M415:N415"/>
    <mergeCell ref="M416:N416"/>
    <mergeCell ref="M417:N417"/>
    <mergeCell ref="M418:N418"/>
    <mergeCell ref="M419:N419"/>
    <mergeCell ref="M420:N420"/>
    <mergeCell ref="M421:N421"/>
    <mergeCell ref="M422:N422"/>
    <mergeCell ref="G430:H430"/>
    <mergeCell ref="M5:N5"/>
    <mergeCell ref="M6:N6"/>
    <mergeCell ref="A9:B9"/>
    <mergeCell ref="M9:N9"/>
    <mergeCell ref="A12:B13"/>
    <mergeCell ref="M12:N12"/>
    <mergeCell ref="M13:N13"/>
    <mergeCell ref="G1:H1"/>
    <mergeCell ref="J2:J3"/>
    <mergeCell ref="O2:O3"/>
    <mergeCell ref="A3:B3"/>
    <mergeCell ref="M3:N3"/>
    <mergeCell ref="A5:B5"/>
    <mergeCell ref="A7:B7"/>
    <mergeCell ref="M4:N4"/>
    <mergeCell ref="M7:N7"/>
    <mergeCell ref="M8:N8"/>
    <mergeCell ref="M10:N10"/>
    <mergeCell ref="M11:N11"/>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O41:O42"/>
    <mergeCell ref="M44:N44"/>
    <mergeCell ref="A46:B46"/>
    <mergeCell ref="M46:N46"/>
    <mergeCell ref="A48:B48"/>
    <mergeCell ref="M48:N48"/>
    <mergeCell ref="A51:B52"/>
    <mergeCell ref="M51:N51"/>
    <mergeCell ref="M52:N52"/>
    <mergeCell ref="M30:N30"/>
    <mergeCell ref="M31:N31"/>
    <mergeCell ref="M32:N32"/>
    <mergeCell ref="G40:H40"/>
    <mergeCell ref="J41:J42"/>
    <mergeCell ref="A42:B42"/>
    <mergeCell ref="A44:B44"/>
    <mergeCell ref="M42:N42"/>
    <mergeCell ref="M43:N43"/>
    <mergeCell ref="M45:N45"/>
    <mergeCell ref="M47:N47"/>
    <mergeCell ref="M49:N49"/>
    <mergeCell ref="M50:N50"/>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O80:O81"/>
    <mergeCell ref="M81:N81"/>
    <mergeCell ref="M82:N82"/>
    <mergeCell ref="M84:N84"/>
    <mergeCell ref="M86:N86"/>
    <mergeCell ref="M88:N88"/>
    <mergeCell ref="M89:N89"/>
    <mergeCell ref="M68:N68"/>
    <mergeCell ref="M69:N69"/>
    <mergeCell ref="M70:N70"/>
    <mergeCell ref="M71:N71"/>
    <mergeCell ref="G79:H79"/>
    <mergeCell ref="J80:J81"/>
    <mergeCell ref="A81:B81"/>
    <mergeCell ref="A83:B83"/>
    <mergeCell ref="M83:N83"/>
    <mergeCell ref="A85:B85"/>
    <mergeCell ref="M85:N85"/>
    <mergeCell ref="A87:B87"/>
    <mergeCell ref="M87:N87"/>
    <mergeCell ref="A90:B91"/>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A126:B126"/>
    <mergeCell ref="M126:N126"/>
    <mergeCell ref="A129:B130"/>
    <mergeCell ref="M129:N129"/>
    <mergeCell ref="M130:N130"/>
    <mergeCell ref="G118:H118"/>
    <mergeCell ref="J119:J120"/>
    <mergeCell ref="O119:O120"/>
    <mergeCell ref="A120:B120"/>
    <mergeCell ref="M120:N120"/>
    <mergeCell ref="A122:B122"/>
    <mergeCell ref="A124:B124"/>
    <mergeCell ref="M133:N133"/>
    <mergeCell ref="M134:N134"/>
    <mergeCell ref="M122:N122"/>
    <mergeCell ref="M123:N123"/>
    <mergeCell ref="M121:N121"/>
    <mergeCell ref="M124:N124"/>
    <mergeCell ref="M125:N125"/>
    <mergeCell ref="M127:N127"/>
    <mergeCell ref="M128:N128"/>
    <mergeCell ref="M131:N131"/>
    <mergeCell ref="M132:N132"/>
    <mergeCell ref="M135:N135"/>
    <mergeCell ref="M136:N136"/>
    <mergeCell ref="M137:N137"/>
    <mergeCell ref="M138:N138"/>
    <mergeCell ref="M139:N139"/>
    <mergeCell ref="M140:N140"/>
    <mergeCell ref="M141:N141"/>
    <mergeCell ref="M142:N142"/>
    <mergeCell ref="M143:N143"/>
    <mergeCell ref="M144:N144"/>
    <mergeCell ref="M145:N145"/>
    <mergeCell ref="M146:N146"/>
    <mergeCell ref="M147:N147"/>
    <mergeCell ref="M148:N148"/>
    <mergeCell ref="A165:B165"/>
    <mergeCell ref="M165:N165"/>
    <mergeCell ref="A168:B169"/>
    <mergeCell ref="M168:N168"/>
    <mergeCell ref="M169:N169"/>
    <mergeCell ref="M149:N149"/>
    <mergeCell ref="G157:H157"/>
    <mergeCell ref="J158:J159"/>
    <mergeCell ref="O158:O159"/>
    <mergeCell ref="A159:B159"/>
    <mergeCell ref="A161:B161"/>
    <mergeCell ref="A163:B163"/>
    <mergeCell ref="M172:N172"/>
    <mergeCell ref="M173:N173"/>
    <mergeCell ref="M160:N160"/>
    <mergeCell ref="M161:N161"/>
    <mergeCell ref="M162:N162"/>
    <mergeCell ref="M159:N159"/>
    <mergeCell ref="M163:N163"/>
    <mergeCell ref="M164:N164"/>
    <mergeCell ref="M166:N166"/>
    <mergeCell ref="M167:N167"/>
    <mergeCell ref="M170:N170"/>
    <mergeCell ref="M171:N171"/>
    <mergeCell ref="M174:N174"/>
    <mergeCell ref="M175:N175"/>
    <mergeCell ref="M176:N176"/>
    <mergeCell ref="M177:N177"/>
    <mergeCell ref="M178:N178"/>
    <mergeCell ref="M179:N179"/>
    <mergeCell ref="M180:N180"/>
    <mergeCell ref="M181:N181"/>
    <mergeCell ref="M182:N182"/>
    <mergeCell ref="M183:N183"/>
    <mergeCell ref="M184:N184"/>
    <mergeCell ref="M185:N185"/>
    <mergeCell ref="M186:N186"/>
    <mergeCell ref="M187:N187"/>
    <mergeCell ref="A204:B204"/>
    <mergeCell ref="M204:N204"/>
    <mergeCell ref="A207:B208"/>
    <mergeCell ref="M207:N207"/>
    <mergeCell ref="M208:N208"/>
    <mergeCell ref="M188:N188"/>
    <mergeCell ref="G196:H196"/>
    <mergeCell ref="J197:J198"/>
    <mergeCell ref="O197:O198"/>
    <mergeCell ref="A198:B198"/>
    <mergeCell ref="A200:B200"/>
    <mergeCell ref="A202:B202"/>
    <mergeCell ref="M211:N211"/>
    <mergeCell ref="M212:N212"/>
    <mergeCell ref="M199:N199"/>
    <mergeCell ref="M200:N200"/>
    <mergeCell ref="M201:N201"/>
    <mergeCell ref="M198:N198"/>
    <mergeCell ref="M202:N202"/>
    <mergeCell ref="M203:N203"/>
    <mergeCell ref="M205:N205"/>
    <mergeCell ref="M206:N206"/>
    <mergeCell ref="M209:N209"/>
    <mergeCell ref="M210:N210"/>
    <mergeCell ref="M213:N213"/>
    <mergeCell ref="M214:N214"/>
    <mergeCell ref="M215:N215"/>
    <mergeCell ref="M216:N216"/>
    <mergeCell ref="M217:N217"/>
    <mergeCell ref="M218:N218"/>
    <mergeCell ref="M219:N219"/>
    <mergeCell ref="M220:N220"/>
    <mergeCell ref="M221:N221"/>
    <mergeCell ref="M222:N222"/>
    <mergeCell ref="M223:N223"/>
    <mergeCell ref="M224:N224"/>
    <mergeCell ref="M225:N225"/>
    <mergeCell ref="M226:N226"/>
    <mergeCell ref="A243:B243"/>
    <mergeCell ref="M243:N243"/>
    <mergeCell ref="A246:B247"/>
    <mergeCell ref="M246:N246"/>
    <mergeCell ref="M247:N247"/>
    <mergeCell ref="M227:N227"/>
    <mergeCell ref="G235:H235"/>
    <mergeCell ref="J236:J237"/>
    <mergeCell ref="O236:O237"/>
    <mergeCell ref="A237:B237"/>
    <mergeCell ref="A239:B239"/>
    <mergeCell ref="A241:B241"/>
    <mergeCell ref="M250:N250"/>
    <mergeCell ref="M251:N251"/>
    <mergeCell ref="M316:N316"/>
    <mergeCell ref="M317:N317"/>
    <mergeCell ref="M318:N318"/>
    <mergeCell ref="M315:N315"/>
    <mergeCell ref="M319:N319"/>
    <mergeCell ref="M320:N320"/>
    <mergeCell ref="M322:N322"/>
    <mergeCell ref="M323:N323"/>
    <mergeCell ref="M326:N326"/>
    <mergeCell ref="M327:N327"/>
  </mergeCells>
  <conditionalFormatting sqref="B18:B19 B43 B45 B47 B49:B50 B53:B65 B67:B80 B82 B84 B92:B119 B121 B123 B125 B127:B128 B131:B158 B160 B162 B164 B166:B167 B170:B197 B199 B201 B203 B205:B206 B209:B236 B238 B240 B242 B244:B245 B248:B275 B277 B279 B281 B283:B284 B287:B314 B316 B318 B320 B322:B323 B326:B353 B355 B357 B359 B361:B362 B365:B392 B394 B396 B398 B400:B401 B404:B405 B407:B431 B433 B435 B437 B439:B440 B443:B468 B470:B493 B496:B497 B554:B660">
    <cfRule type="notContainsBlanks" dxfId="0" priority="1">
      <formula>LEN(TRIM(B18))&gt;0</formula>
    </cfRule>
  </conditionalFormatting>
  <conditionalFormatting sqref="P1:P11 P25:P50 P64:P77 P79:P89 P103:P116 P118:P128 P142:P155 P157:P167 P181:P194 P196:P206 P220:P233 P235:P245 P259:P272 P274:P284 P298:P311 P313:P323 P337:P350 P352:P362 P376:P389 P391:P401 P415:P428 P430:P440 P454:P467">
    <cfRule type="notContainsBlanks" dxfId="0" priority="2">
      <formula>LEN(TRIM(P1))&gt;0</formula>
    </cfRule>
  </conditionalFormatting>
  <conditionalFormatting sqref="D1:D468 D488:D493 D496:D497 D554:D660">
    <cfRule type="notContainsBlanks" dxfId="0" priority="3">
      <formula>LEN(TRIM(D1))&gt;0</formula>
    </cfRule>
  </conditionalFormatting>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26.0"/>
    <col customWidth="1" min="2" max="2" width="9.5"/>
    <col customWidth="1" min="3" max="3" width="13.63"/>
    <col customWidth="1" min="4" max="4" width="13.25"/>
    <col customWidth="1" min="5" max="5" width="15.13"/>
    <col customWidth="1" min="6" max="6" width="9.38"/>
    <col customWidth="1" min="7" max="7" width="3.75"/>
    <col customWidth="1" min="8" max="8" width="3.88"/>
    <col customWidth="1" min="9" max="9" width="1.25"/>
    <col customWidth="1" min="10" max="10" width="16.5"/>
    <col customWidth="1" min="11" max="11" width="0.5"/>
    <col customWidth="1" min="12" max="12" width="8.13"/>
    <col customWidth="1" min="13" max="13" width="17.13"/>
    <col customWidth="1" min="14" max="14" width="16.88"/>
    <col customWidth="1" min="15" max="15" width="12.75"/>
    <col customWidth="1" min="16" max="16" width="8.88"/>
    <col customWidth="1" min="17" max="17" width="1.63"/>
    <col customWidth="1" min="18" max="18" width="1.75"/>
    <col customWidth="1" min="19" max="19" width="2.13"/>
    <col customWidth="1" min="20" max="20" width="8.13"/>
    <col customWidth="1" min="21" max="21" width="9.5"/>
    <col customWidth="1" min="22" max="22" width="9.75"/>
    <col customWidth="1" min="23" max="23" width="5.75"/>
    <col customWidth="1" min="24" max="24" width="11.13"/>
    <col customWidth="1" min="25" max="25" width="6.88"/>
    <col customWidth="1" min="26" max="26" width="9.0"/>
  </cols>
  <sheetData>
    <row r="1">
      <c r="A1" s="169" t="s">
        <v>113</v>
      </c>
      <c r="B1" s="539"/>
      <c r="C1" s="540"/>
      <c r="D1" s="405"/>
      <c r="E1" s="541"/>
      <c r="F1" s="542"/>
      <c r="G1" s="467" t="s">
        <v>333</v>
      </c>
      <c r="H1" s="361"/>
      <c r="I1" s="57"/>
      <c r="J1" s="105"/>
      <c r="K1" s="57"/>
      <c r="L1" s="150"/>
      <c r="M1" s="239"/>
      <c r="N1" s="239"/>
      <c r="O1" s="57"/>
      <c r="P1" s="157"/>
      <c r="Q1" s="404"/>
      <c r="R1" s="57"/>
      <c r="S1" s="394"/>
      <c r="T1" s="394"/>
      <c r="U1" s="394"/>
      <c r="V1" s="394"/>
      <c r="W1" s="394"/>
      <c r="X1" s="394"/>
      <c r="Y1" s="395"/>
      <c r="Z1" s="395"/>
    </row>
    <row r="2">
      <c r="A2" s="468"/>
      <c r="B2" s="157"/>
      <c r="C2" s="466"/>
      <c r="D2" s="405"/>
      <c r="E2" s="543" t="s">
        <v>335</v>
      </c>
      <c r="F2" s="544" t="s">
        <v>237</v>
      </c>
      <c r="G2" s="412" t="s">
        <v>336</v>
      </c>
      <c r="H2" s="413" t="s">
        <v>337</v>
      </c>
      <c r="I2" s="239"/>
      <c r="J2" s="145" t="s">
        <v>60</v>
      </c>
      <c r="K2" s="57"/>
      <c r="L2" s="150"/>
      <c r="M2" s="414"/>
      <c r="N2" s="414"/>
      <c r="O2" s="57" t="s">
        <v>334</v>
      </c>
      <c r="P2" s="157"/>
      <c r="Q2" s="404"/>
      <c r="R2" s="57"/>
      <c r="S2" s="399"/>
      <c r="T2" s="399"/>
      <c r="U2" s="399"/>
      <c r="V2" s="399"/>
      <c r="W2" s="399"/>
      <c r="X2" s="399"/>
      <c r="Y2" s="400"/>
      <c r="Z2" s="400"/>
    </row>
    <row r="3">
      <c r="A3" s="470" t="s">
        <v>179</v>
      </c>
      <c r="C3" s="416">
        <f>SUM(F3:F37)</f>
        <v>2620</v>
      </c>
      <c r="D3" s="405"/>
      <c r="E3" s="545"/>
      <c r="F3" s="546"/>
      <c r="G3" s="578"/>
      <c r="H3" s="419"/>
      <c r="I3" s="57"/>
      <c r="K3" s="57"/>
      <c r="L3" s="150"/>
      <c r="M3" s="377" t="s">
        <v>366</v>
      </c>
      <c r="P3" s="157"/>
      <c r="Q3" s="404"/>
      <c r="R3" s="57"/>
      <c r="S3" s="399"/>
      <c r="T3" s="399"/>
      <c r="U3" s="399"/>
      <c r="V3" s="399"/>
      <c r="W3" s="399"/>
      <c r="X3" s="399"/>
      <c r="Y3" s="400"/>
      <c r="Z3" s="400"/>
    </row>
    <row r="4">
      <c r="A4" s="421" t="s">
        <v>343</v>
      </c>
      <c r="B4" s="422" t="s">
        <v>321</v>
      </c>
      <c r="C4" s="416">
        <f>SUM(P4:P37)</f>
        <v>260</v>
      </c>
      <c r="D4" s="157"/>
      <c r="E4" s="545"/>
      <c r="F4" s="546"/>
      <c r="G4" s="578"/>
      <c r="H4" s="419"/>
      <c r="I4" s="239"/>
      <c r="J4" s="471" t="s">
        <v>341</v>
      </c>
      <c r="K4" s="420"/>
      <c r="L4" s="150"/>
      <c r="M4" s="374"/>
      <c r="O4" s="426" t="s">
        <v>1125</v>
      </c>
      <c r="P4" s="423">
        <v>260.0</v>
      </c>
      <c r="Q4" s="404"/>
      <c r="R4" s="57"/>
      <c r="S4" s="394"/>
      <c r="T4" s="394"/>
      <c r="U4" s="394"/>
      <c r="V4" s="394"/>
      <c r="W4" s="394"/>
      <c r="X4" s="394"/>
      <c r="Y4" s="395"/>
      <c r="Z4" s="395"/>
    </row>
    <row r="5">
      <c r="A5" s="427" t="s">
        <v>201</v>
      </c>
      <c r="C5" s="204">
        <f>SUM(L4:L37)</f>
        <v>2332</v>
      </c>
      <c r="D5" s="157"/>
      <c r="E5" s="545"/>
      <c r="F5" s="547"/>
      <c r="G5" s="578"/>
      <c r="H5" s="419"/>
      <c r="I5" s="239"/>
      <c r="J5" s="472" t="s">
        <v>345</v>
      </c>
      <c r="K5" s="420"/>
      <c r="L5" s="150"/>
      <c r="M5" s="374"/>
      <c r="O5" s="431"/>
      <c r="P5" s="423"/>
      <c r="Q5" s="404"/>
      <c r="R5" s="57"/>
      <c r="S5" s="394"/>
      <c r="T5" s="394"/>
      <c r="U5" s="394"/>
      <c r="V5" s="394"/>
      <c r="W5" s="394"/>
      <c r="X5" s="394"/>
      <c r="Y5" s="395"/>
      <c r="Z5" s="395"/>
    </row>
    <row r="6">
      <c r="A6" s="548" t="s">
        <v>761</v>
      </c>
      <c r="B6" s="549">
        <v>0.4</v>
      </c>
      <c r="C6" s="191"/>
      <c r="D6" s="157"/>
      <c r="E6" s="550" t="s">
        <v>695</v>
      </c>
      <c r="F6" s="546"/>
      <c r="G6" s="578"/>
      <c r="H6" s="419"/>
      <c r="I6" s="239"/>
      <c r="J6" s="433" t="s">
        <v>656</v>
      </c>
      <c r="K6" s="420"/>
      <c r="L6" s="193">
        <v>160.0</v>
      </c>
      <c r="M6" s="377" t="s">
        <v>1126</v>
      </c>
      <c r="O6" s="431"/>
      <c r="P6" s="423"/>
      <c r="Q6" s="404"/>
      <c r="R6" s="57"/>
      <c r="S6" s="394"/>
      <c r="T6" s="394"/>
      <c r="U6" s="394"/>
      <c r="V6" s="394"/>
      <c r="W6" s="394"/>
      <c r="X6" s="394"/>
      <c r="Y6" s="395"/>
      <c r="Z6" s="395"/>
    </row>
    <row r="7">
      <c r="A7" s="434" t="s">
        <v>350</v>
      </c>
      <c r="C7" s="551">
        <f>C3-C5-C6</f>
        <v>288</v>
      </c>
      <c r="D7" s="157"/>
      <c r="E7" s="655" t="s">
        <v>1127</v>
      </c>
      <c r="F7" s="656">
        <v>220.0</v>
      </c>
      <c r="G7" s="579"/>
      <c r="H7" s="419"/>
      <c r="I7" s="57"/>
      <c r="J7" s="444" t="s">
        <v>658</v>
      </c>
      <c r="K7" s="420"/>
      <c r="L7" s="193"/>
      <c r="M7" s="377"/>
      <c r="O7" s="431"/>
      <c r="P7" s="157"/>
      <c r="Q7" s="404"/>
      <c r="R7" s="57"/>
      <c r="S7" s="394"/>
      <c r="T7" s="394"/>
      <c r="U7" s="394"/>
      <c r="V7" s="394"/>
      <c r="W7" s="394"/>
      <c r="X7" s="394"/>
      <c r="Y7" s="395"/>
      <c r="Z7" s="395"/>
    </row>
    <row r="8">
      <c r="A8" s="554"/>
      <c r="B8" s="555"/>
      <c r="C8" s="447"/>
      <c r="D8" s="157"/>
      <c r="E8" s="655" t="s">
        <v>424</v>
      </c>
      <c r="F8" s="656">
        <v>320.0</v>
      </c>
      <c r="G8" s="578"/>
      <c r="H8" s="419"/>
      <c r="I8" s="57"/>
      <c r="J8" s="444" t="s">
        <v>660</v>
      </c>
      <c r="K8" s="420"/>
      <c r="L8" s="193">
        <v>320.0</v>
      </c>
      <c r="M8" s="377"/>
      <c r="O8" s="431"/>
      <c r="P8" s="157"/>
      <c r="Q8" s="404"/>
      <c r="R8" s="57"/>
      <c r="S8" s="394"/>
      <c r="T8" s="394"/>
      <c r="U8" s="394"/>
      <c r="V8" s="394"/>
      <c r="W8" s="394"/>
      <c r="X8" s="394"/>
      <c r="Y8" s="395"/>
      <c r="Z8" s="395"/>
    </row>
    <row r="9">
      <c r="A9" s="556"/>
      <c r="C9" s="395"/>
      <c r="D9" s="157"/>
      <c r="E9" s="192" t="s">
        <v>1125</v>
      </c>
      <c r="F9" s="546">
        <v>65.0</v>
      </c>
      <c r="G9" s="689" t="s">
        <v>426</v>
      </c>
      <c r="H9" s="419"/>
      <c r="I9" s="239"/>
      <c r="J9" s="370" t="s">
        <v>662</v>
      </c>
      <c r="K9" s="420"/>
      <c r="L9" s="193"/>
      <c r="M9" s="377"/>
      <c r="O9" s="431"/>
      <c r="P9" s="157"/>
      <c r="Q9" s="404"/>
      <c r="R9" s="57"/>
      <c r="S9" s="394"/>
      <c r="T9" s="394"/>
      <c r="U9" s="394"/>
      <c r="V9" s="394"/>
      <c r="W9" s="394"/>
      <c r="X9" s="394"/>
      <c r="Y9" s="395"/>
      <c r="Z9" s="395"/>
    </row>
    <row r="10">
      <c r="A10" s="557"/>
      <c r="B10" s="109"/>
      <c r="C10" s="395"/>
      <c r="D10" s="373"/>
      <c r="E10" s="192" t="s">
        <v>1128</v>
      </c>
      <c r="F10" s="546">
        <v>700.0</v>
      </c>
      <c r="G10" s="690"/>
      <c r="H10" s="419"/>
      <c r="I10" s="239"/>
      <c r="J10" s="433" t="s">
        <v>666</v>
      </c>
      <c r="K10" s="420"/>
      <c r="L10" s="150"/>
      <c r="M10" s="374"/>
      <c r="O10" s="431"/>
      <c r="P10" s="157"/>
      <c r="Q10" s="404"/>
      <c r="R10" s="57"/>
      <c r="S10" s="394"/>
      <c r="T10" s="394"/>
      <c r="U10" s="394"/>
      <c r="V10" s="394"/>
      <c r="W10" s="394"/>
      <c r="X10" s="394"/>
      <c r="Y10" s="395"/>
      <c r="Z10" s="395"/>
    </row>
    <row r="11">
      <c r="A11" s="559" t="s">
        <v>765</v>
      </c>
      <c r="B11" s="560">
        <f>SUM(D11:D37)</f>
        <v>765</v>
      </c>
      <c r="C11" s="477" t="s">
        <v>366</v>
      </c>
      <c r="D11" s="157"/>
      <c r="E11" s="192" t="s">
        <v>1125</v>
      </c>
      <c r="F11" s="546">
        <v>195.0</v>
      </c>
      <c r="G11" s="690" t="s">
        <v>426</v>
      </c>
      <c r="H11" s="419"/>
      <c r="I11" s="239"/>
      <c r="J11" s="433" t="s">
        <v>668</v>
      </c>
      <c r="K11" s="420"/>
      <c r="L11" s="193">
        <v>60.0</v>
      </c>
      <c r="M11" s="377" t="s">
        <v>1129</v>
      </c>
      <c r="O11" s="431"/>
      <c r="P11" s="157"/>
      <c r="Q11" s="404"/>
      <c r="R11" s="57"/>
      <c r="S11" s="394"/>
      <c r="T11" s="394"/>
      <c r="U11" s="394"/>
      <c r="V11" s="394"/>
      <c r="W11" s="394"/>
      <c r="X11" s="394"/>
      <c r="Y11" s="395"/>
      <c r="Z11" s="395"/>
    </row>
    <row r="12">
      <c r="A12" s="453" t="s">
        <v>369</v>
      </c>
      <c r="C12" s="561" t="s">
        <v>766</v>
      </c>
      <c r="D12" s="423"/>
      <c r="E12" s="192" t="s">
        <v>1130</v>
      </c>
      <c r="F12" s="546">
        <v>500.0</v>
      </c>
      <c r="G12" s="562"/>
      <c r="H12" s="419"/>
      <c r="I12" s="239"/>
      <c r="J12" s="433" t="s">
        <v>670</v>
      </c>
      <c r="K12" s="458"/>
      <c r="L12" s="193">
        <v>1250.0</v>
      </c>
      <c r="M12" s="377"/>
      <c r="O12" s="431"/>
      <c r="P12" s="157"/>
      <c r="Q12" s="404"/>
      <c r="R12" s="57"/>
      <c r="S12" s="394"/>
      <c r="T12" s="394"/>
      <c r="U12" s="394"/>
      <c r="V12" s="394"/>
      <c r="W12" s="394"/>
      <c r="X12" s="394"/>
      <c r="Y12" s="395"/>
      <c r="Z12" s="395"/>
    </row>
    <row r="13">
      <c r="C13" s="561" t="s">
        <v>767</v>
      </c>
      <c r="D13" s="423"/>
      <c r="E13" s="192"/>
      <c r="F13" s="546"/>
      <c r="G13" s="578"/>
      <c r="H13" s="419"/>
      <c r="I13" s="239"/>
      <c r="J13" s="433" t="s">
        <v>217</v>
      </c>
      <c r="K13" s="458"/>
      <c r="L13" s="150"/>
      <c r="M13" s="377"/>
      <c r="O13" s="431"/>
      <c r="P13" s="157"/>
      <c r="Q13" s="404"/>
      <c r="R13" s="57"/>
      <c r="S13" s="394"/>
      <c r="T13" s="394"/>
      <c r="U13" s="394"/>
      <c r="V13" s="394"/>
      <c r="W13" s="394"/>
      <c r="X13" s="394"/>
      <c r="Y13" s="395"/>
      <c r="Z13" s="395"/>
    </row>
    <row r="14">
      <c r="A14" s="57"/>
      <c r="B14" s="57"/>
      <c r="C14" s="561" t="s">
        <v>768</v>
      </c>
      <c r="D14" s="423"/>
      <c r="E14" s="192" t="s">
        <v>696</v>
      </c>
      <c r="F14" s="546">
        <v>80.0</v>
      </c>
      <c r="G14" s="578"/>
      <c r="H14" s="419"/>
      <c r="I14" s="239"/>
      <c r="J14" s="109"/>
      <c r="K14" s="420"/>
      <c r="L14" s="193"/>
      <c r="M14" s="374"/>
      <c r="O14" s="431"/>
      <c r="P14" s="157"/>
      <c r="Q14" s="404"/>
      <c r="R14" s="57"/>
      <c r="S14" s="394"/>
      <c r="T14" s="394"/>
      <c r="U14" s="394"/>
      <c r="V14" s="394"/>
      <c r="W14" s="394"/>
      <c r="X14" s="394"/>
      <c r="Y14" s="395"/>
      <c r="Z14" s="395"/>
    </row>
    <row r="15">
      <c r="A15" s="57"/>
      <c r="B15" s="57"/>
      <c r="C15" s="561" t="s">
        <v>769</v>
      </c>
      <c r="D15" s="157"/>
      <c r="E15" s="192" t="s">
        <v>862</v>
      </c>
      <c r="F15" s="546">
        <v>280.0</v>
      </c>
      <c r="G15" s="578"/>
      <c r="H15" s="419"/>
      <c r="I15" s="239"/>
      <c r="J15" s="456" t="s">
        <v>672</v>
      </c>
      <c r="K15" s="420"/>
      <c r="L15" s="150"/>
      <c r="M15" s="377"/>
      <c r="O15" s="431"/>
      <c r="P15" s="157"/>
      <c r="Q15" s="404"/>
      <c r="R15" s="57"/>
      <c r="S15" s="394"/>
      <c r="T15" s="394"/>
      <c r="U15" s="394"/>
      <c r="V15" s="394"/>
      <c r="W15" s="394"/>
      <c r="X15" s="394"/>
      <c r="Y15" s="395"/>
      <c r="Z15" s="395"/>
    </row>
    <row r="16">
      <c r="A16" s="57"/>
      <c r="B16" s="57"/>
      <c r="C16" s="561" t="s">
        <v>770</v>
      </c>
      <c r="D16" s="423"/>
      <c r="E16" s="192" t="s">
        <v>873</v>
      </c>
      <c r="F16" s="546">
        <v>260.0</v>
      </c>
      <c r="G16" s="562" t="s">
        <v>426</v>
      </c>
      <c r="H16" s="419"/>
      <c r="I16" s="57"/>
      <c r="J16" s="456" t="s">
        <v>675</v>
      </c>
      <c r="K16" s="420"/>
      <c r="L16" s="193">
        <v>20.0</v>
      </c>
      <c r="M16" s="382" t="s">
        <v>1131</v>
      </c>
      <c r="O16" s="431"/>
      <c r="P16" s="157"/>
      <c r="Q16" s="404"/>
      <c r="R16" s="57"/>
      <c r="S16" s="394"/>
      <c r="T16" s="394"/>
      <c r="U16" s="394"/>
      <c r="V16" s="394"/>
      <c r="W16" s="394"/>
      <c r="X16" s="394"/>
      <c r="Y16" s="395"/>
      <c r="Z16" s="395"/>
    </row>
    <row r="17">
      <c r="A17" s="57"/>
      <c r="B17" s="57"/>
      <c r="C17" s="563" t="s">
        <v>771</v>
      </c>
      <c r="D17" s="423"/>
      <c r="E17" s="228"/>
      <c r="F17" s="547"/>
      <c r="G17" s="579"/>
      <c r="H17" s="419"/>
      <c r="I17" s="57"/>
      <c r="J17" s="456"/>
      <c r="K17" s="420"/>
      <c r="L17" s="150"/>
      <c r="M17" s="425"/>
      <c r="O17" s="431"/>
      <c r="P17" s="157"/>
      <c r="Q17" s="404"/>
      <c r="R17" s="57"/>
      <c r="S17" s="394"/>
      <c r="T17" s="394"/>
      <c r="U17" s="394"/>
      <c r="V17" s="394"/>
      <c r="W17" s="394"/>
      <c r="X17" s="394"/>
      <c r="Y17" s="395"/>
      <c r="Z17" s="395"/>
    </row>
    <row r="18">
      <c r="A18" s="239"/>
      <c r="B18" s="57"/>
      <c r="C18" s="563" t="s">
        <v>772</v>
      </c>
      <c r="D18" s="157"/>
      <c r="E18" s="228"/>
      <c r="F18" s="547"/>
      <c r="G18" s="578"/>
      <c r="H18" s="419"/>
      <c r="I18" s="57"/>
      <c r="J18" s="375"/>
      <c r="K18" s="420"/>
      <c r="L18" s="150"/>
      <c r="M18" s="425"/>
      <c r="O18" s="431"/>
      <c r="P18" s="157"/>
      <c r="Q18" s="404"/>
      <c r="R18" s="57"/>
      <c r="S18" s="394"/>
      <c r="T18" s="394"/>
      <c r="U18" s="394"/>
      <c r="V18" s="394"/>
      <c r="W18" s="394"/>
      <c r="X18" s="394"/>
      <c r="Y18" s="395"/>
      <c r="Z18" s="395"/>
    </row>
    <row r="19">
      <c r="A19" s="238" t="s">
        <v>1132</v>
      </c>
      <c r="B19" s="57"/>
      <c r="C19" s="561" t="s">
        <v>18</v>
      </c>
      <c r="D19" s="423">
        <v>365.0</v>
      </c>
      <c r="E19" s="228"/>
      <c r="F19" s="547"/>
      <c r="G19" s="578"/>
      <c r="H19" s="419"/>
      <c r="I19" s="57"/>
      <c r="J19" s="375"/>
      <c r="K19" s="420"/>
      <c r="L19" s="193"/>
      <c r="M19" s="382"/>
      <c r="O19" s="431"/>
      <c r="P19" s="157"/>
      <c r="Q19" s="404"/>
      <c r="R19" s="57"/>
      <c r="S19" s="394"/>
      <c r="T19" s="394"/>
      <c r="U19" s="394"/>
      <c r="V19" s="394"/>
      <c r="W19" s="394"/>
      <c r="X19" s="394"/>
      <c r="Y19" s="395"/>
      <c r="Z19" s="395"/>
    </row>
    <row r="20">
      <c r="A20" s="239"/>
      <c r="B20" s="57"/>
      <c r="C20" s="563" t="s">
        <v>1115</v>
      </c>
      <c r="D20" s="423">
        <v>400.0</v>
      </c>
      <c r="E20" s="228"/>
      <c r="F20" s="547"/>
      <c r="G20" s="579"/>
      <c r="H20" s="419"/>
      <c r="I20" s="57"/>
      <c r="J20" s="452"/>
      <c r="K20" s="420"/>
      <c r="L20" s="150"/>
      <c r="M20" s="425"/>
      <c r="O20" s="431"/>
      <c r="P20" s="157"/>
      <c r="Q20" s="404"/>
      <c r="R20" s="57"/>
      <c r="S20" s="394"/>
      <c r="T20" s="394"/>
      <c r="U20" s="394"/>
      <c r="V20" s="394"/>
      <c r="W20" s="394"/>
      <c r="X20" s="394"/>
      <c r="Y20" s="395"/>
      <c r="Z20" s="395"/>
    </row>
    <row r="21">
      <c r="A21" s="57"/>
      <c r="B21" s="57"/>
      <c r="C21" s="561" t="s">
        <v>1116</v>
      </c>
      <c r="D21" s="423"/>
      <c r="E21" s="228"/>
      <c r="F21" s="547"/>
      <c r="G21" s="578"/>
      <c r="H21" s="419"/>
      <c r="I21" s="57"/>
      <c r="J21" s="105"/>
      <c r="K21" s="420"/>
      <c r="L21" s="150"/>
      <c r="M21" s="425"/>
      <c r="O21" s="431"/>
      <c r="P21" s="157"/>
      <c r="Q21" s="404"/>
      <c r="R21" s="57"/>
      <c r="S21" s="394"/>
      <c r="T21" s="394"/>
      <c r="U21" s="394"/>
      <c r="V21" s="394"/>
      <c r="W21" s="394"/>
      <c r="X21" s="394"/>
      <c r="Y21" s="395"/>
      <c r="Z21" s="395"/>
    </row>
    <row r="22">
      <c r="A22" s="239"/>
      <c r="B22" s="239"/>
      <c r="C22" s="561" t="s">
        <v>775</v>
      </c>
      <c r="D22" s="423"/>
      <c r="E22" s="228"/>
      <c r="F22" s="547"/>
      <c r="G22" s="578"/>
      <c r="H22" s="419"/>
      <c r="I22" s="57"/>
      <c r="J22" s="378" t="s">
        <v>682</v>
      </c>
      <c r="K22" s="420"/>
      <c r="L22" s="193">
        <v>522.0</v>
      </c>
      <c r="M22" s="377" t="s">
        <v>1133</v>
      </c>
      <c r="O22" s="431"/>
      <c r="P22" s="157"/>
      <c r="Q22" s="404"/>
      <c r="R22" s="57"/>
      <c r="S22" s="394"/>
      <c r="T22" s="394"/>
      <c r="U22" s="394"/>
      <c r="V22" s="394"/>
      <c r="W22" s="394"/>
      <c r="X22" s="394"/>
      <c r="Y22" s="395"/>
      <c r="Z22" s="395"/>
    </row>
    <row r="23">
      <c r="A23" s="239"/>
      <c r="B23" s="239"/>
      <c r="C23" s="561" t="s">
        <v>10</v>
      </c>
      <c r="D23" s="157"/>
      <c r="E23" s="206"/>
      <c r="F23" s="564"/>
      <c r="G23" s="581"/>
      <c r="H23" s="419"/>
      <c r="I23" s="57"/>
      <c r="J23" s="461" t="s">
        <v>684</v>
      </c>
      <c r="K23" s="420"/>
      <c r="L23" s="567"/>
      <c r="M23" s="658"/>
      <c r="O23" s="431"/>
      <c r="P23" s="157"/>
      <c r="Q23" s="404"/>
      <c r="R23" s="57"/>
      <c r="S23" s="394"/>
      <c r="T23" s="394"/>
      <c r="U23" s="394"/>
      <c r="V23" s="394"/>
      <c r="W23" s="394"/>
      <c r="X23" s="394"/>
      <c r="Y23" s="395"/>
      <c r="Z23" s="395"/>
    </row>
    <row r="24">
      <c r="A24" s="239"/>
      <c r="B24" s="239"/>
      <c r="C24" s="561" t="s">
        <v>6</v>
      </c>
      <c r="D24" s="423"/>
      <c r="E24" s="206"/>
      <c r="F24" s="547"/>
      <c r="G24" s="579"/>
      <c r="H24" s="455"/>
      <c r="I24" s="57"/>
      <c r="J24" s="461" t="s">
        <v>686</v>
      </c>
      <c r="K24" s="420"/>
      <c r="L24" s="193"/>
      <c r="M24" s="377"/>
      <c r="O24" s="463"/>
      <c r="P24" s="157"/>
      <c r="Q24" s="404"/>
      <c r="R24" s="57"/>
      <c r="S24" s="394"/>
      <c r="T24" s="394"/>
      <c r="U24" s="394"/>
      <c r="V24" s="394"/>
      <c r="W24" s="394"/>
      <c r="X24" s="394"/>
      <c r="Y24" s="395"/>
      <c r="Z24" s="395"/>
    </row>
    <row r="25">
      <c r="A25" s="57"/>
      <c r="B25" s="57"/>
      <c r="C25" s="561" t="s">
        <v>779</v>
      </c>
      <c r="D25" s="157"/>
      <c r="E25" s="228"/>
      <c r="F25" s="547"/>
      <c r="G25" s="579"/>
      <c r="H25" s="455"/>
      <c r="I25" s="239"/>
      <c r="J25" s="460"/>
      <c r="K25" s="420"/>
      <c r="L25" s="567"/>
      <c r="M25" s="377"/>
      <c r="O25" s="463"/>
      <c r="P25" s="157"/>
      <c r="Q25" s="404"/>
      <c r="R25" s="57"/>
      <c r="S25" s="394"/>
      <c r="T25" s="394"/>
      <c r="U25" s="394"/>
      <c r="V25" s="394"/>
      <c r="W25" s="394"/>
      <c r="X25" s="394"/>
      <c r="Y25" s="395"/>
      <c r="Z25" s="395"/>
    </row>
    <row r="26">
      <c r="A26" s="239"/>
      <c r="B26" s="239"/>
      <c r="C26" s="561" t="s">
        <v>780</v>
      </c>
      <c r="D26" s="423"/>
      <c r="E26" s="228"/>
      <c r="F26" s="547"/>
      <c r="G26" s="579"/>
      <c r="H26" s="455"/>
      <c r="I26" s="57"/>
      <c r="J26" s="460" t="s">
        <v>274</v>
      </c>
      <c r="K26" s="420"/>
      <c r="L26" s="193"/>
      <c r="M26" s="374"/>
      <c r="O26" s="463"/>
      <c r="P26" s="157"/>
      <c r="Q26" s="404"/>
      <c r="R26" s="57"/>
      <c r="S26" s="394"/>
      <c r="T26" s="394"/>
      <c r="U26" s="394"/>
      <c r="V26" s="394"/>
      <c r="W26" s="394"/>
      <c r="X26" s="394"/>
      <c r="Y26" s="395"/>
      <c r="Z26" s="395"/>
    </row>
    <row r="27">
      <c r="A27" s="239"/>
      <c r="B27" s="239"/>
      <c r="C27" s="561" t="s">
        <v>781</v>
      </c>
      <c r="D27" s="423"/>
      <c r="E27" s="228"/>
      <c r="F27" s="547"/>
      <c r="G27" s="579"/>
      <c r="H27" s="419"/>
      <c r="I27" s="239"/>
      <c r="J27" s="685" t="s">
        <v>1117</v>
      </c>
      <c r="K27" s="420"/>
      <c r="L27" s="150"/>
      <c r="M27" s="374"/>
      <c r="O27" s="431"/>
      <c r="P27" s="157"/>
      <c r="Q27" s="404"/>
      <c r="R27" s="57"/>
      <c r="S27" s="394"/>
      <c r="T27" s="394"/>
      <c r="U27" s="394"/>
      <c r="V27" s="394"/>
      <c r="W27" s="394"/>
      <c r="X27" s="394"/>
      <c r="Y27" s="395"/>
      <c r="Z27" s="395"/>
    </row>
    <row r="28">
      <c r="A28" s="239"/>
      <c r="B28" s="157"/>
      <c r="C28" s="561" t="s">
        <v>1118</v>
      </c>
      <c r="D28" s="157"/>
      <c r="E28" s="569"/>
      <c r="F28" s="547"/>
      <c r="G28" s="578"/>
      <c r="H28" s="419"/>
      <c r="I28" s="57"/>
      <c r="J28" s="685" t="s">
        <v>1119</v>
      </c>
      <c r="K28" s="420"/>
      <c r="L28" s="193"/>
      <c r="M28" s="377"/>
      <c r="O28" s="431"/>
      <c r="P28" s="157"/>
      <c r="Q28" s="404"/>
      <c r="R28" s="57"/>
      <c r="S28" s="394"/>
      <c r="T28" s="394"/>
      <c r="U28" s="394"/>
      <c r="V28" s="394"/>
      <c r="W28" s="394"/>
      <c r="X28" s="394"/>
      <c r="Y28" s="395"/>
      <c r="Z28" s="395"/>
    </row>
    <row r="29">
      <c r="A29" s="239"/>
      <c r="B29" s="157"/>
      <c r="C29" s="561" t="s">
        <v>1120</v>
      </c>
      <c r="D29" s="157"/>
      <c r="E29" s="228"/>
      <c r="F29" s="547"/>
      <c r="G29" s="578"/>
      <c r="H29" s="419"/>
      <c r="I29" s="239"/>
      <c r="J29" s="596" t="s">
        <v>955</v>
      </c>
      <c r="K29" s="420"/>
      <c r="L29" s="193"/>
      <c r="M29" s="377"/>
      <c r="O29" s="431"/>
      <c r="P29" s="157"/>
      <c r="Q29" s="404"/>
      <c r="R29" s="57"/>
      <c r="S29" s="394"/>
      <c r="T29" s="394"/>
      <c r="U29" s="394"/>
      <c r="V29" s="394"/>
      <c r="W29" s="394"/>
      <c r="X29" s="394"/>
      <c r="Y29" s="395"/>
      <c r="Z29" s="395"/>
    </row>
    <row r="30">
      <c r="A30" s="239"/>
      <c r="B30" s="157"/>
      <c r="C30" s="561"/>
      <c r="D30" s="157"/>
      <c r="E30" s="570"/>
      <c r="F30" s="547"/>
      <c r="G30" s="578"/>
      <c r="H30" s="419"/>
      <c r="I30" s="239"/>
      <c r="J30" s="568"/>
      <c r="K30" s="420"/>
      <c r="L30" s="193"/>
      <c r="M30" s="374"/>
      <c r="O30" s="431"/>
      <c r="P30" s="157"/>
      <c r="Q30" s="404"/>
      <c r="R30" s="57"/>
      <c r="S30" s="394"/>
      <c r="T30" s="394"/>
      <c r="U30" s="394"/>
      <c r="V30" s="394"/>
      <c r="W30" s="394"/>
      <c r="X30" s="394"/>
      <c r="Y30" s="395"/>
      <c r="Z30" s="395"/>
    </row>
    <row r="31">
      <c r="C31" s="571"/>
      <c r="D31" s="157"/>
      <c r="E31" s="570"/>
      <c r="F31" s="547"/>
      <c r="G31" s="578"/>
      <c r="H31" s="419"/>
      <c r="I31" s="239"/>
      <c r="J31" s="464" t="s">
        <v>692</v>
      </c>
      <c r="K31" s="420"/>
      <c r="L31" s="150"/>
      <c r="M31" s="377"/>
      <c r="O31" s="431"/>
      <c r="P31" s="157"/>
      <c r="Q31" s="404"/>
      <c r="R31" s="57"/>
      <c r="S31" s="399"/>
      <c r="T31" s="399"/>
      <c r="U31" s="399"/>
      <c r="V31" s="399"/>
      <c r="W31" s="399"/>
      <c r="X31" s="399"/>
      <c r="Y31" s="400"/>
      <c r="Z31" s="400"/>
    </row>
    <row r="32">
      <c r="C32" s="571"/>
      <c r="D32" s="157"/>
      <c r="E32" s="570"/>
      <c r="F32" s="547"/>
      <c r="G32" s="578"/>
      <c r="H32" s="419"/>
      <c r="I32" s="239"/>
      <c r="J32" s="464" t="s">
        <v>694</v>
      </c>
      <c r="K32" s="420"/>
      <c r="L32" s="150"/>
      <c r="M32" s="374"/>
      <c r="O32" s="431"/>
      <c r="P32" s="157"/>
      <c r="Q32" s="404"/>
      <c r="R32" s="57"/>
      <c r="S32" s="399"/>
      <c r="T32" s="399"/>
      <c r="U32" s="399"/>
      <c r="V32" s="399"/>
      <c r="W32" s="399"/>
      <c r="X32" s="399"/>
      <c r="Y32" s="400"/>
      <c r="Z32" s="400"/>
    </row>
    <row r="33">
      <c r="C33" s="571"/>
      <c r="D33" s="423"/>
      <c r="E33" s="570"/>
      <c r="F33" s="546"/>
      <c r="G33" s="578"/>
      <c r="H33" s="419"/>
      <c r="I33" s="57"/>
      <c r="J33" s="105"/>
      <c r="K33" s="57"/>
      <c r="L33" s="150"/>
      <c r="M33" s="57"/>
      <c r="N33" s="57"/>
      <c r="O33" s="57"/>
      <c r="P33" s="157"/>
      <c r="Q33" s="404"/>
      <c r="R33" s="57"/>
      <c r="S33" s="394"/>
      <c r="T33" s="394"/>
      <c r="U33" s="394"/>
      <c r="V33" s="394"/>
      <c r="W33" s="394"/>
      <c r="X33" s="394"/>
      <c r="Y33" s="395"/>
      <c r="Z33" s="395"/>
    </row>
    <row r="34">
      <c r="A34" s="125" t="s">
        <v>782</v>
      </c>
      <c r="B34" s="572">
        <f>C7-B11</f>
        <v>-477</v>
      </c>
      <c r="D34" s="157"/>
      <c r="E34" s="570"/>
      <c r="F34" s="573"/>
      <c r="G34" s="581"/>
      <c r="H34" s="419"/>
      <c r="I34" s="239"/>
      <c r="J34" s="568"/>
      <c r="K34" s="57"/>
      <c r="L34" s="150"/>
      <c r="M34" s="57"/>
      <c r="N34" s="57"/>
      <c r="O34" s="57"/>
      <c r="P34" s="157"/>
      <c r="Q34" s="404"/>
      <c r="R34" s="57"/>
      <c r="S34" s="394"/>
      <c r="T34" s="394"/>
      <c r="U34" s="394"/>
      <c r="V34" s="394"/>
      <c r="W34" s="394"/>
      <c r="X34" s="394"/>
      <c r="Y34" s="395"/>
      <c r="Z34" s="395"/>
    </row>
    <row r="35">
      <c r="A35" s="274" t="s">
        <v>783</v>
      </c>
      <c r="B35" s="109">
        <v>300.0</v>
      </c>
      <c r="C35" s="395"/>
      <c r="D35" s="157"/>
      <c r="E35" s="570"/>
      <c r="F35" s="573"/>
      <c r="G35" s="581"/>
      <c r="H35" s="419"/>
      <c r="I35" s="239"/>
      <c r="J35" s="568"/>
      <c r="K35" s="57"/>
      <c r="L35" s="150"/>
      <c r="M35" s="57"/>
      <c r="N35" s="57"/>
      <c r="O35" s="57"/>
      <c r="P35" s="157"/>
      <c r="Q35" s="404"/>
      <c r="R35" s="57"/>
      <c r="S35" s="394"/>
      <c r="T35" s="394"/>
      <c r="U35" s="394"/>
      <c r="V35" s="394"/>
      <c r="W35" s="394"/>
      <c r="X35" s="394"/>
      <c r="Y35" s="395"/>
      <c r="Z35" s="395"/>
    </row>
    <row r="36">
      <c r="A36" s="274" t="s">
        <v>784</v>
      </c>
      <c r="B36" s="109">
        <v>500.0</v>
      </c>
      <c r="C36" s="395"/>
      <c r="D36" s="157"/>
      <c r="E36" s="570"/>
      <c r="F36" s="573"/>
      <c r="G36" s="581"/>
      <c r="H36" s="419"/>
      <c r="I36" s="239"/>
      <c r="J36" s="568"/>
      <c r="K36" s="57"/>
      <c r="L36" s="150"/>
      <c r="M36" s="57"/>
      <c r="N36" s="57"/>
      <c r="O36" s="57"/>
      <c r="P36" s="157"/>
      <c r="Q36" s="404"/>
      <c r="R36" s="57"/>
      <c r="S36" s="394"/>
      <c r="T36" s="394"/>
      <c r="U36" s="394"/>
      <c r="V36" s="394"/>
      <c r="W36" s="394"/>
      <c r="X36" s="394"/>
      <c r="Y36" s="395"/>
      <c r="Z36" s="395"/>
    </row>
    <row r="37">
      <c r="A37" s="274" t="s">
        <v>785</v>
      </c>
      <c r="B37" s="109">
        <v>4200.0</v>
      </c>
      <c r="C37" s="686">
        <f>SUM(B35:B37)</f>
        <v>5000</v>
      </c>
      <c r="D37" s="157"/>
      <c r="E37" s="570"/>
      <c r="F37" s="573"/>
      <c r="G37" s="581"/>
      <c r="H37" s="419"/>
      <c r="I37" s="239"/>
      <c r="J37" s="568"/>
      <c r="K37" s="57"/>
      <c r="L37" s="150"/>
      <c r="M37" s="57"/>
      <c r="N37" s="57"/>
      <c r="O37" s="57"/>
      <c r="P37" s="157"/>
      <c r="Q37" s="404"/>
      <c r="R37" s="57"/>
      <c r="S37" s="394"/>
      <c r="T37" s="394"/>
      <c r="U37" s="394"/>
      <c r="V37" s="394"/>
      <c r="W37" s="394"/>
      <c r="X37" s="394"/>
      <c r="Y37" s="395"/>
      <c r="Z37" s="395"/>
    </row>
    <row r="38">
      <c r="A38" s="402"/>
      <c r="B38" s="403"/>
      <c r="C38" s="403"/>
      <c r="D38" s="403"/>
      <c r="E38" s="574"/>
      <c r="F38" s="575"/>
      <c r="G38" s="576"/>
      <c r="H38" s="159"/>
      <c r="I38" s="159"/>
      <c r="J38" s="576"/>
      <c r="K38" s="159"/>
      <c r="L38" s="162"/>
      <c r="M38" s="402"/>
      <c r="N38" s="402"/>
      <c r="O38" s="159"/>
      <c r="P38" s="403"/>
      <c r="Q38" s="577"/>
      <c r="R38" s="57"/>
      <c r="S38" s="394"/>
      <c r="T38" s="394"/>
      <c r="U38" s="394"/>
      <c r="V38" s="394"/>
      <c r="W38" s="394"/>
      <c r="X38" s="394"/>
      <c r="Y38" s="395"/>
      <c r="Z38" s="395"/>
    </row>
    <row r="39">
      <c r="A39" s="57"/>
      <c r="B39" s="57"/>
      <c r="C39" s="57"/>
      <c r="D39" s="157"/>
      <c r="E39" s="228"/>
      <c r="F39" s="573"/>
      <c r="G39" s="105"/>
      <c r="H39" s="57"/>
      <c r="I39" s="239"/>
      <c r="J39" s="568"/>
      <c r="K39" s="57"/>
      <c r="L39" s="150"/>
      <c r="M39" s="57"/>
      <c r="N39" s="57"/>
      <c r="O39" s="57"/>
      <c r="P39" s="157"/>
      <c r="Q39" s="57"/>
      <c r="R39" s="57"/>
      <c r="S39" s="394"/>
      <c r="T39" s="394"/>
      <c r="U39" s="394"/>
      <c r="V39" s="394"/>
      <c r="W39" s="394"/>
      <c r="X39" s="394"/>
      <c r="Y39" s="395"/>
      <c r="Z39" s="395"/>
    </row>
    <row r="40">
      <c r="A40" s="169" t="s">
        <v>117</v>
      </c>
      <c r="B40" s="539"/>
      <c r="C40" s="540"/>
      <c r="D40" s="405"/>
      <c r="E40" s="541"/>
      <c r="F40" s="542"/>
      <c r="G40" s="467" t="s">
        <v>333</v>
      </c>
      <c r="H40" s="361"/>
      <c r="I40" s="57"/>
      <c r="J40" s="105"/>
      <c r="K40" s="57"/>
      <c r="L40" s="150"/>
      <c r="M40" s="239"/>
      <c r="N40" s="239"/>
      <c r="O40" s="57"/>
      <c r="P40" s="157"/>
      <c r="Q40" s="404"/>
      <c r="R40" s="57"/>
      <c r="S40" s="394"/>
      <c r="T40" s="394"/>
      <c r="U40" s="394"/>
      <c r="V40" s="394"/>
      <c r="W40" s="394"/>
      <c r="X40" s="394"/>
      <c r="Y40" s="395"/>
      <c r="Z40" s="395"/>
    </row>
    <row r="41">
      <c r="A41" s="468"/>
      <c r="B41" s="157"/>
      <c r="C41" s="466"/>
      <c r="D41" s="405"/>
      <c r="E41" s="543" t="s">
        <v>335</v>
      </c>
      <c r="F41" s="544" t="s">
        <v>237</v>
      </c>
      <c r="G41" s="412" t="s">
        <v>336</v>
      </c>
      <c r="H41" s="413" t="s">
        <v>337</v>
      </c>
      <c r="I41" s="239"/>
      <c r="J41" s="145" t="s">
        <v>60</v>
      </c>
      <c r="K41" s="57"/>
      <c r="L41" s="150"/>
      <c r="M41" s="414"/>
      <c r="N41" s="414"/>
      <c r="O41" s="57" t="s">
        <v>334</v>
      </c>
      <c r="P41" s="157"/>
      <c r="Q41" s="404"/>
      <c r="R41" s="57"/>
      <c r="S41" s="394"/>
      <c r="T41" s="394"/>
      <c r="U41" s="394"/>
      <c r="V41" s="394"/>
      <c r="W41" s="394"/>
      <c r="X41" s="394"/>
      <c r="Y41" s="395"/>
      <c r="Z41" s="395"/>
    </row>
    <row r="42">
      <c r="A42" s="470" t="s">
        <v>179</v>
      </c>
      <c r="C42" s="416">
        <f>SUM(F42:F76)</f>
        <v>4103.2</v>
      </c>
      <c r="D42" s="405"/>
      <c r="E42" s="545"/>
      <c r="F42" s="546"/>
      <c r="G42" s="578"/>
      <c r="H42" s="419"/>
      <c r="I42" s="57"/>
      <c r="K42" s="57"/>
      <c r="L42" s="150"/>
      <c r="M42" s="377" t="s">
        <v>366</v>
      </c>
      <c r="P42" s="157"/>
      <c r="Q42" s="404"/>
      <c r="R42" s="57"/>
      <c r="S42" s="394"/>
      <c r="T42" s="394"/>
      <c r="U42" s="394"/>
      <c r="V42" s="394"/>
      <c r="W42" s="394"/>
      <c r="X42" s="394"/>
      <c r="Y42" s="395"/>
      <c r="Z42" s="395"/>
    </row>
    <row r="43">
      <c r="A43" s="421" t="s">
        <v>343</v>
      </c>
      <c r="B43" s="422" t="s">
        <v>321</v>
      </c>
      <c r="C43" s="416">
        <f>SUM(P43:P76)</f>
        <v>2738.2</v>
      </c>
      <c r="D43" s="157"/>
      <c r="E43" s="545"/>
      <c r="F43" s="546"/>
      <c r="G43" s="578"/>
      <c r="H43" s="419"/>
      <c r="I43" s="239"/>
      <c r="J43" s="471" t="s">
        <v>341</v>
      </c>
      <c r="K43" s="420"/>
      <c r="L43" s="193"/>
      <c r="M43" s="374"/>
      <c r="O43" s="368" t="s">
        <v>1134</v>
      </c>
      <c r="P43" s="423">
        <v>347.0</v>
      </c>
      <c r="Q43" s="404"/>
      <c r="R43" s="57"/>
      <c r="S43" s="242"/>
      <c r="T43" s="242"/>
      <c r="U43" s="242"/>
      <c r="V43" s="242"/>
      <c r="W43" s="242"/>
      <c r="X43" s="242"/>
      <c r="Y43" s="148"/>
      <c r="Z43" s="148"/>
    </row>
    <row r="44">
      <c r="A44" s="427" t="s">
        <v>201</v>
      </c>
      <c r="C44" s="204">
        <f>SUM(L43:L76)</f>
        <v>2016</v>
      </c>
      <c r="D44" s="157"/>
      <c r="E44" s="545"/>
      <c r="F44" s="546"/>
      <c r="G44" s="578"/>
      <c r="H44" s="419"/>
      <c r="I44" s="239"/>
      <c r="J44" s="472" t="s">
        <v>345</v>
      </c>
      <c r="K44" s="420"/>
      <c r="L44" s="193">
        <v>285.0</v>
      </c>
      <c r="M44" s="377" t="s">
        <v>1135</v>
      </c>
      <c r="O44" s="591" t="s">
        <v>1136</v>
      </c>
      <c r="P44" s="423">
        <v>1580.0</v>
      </c>
      <c r="Q44" s="404"/>
      <c r="R44" s="105"/>
      <c r="S44" s="317"/>
      <c r="T44" s="317"/>
      <c r="U44" s="317"/>
      <c r="V44" s="317"/>
      <c r="W44" s="317"/>
      <c r="X44" s="317"/>
      <c r="Y44" s="243"/>
      <c r="Z44" s="243"/>
    </row>
    <row r="45">
      <c r="A45" s="548" t="s">
        <v>761</v>
      </c>
      <c r="B45" s="549">
        <v>0.4</v>
      </c>
      <c r="C45" s="191"/>
      <c r="D45" s="157"/>
      <c r="E45" s="550" t="s">
        <v>695</v>
      </c>
      <c r="F45" s="546"/>
      <c r="G45" s="562"/>
      <c r="H45" s="419"/>
      <c r="I45" s="239"/>
      <c r="J45" s="433" t="s">
        <v>656</v>
      </c>
      <c r="K45" s="420"/>
      <c r="L45" s="193"/>
      <c r="M45" s="374"/>
      <c r="O45" s="591" t="s">
        <v>1137</v>
      </c>
      <c r="P45" s="423">
        <v>124.8</v>
      </c>
      <c r="Q45" s="404"/>
      <c r="R45" s="148"/>
      <c r="S45" s="242"/>
      <c r="T45" s="242"/>
      <c r="U45" s="242"/>
      <c r="V45" s="242"/>
      <c r="W45" s="242"/>
      <c r="X45" s="242"/>
      <c r="Y45" s="148"/>
      <c r="Z45" s="148"/>
    </row>
    <row r="46">
      <c r="A46" s="434" t="s">
        <v>350</v>
      </c>
      <c r="C46" s="551">
        <f>C42-C44-C45</f>
        <v>2087.2</v>
      </c>
      <c r="D46" s="157"/>
      <c r="E46" s="313" t="s">
        <v>1138</v>
      </c>
      <c r="F46" s="546">
        <v>347.0</v>
      </c>
      <c r="G46" s="558" t="s">
        <v>426</v>
      </c>
      <c r="H46" s="419"/>
      <c r="I46" s="57"/>
      <c r="J46" s="444" t="s">
        <v>658</v>
      </c>
      <c r="K46" s="420"/>
      <c r="L46" s="193">
        <v>29.0</v>
      </c>
      <c r="M46" s="377" t="s">
        <v>1139</v>
      </c>
      <c r="O46" s="591" t="s">
        <v>1140</v>
      </c>
      <c r="P46" s="423">
        <v>520.0</v>
      </c>
      <c r="Q46" s="404"/>
      <c r="R46" s="148"/>
      <c r="S46" s="242"/>
      <c r="T46" s="242"/>
      <c r="U46" s="242"/>
      <c r="V46" s="242"/>
      <c r="W46" s="242"/>
      <c r="X46" s="242"/>
      <c r="Y46" s="148"/>
      <c r="Z46" s="148"/>
    </row>
    <row r="47">
      <c r="A47" s="554"/>
      <c r="B47" s="555"/>
      <c r="C47" s="447"/>
      <c r="D47" s="157"/>
      <c r="E47" s="691" t="s">
        <v>1141</v>
      </c>
      <c r="F47" s="546">
        <v>1580.0</v>
      </c>
      <c r="G47" s="558" t="s">
        <v>426</v>
      </c>
      <c r="H47" s="419"/>
      <c r="I47" s="57"/>
      <c r="J47" s="444" t="s">
        <v>660</v>
      </c>
      <c r="K47" s="420"/>
      <c r="L47" s="193">
        <v>240.0</v>
      </c>
      <c r="M47" s="377"/>
      <c r="O47" s="426" t="s">
        <v>1142</v>
      </c>
      <c r="P47" s="423">
        <v>166.4</v>
      </c>
      <c r="Q47" s="404"/>
      <c r="R47" s="148"/>
      <c r="S47" s="242"/>
      <c r="T47" s="242"/>
      <c r="U47" s="242"/>
      <c r="V47" s="242"/>
      <c r="W47" s="242"/>
      <c r="X47" s="242"/>
      <c r="Y47" s="148"/>
      <c r="Z47" s="148"/>
    </row>
    <row r="48">
      <c r="A48" s="556"/>
      <c r="C48" s="395"/>
      <c r="D48" s="157"/>
      <c r="E48" s="192" t="s">
        <v>1137</v>
      </c>
      <c r="F48" s="546">
        <v>124.8</v>
      </c>
      <c r="G48" s="558" t="s">
        <v>426</v>
      </c>
      <c r="H48" s="419"/>
      <c r="I48" s="239"/>
      <c r="J48" s="370" t="s">
        <v>662</v>
      </c>
      <c r="K48" s="420"/>
      <c r="L48" s="193"/>
      <c r="M48" s="374"/>
      <c r="O48" s="431"/>
      <c r="P48" s="157"/>
      <c r="Q48" s="404"/>
      <c r="R48" s="148"/>
      <c r="S48" s="242"/>
      <c r="T48" s="242"/>
      <c r="U48" s="242"/>
      <c r="V48" s="242"/>
      <c r="W48" s="242"/>
      <c r="X48" s="242"/>
      <c r="Y48" s="148"/>
      <c r="Z48" s="148"/>
    </row>
    <row r="49" ht="19.5" customHeight="1">
      <c r="A49" s="557"/>
      <c r="B49" s="109"/>
      <c r="C49" s="395"/>
      <c r="D49" s="373"/>
      <c r="E49" s="192" t="s">
        <v>1143</v>
      </c>
      <c r="F49" s="546">
        <v>195.0</v>
      </c>
      <c r="G49" s="562" t="s">
        <v>426</v>
      </c>
      <c r="H49" s="419"/>
      <c r="I49" s="239"/>
      <c r="J49" s="433" t="s">
        <v>666</v>
      </c>
      <c r="K49" s="420"/>
      <c r="L49" s="150"/>
      <c r="M49" s="374"/>
      <c r="O49" s="431"/>
      <c r="P49" s="157"/>
      <c r="Q49" s="404"/>
      <c r="R49" s="148"/>
      <c r="S49" s="242"/>
      <c r="T49" s="242"/>
      <c r="U49" s="242"/>
      <c r="V49" s="242"/>
      <c r="W49" s="242"/>
      <c r="X49" s="242"/>
      <c r="Y49" s="148"/>
      <c r="Z49" s="148"/>
    </row>
    <row r="50">
      <c r="A50" s="559" t="s">
        <v>765</v>
      </c>
      <c r="B50" s="560">
        <f>SUM(D50:D76)</f>
        <v>707</v>
      </c>
      <c r="C50" s="477" t="s">
        <v>366</v>
      </c>
      <c r="D50" s="157"/>
      <c r="E50" s="192" t="s">
        <v>1140</v>
      </c>
      <c r="F50" s="546">
        <v>520.0</v>
      </c>
      <c r="G50" s="558" t="s">
        <v>426</v>
      </c>
      <c r="H50" s="419"/>
      <c r="I50" s="239"/>
      <c r="J50" s="433" t="s">
        <v>668</v>
      </c>
      <c r="K50" s="420"/>
      <c r="L50" s="193">
        <v>50.0</v>
      </c>
      <c r="M50" s="377" t="s">
        <v>1144</v>
      </c>
      <c r="O50" s="431"/>
      <c r="P50" s="157"/>
      <c r="Q50" s="404"/>
      <c r="R50" s="148"/>
      <c r="S50" s="242"/>
      <c r="T50" s="242"/>
      <c r="U50" s="242"/>
      <c r="V50" s="242"/>
      <c r="W50" s="242"/>
      <c r="X50" s="242"/>
      <c r="Y50" s="148"/>
      <c r="Z50" s="148"/>
    </row>
    <row r="51">
      <c r="A51" s="453" t="s">
        <v>369</v>
      </c>
      <c r="C51" s="561" t="s">
        <v>766</v>
      </c>
      <c r="D51" s="423"/>
      <c r="E51" s="192" t="s">
        <v>1142</v>
      </c>
      <c r="F51" s="546">
        <v>166.4</v>
      </c>
      <c r="G51" s="558" t="s">
        <v>426</v>
      </c>
      <c r="H51" s="419"/>
      <c r="I51" s="239"/>
      <c r="J51" s="433" t="s">
        <v>670</v>
      </c>
      <c r="K51" s="458"/>
      <c r="L51" s="193">
        <v>1250.0</v>
      </c>
      <c r="M51" s="377"/>
      <c r="O51" s="431"/>
      <c r="P51" s="157"/>
      <c r="Q51" s="404"/>
      <c r="R51" s="148"/>
      <c r="S51" s="242"/>
      <c r="T51" s="242"/>
      <c r="U51" s="242"/>
      <c r="V51" s="242"/>
      <c r="W51" s="242"/>
      <c r="X51" s="242"/>
      <c r="Y51" s="148"/>
      <c r="Z51" s="148"/>
    </row>
    <row r="52">
      <c r="C52" s="561" t="s">
        <v>767</v>
      </c>
      <c r="D52" s="157"/>
      <c r="E52" s="192" t="s">
        <v>1145</v>
      </c>
      <c r="F52" s="546">
        <v>75.0</v>
      </c>
      <c r="G52" s="578"/>
      <c r="H52" s="419"/>
      <c r="I52" s="239"/>
      <c r="J52" s="433" t="s">
        <v>217</v>
      </c>
      <c r="K52" s="458"/>
      <c r="L52" s="150"/>
      <c r="M52" s="377"/>
      <c r="O52" s="431"/>
      <c r="P52" s="157"/>
      <c r="Q52" s="404"/>
      <c r="R52" s="148"/>
      <c r="S52" s="242"/>
      <c r="T52" s="242"/>
      <c r="U52" s="242"/>
      <c r="V52" s="242"/>
      <c r="W52" s="242"/>
      <c r="X52" s="242"/>
      <c r="Y52" s="148"/>
      <c r="Z52" s="148"/>
    </row>
    <row r="53">
      <c r="A53" s="57"/>
      <c r="B53" s="57"/>
      <c r="C53" s="561" t="s">
        <v>768</v>
      </c>
      <c r="D53" s="423"/>
      <c r="E53" s="192" t="s">
        <v>424</v>
      </c>
      <c r="F53" s="546">
        <v>325.0</v>
      </c>
      <c r="G53" s="578"/>
      <c r="H53" s="419"/>
      <c r="I53" s="239"/>
      <c r="J53" s="109"/>
      <c r="K53" s="420"/>
      <c r="L53" s="193"/>
      <c r="M53" s="374"/>
      <c r="O53" s="431"/>
      <c r="P53" s="157"/>
      <c r="Q53" s="404"/>
      <c r="R53" s="148"/>
      <c r="S53" s="242"/>
      <c r="T53" s="242"/>
      <c r="U53" s="242"/>
      <c r="V53" s="242"/>
      <c r="W53" s="242"/>
      <c r="X53" s="242"/>
      <c r="Y53" s="148"/>
      <c r="Z53" s="148"/>
    </row>
    <row r="54">
      <c r="A54" s="57"/>
      <c r="B54" s="57"/>
      <c r="C54" s="561" t="s">
        <v>769</v>
      </c>
      <c r="D54" s="157"/>
      <c r="E54" s="192" t="s">
        <v>1127</v>
      </c>
      <c r="F54" s="546">
        <v>110.0</v>
      </c>
      <c r="G54" s="578"/>
      <c r="H54" s="419"/>
      <c r="I54" s="239"/>
      <c r="J54" s="456" t="s">
        <v>672</v>
      </c>
      <c r="K54" s="420"/>
      <c r="L54" s="150"/>
      <c r="M54" s="377"/>
      <c r="O54" s="431"/>
      <c r="P54" s="157"/>
      <c r="Q54" s="404"/>
      <c r="R54" s="148"/>
      <c r="S54" s="242"/>
      <c r="T54" s="242"/>
      <c r="U54" s="242"/>
      <c r="V54" s="242"/>
      <c r="W54" s="242"/>
      <c r="X54" s="242"/>
      <c r="Y54" s="148"/>
      <c r="Z54" s="148"/>
    </row>
    <row r="55">
      <c r="A55" s="57"/>
      <c r="B55" s="57"/>
      <c r="C55" s="561" t="s">
        <v>770</v>
      </c>
      <c r="D55" s="423"/>
      <c r="E55" s="192" t="s">
        <v>1146</v>
      </c>
      <c r="F55" s="546">
        <v>260.0</v>
      </c>
      <c r="G55" s="562" t="s">
        <v>426</v>
      </c>
      <c r="H55" s="419"/>
      <c r="I55" s="57"/>
      <c r="J55" s="456" t="s">
        <v>675</v>
      </c>
      <c r="K55" s="420"/>
      <c r="L55" s="150"/>
      <c r="M55" s="382"/>
      <c r="O55" s="431"/>
      <c r="P55" s="157"/>
      <c r="Q55" s="404"/>
      <c r="R55" s="148"/>
      <c r="S55" s="242"/>
      <c r="T55" s="242"/>
      <c r="U55" s="242"/>
      <c r="V55" s="242"/>
      <c r="W55" s="242"/>
      <c r="X55" s="242"/>
      <c r="Y55" s="148"/>
      <c r="Z55" s="148"/>
    </row>
    <row r="56">
      <c r="A56" s="238" t="s">
        <v>1147</v>
      </c>
      <c r="B56" s="57"/>
      <c r="C56" s="561" t="s">
        <v>793</v>
      </c>
      <c r="D56" s="423">
        <v>80.0</v>
      </c>
      <c r="E56" s="192" t="s">
        <v>1148</v>
      </c>
      <c r="F56" s="546">
        <v>400.0</v>
      </c>
      <c r="G56" s="579"/>
      <c r="H56" s="419"/>
      <c r="I56" s="57"/>
      <c r="J56" s="456"/>
      <c r="K56" s="420"/>
      <c r="L56" s="150"/>
      <c r="M56" s="425"/>
      <c r="O56" s="431"/>
      <c r="P56" s="157"/>
      <c r="Q56" s="404"/>
      <c r="R56" s="148"/>
      <c r="S56" s="242"/>
      <c r="T56" s="242"/>
      <c r="U56" s="242"/>
      <c r="V56" s="242"/>
      <c r="W56" s="242"/>
      <c r="X56" s="242"/>
      <c r="Y56" s="148"/>
      <c r="Z56" s="148"/>
    </row>
    <row r="57">
      <c r="A57" s="239"/>
      <c r="B57" s="57"/>
      <c r="C57" s="561" t="s">
        <v>794</v>
      </c>
      <c r="D57" s="423"/>
      <c r="E57" s="192"/>
      <c r="F57" s="546"/>
      <c r="G57" s="562"/>
      <c r="H57" s="419"/>
      <c r="I57" s="57"/>
      <c r="J57" s="375"/>
      <c r="K57" s="420"/>
      <c r="L57" s="150"/>
      <c r="M57" s="425"/>
      <c r="O57" s="431"/>
      <c r="P57" s="157"/>
      <c r="Q57" s="404"/>
      <c r="R57" s="148"/>
      <c r="S57" s="242"/>
      <c r="T57" s="242"/>
      <c r="U57" s="242"/>
      <c r="V57" s="242"/>
      <c r="W57" s="242"/>
      <c r="X57" s="242"/>
      <c r="Y57" s="148"/>
      <c r="Z57" s="148"/>
    </row>
    <row r="58">
      <c r="A58" s="238" t="s">
        <v>1149</v>
      </c>
      <c r="B58" s="57"/>
      <c r="C58" s="561" t="s">
        <v>18</v>
      </c>
      <c r="D58" s="423">
        <v>15.0</v>
      </c>
      <c r="E58" s="192"/>
      <c r="F58" s="546"/>
      <c r="G58" s="562"/>
      <c r="H58" s="419"/>
      <c r="I58" s="57"/>
      <c r="J58" s="375"/>
      <c r="K58" s="420"/>
      <c r="L58" s="193"/>
      <c r="M58" s="382"/>
      <c r="O58" s="431"/>
      <c r="P58" s="157"/>
      <c r="Q58" s="404"/>
      <c r="R58" s="148"/>
      <c r="S58" s="242"/>
      <c r="T58" s="242"/>
      <c r="U58" s="242"/>
      <c r="V58" s="242"/>
      <c r="W58" s="242"/>
      <c r="X58" s="242"/>
      <c r="Y58" s="148"/>
      <c r="Z58" s="148"/>
    </row>
    <row r="59">
      <c r="A59" s="238" t="s">
        <v>1150</v>
      </c>
      <c r="B59" s="57"/>
      <c r="C59" s="563" t="s">
        <v>1115</v>
      </c>
      <c r="D59" s="423">
        <v>140.0</v>
      </c>
      <c r="E59" s="192"/>
      <c r="F59" s="546"/>
      <c r="G59" s="579"/>
      <c r="H59" s="419"/>
      <c r="I59" s="57"/>
      <c r="J59" s="452"/>
      <c r="K59" s="420"/>
      <c r="L59" s="150"/>
      <c r="M59" s="425"/>
      <c r="O59" s="431"/>
      <c r="P59" s="157"/>
      <c r="Q59" s="404"/>
      <c r="R59" s="148"/>
      <c r="S59" s="242"/>
      <c r="T59" s="242"/>
      <c r="U59" s="242"/>
      <c r="V59" s="242"/>
      <c r="W59" s="242"/>
      <c r="X59" s="242"/>
      <c r="Y59" s="148"/>
      <c r="Z59" s="148"/>
    </row>
    <row r="60">
      <c r="A60" s="57"/>
      <c r="B60" s="57"/>
      <c r="C60" s="561" t="s">
        <v>1116</v>
      </c>
      <c r="D60" s="423"/>
      <c r="E60" s="192"/>
      <c r="F60" s="546"/>
      <c r="G60" s="578"/>
      <c r="H60" s="419"/>
      <c r="I60" s="57"/>
      <c r="J60" s="105"/>
      <c r="K60" s="420"/>
      <c r="L60" s="150"/>
      <c r="M60" s="425"/>
      <c r="O60" s="431"/>
      <c r="P60" s="157"/>
      <c r="Q60" s="404"/>
      <c r="R60" s="148"/>
      <c r="S60" s="242"/>
      <c r="T60" s="242"/>
      <c r="U60" s="242"/>
      <c r="V60" s="242"/>
      <c r="W60" s="242"/>
      <c r="X60" s="242"/>
      <c r="Y60" s="148"/>
      <c r="Z60" s="148"/>
    </row>
    <row r="61">
      <c r="A61" s="692"/>
      <c r="B61" s="239"/>
      <c r="C61" s="561" t="s">
        <v>775</v>
      </c>
      <c r="D61" s="423">
        <v>205.0</v>
      </c>
      <c r="E61" s="192"/>
      <c r="F61" s="546"/>
      <c r="G61" s="578"/>
      <c r="H61" s="419"/>
      <c r="I61" s="57"/>
      <c r="J61" s="378" t="s">
        <v>682</v>
      </c>
      <c r="K61" s="420"/>
      <c r="L61" s="193">
        <v>162.0</v>
      </c>
      <c r="M61" s="377" t="s">
        <v>1151</v>
      </c>
      <c r="O61" s="431"/>
      <c r="P61" s="157"/>
      <c r="Q61" s="404"/>
      <c r="R61" s="148"/>
      <c r="S61" s="242"/>
      <c r="T61" s="242"/>
      <c r="U61" s="242"/>
      <c r="V61" s="242"/>
      <c r="W61" s="242"/>
      <c r="X61" s="242"/>
      <c r="Y61" s="148"/>
      <c r="Z61" s="148"/>
    </row>
    <row r="62">
      <c r="A62" s="662" t="s">
        <v>1152</v>
      </c>
      <c r="B62" s="239"/>
      <c r="C62" s="561" t="s">
        <v>10</v>
      </c>
      <c r="D62" s="423">
        <v>127.0</v>
      </c>
      <c r="E62" s="192"/>
      <c r="F62" s="580"/>
      <c r="G62" s="581"/>
      <c r="H62" s="419"/>
      <c r="I62" s="57"/>
      <c r="J62" s="461" t="s">
        <v>684</v>
      </c>
      <c r="K62" s="420"/>
      <c r="L62" s="193"/>
      <c r="M62" s="377"/>
      <c r="O62" s="431"/>
      <c r="P62" s="157"/>
      <c r="Q62" s="404"/>
      <c r="R62" s="148"/>
      <c r="S62" s="242"/>
      <c r="T62" s="242"/>
      <c r="U62" s="242"/>
      <c r="V62" s="242"/>
      <c r="W62" s="242"/>
      <c r="X62" s="242"/>
      <c r="Y62" s="148"/>
      <c r="Z62" s="148"/>
    </row>
    <row r="63">
      <c r="A63" s="239"/>
      <c r="B63" s="239"/>
      <c r="C63" s="561" t="s">
        <v>6</v>
      </c>
      <c r="D63" s="423"/>
      <c r="E63" s="206"/>
      <c r="F63" s="547"/>
      <c r="G63" s="579"/>
      <c r="H63" s="455"/>
      <c r="I63" s="57"/>
      <c r="J63" s="461" t="s">
        <v>686</v>
      </c>
      <c r="K63" s="420"/>
      <c r="L63" s="193"/>
      <c r="M63" s="374"/>
      <c r="O63" s="463"/>
      <c r="P63" s="157"/>
      <c r="Q63" s="404"/>
      <c r="R63" s="148"/>
      <c r="S63" s="242"/>
      <c r="T63" s="242"/>
      <c r="U63" s="242"/>
      <c r="V63" s="242"/>
      <c r="W63" s="242"/>
      <c r="X63" s="242"/>
      <c r="Y63" s="148"/>
      <c r="Z63" s="148"/>
    </row>
    <row r="64">
      <c r="A64" s="57"/>
      <c r="B64" s="57"/>
      <c r="C64" s="561" t="s">
        <v>779</v>
      </c>
      <c r="D64" s="157"/>
      <c r="E64" s="228"/>
      <c r="F64" s="547"/>
      <c r="G64" s="579"/>
      <c r="H64" s="455"/>
      <c r="I64" s="239"/>
      <c r="J64" s="460" t="s">
        <v>202</v>
      </c>
      <c r="K64" s="420"/>
      <c r="L64" s="193"/>
      <c r="M64" s="377"/>
      <c r="O64" s="463"/>
      <c r="P64" s="157"/>
      <c r="Q64" s="404"/>
      <c r="R64" s="148"/>
      <c r="S64" s="242"/>
      <c r="T64" s="242"/>
      <c r="U64" s="242"/>
      <c r="V64" s="242"/>
      <c r="W64" s="242"/>
      <c r="X64" s="242"/>
      <c r="Y64" s="148"/>
      <c r="Z64" s="148"/>
    </row>
    <row r="65">
      <c r="A65" s="239"/>
      <c r="B65" s="239"/>
      <c r="C65" s="561" t="s">
        <v>780</v>
      </c>
      <c r="D65" s="423"/>
      <c r="E65" s="228"/>
      <c r="F65" s="547"/>
      <c r="G65" s="579"/>
      <c r="H65" s="455"/>
      <c r="I65" s="57"/>
      <c r="J65" s="460" t="s">
        <v>274</v>
      </c>
      <c r="K65" s="420"/>
      <c r="L65" s="193"/>
      <c r="M65" s="374"/>
      <c r="O65" s="463"/>
      <c r="P65" s="157"/>
      <c r="Q65" s="404"/>
      <c r="R65" s="148"/>
      <c r="S65" s="242"/>
      <c r="T65" s="242"/>
      <c r="U65" s="242"/>
      <c r="V65" s="242"/>
      <c r="W65" s="242"/>
      <c r="X65" s="242"/>
      <c r="Y65" s="148"/>
      <c r="Z65" s="148"/>
    </row>
    <row r="66">
      <c r="A66" s="238" t="s">
        <v>1153</v>
      </c>
      <c r="B66" s="239"/>
      <c r="C66" s="561" t="s">
        <v>797</v>
      </c>
      <c r="D66" s="423">
        <v>140.0</v>
      </c>
      <c r="E66" s="228"/>
      <c r="F66" s="547"/>
      <c r="G66" s="579"/>
      <c r="H66" s="419"/>
      <c r="I66" s="239"/>
      <c r="J66" s="685" t="s">
        <v>1117</v>
      </c>
      <c r="K66" s="420"/>
      <c r="L66" s="150"/>
      <c r="M66" s="374"/>
      <c r="O66" s="431"/>
      <c r="P66" s="157"/>
      <c r="Q66" s="404"/>
      <c r="R66" s="243"/>
      <c r="S66" s="317"/>
      <c r="T66" s="317"/>
      <c r="U66" s="317"/>
      <c r="V66" s="317"/>
      <c r="W66" s="317"/>
      <c r="X66" s="317"/>
      <c r="Y66" s="243"/>
      <c r="Z66" s="243"/>
    </row>
    <row r="67">
      <c r="A67" s="239"/>
      <c r="B67" s="157"/>
      <c r="C67" s="561" t="s">
        <v>1118</v>
      </c>
      <c r="D67" s="157"/>
      <c r="E67" s="569"/>
      <c r="F67" s="547"/>
      <c r="G67" s="578"/>
      <c r="H67" s="419"/>
      <c r="I67" s="57"/>
      <c r="J67" s="685" t="s">
        <v>1119</v>
      </c>
      <c r="K67" s="420"/>
      <c r="L67" s="193"/>
      <c r="M67" s="377"/>
      <c r="O67" s="431"/>
      <c r="P67" s="157"/>
      <c r="Q67" s="404"/>
      <c r="R67" s="582"/>
      <c r="S67" s="583"/>
      <c r="T67" s="583"/>
      <c r="U67" s="583"/>
      <c r="V67" s="583"/>
      <c r="W67" s="583"/>
      <c r="X67" s="583"/>
      <c r="Y67" s="582"/>
      <c r="Z67" s="582"/>
    </row>
    <row r="68">
      <c r="A68" s="239"/>
      <c r="B68" s="157"/>
      <c r="C68" s="561" t="s">
        <v>1120</v>
      </c>
      <c r="D68" s="157"/>
      <c r="E68" s="228"/>
      <c r="F68" s="547"/>
      <c r="G68" s="578"/>
      <c r="H68" s="419"/>
      <c r="I68" s="239"/>
      <c r="J68" s="596" t="s">
        <v>955</v>
      </c>
      <c r="K68" s="420"/>
      <c r="L68" s="193"/>
      <c r="M68" s="377"/>
      <c r="O68" s="431"/>
      <c r="P68" s="157"/>
      <c r="Q68" s="404"/>
      <c r="R68" s="148"/>
      <c r="S68" s="242"/>
      <c r="T68" s="242"/>
      <c r="U68" s="242"/>
      <c r="V68" s="242"/>
      <c r="W68" s="242"/>
      <c r="X68" s="242"/>
      <c r="Y68" s="148"/>
      <c r="Z68" s="148"/>
    </row>
    <row r="69">
      <c r="A69" s="239"/>
      <c r="B69" s="157"/>
      <c r="C69" s="561"/>
      <c r="D69" s="157"/>
      <c r="E69" s="570"/>
      <c r="F69" s="547"/>
      <c r="G69" s="578"/>
      <c r="H69" s="419"/>
      <c r="I69" s="239"/>
      <c r="J69" s="568"/>
      <c r="K69" s="420"/>
      <c r="L69" s="193"/>
      <c r="M69" s="374"/>
      <c r="O69" s="431"/>
      <c r="P69" s="157"/>
      <c r="Q69" s="404"/>
      <c r="R69" s="148"/>
      <c r="S69" s="242"/>
      <c r="T69" s="242"/>
      <c r="U69" s="242"/>
      <c r="V69" s="242"/>
      <c r="W69" s="242"/>
      <c r="X69" s="242"/>
      <c r="Y69" s="148"/>
      <c r="Z69" s="148"/>
    </row>
    <row r="70">
      <c r="C70" s="571"/>
      <c r="D70" s="157"/>
      <c r="E70" s="570"/>
      <c r="F70" s="547"/>
      <c r="G70" s="578"/>
      <c r="H70" s="419"/>
      <c r="I70" s="239"/>
      <c r="J70" s="464" t="s">
        <v>692</v>
      </c>
      <c r="K70" s="420"/>
      <c r="L70" s="193"/>
      <c r="M70" s="377"/>
      <c r="O70" s="431"/>
      <c r="P70" s="157"/>
      <c r="Q70" s="404"/>
      <c r="R70" s="148"/>
      <c r="S70" s="242"/>
      <c r="T70" s="242"/>
      <c r="U70" s="242"/>
      <c r="V70" s="242"/>
      <c r="W70" s="242"/>
      <c r="X70" s="242"/>
      <c r="Y70" s="148"/>
      <c r="Z70" s="148"/>
    </row>
    <row r="71">
      <c r="C71" s="571"/>
      <c r="D71" s="157"/>
      <c r="E71" s="570"/>
      <c r="F71" s="547"/>
      <c r="G71" s="578"/>
      <c r="H71" s="419"/>
      <c r="I71" s="239"/>
      <c r="J71" s="464" t="s">
        <v>694</v>
      </c>
      <c r="K71" s="420"/>
      <c r="L71" s="150"/>
      <c r="M71" s="374"/>
      <c r="O71" s="431"/>
      <c r="P71" s="157"/>
      <c r="Q71" s="404"/>
      <c r="R71" s="148"/>
      <c r="S71" s="242"/>
      <c r="T71" s="242"/>
      <c r="U71" s="242"/>
      <c r="V71" s="242"/>
      <c r="W71" s="242"/>
      <c r="X71" s="242"/>
      <c r="Y71" s="148"/>
      <c r="Z71" s="148"/>
    </row>
    <row r="72">
      <c r="C72" s="571"/>
      <c r="D72" s="423"/>
      <c r="E72" s="570"/>
      <c r="F72" s="546"/>
      <c r="G72" s="578"/>
      <c r="H72" s="419"/>
      <c r="I72" s="57"/>
      <c r="J72" s="105"/>
      <c r="K72" s="57"/>
      <c r="L72" s="150"/>
      <c r="M72" s="57"/>
      <c r="N72" s="57"/>
      <c r="O72" s="57"/>
      <c r="P72" s="157"/>
      <c r="Q72" s="404"/>
      <c r="R72" s="148"/>
      <c r="S72" s="242"/>
      <c r="T72" s="242"/>
      <c r="U72" s="242"/>
      <c r="V72" s="242"/>
      <c r="W72" s="242"/>
      <c r="X72" s="242"/>
      <c r="Y72" s="148"/>
      <c r="Z72" s="148"/>
    </row>
    <row r="73">
      <c r="A73" s="125" t="s">
        <v>798</v>
      </c>
      <c r="B73" s="572">
        <f>C46-B50</f>
        <v>1380.2</v>
      </c>
      <c r="D73" s="157"/>
      <c r="E73" s="570"/>
      <c r="F73" s="573"/>
      <c r="G73" s="581"/>
      <c r="H73" s="419"/>
      <c r="I73" s="239"/>
      <c r="J73" s="568"/>
      <c r="K73" s="57"/>
      <c r="L73" s="150"/>
      <c r="M73" s="57"/>
      <c r="N73" s="57"/>
      <c r="O73" s="57"/>
      <c r="P73" s="157"/>
      <c r="Q73" s="404"/>
      <c r="R73" s="148"/>
      <c r="S73" s="242"/>
      <c r="T73" s="242"/>
      <c r="U73" s="242"/>
      <c r="V73" s="242"/>
      <c r="W73" s="242"/>
      <c r="X73" s="242"/>
      <c r="Y73" s="148"/>
      <c r="Z73" s="148"/>
    </row>
    <row r="74">
      <c r="A74" s="274" t="s">
        <v>783</v>
      </c>
      <c r="B74" s="109">
        <v>450.0</v>
      </c>
      <c r="C74" s="395"/>
      <c r="D74" s="157"/>
      <c r="E74" s="570"/>
      <c r="F74" s="573"/>
      <c r="G74" s="581"/>
      <c r="H74" s="419"/>
      <c r="I74" s="239"/>
      <c r="J74" s="568"/>
      <c r="K74" s="57"/>
      <c r="L74" s="150"/>
      <c r="M74" s="57"/>
      <c r="N74" s="57"/>
      <c r="O74" s="57"/>
      <c r="P74" s="157"/>
      <c r="Q74" s="404"/>
      <c r="R74" s="148"/>
      <c r="S74" s="242"/>
      <c r="T74" s="242"/>
      <c r="U74" s="242"/>
      <c r="V74" s="242"/>
      <c r="W74" s="242"/>
      <c r="X74" s="242"/>
      <c r="Y74" s="148"/>
      <c r="Z74" s="148"/>
    </row>
    <row r="75">
      <c r="A75" s="274" t="s">
        <v>784</v>
      </c>
      <c r="B75" s="109">
        <v>300.0</v>
      </c>
      <c r="C75" s="395"/>
      <c r="D75" s="157"/>
      <c r="E75" s="570"/>
      <c r="F75" s="573"/>
      <c r="G75" s="581"/>
      <c r="H75" s="419"/>
      <c r="I75" s="239"/>
      <c r="J75" s="568"/>
      <c r="K75" s="57"/>
      <c r="L75" s="150"/>
      <c r="M75" s="57"/>
      <c r="N75" s="57"/>
      <c r="O75" s="57"/>
      <c r="P75" s="157"/>
      <c r="Q75" s="404"/>
      <c r="R75" s="148"/>
      <c r="S75" s="242"/>
      <c r="T75" s="242"/>
      <c r="U75" s="242"/>
      <c r="V75" s="242"/>
      <c r="W75" s="242"/>
      <c r="X75" s="242"/>
      <c r="Y75" s="148"/>
      <c r="Z75" s="148"/>
    </row>
    <row r="76">
      <c r="A76" s="274" t="s">
        <v>785</v>
      </c>
      <c r="B76" s="109">
        <v>4400.0</v>
      </c>
      <c r="C76" s="686">
        <f>SUM(B74:B76)</f>
        <v>5150</v>
      </c>
      <c r="D76" s="157"/>
      <c r="E76" s="570"/>
      <c r="F76" s="573"/>
      <c r="G76" s="581"/>
      <c r="H76" s="419"/>
      <c r="I76" s="239"/>
      <c r="J76" s="568"/>
      <c r="K76" s="57"/>
      <c r="L76" s="150"/>
      <c r="M76" s="57"/>
      <c r="N76" s="57"/>
      <c r="O76" s="57"/>
      <c r="P76" s="157"/>
      <c r="Q76" s="404"/>
      <c r="R76" s="148"/>
      <c r="S76" s="242"/>
      <c r="T76" s="242"/>
      <c r="U76" s="242"/>
      <c r="V76" s="242"/>
      <c r="W76" s="242"/>
      <c r="X76" s="242"/>
      <c r="Y76" s="148"/>
      <c r="Z76" s="148"/>
    </row>
    <row r="77">
      <c r="A77" s="402"/>
      <c r="B77" s="403"/>
      <c r="C77" s="403"/>
      <c r="D77" s="403"/>
      <c r="E77" s="574"/>
      <c r="F77" s="575"/>
      <c r="G77" s="576"/>
      <c r="H77" s="159"/>
      <c r="I77" s="159"/>
      <c r="J77" s="576"/>
      <c r="K77" s="159"/>
      <c r="L77" s="162"/>
      <c r="M77" s="402"/>
      <c r="N77" s="402"/>
      <c r="O77" s="159"/>
      <c r="P77" s="403"/>
      <c r="Q77" s="577"/>
      <c r="R77" s="148"/>
      <c r="S77" s="242"/>
      <c r="T77" s="242"/>
      <c r="U77" s="242"/>
      <c r="V77" s="242"/>
      <c r="W77" s="242"/>
      <c r="X77" s="242"/>
      <c r="Y77" s="148"/>
      <c r="Z77" s="148"/>
    </row>
    <row r="78" ht="9.75" customHeight="1">
      <c r="A78" s="338"/>
      <c r="B78" s="584"/>
      <c r="C78" s="148"/>
      <c r="D78" s="245"/>
      <c r="E78" s="585"/>
      <c r="F78" s="586"/>
      <c r="G78" s="243"/>
      <c r="H78" s="148"/>
      <c r="I78" s="251"/>
      <c r="J78" s="243"/>
      <c r="K78" s="148"/>
      <c r="L78" s="277"/>
      <c r="M78" s="252"/>
      <c r="N78" s="250"/>
      <c r="O78" s="253"/>
      <c r="P78" s="240"/>
      <c r="Q78" s="148"/>
      <c r="R78" s="148"/>
      <c r="S78" s="242"/>
      <c r="T78" s="242"/>
      <c r="U78" s="242"/>
      <c r="V78" s="242"/>
      <c r="W78" s="242"/>
      <c r="X78" s="242"/>
      <c r="Y78" s="148"/>
      <c r="Z78" s="148"/>
    </row>
    <row r="79">
      <c r="A79" s="169" t="s">
        <v>127</v>
      </c>
      <c r="B79" s="539"/>
      <c r="C79" s="540"/>
      <c r="D79" s="405"/>
      <c r="E79" s="541"/>
      <c r="F79" s="542"/>
      <c r="G79" s="467" t="s">
        <v>333</v>
      </c>
      <c r="H79" s="361"/>
      <c r="I79" s="57"/>
      <c r="J79" s="105"/>
      <c r="K79" s="57"/>
      <c r="L79" s="150"/>
      <c r="M79" s="239"/>
      <c r="N79" s="239"/>
      <c r="O79" s="57"/>
      <c r="P79" s="157"/>
      <c r="Q79" s="404"/>
      <c r="R79" s="148"/>
      <c r="S79" s="242"/>
      <c r="T79" s="242"/>
      <c r="U79" s="242"/>
      <c r="V79" s="242"/>
      <c r="W79" s="242"/>
      <c r="X79" s="242"/>
      <c r="Y79" s="148"/>
      <c r="Z79" s="148"/>
    </row>
    <row r="80">
      <c r="A80" s="468"/>
      <c r="B80" s="157"/>
      <c r="C80" s="466"/>
      <c r="D80" s="405"/>
      <c r="E80" s="543" t="s">
        <v>335</v>
      </c>
      <c r="F80" s="544" t="s">
        <v>237</v>
      </c>
      <c r="G80" s="412" t="s">
        <v>336</v>
      </c>
      <c r="H80" s="413" t="s">
        <v>337</v>
      </c>
      <c r="I80" s="239"/>
      <c r="J80" s="145" t="s">
        <v>60</v>
      </c>
      <c r="K80" s="57"/>
      <c r="L80" s="150"/>
      <c r="M80" s="414"/>
      <c r="N80" s="414"/>
      <c r="O80" s="57" t="s">
        <v>334</v>
      </c>
      <c r="P80" s="157"/>
      <c r="Q80" s="404"/>
      <c r="R80" s="148"/>
      <c r="S80" s="242"/>
      <c r="T80" s="242"/>
      <c r="U80" s="242"/>
      <c r="V80" s="242"/>
      <c r="W80" s="242"/>
      <c r="X80" s="242"/>
      <c r="Y80" s="148"/>
      <c r="Z80" s="148"/>
    </row>
    <row r="81">
      <c r="A81" s="470" t="s">
        <v>179</v>
      </c>
      <c r="C81" s="416">
        <f>SUM(F81:F115)</f>
        <v>6747</v>
      </c>
      <c r="D81" s="405"/>
      <c r="E81" s="545"/>
      <c r="F81" s="546"/>
      <c r="G81" s="578"/>
      <c r="H81" s="419"/>
      <c r="I81" s="57"/>
      <c r="K81" s="57"/>
      <c r="L81" s="150"/>
      <c r="M81" s="377" t="s">
        <v>366</v>
      </c>
      <c r="P81" s="157"/>
      <c r="Q81" s="404"/>
      <c r="R81" s="148"/>
      <c r="S81" s="242"/>
      <c r="T81" s="242"/>
      <c r="U81" s="242"/>
      <c r="V81" s="242"/>
      <c r="W81" s="242"/>
      <c r="X81" s="242"/>
      <c r="Y81" s="148"/>
      <c r="Z81" s="148"/>
    </row>
    <row r="82">
      <c r="A82" s="421" t="s">
        <v>343</v>
      </c>
      <c r="B82" s="422" t="s">
        <v>321</v>
      </c>
      <c r="C82" s="416">
        <f>SUM(P82:P115)</f>
        <v>1517</v>
      </c>
      <c r="D82" s="157"/>
      <c r="E82" s="545"/>
      <c r="F82" s="546"/>
      <c r="G82" s="578"/>
      <c r="H82" s="419"/>
      <c r="I82" s="239"/>
      <c r="J82" s="471" t="s">
        <v>341</v>
      </c>
      <c r="K82" s="420"/>
      <c r="L82" s="150"/>
      <c r="M82" s="374"/>
      <c r="O82" s="426" t="s">
        <v>1154</v>
      </c>
      <c r="P82" s="423">
        <v>280.0</v>
      </c>
      <c r="Q82" s="404"/>
      <c r="R82" s="148"/>
      <c r="S82" s="242"/>
      <c r="T82" s="242"/>
      <c r="U82" s="242"/>
      <c r="V82" s="242"/>
      <c r="W82" s="242"/>
      <c r="X82" s="242"/>
      <c r="Y82" s="148"/>
      <c r="Z82" s="148"/>
    </row>
    <row r="83">
      <c r="A83" s="427" t="s">
        <v>201</v>
      </c>
      <c r="C83" s="204">
        <f>SUM(L82:L115)</f>
        <v>2916</v>
      </c>
      <c r="D83" s="157"/>
      <c r="E83" s="545"/>
      <c r="F83" s="546"/>
      <c r="G83" s="578"/>
      <c r="H83" s="419"/>
      <c r="I83" s="239"/>
      <c r="J83" s="472" t="s">
        <v>345</v>
      </c>
      <c r="K83" s="420"/>
      <c r="L83" s="193"/>
      <c r="M83" s="377"/>
      <c r="O83" s="426" t="s">
        <v>1155</v>
      </c>
      <c r="P83" s="423">
        <v>890.0</v>
      </c>
      <c r="Q83" s="404"/>
      <c r="R83" s="148"/>
      <c r="S83" s="242"/>
      <c r="T83" s="242"/>
      <c r="U83" s="242"/>
      <c r="V83" s="242"/>
      <c r="W83" s="242"/>
      <c r="X83" s="242"/>
      <c r="Y83" s="148"/>
      <c r="Z83" s="148"/>
    </row>
    <row r="84">
      <c r="A84" s="548" t="s">
        <v>761</v>
      </c>
      <c r="B84" s="549">
        <v>0.4</v>
      </c>
      <c r="C84" s="191">
        <v>606.0</v>
      </c>
      <c r="D84" s="157"/>
      <c r="E84" s="550" t="s">
        <v>695</v>
      </c>
      <c r="F84" s="546"/>
      <c r="G84" s="562"/>
      <c r="H84" s="419"/>
      <c r="I84" s="239"/>
      <c r="J84" s="433" t="s">
        <v>656</v>
      </c>
      <c r="K84" s="420"/>
      <c r="L84" s="193"/>
      <c r="M84" s="377"/>
      <c r="O84" s="426" t="s">
        <v>812</v>
      </c>
      <c r="P84" s="423">
        <v>347.0</v>
      </c>
      <c r="Q84" s="404"/>
      <c r="R84" s="148"/>
      <c r="S84" s="242"/>
      <c r="T84" s="242"/>
      <c r="U84" s="242"/>
      <c r="V84" s="242"/>
      <c r="W84" s="242"/>
      <c r="X84" s="242"/>
      <c r="Y84" s="148"/>
      <c r="Z84" s="148"/>
    </row>
    <row r="85">
      <c r="A85" s="434" t="s">
        <v>350</v>
      </c>
      <c r="C85" s="551">
        <f>C81-C83-C84</f>
        <v>3225</v>
      </c>
      <c r="D85" s="157"/>
      <c r="E85" s="192" t="s">
        <v>1156</v>
      </c>
      <c r="F85" s="546">
        <v>110.0</v>
      </c>
      <c r="G85" s="562"/>
      <c r="H85" s="419"/>
      <c r="I85" s="57"/>
      <c r="J85" s="444" t="s">
        <v>658</v>
      </c>
      <c r="K85" s="420"/>
      <c r="L85" s="193"/>
      <c r="M85" s="377"/>
      <c r="O85" s="431"/>
      <c r="P85" s="157"/>
      <c r="Q85" s="404"/>
      <c r="R85" s="148"/>
      <c r="S85" s="242"/>
      <c r="T85" s="242"/>
      <c r="U85" s="242"/>
      <c r="V85" s="242"/>
      <c r="W85" s="242"/>
      <c r="X85" s="242"/>
      <c r="Y85" s="148"/>
      <c r="Z85" s="148"/>
    </row>
    <row r="86">
      <c r="A86" s="554"/>
      <c r="B86" s="555"/>
      <c r="C86" s="447"/>
      <c r="D86" s="157"/>
      <c r="E86" s="192" t="s">
        <v>1157</v>
      </c>
      <c r="F86" s="546">
        <v>500.0</v>
      </c>
      <c r="G86" s="578"/>
      <c r="H86" s="419"/>
      <c r="I86" s="57"/>
      <c r="J86" s="444" t="s">
        <v>660</v>
      </c>
      <c r="K86" s="420"/>
      <c r="L86" s="193">
        <v>240.0</v>
      </c>
      <c r="M86" s="377"/>
      <c r="O86" s="431"/>
      <c r="P86" s="157"/>
      <c r="Q86" s="404"/>
      <c r="R86" s="148"/>
      <c r="S86" s="242"/>
      <c r="T86" s="242"/>
      <c r="U86" s="242"/>
      <c r="V86" s="242"/>
      <c r="W86" s="242"/>
      <c r="X86" s="242"/>
      <c r="Y86" s="148"/>
      <c r="Z86" s="148"/>
    </row>
    <row r="87">
      <c r="A87" s="556"/>
      <c r="C87" s="395"/>
      <c r="D87" s="157"/>
      <c r="E87" s="192" t="s">
        <v>1146</v>
      </c>
      <c r="F87" s="693">
        <v>1100.0</v>
      </c>
      <c r="G87" s="579"/>
      <c r="H87" s="587" t="s">
        <v>426</v>
      </c>
      <c r="I87" s="239"/>
      <c r="J87" s="370" t="s">
        <v>662</v>
      </c>
      <c r="K87" s="420"/>
      <c r="L87" s="193"/>
      <c r="M87" s="377"/>
      <c r="O87" s="431"/>
      <c r="P87" s="157"/>
      <c r="Q87" s="404"/>
      <c r="R87" s="148"/>
      <c r="S87" s="242"/>
      <c r="T87" s="242"/>
      <c r="U87" s="242"/>
      <c r="V87" s="242"/>
      <c r="W87" s="242"/>
      <c r="X87" s="242"/>
      <c r="Y87" s="148"/>
      <c r="Z87" s="148"/>
    </row>
    <row r="88" ht="21.75" customHeight="1">
      <c r="A88" s="557"/>
      <c r="B88" s="109"/>
      <c r="C88" s="395"/>
      <c r="D88" s="373"/>
      <c r="E88" s="192" t="s">
        <v>873</v>
      </c>
      <c r="F88" s="546">
        <v>260.0</v>
      </c>
      <c r="G88" s="562" t="s">
        <v>426</v>
      </c>
      <c r="H88" s="419"/>
      <c r="I88" s="239"/>
      <c r="J88" s="433" t="s">
        <v>666</v>
      </c>
      <c r="K88" s="420"/>
      <c r="L88" s="193">
        <v>50.0</v>
      </c>
      <c r="M88" s="377" t="s">
        <v>1158</v>
      </c>
      <c r="O88" s="431"/>
      <c r="P88" s="157"/>
      <c r="Q88" s="404"/>
      <c r="R88" s="148"/>
      <c r="S88" s="242"/>
      <c r="T88" s="242"/>
      <c r="U88" s="242"/>
      <c r="V88" s="242"/>
      <c r="W88" s="242"/>
      <c r="X88" s="242"/>
      <c r="Y88" s="148"/>
      <c r="Z88" s="148"/>
    </row>
    <row r="89" ht="17.25" customHeight="1">
      <c r="A89" s="559" t="s">
        <v>765</v>
      </c>
      <c r="B89" s="560">
        <f>SUM(D89:D115)</f>
        <v>1358</v>
      </c>
      <c r="C89" s="477" t="s">
        <v>366</v>
      </c>
      <c r="D89" s="157"/>
      <c r="E89" s="192" t="s">
        <v>1159</v>
      </c>
      <c r="F89" s="546">
        <v>890.0</v>
      </c>
      <c r="G89" s="558" t="s">
        <v>426</v>
      </c>
      <c r="H89" s="419"/>
      <c r="I89" s="239"/>
      <c r="J89" s="433" t="s">
        <v>668</v>
      </c>
      <c r="K89" s="420"/>
      <c r="L89" s="193"/>
      <c r="M89" s="377"/>
      <c r="O89" s="431"/>
      <c r="P89" s="157"/>
      <c r="Q89" s="404"/>
      <c r="R89" s="148"/>
      <c r="S89" s="242"/>
      <c r="T89" s="242"/>
      <c r="U89" s="242"/>
      <c r="V89" s="242"/>
      <c r="W89" s="242"/>
      <c r="X89" s="242"/>
      <c r="Y89" s="148"/>
      <c r="Z89" s="148"/>
    </row>
    <row r="90">
      <c r="A90" s="453" t="s">
        <v>369</v>
      </c>
      <c r="C90" s="561" t="s">
        <v>766</v>
      </c>
      <c r="D90" s="423"/>
      <c r="E90" s="192" t="s">
        <v>1160</v>
      </c>
      <c r="F90" s="546">
        <v>330.0</v>
      </c>
      <c r="G90" s="578"/>
      <c r="H90" s="419"/>
      <c r="I90" s="239"/>
      <c r="J90" s="433" t="s">
        <v>670</v>
      </c>
      <c r="K90" s="458"/>
      <c r="L90" s="193">
        <v>1250.0</v>
      </c>
      <c r="M90" s="377"/>
      <c r="O90" s="431"/>
      <c r="P90" s="157"/>
      <c r="Q90" s="404"/>
      <c r="R90" s="148"/>
      <c r="S90" s="242"/>
      <c r="T90" s="242"/>
      <c r="U90" s="242"/>
      <c r="V90" s="242"/>
      <c r="W90" s="242"/>
      <c r="X90" s="242"/>
      <c r="Y90" s="148"/>
      <c r="Z90" s="148"/>
    </row>
    <row r="91" ht="14.25" customHeight="1">
      <c r="C91" s="561" t="s">
        <v>767</v>
      </c>
      <c r="D91" s="423"/>
      <c r="E91" s="192" t="s">
        <v>1161</v>
      </c>
      <c r="F91" s="546">
        <v>80.0</v>
      </c>
      <c r="G91" s="578"/>
      <c r="H91" s="419"/>
      <c r="I91" s="239"/>
      <c r="J91" s="433" t="s">
        <v>217</v>
      </c>
      <c r="K91" s="458"/>
      <c r="L91" s="150"/>
      <c r="M91" s="377"/>
      <c r="O91" s="431"/>
      <c r="P91" s="157"/>
      <c r="Q91" s="404"/>
      <c r="R91" s="148"/>
      <c r="S91" s="242"/>
      <c r="T91" s="242"/>
      <c r="U91" s="242"/>
      <c r="V91" s="242"/>
      <c r="W91" s="242"/>
      <c r="X91" s="242"/>
      <c r="Y91" s="148"/>
      <c r="Z91" s="148"/>
    </row>
    <row r="92">
      <c r="A92" s="57"/>
      <c r="B92" s="57"/>
      <c r="C92" s="561" t="s">
        <v>768</v>
      </c>
      <c r="D92" s="423"/>
      <c r="E92" s="192" t="s">
        <v>1140</v>
      </c>
      <c r="F92" s="546">
        <v>280.0</v>
      </c>
      <c r="G92" s="558" t="s">
        <v>426</v>
      </c>
      <c r="H92" s="419"/>
      <c r="I92" s="239"/>
      <c r="J92" s="109"/>
      <c r="K92" s="420"/>
      <c r="L92" s="193"/>
      <c r="M92" s="374"/>
      <c r="O92" s="431"/>
      <c r="P92" s="157"/>
      <c r="Q92" s="404"/>
      <c r="R92" s="148"/>
      <c r="S92" s="242"/>
      <c r="T92" s="242"/>
      <c r="U92" s="242"/>
      <c r="V92" s="242"/>
      <c r="W92" s="242"/>
      <c r="X92" s="242"/>
      <c r="Y92" s="148"/>
      <c r="Z92" s="148"/>
    </row>
    <row r="93">
      <c r="A93" s="57"/>
      <c r="B93" s="57"/>
      <c r="C93" s="561" t="s">
        <v>769</v>
      </c>
      <c r="D93" s="157"/>
      <c r="E93" s="192" t="s">
        <v>1162</v>
      </c>
      <c r="F93" s="546">
        <v>2000.0</v>
      </c>
      <c r="G93" s="562"/>
      <c r="H93" s="419"/>
      <c r="I93" s="239"/>
      <c r="J93" s="456" t="s">
        <v>672</v>
      </c>
      <c r="K93" s="420"/>
      <c r="L93" s="150"/>
      <c r="M93" s="377"/>
      <c r="O93" s="431"/>
      <c r="P93" s="157"/>
      <c r="Q93" s="404"/>
      <c r="R93" s="148"/>
      <c r="S93" s="242"/>
      <c r="T93" s="242"/>
      <c r="U93" s="242"/>
      <c r="V93" s="242"/>
      <c r="W93" s="242"/>
      <c r="X93" s="242"/>
      <c r="Y93" s="148"/>
      <c r="Z93" s="148"/>
    </row>
    <row r="94">
      <c r="A94" s="57"/>
      <c r="B94" s="57"/>
      <c r="C94" s="561" t="s">
        <v>770</v>
      </c>
      <c r="D94" s="423"/>
      <c r="E94" s="192" t="s">
        <v>812</v>
      </c>
      <c r="F94" s="546">
        <v>347.0</v>
      </c>
      <c r="G94" s="558" t="s">
        <v>426</v>
      </c>
      <c r="H94" s="419"/>
      <c r="I94" s="57"/>
      <c r="J94" s="456" t="s">
        <v>675</v>
      </c>
      <c r="K94" s="420"/>
      <c r="L94" s="150"/>
      <c r="M94" s="382"/>
      <c r="O94" s="431"/>
      <c r="P94" s="157"/>
      <c r="Q94" s="404"/>
      <c r="R94" s="148"/>
      <c r="S94" s="242"/>
      <c r="T94" s="242"/>
      <c r="U94" s="242"/>
      <c r="V94" s="242"/>
      <c r="W94" s="242"/>
      <c r="X94" s="242"/>
      <c r="Y94" s="148"/>
      <c r="Z94" s="148"/>
    </row>
    <row r="95">
      <c r="A95" s="57"/>
      <c r="B95" s="57"/>
      <c r="C95" s="561" t="s">
        <v>793</v>
      </c>
      <c r="D95" s="423"/>
      <c r="E95" s="192" t="s">
        <v>1163</v>
      </c>
      <c r="F95" s="546">
        <v>650.0</v>
      </c>
      <c r="G95" s="579"/>
      <c r="H95" s="419"/>
      <c r="I95" s="57"/>
      <c r="J95" s="456"/>
      <c r="K95" s="420"/>
      <c r="L95" s="150"/>
      <c r="M95" s="425"/>
      <c r="O95" s="431"/>
      <c r="P95" s="157"/>
      <c r="Q95" s="404"/>
      <c r="R95" s="148"/>
      <c r="S95" s="242"/>
      <c r="T95" s="242"/>
      <c r="U95" s="242"/>
      <c r="V95" s="242"/>
      <c r="W95" s="242"/>
      <c r="X95" s="242"/>
      <c r="Y95" s="148"/>
      <c r="Z95" s="148"/>
    </row>
    <row r="96">
      <c r="A96" s="239"/>
      <c r="B96" s="57"/>
      <c r="C96" s="561" t="s">
        <v>794</v>
      </c>
      <c r="D96" s="423"/>
      <c r="E96" s="192" t="s">
        <v>862</v>
      </c>
      <c r="F96" s="546">
        <v>200.0</v>
      </c>
      <c r="G96" s="578"/>
      <c r="H96" s="419"/>
      <c r="I96" s="57"/>
      <c r="J96" s="375"/>
      <c r="K96" s="420"/>
      <c r="L96" s="150"/>
      <c r="M96" s="425"/>
      <c r="O96" s="431"/>
      <c r="P96" s="157"/>
      <c r="Q96" s="404"/>
      <c r="R96" s="148"/>
      <c r="S96" s="242"/>
      <c r="T96" s="242"/>
      <c r="U96" s="242"/>
      <c r="V96" s="242"/>
      <c r="W96" s="242"/>
      <c r="X96" s="242"/>
      <c r="Y96" s="148"/>
      <c r="Z96" s="148"/>
    </row>
    <row r="97">
      <c r="A97" s="238" t="s">
        <v>1164</v>
      </c>
      <c r="B97" s="57"/>
      <c r="C97" s="561" t="s">
        <v>18</v>
      </c>
      <c r="D97" s="423">
        <v>644.0</v>
      </c>
      <c r="E97" s="192"/>
      <c r="F97" s="546"/>
      <c r="G97" s="578"/>
      <c r="H97" s="419"/>
      <c r="I97" s="57"/>
      <c r="J97" s="375"/>
      <c r="K97" s="420"/>
      <c r="L97" s="193"/>
      <c r="M97" s="382"/>
      <c r="O97" s="431"/>
      <c r="P97" s="157"/>
      <c r="Q97" s="404"/>
      <c r="R97" s="148"/>
      <c r="S97" s="242"/>
      <c r="T97" s="242"/>
      <c r="U97" s="242"/>
      <c r="V97" s="242"/>
      <c r="W97" s="242"/>
      <c r="X97" s="242"/>
      <c r="Y97" s="148"/>
      <c r="Z97" s="148"/>
    </row>
    <row r="98">
      <c r="A98" s="238" t="s">
        <v>1165</v>
      </c>
      <c r="B98" s="57"/>
      <c r="C98" s="563" t="s">
        <v>1115</v>
      </c>
      <c r="D98" s="423">
        <v>200.0</v>
      </c>
      <c r="E98" s="192"/>
      <c r="F98" s="546"/>
      <c r="G98" s="579"/>
      <c r="H98" s="419"/>
      <c r="I98" s="57"/>
      <c r="J98" s="452"/>
      <c r="K98" s="420"/>
      <c r="L98" s="150"/>
      <c r="M98" s="425"/>
      <c r="O98" s="431"/>
      <c r="P98" s="157"/>
      <c r="Q98" s="404"/>
      <c r="R98" s="148"/>
      <c r="S98" s="242"/>
      <c r="T98" s="242"/>
      <c r="U98" s="242"/>
      <c r="V98" s="242"/>
      <c r="W98" s="242"/>
      <c r="X98" s="242"/>
      <c r="Y98" s="148"/>
      <c r="Z98" s="148"/>
    </row>
    <row r="99">
      <c r="A99" s="57"/>
      <c r="B99" s="57"/>
      <c r="C99" s="561" t="s">
        <v>1116</v>
      </c>
      <c r="D99" s="423"/>
      <c r="E99" s="192"/>
      <c r="F99" s="546"/>
      <c r="G99" s="578"/>
      <c r="H99" s="419"/>
      <c r="I99" s="57"/>
      <c r="J99" s="105"/>
      <c r="K99" s="420"/>
      <c r="L99" s="150"/>
      <c r="M99" s="425"/>
      <c r="O99" s="431"/>
      <c r="P99" s="157"/>
      <c r="Q99" s="404"/>
      <c r="R99" s="148"/>
      <c r="S99" s="242"/>
      <c r="T99" s="242"/>
      <c r="U99" s="242"/>
      <c r="V99" s="242"/>
      <c r="W99" s="242"/>
      <c r="X99" s="242"/>
      <c r="Y99" s="148"/>
      <c r="Z99" s="148"/>
    </row>
    <row r="100">
      <c r="A100" s="238" t="s">
        <v>1166</v>
      </c>
      <c r="B100" s="239"/>
      <c r="C100" s="561" t="s">
        <v>775</v>
      </c>
      <c r="D100" s="423">
        <v>214.0</v>
      </c>
      <c r="E100" s="192"/>
      <c r="F100" s="546"/>
      <c r="G100" s="578"/>
      <c r="H100" s="419"/>
      <c r="I100" s="57"/>
      <c r="J100" s="378" t="s">
        <v>682</v>
      </c>
      <c r="K100" s="420"/>
      <c r="L100" s="193">
        <v>312.0</v>
      </c>
      <c r="M100" s="377" t="s">
        <v>1167</v>
      </c>
      <c r="O100" s="431"/>
      <c r="P100" s="157"/>
      <c r="Q100" s="404"/>
      <c r="R100" s="148"/>
      <c r="S100" s="242"/>
      <c r="T100" s="242"/>
      <c r="U100" s="242"/>
      <c r="V100" s="242"/>
      <c r="W100" s="242"/>
      <c r="X100" s="242"/>
      <c r="Y100" s="148"/>
      <c r="Z100" s="148"/>
    </row>
    <row r="101">
      <c r="A101" s="239"/>
      <c r="B101" s="239"/>
      <c r="C101" s="561" t="s">
        <v>10</v>
      </c>
      <c r="D101" s="157"/>
      <c r="E101" s="192"/>
      <c r="F101" s="580"/>
      <c r="G101" s="581"/>
      <c r="H101" s="419"/>
      <c r="I101" s="57"/>
      <c r="J101" s="461" t="s">
        <v>684</v>
      </c>
      <c r="K101" s="420"/>
      <c r="L101" s="193"/>
      <c r="M101" s="377"/>
      <c r="O101" s="431"/>
      <c r="P101" s="157"/>
      <c r="Q101" s="404"/>
      <c r="R101" s="148"/>
      <c r="S101" s="242"/>
      <c r="T101" s="242"/>
      <c r="U101" s="242"/>
      <c r="V101" s="242"/>
      <c r="W101" s="242"/>
      <c r="X101" s="242"/>
      <c r="Y101" s="148"/>
      <c r="Z101" s="148"/>
    </row>
    <row r="102">
      <c r="A102" s="238" t="s">
        <v>1168</v>
      </c>
      <c r="B102" s="239"/>
      <c r="C102" s="561" t="s">
        <v>6</v>
      </c>
      <c r="D102" s="423">
        <v>200.0</v>
      </c>
      <c r="E102" s="192"/>
      <c r="F102" s="546"/>
      <c r="G102" s="562"/>
      <c r="H102" s="455"/>
      <c r="I102" s="57"/>
      <c r="J102" s="461" t="s">
        <v>686</v>
      </c>
      <c r="K102" s="420"/>
      <c r="L102" s="193">
        <v>1000.0</v>
      </c>
      <c r="M102" s="377" t="s">
        <v>1169</v>
      </c>
      <c r="O102" s="463"/>
      <c r="P102" s="157"/>
      <c r="Q102" s="404"/>
      <c r="R102" s="148"/>
      <c r="S102" s="242"/>
      <c r="T102" s="242"/>
      <c r="U102" s="242"/>
      <c r="V102" s="242"/>
      <c r="W102" s="242"/>
      <c r="X102" s="242"/>
      <c r="Y102" s="148"/>
      <c r="Z102" s="148"/>
    </row>
    <row r="103">
      <c r="A103" s="238" t="s">
        <v>1170</v>
      </c>
      <c r="B103" s="238"/>
      <c r="C103" s="561" t="s">
        <v>779</v>
      </c>
      <c r="D103" s="423">
        <v>100.0</v>
      </c>
      <c r="E103" s="228"/>
      <c r="F103" s="547"/>
      <c r="G103" s="579"/>
      <c r="H103" s="455"/>
      <c r="I103" s="239"/>
      <c r="J103" s="460" t="s">
        <v>202</v>
      </c>
      <c r="K103" s="420"/>
      <c r="L103" s="193"/>
      <c r="M103" s="377"/>
      <c r="O103" s="463"/>
      <c r="P103" s="157"/>
      <c r="Q103" s="404"/>
      <c r="R103" s="148"/>
      <c r="S103" s="242"/>
      <c r="T103" s="242"/>
      <c r="U103" s="242"/>
      <c r="V103" s="242"/>
      <c r="W103" s="242"/>
      <c r="X103" s="242"/>
      <c r="Y103" s="148"/>
      <c r="Z103" s="148"/>
    </row>
    <row r="104">
      <c r="A104" s="239"/>
      <c r="B104" s="239"/>
      <c r="C104" s="561" t="s">
        <v>780</v>
      </c>
      <c r="D104" s="423"/>
      <c r="E104" s="228"/>
      <c r="F104" s="547"/>
      <c r="G104" s="579"/>
      <c r="H104" s="455"/>
      <c r="I104" s="57"/>
      <c r="J104" s="460" t="s">
        <v>274</v>
      </c>
      <c r="K104" s="420"/>
      <c r="L104" s="193"/>
      <c r="M104" s="374"/>
      <c r="O104" s="463"/>
      <c r="P104" s="157"/>
      <c r="Q104" s="404"/>
      <c r="R104" s="148"/>
      <c r="S104" s="242"/>
      <c r="T104" s="242"/>
      <c r="U104" s="242"/>
      <c r="V104" s="242"/>
      <c r="W104" s="242"/>
      <c r="X104" s="242"/>
      <c r="Y104" s="148"/>
      <c r="Z104" s="148"/>
    </row>
    <row r="105">
      <c r="A105" s="239"/>
      <c r="B105" s="239"/>
      <c r="C105" s="561" t="s">
        <v>781</v>
      </c>
      <c r="D105" s="423"/>
      <c r="E105" s="228"/>
      <c r="F105" s="547"/>
      <c r="G105" s="579"/>
      <c r="H105" s="419"/>
      <c r="I105" s="239"/>
      <c r="J105" s="685" t="s">
        <v>1117</v>
      </c>
      <c r="K105" s="420"/>
      <c r="L105" s="150"/>
      <c r="M105" s="374"/>
      <c r="O105" s="431"/>
      <c r="P105" s="157"/>
      <c r="Q105" s="404"/>
      <c r="R105" s="148"/>
      <c r="S105" s="242"/>
      <c r="T105" s="242"/>
      <c r="U105" s="242"/>
      <c r="V105" s="242"/>
      <c r="W105" s="242"/>
      <c r="X105" s="242"/>
      <c r="Y105" s="148"/>
      <c r="Z105" s="148"/>
    </row>
    <row r="106">
      <c r="A106" s="239"/>
      <c r="B106" s="157"/>
      <c r="C106" s="561" t="s">
        <v>1118</v>
      </c>
      <c r="D106" s="157"/>
      <c r="E106" s="569"/>
      <c r="F106" s="547"/>
      <c r="G106" s="578"/>
      <c r="H106" s="419"/>
      <c r="I106" s="57"/>
      <c r="J106" s="685" t="s">
        <v>1119</v>
      </c>
      <c r="K106" s="420"/>
      <c r="L106" s="193"/>
      <c r="M106" s="377"/>
      <c r="O106" s="431"/>
      <c r="P106" s="157"/>
      <c r="Q106" s="404"/>
      <c r="R106" s="148"/>
      <c r="S106" s="242"/>
      <c r="T106" s="242"/>
      <c r="U106" s="242"/>
      <c r="V106" s="242"/>
      <c r="W106" s="242"/>
      <c r="X106" s="242"/>
      <c r="Y106" s="148"/>
      <c r="Z106" s="148"/>
    </row>
    <row r="107">
      <c r="A107" s="239"/>
      <c r="B107" s="157"/>
      <c r="C107" s="561" t="s">
        <v>1120</v>
      </c>
      <c r="D107" s="157"/>
      <c r="E107" s="228"/>
      <c r="F107" s="547"/>
      <c r="G107" s="578"/>
      <c r="H107" s="419"/>
      <c r="I107" s="239"/>
      <c r="J107" s="596" t="s">
        <v>955</v>
      </c>
      <c r="K107" s="420"/>
      <c r="L107" s="193"/>
      <c r="M107" s="377"/>
      <c r="O107" s="431"/>
      <c r="P107" s="157"/>
      <c r="Q107" s="404"/>
      <c r="R107" s="148"/>
      <c r="S107" s="242"/>
      <c r="T107" s="242"/>
      <c r="U107" s="242"/>
      <c r="V107" s="242"/>
      <c r="W107" s="242"/>
      <c r="X107" s="242"/>
      <c r="Y107" s="148"/>
      <c r="Z107" s="148"/>
    </row>
    <row r="108">
      <c r="A108" s="239"/>
      <c r="B108" s="157"/>
      <c r="C108" s="561"/>
      <c r="D108" s="157"/>
      <c r="E108" s="570"/>
      <c r="F108" s="547"/>
      <c r="G108" s="578"/>
      <c r="H108" s="419"/>
      <c r="I108" s="239"/>
      <c r="J108" s="568"/>
      <c r="K108" s="420"/>
      <c r="L108" s="193"/>
      <c r="M108" s="374"/>
      <c r="O108" s="431"/>
      <c r="P108" s="157"/>
      <c r="Q108" s="404"/>
      <c r="R108" s="148"/>
      <c r="S108" s="242"/>
      <c r="T108" s="242"/>
      <c r="U108" s="242"/>
      <c r="V108" s="242"/>
      <c r="W108" s="242"/>
      <c r="X108" s="242"/>
      <c r="Y108" s="148"/>
      <c r="Z108" s="148"/>
    </row>
    <row r="109">
      <c r="C109" s="571"/>
      <c r="D109" s="157"/>
      <c r="E109" s="570"/>
      <c r="F109" s="547"/>
      <c r="G109" s="578"/>
      <c r="H109" s="419"/>
      <c r="I109" s="239"/>
      <c r="J109" s="464" t="s">
        <v>692</v>
      </c>
      <c r="K109" s="420"/>
      <c r="L109" s="150"/>
      <c r="M109" s="377"/>
      <c r="O109" s="431"/>
      <c r="P109" s="157"/>
      <c r="Q109" s="404"/>
      <c r="R109" s="148"/>
      <c r="S109" s="242"/>
      <c r="T109" s="242"/>
      <c r="U109" s="242"/>
      <c r="V109" s="242"/>
      <c r="W109" s="242"/>
      <c r="X109" s="242"/>
      <c r="Y109" s="148"/>
      <c r="Z109" s="148"/>
    </row>
    <row r="110">
      <c r="C110" s="571"/>
      <c r="D110" s="157"/>
      <c r="E110" s="570"/>
      <c r="F110" s="547"/>
      <c r="G110" s="578"/>
      <c r="H110" s="419"/>
      <c r="I110" s="239"/>
      <c r="J110" s="464" t="s">
        <v>694</v>
      </c>
      <c r="K110" s="420"/>
      <c r="L110" s="193">
        <v>64.0</v>
      </c>
      <c r="M110" s="377" t="s">
        <v>1171</v>
      </c>
      <c r="O110" s="431"/>
      <c r="P110" s="157"/>
      <c r="Q110" s="404"/>
      <c r="R110" s="148"/>
      <c r="S110" s="242"/>
      <c r="T110" s="242"/>
      <c r="U110" s="242"/>
      <c r="V110" s="242"/>
      <c r="W110" s="242"/>
      <c r="X110" s="242"/>
      <c r="Y110" s="148"/>
      <c r="Z110" s="148"/>
    </row>
    <row r="111">
      <c r="C111" s="571"/>
      <c r="D111" s="423"/>
      <c r="E111" s="570"/>
      <c r="F111" s="546"/>
      <c r="G111" s="578"/>
      <c r="H111" s="419"/>
      <c r="I111" s="57"/>
      <c r="J111" s="105"/>
      <c r="K111" s="57"/>
      <c r="L111" s="193"/>
      <c r="M111" s="57"/>
      <c r="N111" s="57"/>
      <c r="O111" s="57"/>
      <c r="P111" s="157"/>
      <c r="Q111" s="404"/>
      <c r="R111" s="148"/>
      <c r="S111" s="242"/>
      <c r="T111" s="242"/>
      <c r="U111" s="242"/>
      <c r="V111" s="242"/>
      <c r="W111" s="242"/>
      <c r="X111" s="242"/>
      <c r="Y111" s="148"/>
      <c r="Z111" s="148"/>
    </row>
    <row r="112">
      <c r="A112" s="125" t="s">
        <v>798</v>
      </c>
      <c r="B112" s="572">
        <f>C85-B89</f>
        <v>1867</v>
      </c>
      <c r="D112" s="157"/>
      <c r="E112" s="570"/>
      <c r="F112" s="573"/>
      <c r="G112" s="581"/>
      <c r="H112" s="419"/>
      <c r="I112" s="239"/>
      <c r="J112" s="568"/>
      <c r="K112" s="57"/>
      <c r="L112" s="150"/>
      <c r="M112" s="57"/>
      <c r="N112" s="57"/>
      <c r="O112" s="57"/>
      <c r="P112" s="157"/>
      <c r="Q112" s="404"/>
      <c r="R112" s="148"/>
      <c r="S112" s="242"/>
      <c r="T112" s="242"/>
      <c r="U112" s="242"/>
      <c r="V112" s="242"/>
      <c r="W112" s="242"/>
      <c r="X112" s="242"/>
      <c r="Y112" s="148"/>
      <c r="Z112" s="148"/>
    </row>
    <row r="113">
      <c r="A113" s="274" t="s">
        <v>783</v>
      </c>
      <c r="B113" s="109">
        <v>780.0</v>
      </c>
      <c r="C113" s="395"/>
      <c r="D113" s="157"/>
      <c r="E113" s="570"/>
      <c r="F113" s="573"/>
      <c r="G113" s="581"/>
      <c r="H113" s="419"/>
      <c r="I113" s="239"/>
      <c r="J113" s="568"/>
      <c r="K113" s="57"/>
      <c r="L113" s="150"/>
      <c r="M113" s="57"/>
      <c r="N113" s="57"/>
      <c r="O113" s="57"/>
      <c r="P113" s="157"/>
      <c r="Q113" s="404"/>
      <c r="R113" s="148"/>
      <c r="S113" s="242"/>
      <c r="T113" s="242"/>
      <c r="U113" s="242"/>
      <c r="V113" s="242"/>
      <c r="W113" s="242"/>
      <c r="X113" s="242"/>
      <c r="Y113" s="148"/>
      <c r="Z113" s="148"/>
    </row>
    <row r="114">
      <c r="A114" s="274" t="s">
        <v>784</v>
      </c>
      <c r="B114" s="109">
        <v>650.0</v>
      </c>
      <c r="C114" s="395"/>
      <c r="D114" s="157"/>
      <c r="E114" s="570"/>
      <c r="F114" s="573"/>
      <c r="G114" s="581"/>
      <c r="H114" s="419"/>
      <c r="I114" s="239"/>
      <c r="J114" s="568"/>
      <c r="K114" s="57"/>
      <c r="L114" s="150"/>
      <c r="M114" s="57"/>
      <c r="N114" s="57"/>
      <c r="O114" s="57"/>
      <c r="P114" s="157"/>
      <c r="Q114" s="404"/>
      <c r="R114" s="148"/>
      <c r="S114" s="242"/>
      <c r="T114" s="242"/>
      <c r="U114" s="242"/>
      <c r="V114" s="242"/>
      <c r="W114" s="242"/>
      <c r="X114" s="242"/>
      <c r="Y114" s="148"/>
      <c r="Z114" s="148"/>
    </row>
    <row r="115">
      <c r="A115" s="274" t="s">
        <v>785</v>
      </c>
      <c r="B115" s="109">
        <v>6600.0</v>
      </c>
      <c r="C115" s="686">
        <f>SUM(B113:B115)</f>
        <v>8030</v>
      </c>
      <c r="D115" s="157"/>
      <c r="E115" s="570"/>
      <c r="F115" s="573"/>
      <c r="G115" s="581"/>
      <c r="H115" s="419"/>
      <c r="I115" s="239"/>
      <c r="J115" s="568"/>
      <c r="K115" s="57"/>
      <c r="L115" s="150"/>
      <c r="M115" s="57"/>
      <c r="N115" s="57"/>
      <c r="O115" s="57"/>
      <c r="P115" s="157"/>
      <c r="Q115" s="404"/>
      <c r="R115" s="148"/>
      <c r="S115" s="242"/>
      <c r="T115" s="242"/>
      <c r="U115" s="242"/>
      <c r="V115" s="242"/>
      <c r="W115" s="242"/>
      <c r="X115" s="242"/>
      <c r="Y115" s="148"/>
      <c r="Z115" s="148"/>
    </row>
    <row r="116">
      <c r="A116" s="402"/>
      <c r="B116" s="403"/>
      <c r="C116" s="403"/>
      <c r="D116" s="403"/>
      <c r="E116" s="574"/>
      <c r="F116" s="575"/>
      <c r="G116" s="576"/>
      <c r="H116" s="159"/>
      <c r="I116" s="159"/>
      <c r="J116" s="576"/>
      <c r="K116" s="159"/>
      <c r="L116" s="162"/>
      <c r="M116" s="402"/>
      <c r="N116" s="402"/>
      <c r="O116" s="159"/>
      <c r="P116" s="403"/>
      <c r="Q116" s="577"/>
      <c r="R116" s="148"/>
      <c r="S116" s="242"/>
      <c r="T116" s="242"/>
      <c r="U116" s="242"/>
      <c r="V116" s="242"/>
      <c r="W116" s="242"/>
      <c r="X116" s="242"/>
      <c r="Y116" s="148"/>
      <c r="Z116" s="148"/>
    </row>
    <row r="117">
      <c r="A117" s="400"/>
      <c r="B117" s="148"/>
      <c r="C117" s="148"/>
      <c r="D117" s="245"/>
      <c r="E117" s="585"/>
      <c r="F117" s="586"/>
      <c r="G117" s="243"/>
      <c r="H117" s="148"/>
      <c r="I117" s="251"/>
      <c r="J117" s="243"/>
      <c r="K117" s="148"/>
      <c r="L117" s="277"/>
      <c r="M117" s="252"/>
      <c r="N117" s="250"/>
      <c r="O117" s="253"/>
      <c r="P117" s="240"/>
      <c r="Q117" s="148"/>
      <c r="R117" s="148"/>
      <c r="S117" s="242"/>
      <c r="T117" s="242"/>
      <c r="U117" s="242"/>
      <c r="V117" s="242"/>
      <c r="W117" s="242"/>
      <c r="X117" s="242"/>
      <c r="Y117" s="148"/>
      <c r="Z117" s="148"/>
    </row>
    <row r="118">
      <c r="A118" s="169" t="s">
        <v>71</v>
      </c>
      <c r="B118" s="539"/>
      <c r="C118" s="540"/>
      <c r="D118" s="405"/>
      <c r="E118" s="541"/>
      <c r="F118" s="542"/>
      <c r="G118" s="467" t="s">
        <v>333</v>
      </c>
      <c r="H118" s="361"/>
      <c r="I118" s="57"/>
      <c r="J118" s="105"/>
      <c r="K118" s="57"/>
      <c r="L118" s="150"/>
      <c r="M118" s="239"/>
      <c r="N118" s="239"/>
      <c r="O118" s="57"/>
      <c r="P118" s="157"/>
      <c r="Q118" s="404"/>
      <c r="R118" s="148"/>
      <c r="S118" s="242"/>
      <c r="T118" s="242"/>
      <c r="U118" s="242"/>
      <c r="V118" s="242"/>
      <c r="W118" s="242"/>
      <c r="X118" s="242"/>
      <c r="Y118" s="148"/>
      <c r="Z118" s="148"/>
    </row>
    <row r="119">
      <c r="A119" s="468"/>
      <c r="B119" s="157"/>
      <c r="C119" s="466"/>
      <c r="D119" s="405"/>
      <c r="E119" s="543" t="s">
        <v>335</v>
      </c>
      <c r="F119" s="544" t="s">
        <v>237</v>
      </c>
      <c r="G119" s="412" t="s">
        <v>336</v>
      </c>
      <c r="H119" s="413" t="s">
        <v>337</v>
      </c>
      <c r="I119" s="239"/>
      <c r="J119" s="145" t="s">
        <v>60</v>
      </c>
      <c r="K119" s="57"/>
      <c r="L119" s="150"/>
      <c r="M119" s="414"/>
      <c r="N119" s="414"/>
      <c r="O119" s="57" t="s">
        <v>334</v>
      </c>
      <c r="P119" s="157"/>
      <c r="Q119" s="404"/>
      <c r="R119" s="148"/>
      <c r="S119" s="242"/>
      <c r="T119" s="242"/>
      <c r="U119" s="242"/>
      <c r="V119" s="242"/>
      <c r="W119" s="242"/>
      <c r="X119" s="242"/>
      <c r="Y119" s="148"/>
      <c r="Z119" s="148"/>
    </row>
    <row r="120">
      <c r="A120" s="470" t="s">
        <v>179</v>
      </c>
      <c r="C120" s="416">
        <f>SUM(F120:F154)</f>
        <v>4090</v>
      </c>
      <c r="D120" s="405"/>
      <c r="E120" s="545"/>
      <c r="F120" s="546"/>
      <c r="G120" s="578"/>
      <c r="H120" s="419"/>
      <c r="I120" s="57"/>
      <c r="K120" s="57"/>
      <c r="L120" s="150"/>
      <c r="M120" s="377" t="s">
        <v>366</v>
      </c>
      <c r="P120" s="157"/>
      <c r="Q120" s="404"/>
      <c r="R120" s="148"/>
      <c r="S120" s="242"/>
      <c r="T120" s="242"/>
      <c r="U120" s="242"/>
      <c r="V120" s="242"/>
      <c r="W120" s="242"/>
      <c r="X120" s="242"/>
      <c r="Y120" s="148"/>
      <c r="Z120" s="148"/>
    </row>
    <row r="121">
      <c r="A121" s="421" t="s">
        <v>343</v>
      </c>
      <c r="B121" s="422" t="s">
        <v>321</v>
      </c>
      <c r="C121" s="416">
        <f>SUM(P121:P154)</f>
        <v>1400</v>
      </c>
      <c r="D121" s="157"/>
      <c r="E121" s="545"/>
      <c r="F121" s="546"/>
      <c r="G121" s="578"/>
      <c r="H121" s="419"/>
      <c r="I121" s="239"/>
      <c r="J121" s="471" t="s">
        <v>341</v>
      </c>
      <c r="K121" s="420"/>
      <c r="L121" s="193">
        <v>290.0</v>
      </c>
      <c r="M121" s="374"/>
      <c r="O121" s="591" t="s">
        <v>1140</v>
      </c>
      <c r="P121" s="423">
        <v>280.0</v>
      </c>
      <c r="Q121" s="404"/>
      <c r="R121" s="148"/>
      <c r="S121" s="242"/>
      <c r="T121" s="242"/>
      <c r="U121" s="242"/>
      <c r="V121" s="242"/>
      <c r="W121" s="242"/>
      <c r="X121" s="242"/>
      <c r="Y121" s="148"/>
      <c r="Z121" s="148"/>
    </row>
    <row r="122">
      <c r="A122" s="427" t="s">
        <v>201</v>
      </c>
      <c r="C122" s="204">
        <f>SUM(L121:L154)</f>
        <v>2615</v>
      </c>
      <c r="D122" s="157"/>
      <c r="E122" s="545"/>
      <c r="F122" s="546"/>
      <c r="G122" s="578"/>
      <c r="H122" s="419"/>
      <c r="I122" s="239"/>
      <c r="J122" s="472" t="s">
        <v>345</v>
      </c>
      <c r="K122" s="420"/>
      <c r="L122" s="150">
        <v>340.0</v>
      </c>
      <c r="M122" s="374" t="s">
        <v>1172</v>
      </c>
      <c r="O122" s="591" t="s">
        <v>1173</v>
      </c>
      <c r="P122" s="423">
        <v>680.0</v>
      </c>
      <c r="Q122" s="404"/>
      <c r="R122" s="148"/>
      <c r="S122" s="242"/>
      <c r="T122" s="242"/>
      <c r="U122" s="242"/>
      <c r="V122" s="242"/>
      <c r="W122" s="242"/>
      <c r="X122" s="242"/>
      <c r="Y122" s="148"/>
      <c r="Z122" s="148"/>
    </row>
    <row r="123">
      <c r="A123" s="548" t="s">
        <v>761</v>
      </c>
      <c r="B123" s="549">
        <v>0.4</v>
      </c>
      <c r="C123" s="191"/>
      <c r="D123" s="157"/>
      <c r="E123" s="550" t="s">
        <v>695</v>
      </c>
      <c r="F123" s="546"/>
      <c r="G123" s="562"/>
      <c r="H123" s="419"/>
      <c r="I123" s="239"/>
      <c r="J123" s="433" t="s">
        <v>656</v>
      </c>
      <c r="K123" s="420"/>
      <c r="L123" s="150">
        <v>290.0</v>
      </c>
      <c r="M123" s="374" t="s">
        <v>1174</v>
      </c>
      <c r="O123" s="591" t="s">
        <v>1175</v>
      </c>
      <c r="P123" s="423">
        <v>440.0</v>
      </c>
      <c r="Q123" s="404"/>
      <c r="R123" s="148"/>
      <c r="S123" s="242"/>
      <c r="T123" s="242"/>
      <c r="U123" s="242"/>
      <c r="V123" s="242"/>
      <c r="W123" s="242"/>
      <c r="X123" s="242"/>
      <c r="Y123" s="148"/>
      <c r="Z123" s="148"/>
    </row>
    <row r="124">
      <c r="A124" s="434" t="s">
        <v>350</v>
      </c>
      <c r="C124" s="551">
        <f>C120-C122-C123</f>
        <v>1475</v>
      </c>
      <c r="D124" s="157"/>
      <c r="E124" s="192"/>
      <c r="F124" s="546"/>
      <c r="G124" s="579"/>
      <c r="H124" s="419"/>
      <c r="I124" s="57"/>
      <c r="J124" s="444" t="s">
        <v>658</v>
      </c>
      <c r="K124" s="420"/>
      <c r="L124" s="193"/>
      <c r="M124" s="377"/>
      <c r="O124" s="694"/>
      <c r="P124" s="157"/>
      <c r="Q124" s="404"/>
      <c r="R124" s="148"/>
      <c r="S124" s="242"/>
      <c r="T124" s="242"/>
      <c r="U124" s="242"/>
      <c r="V124" s="242"/>
      <c r="W124" s="242"/>
      <c r="X124" s="242"/>
      <c r="Y124" s="148"/>
      <c r="Z124" s="148"/>
    </row>
    <row r="125">
      <c r="A125" s="554"/>
      <c r="B125" s="555"/>
      <c r="C125" s="447"/>
      <c r="D125" s="157"/>
      <c r="E125" s="192" t="s">
        <v>417</v>
      </c>
      <c r="F125" s="546">
        <v>900.0</v>
      </c>
      <c r="G125" s="578"/>
      <c r="H125" s="419"/>
      <c r="I125" s="57"/>
      <c r="J125" s="444" t="s">
        <v>660</v>
      </c>
      <c r="K125" s="420"/>
      <c r="L125" s="193">
        <v>240.0</v>
      </c>
      <c r="M125" s="377"/>
      <c r="O125" s="694"/>
      <c r="P125" s="157"/>
      <c r="Q125" s="404"/>
      <c r="R125" s="148"/>
      <c r="S125" s="242"/>
      <c r="T125" s="242"/>
      <c r="U125" s="242"/>
      <c r="V125" s="242"/>
      <c r="W125" s="242"/>
      <c r="X125" s="242"/>
      <c r="Y125" s="148"/>
      <c r="Z125" s="148"/>
    </row>
    <row r="126">
      <c r="A126" s="556"/>
      <c r="C126" s="395"/>
      <c r="D126" s="157"/>
      <c r="E126" s="192" t="s">
        <v>1127</v>
      </c>
      <c r="F126" s="546">
        <v>220.0</v>
      </c>
      <c r="G126" s="562"/>
      <c r="H126" s="419"/>
      <c r="I126" s="239"/>
      <c r="J126" s="370" t="s">
        <v>662</v>
      </c>
      <c r="K126" s="420"/>
      <c r="L126" s="193"/>
      <c r="M126" s="377"/>
      <c r="O126" s="694"/>
      <c r="P126" s="157"/>
      <c r="Q126" s="404"/>
      <c r="R126" s="148"/>
      <c r="S126" s="242"/>
      <c r="T126" s="242"/>
      <c r="U126" s="242"/>
      <c r="V126" s="242"/>
      <c r="W126" s="242"/>
      <c r="X126" s="242"/>
      <c r="Y126" s="148"/>
      <c r="Z126" s="148"/>
    </row>
    <row r="127">
      <c r="A127" s="557"/>
      <c r="B127" s="109"/>
      <c r="C127" s="395"/>
      <c r="D127" s="373"/>
      <c r="E127" s="192" t="s">
        <v>1176</v>
      </c>
      <c r="F127" s="546">
        <v>140.0</v>
      </c>
      <c r="G127" s="578"/>
      <c r="H127" s="419"/>
      <c r="I127" s="239"/>
      <c r="J127" s="433" t="s">
        <v>666</v>
      </c>
      <c r="K127" s="420"/>
      <c r="L127" s="150"/>
      <c r="M127" s="374"/>
      <c r="O127" s="694"/>
      <c r="P127" s="157"/>
      <c r="Q127" s="404"/>
      <c r="R127" s="148"/>
      <c r="S127" s="242"/>
      <c r="T127" s="242"/>
      <c r="U127" s="242"/>
      <c r="V127" s="242"/>
      <c r="W127" s="242"/>
      <c r="X127" s="242"/>
      <c r="Y127" s="148"/>
      <c r="Z127" s="148"/>
    </row>
    <row r="128">
      <c r="A128" s="559" t="s">
        <v>765</v>
      </c>
      <c r="B128" s="560">
        <f>SUM(D128:D154)</f>
        <v>1461</v>
      </c>
      <c r="C128" s="477" t="s">
        <v>366</v>
      </c>
      <c r="D128" s="157"/>
      <c r="E128" s="192" t="s">
        <v>1154</v>
      </c>
      <c r="F128" s="546">
        <v>280.0</v>
      </c>
      <c r="G128" s="558" t="s">
        <v>426</v>
      </c>
      <c r="H128" s="419"/>
      <c r="I128" s="239"/>
      <c r="J128" s="433" t="s">
        <v>668</v>
      </c>
      <c r="K128" s="420"/>
      <c r="L128" s="193">
        <v>33.0</v>
      </c>
      <c r="M128" s="377" t="s">
        <v>1177</v>
      </c>
      <c r="O128" s="431"/>
      <c r="P128" s="157"/>
      <c r="Q128" s="404"/>
      <c r="R128" s="148"/>
      <c r="S128" s="242"/>
      <c r="T128" s="242"/>
      <c r="U128" s="242"/>
      <c r="V128" s="242"/>
      <c r="W128" s="242"/>
      <c r="X128" s="242"/>
      <c r="Y128" s="148"/>
      <c r="Z128" s="148"/>
    </row>
    <row r="129">
      <c r="A129" s="453" t="s">
        <v>369</v>
      </c>
      <c r="C129" s="561" t="s">
        <v>766</v>
      </c>
      <c r="D129" s="423"/>
      <c r="E129" s="192" t="s">
        <v>1178</v>
      </c>
      <c r="F129" s="546">
        <v>430.0</v>
      </c>
      <c r="G129" s="562"/>
      <c r="H129" s="419"/>
      <c r="I129" s="239"/>
      <c r="J129" s="433" t="s">
        <v>670</v>
      </c>
      <c r="K129" s="458"/>
      <c r="L129" s="193">
        <v>1250.0</v>
      </c>
      <c r="M129" s="377"/>
      <c r="O129" s="431"/>
      <c r="P129" s="157"/>
      <c r="Q129" s="404"/>
      <c r="R129" s="148"/>
      <c r="S129" s="242"/>
      <c r="T129" s="242"/>
      <c r="U129" s="242"/>
      <c r="V129" s="242"/>
      <c r="W129" s="242"/>
      <c r="X129" s="242"/>
      <c r="Y129" s="148"/>
      <c r="Z129" s="148"/>
    </row>
    <row r="130">
      <c r="C130" s="561" t="s">
        <v>767</v>
      </c>
      <c r="D130" s="157"/>
      <c r="E130" s="192" t="s">
        <v>1179</v>
      </c>
      <c r="F130" s="546">
        <v>680.0</v>
      </c>
      <c r="G130" s="558" t="s">
        <v>426</v>
      </c>
      <c r="H130" s="419"/>
      <c r="I130" s="239"/>
      <c r="J130" s="433" t="s">
        <v>217</v>
      </c>
      <c r="K130" s="458"/>
      <c r="L130" s="150"/>
      <c r="M130" s="377"/>
      <c r="O130" s="431"/>
      <c r="P130" s="157"/>
      <c r="Q130" s="404"/>
      <c r="R130" s="148"/>
      <c r="S130" s="242"/>
      <c r="T130" s="242"/>
      <c r="U130" s="242"/>
      <c r="V130" s="242"/>
      <c r="W130" s="242"/>
      <c r="X130" s="242"/>
      <c r="Y130" s="148"/>
      <c r="Z130" s="148"/>
    </row>
    <row r="131">
      <c r="A131" s="57"/>
      <c r="B131" s="57"/>
      <c r="C131" s="561" t="s">
        <v>768</v>
      </c>
      <c r="D131" s="423"/>
      <c r="E131" s="192" t="s">
        <v>1175</v>
      </c>
      <c r="F131" s="546">
        <v>440.0</v>
      </c>
      <c r="G131" s="578"/>
      <c r="H131" s="419"/>
      <c r="I131" s="239"/>
      <c r="J131" s="109"/>
      <c r="K131" s="420"/>
      <c r="L131" s="193"/>
      <c r="M131" s="374"/>
      <c r="O131" s="431"/>
      <c r="P131" s="157"/>
      <c r="Q131" s="404"/>
      <c r="R131" s="148"/>
      <c r="S131" s="242"/>
      <c r="T131" s="242"/>
      <c r="U131" s="242"/>
      <c r="V131" s="242"/>
      <c r="W131" s="242"/>
      <c r="X131" s="242"/>
      <c r="Y131" s="148"/>
      <c r="Z131" s="148"/>
    </row>
    <row r="132">
      <c r="A132" s="57"/>
      <c r="B132" s="57"/>
      <c r="C132" s="561" t="s">
        <v>769</v>
      </c>
      <c r="D132" s="157"/>
      <c r="E132" s="192" t="s">
        <v>1180</v>
      </c>
      <c r="F132" s="546">
        <v>650.0</v>
      </c>
      <c r="G132" s="578"/>
      <c r="H132" s="419"/>
      <c r="I132" s="239"/>
      <c r="J132" s="456" t="s">
        <v>672</v>
      </c>
      <c r="K132" s="420"/>
      <c r="L132" s="193"/>
      <c r="M132" s="377"/>
      <c r="O132" s="431"/>
      <c r="P132" s="157"/>
      <c r="Q132" s="404"/>
      <c r="R132" s="148"/>
      <c r="S132" s="242"/>
      <c r="T132" s="242"/>
      <c r="U132" s="242"/>
      <c r="V132" s="242"/>
      <c r="W132" s="242"/>
      <c r="X132" s="242"/>
      <c r="Y132" s="148"/>
      <c r="Z132" s="148"/>
    </row>
    <row r="133">
      <c r="A133" s="57"/>
      <c r="B133" s="57"/>
      <c r="C133" s="561" t="s">
        <v>770</v>
      </c>
      <c r="D133" s="423"/>
      <c r="E133" s="192" t="s">
        <v>1181</v>
      </c>
      <c r="F133" s="546">
        <v>350.0</v>
      </c>
      <c r="G133" s="578"/>
      <c r="H133" s="419"/>
      <c r="I133" s="57"/>
      <c r="J133" s="456" t="s">
        <v>675</v>
      </c>
      <c r="K133" s="420"/>
      <c r="L133" s="193">
        <v>30.0</v>
      </c>
      <c r="M133" s="382" t="s">
        <v>1182</v>
      </c>
      <c r="O133" s="431"/>
      <c r="P133" s="157"/>
      <c r="Q133" s="404"/>
      <c r="R133" s="148"/>
      <c r="S133" s="242"/>
      <c r="T133" s="242"/>
      <c r="U133" s="242"/>
      <c r="V133" s="242"/>
      <c r="W133" s="242"/>
      <c r="X133" s="242"/>
      <c r="Y133" s="148"/>
      <c r="Z133" s="148"/>
    </row>
    <row r="134">
      <c r="A134" s="57"/>
      <c r="B134" s="57"/>
      <c r="C134" s="561" t="s">
        <v>793</v>
      </c>
      <c r="D134" s="423">
        <v>60.0</v>
      </c>
      <c r="E134" s="192"/>
      <c r="F134" s="546"/>
      <c r="G134" s="562"/>
      <c r="H134" s="419"/>
      <c r="I134" s="57"/>
      <c r="J134" s="456"/>
      <c r="K134" s="420"/>
      <c r="L134" s="150"/>
      <c r="M134" s="425"/>
      <c r="O134" s="431"/>
      <c r="P134" s="157"/>
      <c r="Q134" s="404"/>
      <c r="R134" s="148"/>
      <c r="S134" s="242"/>
      <c r="T134" s="242"/>
      <c r="U134" s="242"/>
      <c r="V134" s="242"/>
      <c r="W134" s="242"/>
      <c r="X134" s="242"/>
      <c r="Y134" s="148"/>
      <c r="Z134" s="148"/>
    </row>
    <row r="135">
      <c r="A135" s="239"/>
      <c r="B135" s="57"/>
      <c r="C135" s="561" t="s">
        <v>794</v>
      </c>
      <c r="D135" s="423"/>
      <c r="E135" s="192"/>
      <c r="F135" s="546"/>
      <c r="G135" s="562"/>
      <c r="H135" s="419"/>
      <c r="I135" s="57"/>
      <c r="J135" s="375"/>
      <c r="K135" s="420"/>
      <c r="L135" s="150"/>
      <c r="M135" s="425"/>
      <c r="O135" s="431"/>
      <c r="P135" s="157"/>
      <c r="Q135" s="404"/>
      <c r="R135" s="148"/>
      <c r="S135" s="242"/>
      <c r="T135" s="242"/>
      <c r="U135" s="242"/>
      <c r="V135" s="242"/>
      <c r="W135" s="242"/>
      <c r="X135" s="242"/>
      <c r="Y135" s="148"/>
      <c r="Z135" s="148"/>
    </row>
    <row r="136">
      <c r="A136" s="239"/>
      <c r="B136" s="57"/>
      <c r="C136" s="561" t="s">
        <v>18</v>
      </c>
      <c r="D136" s="423"/>
      <c r="E136" s="228"/>
      <c r="F136" s="547"/>
      <c r="G136" s="578"/>
      <c r="H136" s="419"/>
      <c r="I136" s="57"/>
      <c r="J136" s="375"/>
      <c r="K136" s="420"/>
      <c r="L136" s="193"/>
      <c r="M136" s="382"/>
      <c r="O136" s="431"/>
      <c r="P136" s="157"/>
      <c r="Q136" s="404"/>
      <c r="R136" s="148"/>
      <c r="S136" s="242"/>
      <c r="T136" s="242"/>
      <c r="U136" s="242"/>
      <c r="V136" s="242"/>
      <c r="W136" s="242"/>
      <c r="X136" s="242"/>
      <c r="Y136" s="148"/>
      <c r="Z136" s="148"/>
    </row>
    <row r="137">
      <c r="A137" s="239"/>
      <c r="B137" s="57"/>
      <c r="C137" s="563" t="s">
        <v>1115</v>
      </c>
      <c r="D137" s="423">
        <v>400.0</v>
      </c>
      <c r="E137" s="228"/>
      <c r="F137" s="547"/>
      <c r="G137" s="579"/>
      <c r="H137" s="419"/>
      <c r="I137" s="57"/>
      <c r="J137" s="452"/>
      <c r="K137" s="420"/>
      <c r="L137" s="150"/>
      <c r="M137" s="425"/>
      <c r="O137" s="431"/>
      <c r="P137" s="157"/>
      <c r="Q137" s="404"/>
      <c r="R137" s="148"/>
      <c r="S137" s="242"/>
      <c r="T137" s="242"/>
      <c r="U137" s="242"/>
      <c r="V137" s="242"/>
      <c r="W137" s="242"/>
      <c r="X137" s="242"/>
      <c r="Y137" s="148"/>
      <c r="Z137" s="148"/>
    </row>
    <row r="138">
      <c r="A138" s="238" t="s">
        <v>1183</v>
      </c>
      <c r="B138" s="57"/>
      <c r="C138" s="561" t="s">
        <v>1116</v>
      </c>
      <c r="D138" s="423">
        <v>19.0</v>
      </c>
      <c r="E138" s="228"/>
      <c r="F138" s="547"/>
      <c r="G138" s="578"/>
      <c r="H138" s="419"/>
      <c r="I138" s="57"/>
      <c r="J138" s="105"/>
      <c r="K138" s="420"/>
      <c r="L138" s="150"/>
      <c r="M138" s="425"/>
      <c r="O138" s="431"/>
      <c r="P138" s="157"/>
      <c r="Q138" s="404"/>
      <c r="R138" s="148"/>
      <c r="S138" s="242"/>
      <c r="T138" s="242"/>
      <c r="U138" s="242"/>
      <c r="V138" s="242"/>
      <c r="W138" s="242"/>
      <c r="X138" s="242"/>
      <c r="Y138" s="148"/>
      <c r="Z138" s="148"/>
    </row>
    <row r="139">
      <c r="A139" s="238" t="s">
        <v>1184</v>
      </c>
      <c r="B139" s="239"/>
      <c r="C139" s="561" t="s">
        <v>775</v>
      </c>
      <c r="D139" s="423">
        <v>300.0</v>
      </c>
      <c r="E139" s="192"/>
      <c r="F139" s="547"/>
      <c r="G139" s="578"/>
      <c r="H139" s="419"/>
      <c r="I139" s="57"/>
      <c r="J139" s="378" t="s">
        <v>682</v>
      </c>
      <c r="K139" s="420"/>
      <c r="L139" s="193">
        <v>142.0</v>
      </c>
      <c r="M139" s="377" t="s">
        <v>1185</v>
      </c>
      <c r="O139" s="431"/>
      <c r="P139" s="157"/>
      <c r="Q139" s="404"/>
      <c r="R139" s="148"/>
      <c r="S139" s="242"/>
      <c r="T139" s="242"/>
      <c r="U139" s="242"/>
      <c r="V139" s="242"/>
      <c r="W139" s="242"/>
      <c r="X139" s="242"/>
      <c r="Y139" s="148"/>
      <c r="Z139" s="148"/>
    </row>
    <row r="140">
      <c r="A140" s="238" t="s">
        <v>1186</v>
      </c>
      <c r="B140" s="239"/>
      <c r="C140" s="561" t="s">
        <v>10</v>
      </c>
      <c r="D140" s="423">
        <v>150.0</v>
      </c>
      <c r="E140" s="206"/>
      <c r="F140" s="564"/>
      <c r="G140" s="581"/>
      <c r="H140" s="419"/>
      <c r="I140" s="57"/>
      <c r="J140" s="461" t="s">
        <v>684</v>
      </c>
      <c r="K140" s="420"/>
      <c r="L140" s="193"/>
      <c r="M140" s="377"/>
      <c r="O140" s="431"/>
      <c r="P140" s="157"/>
      <c r="Q140" s="404"/>
      <c r="R140" s="148"/>
      <c r="S140" s="242"/>
      <c r="T140" s="242"/>
      <c r="U140" s="242"/>
      <c r="V140" s="242"/>
      <c r="W140" s="242"/>
      <c r="X140" s="242"/>
      <c r="Y140" s="148"/>
      <c r="Z140" s="148"/>
    </row>
    <row r="141">
      <c r="A141" s="695" t="s">
        <v>1187</v>
      </c>
      <c r="B141" s="239"/>
      <c r="C141" s="561" t="s">
        <v>6</v>
      </c>
      <c r="D141" s="423">
        <v>440.0</v>
      </c>
      <c r="E141" s="206"/>
      <c r="F141" s="546" t="s">
        <v>267</v>
      </c>
      <c r="G141" s="579"/>
      <c r="H141" s="455"/>
      <c r="I141" s="57"/>
      <c r="J141" s="461" t="s">
        <v>686</v>
      </c>
      <c r="K141" s="420"/>
      <c r="L141" s="150"/>
      <c r="M141" s="374"/>
      <c r="O141" s="463"/>
      <c r="P141" s="157"/>
      <c r="Q141" s="404"/>
      <c r="R141" s="148"/>
      <c r="S141" s="242"/>
      <c r="T141" s="242"/>
      <c r="U141" s="242"/>
      <c r="V141" s="242"/>
      <c r="W141" s="242"/>
      <c r="X141" s="242"/>
      <c r="Y141" s="148"/>
      <c r="Z141" s="148"/>
    </row>
    <row r="142">
      <c r="A142" s="57"/>
      <c r="B142" s="57"/>
      <c r="C142" s="561" t="s">
        <v>779</v>
      </c>
      <c r="D142" s="157"/>
      <c r="E142" s="228"/>
      <c r="F142" s="547"/>
      <c r="G142" s="579"/>
      <c r="H142" s="455"/>
      <c r="I142" s="239"/>
      <c r="J142" s="460" t="s">
        <v>202</v>
      </c>
      <c r="K142" s="420"/>
      <c r="L142" s="193"/>
      <c r="M142" s="377"/>
      <c r="O142" s="463"/>
      <c r="P142" s="157"/>
      <c r="Q142" s="404"/>
      <c r="R142" s="148"/>
      <c r="S142" s="242"/>
      <c r="T142" s="242"/>
      <c r="U142" s="242"/>
      <c r="V142" s="242"/>
      <c r="W142" s="242"/>
      <c r="X142" s="242"/>
      <c r="Y142" s="148"/>
      <c r="Z142" s="148"/>
    </row>
    <row r="143">
      <c r="A143" s="239"/>
      <c r="B143" s="239"/>
      <c r="C143" s="561" t="s">
        <v>780</v>
      </c>
      <c r="D143" s="423"/>
      <c r="E143" s="228"/>
      <c r="F143" s="547"/>
      <c r="G143" s="579"/>
      <c r="H143" s="455"/>
      <c r="I143" s="57"/>
      <c r="J143" s="460" t="s">
        <v>274</v>
      </c>
      <c r="K143" s="420"/>
      <c r="L143" s="150"/>
      <c r="M143" s="374"/>
      <c r="O143" s="463"/>
      <c r="P143" s="157"/>
      <c r="Q143" s="404"/>
      <c r="R143" s="148"/>
      <c r="S143" s="242"/>
      <c r="T143" s="242"/>
      <c r="U143" s="242"/>
      <c r="V143" s="242"/>
      <c r="W143" s="242"/>
      <c r="X143" s="242"/>
      <c r="Y143" s="148"/>
      <c r="Z143" s="148"/>
    </row>
    <row r="144">
      <c r="A144" s="238" t="s">
        <v>1188</v>
      </c>
      <c r="B144" s="239"/>
      <c r="C144" s="561" t="s">
        <v>781</v>
      </c>
      <c r="D144" s="423">
        <v>92.0</v>
      </c>
      <c r="E144" s="228"/>
      <c r="F144" s="547"/>
      <c r="G144" s="579"/>
      <c r="H144" s="419"/>
      <c r="I144" s="239"/>
      <c r="J144" s="685" t="s">
        <v>1117</v>
      </c>
      <c r="K144" s="420"/>
      <c r="L144" s="150"/>
      <c r="M144" s="374"/>
      <c r="O144" s="431"/>
      <c r="P144" s="157"/>
      <c r="Q144" s="404"/>
      <c r="R144" s="148"/>
      <c r="S144" s="242"/>
      <c r="T144" s="242"/>
      <c r="U144" s="242"/>
      <c r="V144" s="242"/>
      <c r="W144" s="242"/>
      <c r="X144" s="242"/>
      <c r="Y144" s="148"/>
      <c r="Z144" s="148"/>
    </row>
    <row r="145">
      <c r="A145" s="239"/>
      <c r="B145" s="157"/>
      <c r="C145" s="561" t="s">
        <v>1118</v>
      </c>
      <c r="D145" s="157"/>
      <c r="E145" s="569"/>
      <c r="F145" s="547"/>
      <c r="G145" s="578"/>
      <c r="H145" s="419"/>
      <c r="I145" s="57"/>
      <c r="J145" s="685" t="s">
        <v>1119</v>
      </c>
      <c r="K145" s="420"/>
      <c r="L145" s="193"/>
      <c r="M145" s="377"/>
      <c r="O145" s="431"/>
      <c r="P145" s="157"/>
      <c r="Q145" s="404"/>
      <c r="R145" s="148"/>
      <c r="S145" s="242"/>
      <c r="T145" s="242"/>
      <c r="U145" s="242"/>
      <c r="V145" s="242"/>
      <c r="W145" s="242"/>
      <c r="X145" s="242"/>
      <c r="Y145" s="148"/>
      <c r="Z145" s="148"/>
    </row>
    <row r="146">
      <c r="A146" s="239"/>
      <c r="B146" s="157"/>
      <c r="C146" s="561" t="s">
        <v>1120</v>
      </c>
      <c r="D146" s="157"/>
      <c r="E146" s="228"/>
      <c r="F146" s="547"/>
      <c r="G146" s="578"/>
      <c r="H146" s="419"/>
      <c r="I146" s="239"/>
      <c r="J146" s="596" t="s">
        <v>1001</v>
      </c>
      <c r="K146" s="420"/>
      <c r="L146" s="193"/>
      <c r="M146" s="377"/>
      <c r="O146" s="431"/>
      <c r="P146" s="157"/>
      <c r="Q146" s="404"/>
      <c r="R146" s="148"/>
      <c r="S146" s="242"/>
      <c r="T146" s="242"/>
      <c r="U146" s="242"/>
      <c r="V146" s="242"/>
      <c r="W146" s="242"/>
      <c r="X146" s="242"/>
      <c r="Y146" s="148"/>
      <c r="Z146" s="148"/>
    </row>
    <row r="147">
      <c r="A147" s="239"/>
      <c r="B147" s="157"/>
      <c r="C147" s="561"/>
      <c r="D147" s="157"/>
      <c r="E147" s="570"/>
      <c r="F147" s="547"/>
      <c r="G147" s="578"/>
      <c r="H147" s="419"/>
      <c r="I147" s="239"/>
      <c r="J147" s="568"/>
      <c r="K147" s="420"/>
      <c r="L147" s="193"/>
      <c r="M147" s="374"/>
      <c r="O147" s="431"/>
      <c r="P147" s="157"/>
      <c r="Q147" s="404"/>
      <c r="R147" s="148"/>
      <c r="S147" s="242"/>
      <c r="T147" s="242"/>
      <c r="U147" s="242"/>
      <c r="V147" s="242"/>
      <c r="W147" s="242"/>
      <c r="X147" s="242"/>
      <c r="Y147" s="148"/>
      <c r="Z147" s="148"/>
    </row>
    <row r="148">
      <c r="C148" s="571"/>
      <c r="D148" s="157"/>
      <c r="E148" s="570"/>
      <c r="F148" s="547"/>
      <c r="G148" s="578"/>
      <c r="H148" s="419"/>
      <c r="I148" s="239"/>
      <c r="J148" s="464" t="s">
        <v>692</v>
      </c>
      <c r="K148" s="420"/>
      <c r="L148" s="150"/>
      <c r="M148" s="377"/>
      <c r="O148" s="431"/>
      <c r="P148" s="157"/>
      <c r="Q148" s="404"/>
      <c r="R148" s="148"/>
      <c r="S148" s="242"/>
      <c r="T148" s="242"/>
      <c r="U148" s="242"/>
      <c r="V148" s="242"/>
      <c r="W148" s="242"/>
      <c r="X148" s="242"/>
      <c r="Y148" s="148"/>
      <c r="Z148" s="148"/>
    </row>
    <row r="149">
      <c r="C149" s="571"/>
      <c r="D149" s="157"/>
      <c r="E149" s="570"/>
      <c r="F149" s="547"/>
      <c r="G149" s="578"/>
      <c r="H149" s="419"/>
      <c r="I149" s="239"/>
      <c r="J149" s="464" t="s">
        <v>694</v>
      </c>
      <c r="K149" s="420"/>
      <c r="L149" s="150"/>
      <c r="M149" s="374"/>
      <c r="O149" s="431"/>
      <c r="P149" s="157"/>
      <c r="Q149" s="404"/>
      <c r="R149" s="148"/>
      <c r="S149" s="242"/>
      <c r="T149" s="242"/>
      <c r="U149" s="242"/>
      <c r="V149" s="242"/>
      <c r="W149" s="242"/>
      <c r="X149" s="242"/>
      <c r="Y149" s="148"/>
      <c r="Z149" s="148"/>
    </row>
    <row r="150">
      <c r="C150" s="571"/>
      <c r="D150" s="423"/>
      <c r="E150" s="570"/>
      <c r="F150" s="546"/>
      <c r="G150" s="578"/>
      <c r="H150" s="419"/>
      <c r="I150" s="57"/>
      <c r="J150" s="105"/>
      <c r="K150" s="57"/>
      <c r="L150" s="150"/>
      <c r="M150" s="57"/>
      <c r="N150" s="57"/>
      <c r="O150" s="57"/>
      <c r="P150" s="157"/>
      <c r="Q150" s="404"/>
      <c r="R150" s="148"/>
      <c r="S150" s="242"/>
      <c r="T150" s="242"/>
      <c r="U150" s="242"/>
      <c r="V150" s="242"/>
      <c r="W150" s="242"/>
      <c r="X150" s="242"/>
      <c r="Y150" s="148"/>
      <c r="Z150" s="148"/>
    </row>
    <row r="151">
      <c r="A151" s="125" t="s">
        <v>798</v>
      </c>
      <c r="B151" s="588">
        <f>C124-B128</f>
        <v>14</v>
      </c>
      <c r="D151" s="157"/>
      <c r="E151" s="570"/>
      <c r="F151" s="573"/>
      <c r="G151" s="581"/>
      <c r="H151" s="419"/>
      <c r="I151" s="239"/>
      <c r="J151" s="568"/>
      <c r="K151" s="57"/>
      <c r="L151" s="150"/>
      <c r="M151" s="57"/>
      <c r="N151" s="57"/>
      <c r="O151" s="57"/>
      <c r="P151" s="157"/>
      <c r="Q151" s="404"/>
      <c r="R151" s="148"/>
      <c r="S151" s="242"/>
      <c r="T151" s="242"/>
      <c r="U151" s="242"/>
      <c r="V151" s="242"/>
      <c r="W151" s="242"/>
      <c r="X151" s="242"/>
      <c r="Y151" s="148"/>
      <c r="Z151" s="148"/>
    </row>
    <row r="152">
      <c r="A152" s="274" t="s">
        <v>783</v>
      </c>
      <c r="B152" s="109"/>
      <c r="C152" s="395"/>
      <c r="D152" s="157"/>
      <c r="E152" s="570"/>
      <c r="F152" s="573"/>
      <c r="G152" s="581"/>
      <c r="H152" s="419"/>
      <c r="I152" s="239"/>
      <c r="J152" s="568"/>
      <c r="K152" s="57"/>
      <c r="L152" s="150"/>
      <c r="M152" s="57"/>
      <c r="N152" s="57"/>
      <c r="O152" s="57"/>
      <c r="P152" s="157"/>
      <c r="Q152" s="404"/>
      <c r="R152" s="148"/>
      <c r="S152" s="242"/>
      <c r="T152" s="242"/>
      <c r="U152" s="242"/>
      <c r="V152" s="242"/>
      <c r="W152" s="242"/>
      <c r="X152" s="242"/>
      <c r="Y152" s="148"/>
      <c r="Z152" s="148"/>
    </row>
    <row r="153">
      <c r="A153" s="274" t="s">
        <v>784</v>
      </c>
      <c r="B153" s="109"/>
      <c r="C153" s="395"/>
      <c r="D153" s="157"/>
      <c r="E153" s="570"/>
      <c r="F153" s="573"/>
      <c r="G153" s="581"/>
      <c r="H153" s="419"/>
      <c r="I153" s="239"/>
      <c r="J153" s="568"/>
      <c r="K153" s="57"/>
      <c r="L153" s="150"/>
      <c r="M153" s="57"/>
      <c r="N153" s="57"/>
      <c r="O153" s="57"/>
      <c r="P153" s="157"/>
      <c r="Q153" s="404"/>
      <c r="R153" s="148"/>
      <c r="S153" s="242"/>
      <c r="T153" s="242"/>
      <c r="U153" s="242"/>
      <c r="V153" s="242"/>
      <c r="W153" s="242"/>
      <c r="X153" s="242"/>
      <c r="Y153" s="148"/>
      <c r="Z153" s="148"/>
    </row>
    <row r="154">
      <c r="A154" s="274" t="s">
        <v>785</v>
      </c>
      <c r="B154" s="109"/>
      <c r="C154" s="686">
        <f>SUM(B152:B154)</f>
        <v>0</v>
      </c>
      <c r="D154" s="157"/>
      <c r="E154" s="570"/>
      <c r="F154" s="573"/>
      <c r="G154" s="581"/>
      <c r="H154" s="419"/>
      <c r="I154" s="239"/>
      <c r="J154" s="568"/>
      <c r="K154" s="57"/>
      <c r="L154" s="150"/>
      <c r="M154" s="57"/>
      <c r="N154" s="57"/>
      <c r="O154" s="57"/>
      <c r="P154" s="157"/>
      <c r="Q154" s="404"/>
      <c r="R154" s="148"/>
      <c r="S154" s="242"/>
      <c r="T154" s="242"/>
      <c r="U154" s="242"/>
      <c r="V154" s="242"/>
      <c r="W154" s="242"/>
      <c r="X154" s="242"/>
      <c r="Y154" s="148"/>
      <c r="Z154" s="148"/>
    </row>
    <row r="155">
      <c r="A155" s="402"/>
      <c r="B155" s="403"/>
      <c r="C155" s="403"/>
      <c r="D155" s="403"/>
      <c r="E155" s="574"/>
      <c r="F155" s="575"/>
      <c r="G155" s="576"/>
      <c r="H155" s="159"/>
      <c r="I155" s="159"/>
      <c r="J155" s="576"/>
      <c r="K155" s="159"/>
      <c r="L155" s="162"/>
      <c r="M155" s="402"/>
      <c r="N155" s="402"/>
      <c r="O155" s="159"/>
      <c r="P155" s="403"/>
      <c r="Q155" s="577"/>
      <c r="R155" s="148"/>
      <c r="S155" s="242"/>
      <c r="T155" s="242"/>
      <c r="U155" s="242"/>
      <c r="V155" s="242"/>
      <c r="W155" s="242"/>
      <c r="X155" s="242"/>
      <c r="Y155" s="148"/>
      <c r="Z155" s="148"/>
    </row>
    <row r="156">
      <c r="A156" s="148"/>
      <c r="B156" s="148"/>
      <c r="C156" s="148"/>
      <c r="D156" s="245"/>
      <c r="E156" s="585"/>
      <c r="F156" s="586"/>
      <c r="G156" s="243"/>
      <c r="H156" s="148"/>
      <c r="I156" s="251"/>
      <c r="J156" s="243"/>
      <c r="K156" s="148"/>
      <c r="L156" s="277"/>
      <c r="M156" s="252"/>
      <c r="N156" s="250"/>
      <c r="O156" s="253"/>
      <c r="P156" s="240"/>
      <c r="Q156" s="148"/>
      <c r="R156" s="148"/>
      <c r="S156" s="242"/>
      <c r="T156" s="242"/>
      <c r="U156" s="242"/>
      <c r="V156" s="242"/>
      <c r="W156" s="242"/>
      <c r="X156" s="242"/>
      <c r="Y156" s="148"/>
      <c r="Z156" s="148"/>
    </row>
    <row r="157">
      <c r="A157" s="169" t="s">
        <v>75</v>
      </c>
      <c r="B157" s="539"/>
      <c r="C157" s="540"/>
      <c r="D157" s="405"/>
      <c r="E157" s="541"/>
      <c r="F157" s="542"/>
      <c r="G157" s="467" t="s">
        <v>333</v>
      </c>
      <c r="H157" s="361"/>
      <c r="I157" s="57"/>
      <c r="J157" s="105"/>
      <c r="K157" s="57"/>
      <c r="L157" s="150"/>
      <c r="M157" s="239"/>
      <c r="N157" s="239"/>
      <c r="O157" s="57"/>
      <c r="P157" s="157"/>
      <c r="Q157" s="404"/>
      <c r="R157" s="148"/>
      <c r="S157" s="242"/>
      <c r="T157" s="242"/>
      <c r="U157" s="242"/>
      <c r="V157" s="242"/>
      <c r="W157" s="242"/>
      <c r="X157" s="242"/>
      <c r="Y157" s="148"/>
      <c r="Z157" s="148"/>
    </row>
    <row r="158">
      <c r="A158" s="468"/>
      <c r="B158" s="157"/>
      <c r="C158" s="466"/>
      <c r="D158" s="405"/>
      <c r="E158" s="543" t="s">
        <v>335</v>
      </c>
      <c r="F158" s="544" t="s">
        <v>237</v>
      </c>
      <c r="G158" s="412" t="s">
        <v>336</v>
      </c>
      <c r="H158" s="413" t="s">
        <v>337</v>
      </c>
      <c r="I158" s="239"/>
      <c r="J158" s="145" t="s">
        <v>60</v>
      </c>
      <c r="K158" s="57"/>
      <c r="L158" s="150"/>
      <c r="M158" s="414"/>
      <c r="N158" s="414"/>
      <c r="O158" s="57" t="s">
        <v>334</v>
      </c>
      <c r="P158" s="157"/>
      <c r="Q158" s="404"/>
      <c r="R158" s="148"/>
      <c r="S158" s="242"/>
      <c r="T158" s="242"/>
      <c r="U158" s="242"/>
      <c r="V158" s="242"/>
      <c r="W158" s="242"/>
      <c r="X158" s="242"/>
      <c r="Y158" s="148"/>
      <c r="Z158" s="148"/>
    </row>
    <row r="159">
      <c r="A159" s="470" t="s">
        <v>179</v>
      </c>
      <c r="C159" s="416">
        <f>SUM(F159:F193)</f>
        <v>3245</v>
      </c>
      <c r="D159" s="405"/>
      <c r="E159" s="545"/>
      <c r="F159" s="546"/>
      <c r="G159" s="578"/>
      <c r="H159" s="419"/>
      <c r="I159" s="57"/>
      <c r="K159" s="57"/>
      <c r="L159" s="150"/>
      <c r="M159" s="377" t="s">
        <v>366</v>
      </c>
      <c r="P159" s="157"/>
      <c r="Q159" s="404"/>
      <c r="R159" s="148"/>
      <c r="S159" s="242"/>
      <c r="T159" s="242"/>
      <c r="U159" s="242"/>
      <c r="V159" s="242"/>
      <c r="W159" s="242"/>
      <c r="X159" s="242"/>
      <c r="Y159" s="148"/>
      <c r="Z159" s="148"/>
    </row>
    <row r="160">
      <c r="A160" s="421" t="s">
        <v>343</v>
      </c>
      <c r="B160" s="422" t="s">
        <v>321</v>
      </c>
      <c r="C160" s="416">
        <f>SUM(P160:P193)</f>
        <v>890</v>
      </c>
      <c r="D160" s="157"/>
      <c r="E160" s="545"/>
      <c r="F160" s="546"/>
      <c r="G160" s="578"/>
      <c r="H160" s="419"/>
      <c r="I160" s="239"/>
      <c r="J160" s="471" t="s">
        <v>341</v>
      </c>
      <c r="K160" s="420"/>
      <c r="L160" s="150"/>
      <c r="M160" s="374"/>
      <c r="O160" s="426" t="s">
        <v>1189</v>
      </c>
      <c r="P160" s="423">
        <v>890.0</v>
      </c>
      <c r="Q160" s="404"/>
      <c r="R160" s="148"/>
      <c r="S160" s="242"/>
      <c r="T160" s="242"/>
      <c r="U160" s="242"/>
      <c r="V160" s="242"/>
      <c r="W160" s="242"/>
      <c r="X160" s="242"/>
      <c r="Y160" s="148"/>
      <c r="Z160" s="148"/>
    </row>
    <row r="161">
      <c r="A161" s="427" t="s">
        <v>201</v>
      </c>
      <c r="C161" s="204">
        <f>SUM(L160:L193)</f>
        <v>2012.9</v>
      </c>
      <c r="D161" s="157"/>
      <c r="E161" s="545"/>
      <c r="F161" s="546"/>
      <c r="G161" s="578"/>
      <c r="H161" s="419"/>
      <c r="I161" s="239"/>
      <c r="J161" s="472" t="s">
        <v>345</v>
      </c>
      <c r="K161" s="420"/>
      <c r="L161" s="193"/>
      <c r="M161" s="374"/>
      <c r="O161" s="431"/>
      <c r="P161" s="423"/>
      <c r="Q161" s="404"/>
      <c r="R161" s="148"/>
      <c r="S161" s="242"/>
      <c r="T161" s="242"/>
      <c r="U161" s="242"/>
      <c r="V161" s="242"/>
      <c r="W161" s="242"/>
      <c r="X161" s="242"/>
      <c r="Y161" s="148"/>
      <c r="Z161" s="148"/>
    </row>
    <row r="162">
      <c r="A162" s="548" t="s">
        <v>761</v>
      </c>
      <c r="B162" s="549">
        <v>0.4</v>
      </c>
      <c r="C162" s="191">
        <v>356.0</v>
      </c>
      <c r="D162" s="157"/>
      <c r="E162" s="550" t="s">
        <v>695</v>
      </c>
      <c r="F162" s="546"/>
      <c r="G162" s="562"/>
      <c r="H162" s="419"/>
      <c r="I162" s="239"/>
      <c r="J162" s="433" t="s">
        <v>656</v>
      </c>
      <c r="K162" s="420"/>
      <c r="L162" s="193">
        <v>202.0</v>
      </c>
      <c r="M162" s="377" t="s">
        <v>1190</v>
      </c>
      <c r="O162" s="431"/>
      <c r="P162" s="423"/>
      <c r="Q162" s="404"/>
      <c r="R162" s="148"/>
      <c r="S162" s="242"/>
      <c r="T162" s="242"/>
      <c r="U162" s="242"/>
      <c r="V162" s="242"/>
      <c r="W162" s="242"/>
      <c r="X162" s="242"/>
      <c r="Y162" s="148"/>
      <c r="Z162" s="148"/>
    </row>
    <row r="163">
      <c r="A163" s="434" t="s">
        <v>350</v>
      </c>
      <c r="C163" s="551">
        <f>C159-C161-C162</f>
        <v>876.1</v>
      </c>
      <c r="D163" s="157"/>
      <c r="E163" s="192"/>
      <c r="F163" s="546"/>
      <c r="G163" s="579"/>
      <c r="H163" s="419"/>
      <c r="I163" s="57"/>
      <c r="J163" s="444" t="s">
        <v>658</v>
      </c>
      <c r="K163" s="420"/>
      <c r="L163" s="193">
        <v>28.9</v>
      </c>
      <c r="M163" s="377" t="s">
        <v>1191</v>
      </c>
      <c r="O163" s="431"/>
      <c r="P163" s="157"/>
      <c r="Q163" s="404"/>
      <c r="R163" s="148"/>
      <c r="S163" s="242"/>
      <c r="T163" s="242"/>
      <c r="U163" s="242"/>
      <c r="V163" s="242"/>
      <c r="W163" s="242"/>
      <c r="X163" s="242"/>
      <c r="Y163" s="148"/>
      <c r="Z163" s="148"/>
    </row>
    <row r="164">
      <c r="A164" s="554"/>
      <c r="B164" s="555"/>
      <c r="C164" s="447"/>
      <c r="D164" s="157"/>
      <c r="E164" s="192" t="s">
        <v>1192</v>
      </c>
      <c r="F164" s="546">
        <v>70.0</v>
      </c>
      <c r="G164" s="562"/>
      <c r="H164" s="419"/>
      <c r="I164" s="57"/>
      <c r="J164" s="444" t="s">
        <v>660</v>
      </c>
      <c r="K164" s="420"/>
      <c r="L164" s="193">
        <v>240.0</v>
      </c>
      <c r="M164" s="377"/>
      <c r="O164" s="431"/>
      <c r="P164" s="157"/>
      <c r="Q164" s="404"/>
      <c r="R164" s="148"/>
      <c r="S164" s="242"/>
      <c r="T164" s="242"/>
      <c r="U164" s="242"/>
      <c r="V164" s="242"/>
      <c r="W164" s="242"/>
      <c r="X164" s="242"/>
      <c r="Y164" s="148"/>
      <c r="Z164" s="148"/>
    </row>
    <row r="165">
      <c r="A165" s="556"/>
      <c r="C165" s="395"/>
      <c r="D165" s="157"/>
      <c r="E165" s="552" t="s">
        <v>569</v>
      </c>
      <c r="F165" s="590">
        <v>500.0</v>
      </c>
      <c r="G165" s="696"/>
      <c r="H165" s="419"/>
      <c r="I165" s="239"/>
      <c r="J165" s="370" t="s">
        <v>662</v>
      </c>
      <c r="K165" s="420"/>
      <c r="L165" s="193"/>
      <c r="M165" s="377"/>
      <c r="O165" s="431"/>
      <c r="P165" s="157"/>
      <c r="Q165" s="404"/>
      <c r="R165" s="148"/>
      <c r="S165" s="242"/>
      <c r="T165" s="242"/>
      <c r="U165" s="242"/>
      <c r="V165" s="242"/>
      <c r="W165" s="242"/>
      <c r="X165" s="242"/>
      <c r="Y165" s="148"/>
      <c r="Z165" s="148"/>
    </row>
    <row r="166">
      <c r="A166" s="557"/>
      <c r="B166" s="109"/>
      <c r="C166" s="395"/>
      <c r="D166" s="373"/>
      <c r="E166" s="552" t="s">
        <v>1193</v>
      </c>
      <c r="F166" s="590">
        <v>890.0</v>
      </c>
      <c r="G166" s="682" t="s">
        <v>426</v>
      </c>
      <c r="H166" s="419"/>
      <c r="I166" s="239"/>
      <c r="J166" s="433" t="s">
        <v>666</v>
      </c>
      <c r="K166" s="420"/>
      <c r="L166" s="150"/>
      <c r="M166" s="374"/>
      <c r="O166" s="431"/>
      <c r="P166" s="157"/>
      <c r="Q166" s="404"/>
      <c r="R166" s="148"/>
      <c r="S166" s="242"/>
      <c r="T166" s="242"/>
      <c r="U166" s="242"/>
      <c r="V166" s="242"/>
      <c r="W166" s="242"/>
      <c r="X166" s="242"/>
      <c r="Y166" s="148"/>
      <c r="Z166" s="148"/>
    </row>
    <row r="167">
      <c r="A167" s="559" t="s">
        <v>765</v>
      </c>
      <c r="B167" s="560">
        <f>SUM(D167:D193)</f>
        <v>180</v>
      </c>
      <c r="C167" s="477" t="s">
        <v>366</v>
      </c>
      <c r="D167" s="157"/>
      <c r="E167" s="192" t="s">
        <v>1194</v>
      </c>
      <c r="F167" s="546">
        <v>330.0</v>
      </c>
      <c r="G167" s="578"/>
      <c r="H167" s="419"/>
      <c r="I167" s="239"/>
      <c r="J167" s="433" t="s">
        <v>668</v>
      </c>
      <c r="K167" s="420"/>
      <c r="L167" s="150"/>
      <c r="M167" s="377"/>
      <c r="O167" s="431"/>
      <c r="P167" s="157"/>
      <c r="Q167" s="404"/>
      <c r="R167" s="148"/>
      <c r="S167" s="242"/>
      <c r="T167" s="242"/>
      <c r="U167" s="242"/>
      <c r="V167" s="242"/>
      <c r="W167" s="242"/>
      <c r="X167" s="242"/>
      <c r="Y167" s="148"/>
      <c r="Z167" s="148"/>
    </row>
    <row r="168">
      <c r="A168" s="453" t="s">
        <v>369</v>
      </c>
      <c r="C168" s="561" t="s">
        <v>766</v>
      </c>
      <c r="D168" s="423"/>
      <c r="E168" s="192" t="s">
        <v>1195</v>
      </c>
      <c r="F168" s="546">
        <v>80.0</v>
      </c>
      <c r="G168" s="562" t="s">
        <v>426</v>
      </c>
      <c r="H168" s="419"/>
      <c r="I168" s="239"/>
      <c r="J168" s="433" t="s">
        <v>670</v>
      </c>
      <c r="K168" s="458"/>
      <c r="L168" s="193">
        <v>1250.0</v>
      </c>
      <c r="M168" s="377"/>
      <c r="O168" s="431"/>
      <c r="P168" s="157"/>
      <c r="Q168" s="404"/>
      <c r="R168" s="148"/>
      <c r="S168" s="242"/>
      <c r="T168" s="242"/>
      <c r="U168" s="242"/>
      <c r="V168" s="242"/>
      <c r="W168" s="242"/>
      <c r="X168" s="242"/>
      <c r="Y168" s="148"/>
      <c r="Z168" s="148"/>
    </row>
    <row r="169">
      <c r="C169" s="561" t="s">
        <v>767</v>
      </c>
      <c r="D169" s="423"/>
      <c r="E169" s="192" t="s">
        <v>959</v>
      </c>
      <c r="F169" s="546">
        <v>700.0</v>
      </c>
      <c r="G169" s="578"/>
      <c r="H169" s="419"/>
      <c r="I169" s="239"/>
      <c r="J169" s="433" t="s">
        <v>217</v>
      </c>
      <c r="K169" s="458"/>
      <c r="L169" s="150"/>
      <c r="M169" s="377"/>
      <c r="O169" s="431"/>
      <c r="P169" s="157"/>
      <c r="Q169" s="404"/>
      <c r="R169" s="148"/>
      <c r="S169" s="242"/>
      <c r="T169" s="242"/>
      <c r="U169" s="242"/>
      <c r="V169" s="242"/>
      <c r="W169" s="242"/>
      <c r="X169" s="242"/>
      <c r="Y169" s="148"/>
      <c r="Z169" s="148"/>
    </row>
    <row r="170">
      <c r="A170" s="57"/>
      <c r="B170" s="57"/>
      <c r="C170" s="561" t="s">
        <v>768</v>
      </c>
      <c r="D170" s="423"/>
      <c r="E170" s="192" t="s">
        <v>1196</v>
      </c>
      <c r="F170" s="546">
        <v>65.0</v>
      </c>
      <c r="G170" s="578"/>
      <c r="H170" s="419"/>
      <c r="I170" s="239"/>
      <c r="J170" s="109"/>
      <c r="K170" s="420"/>
      <c r="L170" s="193"/>
      <c r="M170" s="374"/>
      <c r="O170" s="431"/>
      <c r="P170" s="157"/>
      <c r="Q170" s="404"/>
      <c r="R170" s="148"/>
      <c r="S170" s="242"/>
      <c r="T170" s="242"/>
      <c r="U170" s="242"/>
      <c r="V170" s="242"/>
      <c r="W170" s="242"/>
      <c r="X170" s="242"/>
      <c r="Y170" s="148"/>
      <c r="Z170" s="148"/>
    </row>
    <row r="171">
      <c r="A171" s="57"/>
      <c r="B171" s="57"/>
      <c r="C171" s="561" t="s">
        <v>769</v>
      </c>
      <c r="D171" s="157"/>
      <c r="E171" s="192" t="s">
        <v>1197</v>
      </c>
      <c r="F171" s="546">
        <v>280.0</v>
      </c>
      <c r="G171" s="562" t="s">
        <v>980</v>
      </c>
      <c r="H171" s="419"/>
      <c r="I171" s="239"/>
      <c r="J171" s="456" t="s">
        <v>672</v>
      </c>
      <c r="K171" s="420"/>
      <c r="L171" s="150"/>
      <c r="M171" s="377"/>
      <c r="O171" s="431"/>
      <c r="P171" s="157"/>
      <c r="Q171" s="404"/>
      <c r="R171" s="148"/>
      <c r="S171" s="242"/>
      <c r="T171" s="242"/>
      <c r="U171" s="242"/>
      <c r="V171" s="242"/>
      <c r="W171" s="242"/>
      <c r="X171" s="242"/>
      <c r="Y171" s="148"/>
      <c r="Z171" s="148"/>
    </row>
    <row r="172">
      <c r="A172" s="57"/>
      <c r="B172" s="57"/>
      <c r="C172" s="561" t="s">
        <v>770</v>
      </c>
      <c r="D172" s="423"/>
      <c r="E172" s="192" t="s">
        <v>862</v>
      </c>
      <c r="F172" s="546">
        <v>330.0</v>
      </c>
      <c r="G172" s="578"/>
      <c r="H172" s="419"/>
      <c r="I172" s="57"/>
      <c r="J172" s="456" t="s">
        <v>675</v>
      </c>
      <c r="K172" s="420"/>
      <c r="L172" s="150"/>
      <c r="M172" s="382"/>
      <c r="O172" s="431"/>
      <c r="P172" s="157"/>
      <c r="Q172" s="404"/>
      <c r="R172" s="148"/>
      <c r="S172" s="242"/>
      <c r="T172" s="242"/>
      <c r="U172" s="242"/>
      <c r="V172" s="242"/>
      <c r="W172" s="242"/>
      <c r="X172" s="242"/>
      <c r="Y172" s="148"/>
      <c r="Z172" s="148"/>
    </row>
    <row r="173">
      <c r="A173" s="57"/>
      <c r="B173" s="57"/>
      <c r="C173" s="561" t="s">
        <v>793</v>
      </c>
      <c r="D173" s="423">
        <v>30.0</v>
      </c>
      <c r="E173" s="192"/>
      <c r="F173" s="546"/>
      <c r="G173" s="579"/>
      <c r="H173" s="419"/>
      <c r="I173" s="57"/>
      <c r="J173" s="456"/>
      <c r="K173" s="420"/>
      <c r="L173" s="150"/>
      <c r="M173" s="425"/>
      <c r="O173" s="431"/>
      <c r="P173" s="157"/>
      <c r="Q173" s="404"/>
      <c r="R173" s="148"/>
      <c r="S173" s="242"/>
      <c r="T173" s="242"/>
      <c r="U173" s="242"/>
      <c r="V173" s="242"/>
      <c r="W173" s="242"/>
      <c r="X173" s="242"/>
      <c r="Y173" s="148"/>
      <c r="Z173" s="148"/>
    </row>
    <row r="174">
      <c r="A174" s="239"/>
      <c r="B174" s="57"/>
      <c r="C174" s="561" t="s">
        <v>794</v>
      </c>
      <c r="D174" s="423"/>
      <c r="E174" s="192"/>
      <c r="F174" s="546"/>
      <c r="G174" s="578"/>
      <c r="H174" s="419"/>
      <c r="I174" s="57"/>
      <c r="J174" s="375"/>
      <c r="K174" s="420"/>
      <c r="L174" s="150"/>
      <c r="M174" s="425"/>
      <c r="O174" s="431"/>
      <c r="P174" s="157"/>
      <c r="Q174" s="404"/>
      <c r="R174" s="148"/>
      <c r="S174" s="242"/>
      <c r="T174" s="242"/>
      <c r="U174" s="242"/>
      <c r="V174" s="242"/>
      <c r="W174" s="242"/>
      <c r="X174" s="242"/>
      <c r="Y174" s="148"/>
      <c r="Z174" s="148"/>
    </row>
    <row r="175">
      <c r="A175" s="239"/>
      <c r="B175" s="57"/>
      <c r="C175" s="561" t="s">
        <v>18</v>
      </c>
      <c r="D175" s="423"/>
      <c r="E175" s="192"/>
      <c r="F175" s="546"/>
      <c r="G175" s="578"/>
      <c r="H175" s="419"/>
      <c r="I175" s="57"/>
      <c r="J175" s="375"/>
      <c r="K175" s="420"/>
      <c r="L175" s="193"/>
      <c r="M175" s="382"/>
      <c r="O175" s="431"/>
      <c r="P175" s="157"/>
      <c r="Q175" s="404"/>
      <c r="R175" s="148"/>
      <c r="S175" s="242"/>
      <c r="T175" s="242"/>
      <c r="U175" s="242"/>
      <c r="V175" s="242"/>
      <c r="W175" s="242"/>
      <c r="X175" s="242"/>
      <c r="Y175" s="148"/>
      <c r="Z175" s="148"/>
    </row>
    <row r="176">
      <c r="A176" s="239"/>
      <c r="B176" s="57"/>
      <c r="C176" s="563" t="s">
        <v>1115</v>
      </c>
      <c r="D176" s="423"/>
      <c r="E176" s="192"/>
      <c r="F176" s="546"/>
      <c r="G176" s="579"/>
      <c r="H176" s="419"/>
      <c r="I176" s="57"/>
      <c r="J176" s="452"/>
      <c r="K176" s="420"/>
      <c r="L176" s="150"/>
      <c r="M176" s="425"/>
      <c r="O176" s="431"/>
      <c r="P176" s="157"/>
      <c r="Q176" s="404"/>
      <c r="R176" s="148"/>
      <c r="S176" s="242"/>
      <c r="T176" s="242"/>
      <c r="U176" s="242"/>
      <c r="V176" s="242"/>
      <c r="W176" s="242"/>
      <c r="X176" s="242"/>
      <c r="Y176" s="148"/>
      <c r="Z176" s="148"/>
    </row>
    <row r="177">
      <c r="A177" s="57"/>
      <c r="B177" s="57"/>
      <c r="C177" s="561" t="s">
        <v>1116</v>
      </c>
      <c r="D177" s="423"/>
      <c r="E177" s="192"/>
      <c r="F177" s="546"/>
      <c r="G177" s="578"/>
      <c r="H177" s="419"/>
      <c r="I177" s="57"/>
      <c r="J177" s="105"/>
      <c r="K177" s="420"/>
      <c r="L177" s="150"/>
      <c r="M177" s="425"/>
      <c r="O177" s="431"/>
      <c r="P177" s="157"/>
      <c r="Q177" s="404"/>
      <c r="R177" s="148"/>
      <c r="S177" s="242"/>
      <c r="T177" s="242"/>
      <c r="U177" s="242"/>
      <c r="V177" s="242"/>
      <c r="W177" s="242"/>
      <c r="X177" s="242"/>
      <c r="Y177" s="148"/>
      <c r="Z177" s="148"/>
    </row>
    <row r="178">
      <c r="A178" s="239"/>
      <c r="B178" s="239"/>
      <c r="C178" s="561" t="s">
        <v>775</v>
      </c>
      <c r="D178" s="423"/>
      <c r="E178" s="192"/>
      <c r="F178" s="546"/>
      <c r="G178" s="578"/>
      <c r="H178" s="419"/>
      <c r="I178" s="57"/>
      <c r="J178" s="378" t="s">
        <v>682</v>
      </c>
      <c r="K178" s="420"/>
      <c r="L178" s="193">
        <v>142.0</v>
      </c>
      <c r="M178" s="377" t="s">
        <v>1198</v>
      </c>
      <c r="O178" s="431"/>
      <c r="P178" s="157"/>
      <c r="Q178" s="404"/>
      <c r="R178" s="148"/>
      <c r="S178" s="242"/>
      <c r="T178" s="242"/>
      <c r="U178" s="242"/>
      <c r="V178" s="242"/>
      <c r="W178" s="242"/>
      <c r="X178" s="242"/>
      <c r="Y178" s="148"/>
      <c r="Z178" s="148"/>
    </row>
    <row r="179">
      <c r="A179" s="239"/>
      <c r="B179" s="239"/>
      <c r="C179" s="561" t="s">
        <v>10</v>
      </c>
      <c r="D179" s="157"/>
      <c r="E179" s="192"/>
      <c r="F179" s="580"/>
      <c r="G179" s="589"/>
      <c r="H179" s="419"/>
      <c r="I179" s="57"/>
      <c r="J179" s="461" t="s">
        <v>684</v>
      </c>
      <c r="K179" s="420"/>
      <c r="L179" s="193"/>
      <c r="M179" s="377"/>
      <c r="O179" s="431"/>
      <c r="P179" s="157"/>
      <c r="Q179" s="404"/>
      <c r="R179" s="148"/>
      <c r="S179" s="242"/>
      <c r="T179" s="242"/>
      <c r="U179" s="242"/>
      <c r="V179" s="242"/>
      <c r="W179" s="242"/>
      <c r="X179" s="242"/>
      <c r="Y179" s="148"/>
      <c r="Z179" s="148"/>
    </row>
    <row r="180">
      <c r="A180" s="238" t="s">
        <v>1199</v>
      </c>
      <c r="B180" s="239"/>
      <c r="C180" s="561" t="s">
        <v>6</v>
      </c>
      <c r="D180" s="423">
        <v>150.0</v>
      </c>
      <c r="E180" s="192"/>
      <c r="F180" s="546"/>
      <c r="G180" s="579"/>
      <c r="H180" s="455"/>
      <c r="I180" s="57"/>
      <c r="J180" s="461" t="s">
        <v>686</v>
      </c>
      <c r="K180" s="420"/>
      <c r="L180" s="193">
        <v>150.0</v>
      </c>
      <c r="M180" s="377" t="s">
        <v>1200</v>
      </c>
      <c r="O180" s="463"/>
      <c r="P180" s="157"/>
      <c r="Q180" s="404"/>
      <c r="R180" s="148"/>
      <c r="S180" s="242"/>
      <c r="T180" s="242"/>
      <c r="U180" s="242"/>
      <c r="V180" s="242"/>
      <c r="W180" s="242"/>
      <c r="X180" s="242"/>
      <c r="Y180" s="148"/>
      <c r="Z180" s="148"/>
    </row>
    <row r="181">
      <c r="A181" s="57"/>
      <c r="B181" s="57"/>
      <c r="C181" s="561" t="s">
        <v>779</v>
      </c>
      <c r="D181" s="157"/>
      <c r="E181" s="192"/>
      <c r="F181" s="546"/>
      <c r="G181" s="579"/>
      <c r="H181" s="455"/>
      <c r="I181" s="239"/>
      <c r="J181" s="460" t="s">
        <v>202</v>
      </c>
      <c r="K181" s="420"/>
      <c r="L181" s="193"/>
      <c r="M181" s="377"/>
      <c r="O181" s="463"/>
      <c r="P181" s="157"/>
      <c r="Q181" s="404"/>
      <c r="R181" s="148"/>
      <c r="S181" s="242"/>
      <c r="T181" s="242"/>
      <c r="U181" s="242"/>
      <c r="V181" s="242"/>
      <c r="W181" s="242"/>
      <c r="X181" s="242"/>
      <c r="Y181" s="148"/>
      <c r="Z181" s="148"/>
    </row>
    <row r="182">
      <c r="A182" s="239"/>
      <c r="B182" s="239"/>
      <c r="C182" s="561" t="s">
        <v>780</v>
      </c>
      <c r="D182" s="423"/>
      <c r="E182" s="228"/>
      <c r="F182" s="547"/>
      <c r="G182" s="579"/>
      <c r="H182" s="455"/>
      <c r="I182" s="57"/>
      <c r="J182" s="460" t="s">
        <v>274</v>
      </c>
      <c r="K182" s="420"/>
      <c r="L182" s="193"/>
      <c r="M182" s="374"/>
      <c r="O182" s="463"/>
      <c r="P182" s="157"/>
      <c r="Q182" s="404"/>
      <c r="R182" s="148"/>
      <c r="S182" s="242"/>
      <c r="T182" s="242"/>
      <c r="U182" s="242"/>
      <c r="V182" s="242"/>
      <c r="W182" s="242"/>
      <c r="X182" s="242"/>
      <c r="Y182" s="148"/>
      <c r="Z182" s="148"/>
    </row>
    <row r="183">
      <c r="A183" s="239"/>
      <c r="B183" s="239"/>
      <c r="C183" s="561" t="s">
        <v>781</v>
      </c>
      <c r="D183" s="423"/>
      <c r="E183" s="228"/>
      <c r="F183" s="547"/>
      <c r="G183" s="579"/>
      <c r="H183" s="419"/>
      <c r="I183" s="239"/>
      <c r="J183" s="685" t="s">
        <v>1117</v>
      </c>
      <c r="K183" s="420"/>
      <c r="L183" s="150"/>
      <c r="M183" s="374"/>
      <c r="O183" s="431"/>
      <c r="P183" s="157"/>
      <c r="Q183" s="404"/>
      <c r="R183" s="148"/>
      <c r="S183" s="242"/>
      <c r="T183" s="242"/>
      <c r="U183" s="242"/>
      <c r="V183" s="242"/>
      <c r="W183" s="242"/>
      <c r="X183" s="242"/>
      <c r="Y183" s="148"/>
      <c r="Z183" s="148"/>
    </row>
    <row r="184">
      <c r="A184" s="239"/>
      <c r="B184" s="157"/>
      <c r="C184" s="561" t="s">
        <v>1118</v>
      </c>
      <c r="D184" s="157"/>
      <c r="E184" s="569"/>
      <c r="F184" s="547"/>
      <c r="G184" s="578"/>
      <c r="H184" s="419"/>
      <c r="I184" s="57"/>
      <c r="J184" s="685" t="s">
        <v>1119</v>
      </c>
      <c r="K184" s="420"/>
      <c r="L184" s="193"/>
      <c r="M184" s="377"/>
      <c r="O184" s="431"/>
      <c r="P184" s="157"/>
      <c r="Q184" s="404"/>
      <c r="R184" s="148"/>
      <c r="S184" s="242"/>
      <c r="T184" s="242"/>
      <c r="U184" s="242"/>
      <c r="V184" s="242"/>
      <c r="W184" s="242"/>
      <c r="X184" s="242"/>
      <c r="Y184" s="148"/>
      <c r="Z184" s="148"/>
    </row>
    <row r="185">
      <c r="A185" s="239"/>
      <c r="B185" s="157"/>
      <c r="C185" s="561" t="s">
        <v>1120</v>
      </c>
      <c r="D185" s="157"/>
      <c r="E185" s="228"/>
      <c r="F185" s="547"/>
      <c r="G185" s="578"/>
      <c r="H185" s="419"/>
      <c r="I185" s="239"/>
      <c r="J185" s="596" t="s">
        <v>1001</v>
      </c>
      <c r="K185" s="420"/>
      <c r="L185" s="193"/>
      <c r="M185" s="377"/>
      <c r="O185" s="431"/>
      <c r="P185" s="157"/>
      <c r="Q185" s="404"/>
      <c r="R185" s="148"/>
      <c r="S185" s="242"/>
      <c r="T185" s="242"/>
      <c r="U185" s="242"/>
      <c r="V185" s="242"/>
      <c r="W185" s="242"/>
      <c r="X185" s="242"/>
      <c r="Y185" s="148"/>
      <c r="Z185" s="148"/>
    </row>
    <row r="186">
      <c r="A186" s="239"/>
      <c r="B186" s="157"/>
      <c r="C186" s="561"/>
      <c r="D186" s="157"/>
      <c r="E186" s="570"/>
      <c r="F186" s="547"/>
      <c r="G186" s="578"/>
      <c r="H186" s="419"/>
      <c r="I186" s="239"/>
      <c r="J186" s="568"/>
      <c r="K186" s="420"/>
      <c r="L186" s="193"/>
      <c r="M186" s="374"/>
      <c r="O186" s="431"/>
      <c r="P186" s="157"/>
      <c r="Q186" s="404"/>
      <c r="R186" s="148"/>
      <c r="S186" s="242"/>
      <c r="T186" s="242"/>
      <c r="U186" s="242"/>
      <c r="V186" s="242"/>
      <c r="W186" s="242"/>
      <c r="X186" s="242"/>
      <c r="Y186" s="148"/>
      <c r="Z186" s="148"/>
    </row>
    <row r="187">
      <c r="C187" s="571"/>
      <c r="D187" s="157"/>
      <c r="E187" s="570"/>
      <c r="F187" s="547"/>
      <c r="G187" s="578"/>
      <c r="H187" s="419"/>
      <c r="I187" s="239"/>
      <c r="J187" s="464" t="s">
        <v>692</v>
      </c>
      <c r="K187" s="420"/>
      <c r="L187" s="150"/>
      <c r="M187" s="377"/>
      <c r="O187" s="431"/>
      <c r="P187" s="157"/>
      <c r="Q187" s="404"/>
      <c r="R187" s="148"/>
      <c r="S187" s="242"/>
      <c r="T187" s="242"/>
      <c r="U187" s="242"/>
      <c r="V187" s="242"/>
      <c r="W187" s="242"/>
      <c r="X187" s="242"/>
      <c r="Y187" s="148"/>
      <c r="Z187" s="148"/>
    </row>
    <row r="188">
      <c r="C188" s="571"/>
      <c r="D188" s="157"/>
      <c r="E188" s="570"/>
      <c r="F188" s="547"/>
      <c r="G188" s="578"/>
      <c r="H188" s="419"/>
      <c r="I188" s="239"/>
      <c r="J188" s="464" t="s">
        <v>694</v>
      </c>
      <c r="K188" s="420"/>
      <c r="L188" s="193"/>
      <c r="M188" s="377"/>
      <c r="O188" s="431"/>
      <c r="P188" s="157"/>
      <c r="Q188" s="404"/>
      <c r="R188" s="148"/>
      <c r="S188" s="242"/>
      <c r="T188" s="242"/>
      <c r="U188" s="242"/>
      <c r="V188" s="242"/>
      <c r="W188" s="242"/>
      <c r="X188" s="242"/>
      <c r="Y188" s="148"/>
      <c r="Z188" s="148"/>
    </row>
    <row r="189">
      <c r="C189" s="571"/>
      <c r="D189" s="423"/>
      <c r="E189" s="570"/>
      <c r="F189" s="546"/>
      <c r="G189" s="578"/>
      <c r="H189" s="419"/>
      <c r="I189" s="57"/>
      <c r="J189" s="105"/>
      <c r="K189" s="57"/>
      <c r="L189" s="150"/>
      <c r="M189" s="57"/>
      <c r="N189" s="57"/>
      <c r="O189" s="57"/>
      <c r="P189" s="157"/>
      <c r="Q189" s="404"/>
      <c r="R189" s="148"/>
      <c r="S189" s="242"/>
      <c r="T189" s="242"/>
      <c r="U189" s="242"/>
      <c r="V189" s="242"/>
      <c r="W189" s="242"/>
      <c r="X189" s="242"/>
      <c r="Y189" s="148"/>
      <c r="Z189" s="148"/>
    </row>
    <row r="190">
      <c r="A190" s="125" t="s">
        <v>798</v>
      </c>
      <c r="B190" s="572">
        <f>C163-B167</f>
        <v>696.1</v>
      </c>
      <c r="D190" s="157"/>
      <c r="E190" s="570"/>
      <c r="F190" s="573"/>
      <c r="G190" s="581"/>
      <c r="H190" s="419"/>
      <c r="I190" s="239"/>
      <c r="J190" s="568"/>
      <c r="K190" s="57"/>
      <c r="L190" s="150"/>
      <c r="M190" s="57"/>
      <c r="N190" s="57"/>
      <c r="O190" s="57"/>
      <c r="P190" s="157"/>
      <c r="Q190" s="404"/>
      <c r="R190" s="148"/>
      <c r="S190" s="242"/>
      <c r="T190" s="242"/>
      <c r="U190" s="242"/>
      <c r="V190" s="242"/>
      <c r="W190" s="242"/>
      <c r="X190" s="242"/>
      <c r="Y190" s="148"/>
      <c r="Z190" s="148"/>
    </row>
    <row r="191">
      <c r="A191" s="274" t="s">
        <v>783</v>
      </c>
      <c r="B191" s="109"/>
      <c r="C191" s="395"/>
      <c r="D191" s="157"/>
      <c r="E191" s="570"/>
      <c r="F191" s="573"/>
      <c r="G191" s="581"/>
      <c r="H191" s="419"/>
      <c r="I191" s="239"/>
      <c r="J191" s="568"/>
      <c r="K191" s="57"/>
      <c r="L191" s="150"/>
      <c r="M191" s="57"/>
      <c r="N191" s="57"/>
      <c r="O191" s="57"/>
      <c r="P191" s="157"/>
      <c r="Q191" s="404"/>
      <c r="R191" s="148"/>
      <c r="S191" s="242"/>
      <c r="T191" s="242"/>
      <c r="U191" s="242"/>
      <c r="V191" s="242"/>
      <c r="W191" s="242"/>
      <c r="X191" s="242"/>
      <c r="Y191" s="148"/>
      <c r="Z191" s="148"/>
    </row>
    <row r="192">
      <c r="A192" s="274" t="s">
        <v>784</v>
      </c>
      <c r="B192" s="109"/>
      <c r="C192" s="395"/>
      <c r="D192" s="157"/>
      <c r="E192" s="570"/>
      <c r="F192" s="573"/>
      <c r="G192" s="581"/>
      <c r="H192" s="419"/>
      <c r="I192" s="239"/>
      <c r="J192" s="568"/>
      <c r="K192" s="57"/>
      <c r="L192" s="150"/>
      <c r="M192" s="57"/>
      <c r="N192" s="57"/>
      <c r="O192" s="57"/>
      <c r="P192" s="157"/>
      <c r="Q192" s="404"/>
      <c r="R192" s="148"/>
      <c r="S192" s="242"/>
      <c r="T192" s="242"/>
      <c r="U192" s="242"/>
      <c r="V192" s="242"/>
      <c r="W192" s="242"/>
      <c r="X192" s="242"/>
      <c r="Y192" s="148"/>
      <c r="Z192" s="148"/>
    </row>
    <row r="193">
      <c r="A193" s="274" t="s">
        <v>785</v>
      </c>
      <c r="B193" s="109"/>
      <c r="C193" s="686">
        <f>SUM(B191:B193)</f>
        <v>0</v>
      </c>
      <c r="D193" s="157"/>
      <c r="E193" s="570"/>
      <c r="F193" s="573"/>
      <c r="G193" s="581"/>
      <c r="H193" s="419"/>
      <c r="I193" s="239"/>
      <c r="J193" s="568"/>
      <c r="K193" s="57"/>
      <c r="L193" s="150"/>
      <c r="M193" s="57"/>
      <c r="N193" s="57"/>
      <c r="O193" s="57"/>
      <c r="P193" s="157"/>
      <c r="Q193" s="404"/>
      <c r="R193" s="148"/>
      <c r="S193" s="242"/>
      <c r="T193" s="242"/>
      <c r="U193" s="242"/>
      <c r="V193" s="242"/>
      <c r="W193" s="242"/>
      <c r="X193" s="242"/>
      <c r="Y193" s="148"/>
      <c r="Z193" s="148"/>
    </row>
    <row r="194">
      <c r="A194" s="402"/>
      <c r="B194" s="403"/>
      <c r="C194" s="403"/>
      <c r="D194" s="403"/>
      <c r="E194" s="574"/>
      <c r="F194" s="575"/>
      <c r="G194" s="576"/>
      <c r="H194" s="159"/>
      <c r="I194" s="159"/>
      <c r="J194" s="576"/>
      <c r="K194" s="159"/>
      <c r="L194" s="162"/>
      <c r="M194" s="402"/>
      <c r="N194" s="402"/>
      <c r="O194" s="159"/>
      <c r="P194" s="403"/>
      <c r="Q194" s="577"/>
      <c r="R194" s="148"/>
      <c r="S194" s="242"/>
      <c r="T194" s="242"/>
      <c r="U194" s="242"/>
      <c r="V194" s="242"/>
      <c r="W194" s="242"/>
      <c r="X194" s="242"/>
      <c r="Y194" s="148"/>
      <c r="Z194" s="148"/>
    </row>
    <row r="195">
      <c r="A195" s="148"/>
      <c r="B195" s="148"/>
      <c r="C195" s="148"/>
      <c r="D195" s="245"/>
      <c r="E195" s="585"/>
      <c r="F195" s="586"/>
      <c r="G195" s="243"/>
      <c r="H195" s="148"/>
      <c r="I195" s="251"/>
      <c r="J195" s="243"/>
      <c r="K195" s="148"/>
      <c r="L195" s="277"/>
      <c r="M195" s="252"/>
      <c r="N195" s="250"/>
      <c r="O195" s="253"/>
      <c r="P195" s="240"/>
      <c r="Q195" s="148"/>
      <c r="R195" s="148"/>
      <c r="S195" s="242"/>
      <c r="T195" s="242"/>
      <c r="U195" s="242"/>
      <c r="V195" s="242"/>
      <c r="W195" s="242"/>
      <c r="X195" s="242"/>
      <c r="Y195" s="148"/>
      <c r="Z195" s="148"/>
    </row>
    <row r="196">
      <c r="A196" s="169" t="s">
        <v>79</v>
      </c>
      <c r="B196" s="539"/>
      <c r="C196" s="540"/>
      <c r="D196" s="405"/>
      <c r="E196" s="541"/>
      <c r="F196" s="542"/>
      <c r="G196" s="467" t="s">
        <v>333</v>
      </c>
      <c r="H196" s="361"/>
      <c r="I196" s="57"/>
      <c r="J196" s="105"/>
      <c r="K196" s="57"/>
      <c r="L196" s="150"/>
      <c r="M196" s="239"/>
      <c r="N196" s="239"/>
      <c r="O196" s="57"/>
      <c r="P196" s="157"/>
      <c r="Q196" s="404"/>
      <c r="R196" s="148"/>
      <c r="S196" s="242"/>
      <c r="T196" s="242"/>
      <c r="U196" s="242"/>
      <c r="V196" s="242"/>
      <c r="W196" s="242"/>
      <c r="X196" s="242"/>
      <c r="Y196" s="148"/>
      <c r="Z196" s="148"/>
    </row>
    <row r="197">
      <c r="A197" s="468"/>
      <c r="B197" s="157"/>
      <c r="C197" s="466"/>
      <c r="D197" s="405"/>
      <c r="E197" s="543" t="s">
        <v>335</v>
      </c>
      <c r="F197" s="544" t="s">
        <v>237</v>
      </c>
      <c r="G197" s="412" t="s">
        <v>336</v>
      </c>
      <c r="H197" s="413" t="s">
        <v>337</v>
      </c>
      <c r="I197" s="239"/>
      <c r="J197" s="145" t="s">
        <v>60</v>
      </c>
      <c r="K197" s="57"/>
      <c r="L197" s="150"/>
      <c r="M197" s="414"/>
      <c r="N197" s="414"/>
      <c r="O197" s="57" t="s">
        <v>334</v>
      </c>
      <c r="P197" s="157"/>
      <c r="Q197" s="404"/>
      <c r="R197" s="148"/>
      <c r="S197" s="242"/>
      <c r="T197" s="242"/>
      <c r="U197" s="242"/>
      <c r="V197" s="242"/>
      <c r="W197" s="242"/>
      <c r="X197" s="242"/>
      <c r="Y197" s="148"/>
      <c r="Z197" s="148"/>
    </row>
    <row r="198">
      <c r="A198" s="470" t="s">
        <v>179</v>
      </c>
      <c r="C198" s="416">
        <f>SUM(F198:F232)</f>
        <v>3940</v>
      </c>
      <c r="D198" s="405"/>
      <c r="E198" s="545"/>
      <c r="F198" s="546"/>
      <c r="G198" s="578"/>
      <c r="H198" s="419"/>
      <c r="I198" s="57"/>
      <c r="K198" s="57"/>
      <c r="L198" s="150"/>
      <c r="M198" s="377" t="s">
        <v>366</v>
      </c>
      <c r="P198" s="157"/>
      <c r="Q198" s="404"/>
      <c r="R198" s="148"/>
      <c r="S198" s="242"/>
      <c r="T198" s="242"/>
      <c r="U198" s="242"/>
      <c r="V198" s="242"/>
      <c r="W198" s="242"/>
      <c r="X198" s="242"/>
      <c r="Y198" s="148"/>
      <c r="Z198" s="148"/>
    </row>
    <row r="199">
      <c r="A199" s="421" t="s">
        <v>343</v>
      </c>
      <c r="B199" s="422" t="s">
        <v>321</v>
      </c>
      <c r="C199" s="416">
        <f>SUM(P199:P232)</f>
        <v>875</v>
      </c>
      <c r="D199" s="157"/>
      <c r="E199" s="545"/>
      <c r="F199" s="546"/>
      <c r="G199" s="578"/>
      <c r="H199" s="419"/>
      <c r="I199" s="239"/>
      <c r="J199" s="471" t="s">
        <v>341</v>
      </c>
      <c r="K199" s="420"/>
      <c r="L199" s="150"/>
      <c r="M199" s="374"/>
      <c r="O199" s="368" t="s">
        <v>1175</v>
      </c>
      <c r="P199" s="423">
        <v>255.0</v>
      </c>
      <c r="Q199" s="404"/>
      <c r="R199" s="148"/>
      <c r="S199" s="242"/>
      <c r="T199" s="242"/>
      <c r="U199" s="242"/>
      <c r="V199" s="242"/>
      <c r="W199" s="242"/>
      <c r="X199" s="242"/>
      <c r="Y199" s="148"/>
      <c r="Z199" s="148"/>
    </row>
    <row r="200">
      <c r="A200" s="427" t="s">
        <v>201</v>
      </c>
      <c r="C200" s="204">
        <f>SUM(L199:L232)</f>
        <v>2098.83</v>
      </c>
      <c r="D200" s="157"/>
      <c r="E200" s="545"/>
      <c r="F200" s="546"/>
      <c r="G200" s="578"/>
      <c r="H200" s="419"/>
      <c r="I200" s="239"/>
      <c r="J200" s="472" t="s">
        <v>345</v>
      </c>
      <c r="K200" s="420"/>
      <c r="L200" s="193">
        <v>38.53</v>
      </c>
      <c r="M200" s="377" t="s">
        <v>1201</v>
      </c>
      <c r="O200" s="368" t="s">
        <v>1202</v>
      </c>
      <c r="P200" s="423">
        <v>80.0</v>
      </c>
      <c r="Q200" s="404"/>
      <c r="R200" s="148"/>
      <c r="S200" s="242"/>
      <c r="T200" s="242"/>
      <c r="U200" s="242"/>
      <c r="V200" s="242"/>
      <c r="W200" s="242"/>
      <c r="X200" s="242"/>
      <c r="Y200" s="148"/>
      <c r="Z200" s="148"/>
    </row>
    <row r="201">
      <c r="A201" s="548" t="s">
        <v>761</v>
      </c>
      <c r="B201" s="549">
        <v>0.4</v>
      </c>
      <c r="C201" s="191"/>
      <c r="D201" s="157"/>
      <c r="E201" s="550" t="s">
        <v>695</v>
      </c>
      <c r="F201" s="546"/>
      <c r="G201" s="562"/>
      <c r="H201" s="419"/>
      <c r="I201" s="239"/>
      <c r="J201" s="433" t="s">
        <v>656</v>
      </c>
      <c r="K201" s="420"/>
      <c r="L201" s="193">
        <v>79.41</v>
      </c>
      <c r="M201" s="377" t="s">
        <v>1203</v>
      </c>
      <c r="O201" s="368" t="s">
        <v>873</v>
      </c>
      <c r="P201" s="423">
        <v>260.0</v>
      </c>
      <c r="Q201" s="404"/>
      <c r="R201" s="148"/>
      <c r="S201" s="242"/>
      <c r="T201" s="242"/>
      <c r="U201" s="242"/>
      <c r="V201" s="242"/>
      <c r="W201" s="242"/>
      <c r="X201" s="242"/>
      <c r="Y201" s="148"/>
      <c r="Z201" s="148"/>
    </row>
    <row r="202">
      <c r="A202" s="434" t="s">
        <v>350</v>
      </c>
      <c r="C202" s="551">
        <f>C198-C200-C201</f>
        <v>1841.17</v>
      </c>
      <c r="D202" s="157"/>
      <c r="E202" s="655" t="s">
        <v>1196</v>
      </c>
      <c r="F202" s="671">
        <v>195.0</v>
      </c>
      <c r="G202" s="579"/>
      <c r="H202" s="419"/>
      <c r="I202" s="57"/>
      <c r="J202" s="444" t="s">
        <v>658</v>
      </c>
      <c r="K202" s="420"/>
      <c r="L202" s="193"/>
      <c r="M202" s="377"/>
      <c r="O202" s="368" t="s">
        <v>1204</v>
      </c>
      <c r="P202" s="423">
        <v>280.0</v>
      </c>
      <c r="Q202" s="404"/>
      <c r="R202" s="148"/>
      <c r="S202" s="242"/>
      <c r="T202" s="242"/>
      <c r="U202" s="242"/>
      <c r="V202" s="242"/>
      <c r="W202" s="242"/>
      <c r="X202" s="242"/>
      <c r="Y202" s="148"/>
      <c r="Z202" s="148"/>
    </row>
    <row r="203">
      <c r="A203" s="554"/>
      <c r="B203" s="555"/>
      <c r="C203" s="447"/>
      <c r="D203" s="157"/>
      <c r="E203" s="192" t="s">
        <v>1127</v>
      </c>
      <c r="F203" s="546">
        <v>220.0</v>
      </c>
      <c r="G203" s="562"/>
      <c r="H203" s="419"/>
      <c r="I203" s="57"/>
      <c r="J203" s="444" t="s">
        <v>660</v>
      </c>
      <c r="K203" s="420"/>
      <c r="L203" s="193"/>
      <c r="M203" s="377"/>
      <c r="O203" s="371"/>
      <c r="P203" s="157"/>
      <c r="Q203" s="404"/>
      <c r="R203" s="148"/>
      <c r="S203" s="242"/>
      <c r="T203" s="242"/>
      <c r="U203" s="242"/>
      <c r="V203" s="242"/>
      <c r="W203" s="242"/>
      <c r="X203" s="242"/>
      <c r="Y203" s="148"/>
      <c r="Z203" s="148"/>
    </row>
    <row r="204">
      <c r="A204" s="556"/>
      <c r="C204" s="395"/>
      <c r="D204" s="157"/>
      <c r="E204" s="192" t="s">
        <v>1205</v>
      </c>
      <c r="F204" s="546">
        <v>255.0</v>
      </c>
      <c r="G204" s="558" t="s">
        <v>426</v>
      </c>
      <c r="H204" s="419"/>
      <c r="I204" s="239"/>
      <c r="J204" s="370" t="s">
        <v>662</v>
      </c>
      <c r="K204" s="420"/>
      <c r="L204" s="193"/>
      <c r="M204" s="377"/>
      <c r="O204" s="371"/>
      <c r="P204" s="157"/>
      <c r="Q204" s="404"/>
      <c r="R204" s="148"/>
      <c r="S204" s="242"/>
      <c r="T204" s="242"/>
      <c r="U204" s="242"/>
      <c r="V204" s="242"/>
      <c r="W204" s="242"/>
      <c r="X204" s="242"/>
      <c r="Y204" s="148"/>
      <c r="Z204" s="148"/>
    </row>
    <row r="205">
      <c r="A205" s="557"/>
      <c r="B205" s="109"/>
      <c r="C205" s="395"/>
      <c r="D205" s="373"/>
      <c r="E205" s="192" t="s">
        <v>1142</v>
      </c>
      <c r="F205" s="546">
        <v>80.0</v>
      </c>
      <c r="G205" s="558" t="s">
        <v>426</v>
      </c>
      <c r="H205" s="419"/>
      <c r="I205" s="239"/>
      <c r="J205" s="433" t="s">
        <v>666</v>
      </c>
      <c r="K205" s="420"/>
      <c r="L205" s="150"/>
      <c r="M205" s="374"/>
      <c r="O205" s="371"/>
      <c r="P205" s="157"/>
      <c r="Q205" s="404"/>
      <c r="R205" s="148"/>
      <c r="S205" s="242"/>
      <c r="T205" s="242"/>
      <c r="U205" s="242"/>
      <c r="V205" s="242"/>
      <c r="W205" s="242"/>
      <c r="X205" s="242"/>
      <c r="Y205" s="148"/>
      <c r="Z205" s="148"/>
    </row>
    <row r="206">
      <c r="A206" s="559" t="s">
        <v>765</v>
      </c>
      <c r="B206" s="560">
        <f>SUM(D206:D232)</f>
        <v>778</v>
      </c>
      <c r="C206" s="477" t="s">
        <v>366</v>
      </c>
      <c r="D206" s="157"/>
      <c r="E206" s="192" t="s">
        <v>696</v>
      </c>
      <c r="F206" s="546">
        <v>300.0</v>
      </c>
      <c r="G206" s="578"/>
      <c r="H206" s="419"/>
      <c r="I206" s="239"/>
      <c r="J206" s="433" t="s">
        <v>668</v>
      </c>
      <c r="K206" s="420"/>
      <c r="L206" s="150"/>
      <c r="M206" s="377"/>
      <c r="O206" s="371"/>
      <c r="P206" s="157"/>
      <c r="Q206" s="404"/>
      <c r="R206" s="148"/>
      <c r="S206" s="242"/>
      <c r="T206" s="242"/>
      <c r="U206" s="242"/>
      <c r="V206" s="242"/>
      <c r="W206" s="242"/>
      <c r="X206" s="242"/>
      <c r="Y206" s="148"/>
      <c r="Z206" s="148"/>
    </row>
    <row r="207">
      <c r="A207" s="453" t="s">
        <v>369</v>
      </c>
      <c r="C207" s="561" t="s">
        <v>766</v>
      </c>
      <c r="D207" s="423"/>
      <c r="E207" s="192" t="s">
        <v>873</v>
      </c>
      <c r="F207" s="546">
        <v>260.0</v>
      </c>
      <c r="G207" s="562" t="s">
        <v>426</v>
      </c>
      <c r="H207" s="419"/>
      <c r="I207" s="239"/>
      <c r="J207" s="433" t="s">
        <v>670</v>
      </c>
      <c r="K207" s="458"/>
      <c r="L207" s="193">
        <v>1250.0</v>
      </c>
      <c r="M207" s="377"/>
      <c r="O207" s="371"/>
      <c r="P207" s="157"/>
      <c r="Q207" s="404"/>
      <c r="R207" s="148"/>
      <c r="S207" s="242"/>
      <c r="T207" s="242"/>
      <c r="U207" s="242"/>
      <c r="V207" s="242"/>
      <c r="W207" s="242"/>
      <c r="X207" s="242"/>
      <c r="Y207" s="148"/>
      <c r="Z207" s="148"/>
    </row>
    <row r="208">
      <c r="C208" s="561" t="s">
        <v>767</v>
      </c>
      <c r="D208" s="157"/>
      <c r="E208" s="192" t="s">
        <v>1140</v>
      </c>
      <c r="F208" s="546">
        <v>280.0</v>
      </c>
      <c r="G208" s="562" t="s">
        <v>426</v>
      </c>
      <c r="H208" s="419"/>
      <c r="I208" s="239"/>
      <c r="J208" s="433" t="s">
        <v>217</v>
      </c>
      <c r="K208" s="458"/>
      <c r="L208" s="193">
        <v>151.36</v>
      </c>
      <c r="M208" s="377" t="s">
        <v>1206</v>
      </c>
      <c r="O208" s="371"/>
      <c r="P208" s="157"/>
      <c r="Q208" s="404"/>
      <c r="R208" s="148"/>
      <c r="S208" s="242"/>
      <c r="T208" s="242"/>
      <c r="U208" s="242"/>
      <c r="V208" s="242"/>
      <c r="W208" s="242"/>
      <c r="X208" s="242"/>
      <c r="Y208" s="148"/>
      <c r="Z208" s="148"/>
    </row>
    <row r="209">
      <c r="A209" s="57"/>
      <c r="B209" s="57"/>
      <c r="C209" s="561" t="s">
        <v>768</v>
      </c>
      <c r="D209" s="423"/>
      <c r="E209" s="192" t="s">
        <v>340</v>
      </c>
      <c r="F209" s="546">
        <v>2000.0</v>
      </c>
      <c r="G209" s="578"/>
      <c r="H209" s="419"/>
      <c r="I209" s="239"/>
      <c r="J209" s="109"/>
      <c r="K209" s="420"/>
      <c r="L209" s="193"/>
      <c r="M209" s="374"/>
      <c r="O209" s="371"/>
      <c r="P209" s="157"/>
      <c r="Q209" s="404"/>
      <c r="R209" s="148"/>
      <c r="S209" s="242"/>
      <c r="T209" s="242"/>
      <c r="U209" s="242"/>
      <c r="V209" s="242"/>
      <c r="W209" s="242"/>
      <c r="X209" s="242"/>
      <c r="Y209" s="148"/>
      <c r="Z209" s="148"/>
    </row>
    <row r="210">
      <c r="A210" s="57"/>
      <c r="B210" s="57"/>
      <c r="C210" s="561" t="s">
        <v>769</v>
      </c>
      <c r="D210" s="157"/>
      <c r="E210" s="192" t="s">
        <v>1148</v>
      </c>
      <c r="F210" s="546">
        <v>350.0</v>
      </c>
      <c r="G210" s="562"/>
      <c r="H210" s="419"/>
      <c r="I210" s="239"/>
      <c r="J210" s="456" t="s">
        <v>672</v>
      </c>
      <c r="K210" s="420"/>
      <c r="L210" s="193">
        <v>173.53</v>
      </c>
      <c r="M210" s="377"/>
      <c r="O210" s="371"/>
      <c r="P210" s="157"/>
      <c r="Q210" s="404"/>
      <c r="R210" s="148"/>
      <c r="S210" s="242"/>
      <c r="T210" s="242"/>
      <c r="U210" s="242"/>
      <c r="V210" s="242"/>
      <c r="W210" s="242"/>
      <c r="X210" s="242"/>
      <c r="Y210" s="148"/>
      <c r="Z210" s="148"/>
    </row>
    <row r="211">
      <c r="A211" s="57"/>
      <c r="B211" s="57"/>
      <c r="C211" s="561" t="s">
        <v>770</v>
      </c>
      <c r="D211" s="423"/>
      <c r="E211" s="192"/>
      <c r="F211" s="546"/>
      <c r="G211" s="562"/>
      <c r="H211" s="419"/>
      <c r="I211" s="57"/>
      <c r="J211" s="456" t="s">
        <v>675</v>
      </c>
      <c r="K211" s="420"/>
      <c r="L211" s="150"/>
      <c r="M211" s="382"/>
      <c r="O211" s="371"/>
      <c r="P211" s="157"/>
      <c r="Q211" s="404"/>
      <c r="R211" s="148"/>
      <c r="S211" s="242"/>
      <c r="T211" s="242"/>
      <c r="U211" s="242"/>
      <c r="V211" s="242"/>
      <c r="W211" s="242"/>
      <c r="X211" s="242"/>
      <c r="Y211" s="148"/>
      <c r="Z211" s="148"/>
    </row>
    <row r="212">
      <c r="A212" s="57"/>
      <c r="B212" s="57"/>
      <c r="C212" s="561" t="s">
        <v>793</v>
      </c>
      <c r="D212" s="423"/>
      <c r="E212" s="192"/>
      <c r="F212" s="546"/>
      <c r="G212" s="562"/>
      <c r="H212" s="419"/>
      <c r="I212" s="57"/>
      <c r="J212" s="456"/>
      <c r="K212" s="420"/>
      <c r="L212" s="150"/>
      <c r="M212" s="425"/>
      <c r="O212" s="371"/>
      <c r="P212" s="157"/>
      <c r="Q212" s="404"/>
      <c r="R212" s="148"/>
      <c r="S212" s="242"/>
      <c r="T212" s="242"/>
      <c r="U212" s="242"/>
      <c r="V212" s="242"/>
      <c r="W212" s="242"/>
      <c r="X212" s="242"/>
      <c r="Y212" s="148"/>
      <c r="Z212" s="148"/>
    </row>
    <row r="213">
      <c r="A213" s="238" t="s">
        <v>1207</v>
      </c>
      <c r="B213" s="57"/>
      <c r="C213" s="561" t="s">
        <v>794</v>
      </c>
      <c r="D213" s="423">
        <v>30.0</v>
      </c>
      <c r="E213" s="192"/>
      <c r="F213" s="546"/>
      <c r="G213" s="578"/>
      <c r="H213" s="419"/>
      <c r="I213" s="57"/>
      <c r="J213" s="375"/>
      <c r="K213" s="420"/>
      <c r="L213" s="150"/>
      <c r="M213" s="425"/>
      <c r="O213" s="371"/>
      <c r="P213" s="157"/>
      <c r="Q213" s="404"/>
      <c r="R213" s="148"/>
      <c r="S213" s="242"/>
      <c r="T213" s="242"/>
      <c r="U213" s="242"/>
      <c r="V213" s="242"/>
      <c r="W213" s="242"/>
      <c r="X213" s="242"/>
      <c r="Y213" s="148"/>
      <c r="Z213" s="148"/>
    </row>
    <row r="214">
      <c r="A214" s="239"/>
      <c r="B214" s="57"/>
      <c r="C214" s="561" t="s">
        <v>18</v>
      </c>
      <c r="D214" s="157"/>
      <c r="E214" s="192"/>
      <c r="F214" s="546"/>
      <c r="G214" s="578"/>
      <c r="H214" s="419"/>
      <c r="I214" s="57"/>
      <c r="J214" s="375"/>
      <c r="K214" s="420"/>
      <c r="L214" s="193"/>
      <c r="M214" s="382"/>
      <c r="O214" s="371"/>
      <c r="P214" s="157"/>
      <c r="Q214" s="404"/>
      <c r="R214" s="148"/>
      <c r="S214" s="242"/>
      <c r="T214" s="242"/>
      <c r="U214" s="242"/>
      <c r="V214" s="242"/>
      <c r="W214" s="242"/>
      <c r="X214" s="242"/>
      <c r="Y214" s="148"/>
      <c r="Z214" s="148"/>
    </row>
    <row r="215">
      <c r="A215" s="239"/>
      <c r="B215" s="57"/>
      <c r="C215" s="563" t="s">
        <v>1115</v>
      </c>
      <c r="D215" s="423">
        <v>400.0</v>
      </c>
      <c r="E215" s="192"/>
      <c r="F215" s="546"/>
      <c r="G215" s="579"/>
      <c r="H215" s="419"/>
      <c r="I215" s="57"/>
      <c r="J215" s="452"/>
      <c r="K215" s="420"/>
      <c r="L215" s="150"/>
      <c r="M215" s="425"/>
      <c r="O215" s="371"/>
      <c r="P215" s="157"/>
      <c r="Q215" s="404"/>
      <c r="R215" s="148"/>
      <c r="S215" s="242"/>
      <c r="T215" s="242"/>
      <c r="U215" s="242"/>
      <c r="V215" s="242"/>
      <c r="W215" s="242"/>
      <c r="X215" s="242"/>
      <c r="Y215" s="148"/>
      <c r="Z215" s="148"/>
    </row>
    <row r="216">
      <c r="A216" s="238" t="s">
        <v>1208</v>
      </c>
      <c r="B216" s="57"/>
      <c r="C216" s="561" t="s">
        <v>1116</v>
      </c>
      <c r="D216" s="423">
        <v>98.0</v>
      </c>
      <c r="E216" s="192"/>
      <c r="F216" s="546"/>
      <c r="G216" s="578"/>
      <c r="H216" s="419"/>
      <c r="I216" s="57"/>
      <c r="J216" s="105"/>
      <c r="K216" s="420"/>
      <c r="L216" s="150"/>
      <c r="M216" s="425"/>
      <c r="O216" s="371"/>
      <c r="P216" s="157"/>
      <c r="Q216" s="404"/>
      <c r="R216" s="148"/>
      <c r="S216" s="242"/>
      <c r="T216" s="242"/>
      <c r="U216" s="242"/>
      <c r="V216" s="242"/>
      <c r="W216" s="242"/>
      <c r="X216" s="242"/>
      <c r="Y216" s="148"/>
      <c r="Z216" s="148"/>
    </row>
    <row r="217">
      <c r="A217" s="238" t="s">
        <v>1209</v>
      </c>
      <c r="B217" s="239"/>
      <c r="C217" s="561" t="s">
        <v>775</v>
      </c>
      <c r="D217" s="423">
        <v>250.0</v>
      </c>
      <c r="E217" s="192"/>
      <c r="F217" s="546"/>
      <c r="G217" s="578"/>
      <c r="H217" s="419"/>
      <c r="I217" s="57"/>
      <c r="J217" s="378" t="s">
        <v>682</v>
      </c>
      <c r="K217" s="420"/>
      <c r="L217" s="193"/>
      <c r="M217" s="377"/>
      <c r="O217" s="371"/>
      <c r="P217" s="157"/>
      <c r="Q217" s="404"/>
      <c r="R217" s="148"/>
      <c r="S217" s="242"/>
      <c r="T217" s="242"/>
      <c r="U217" s="242"/>
      <c r="V217" s="242"/>
      <c r="W217" s="242"/>
      <c r="X217" s="242"/>
      <c r="Y217" s="148"/>
      <c r="Z217" s="148"/>
    </row>
    <row r="218">
      <c r="A218" s="238" t="s">
        <v>267</v>
      </c>
      <c r="B218" s="239"/>
      <c r="C218" s="561" t="s">
        <v>10</v>
      </c>
      <c r="D218" s="157"/>
      <c r="E218" s="192"/>
      <c r="F218" s="580"/>
      <c r="G218" s="581"/>
      <c r="H218" s="419"/>
      <c r="I218" s="57"/>
      <c r="J218" s="461" t="s">
        <v>684</v>
      </c>
      <c r="K218" s="420"/>
      <c r="L218" s="193"/>
      <c r="M218" s="377"/>
      <c r="O218" s="371"/>
      <c r="P218" s="157"/>
      <c r="Q218" s="404"/>
      <c r="R218" s="148"/>
      <c r="S218" s="242"/>
      <c r="T218" s="242"/>
      <c r="U218" s="242"/>
      <c r="V218" s="242"/>
      <c r="W218" s="242"/>
      <c r="X218" s="242"/>
      <c r="Y218" s="148"/>
      <c r="Z218" s="148"/>
    </row>
    <row r="219">
      <c r="A219" s="239"/>
      <c r="B219" s="239"/>
      <c r="C219" s="561" t="s">
        <v>6</v>
      </c>
      <c r="D219" s="423"/>
      <c r="E219" s="206"/>
      <c r="F219" s="546"/>
      <c r="G219" s="579"/>
      <c r="H219" s="455"/>
      <c r="I219" s="57"/>
      <c r="J219" s="461" t="s">
        <v>686</v>
      </c>
      <c r="K219" s="420"/>
      <c r="L219" s="150"/>
      <c r="M219" s="374"/>
      <c r="O219" s="697"/>
      <c r="P219" s="157"/>
      <c r="Q219" s="404"/>
      <c r="R219" s="148"/>
      <c r="S219" s="242"/>
      <c r="T219" s="242"/>
      <c r="U219" s="242"/>
      <c r="V219" s="242"/>
      <c r="W219" s="242"/>
      <c r="X219" s="242"/>
      <c r="Y219" s="148"/>
      <c r="Z219" s="148"/>
    </row>
    <row r="220">
      <c r="A220" s="57"/>
      <c r="B220" s="57"/>
      <c r="C220" s="561" t="s">
        <v>779</v>
      </c>
      <c r="D220" s="423"/>
      <c r="E220" s="228"/>
      <c r="F220" s="546"/>
      <c r="G220" s="579"/>
      <c r="H220" s="455"/>
      <c r="I220" s="239"/>
      <c r="J220" s="460" t="s">
        <v>202</v>
      </c>
      <c r="K220" s="420"/>
      <c r="L220" s="193"/>
      <c r="M220" s="377"/>
      <c r="O220" s="697"/>
      <c r="P220" s="157"/>
      <c r="Q220" s="404"/>
      <c r="R220" s="148"/>
      <c r="S220" s="242"/>
      <c r="T220" s="242"/>
      <c r="U220" s="242"/>
      <c r="V220" s="242"/>
      <c r="W220" s="242"/>
      <c r="X220" s="242"/>
      <c r="Y220" s="148"/>
      <c r="Z220" s="148"/>
    </row>
    <row r="221">
      <c r="A221" s="239"/>
      <c r="B221" s="239"/>
      <c r="C221" s="561" t="s">
        <v>780</v>
      </c>
      <c r="D221" s="423"/>
      <c r="E221" s="228"/>
      <c r="F221" s="546"/>
      <c r="G221" s="579"/>
      <c r="H221" s="455"/>
      <c r="I221" s="57"/>
      <c r="J221" s="460" t="s">
        <v>274</v>
      </c>
      <c r="K221" s="420"/>
      <c r="L221" s="193"/>
      <c r="M221" s="374"/>
      <c r="O221" s="697"/>
      <c r="P221" s="157"/>
      <c r="Q221" s="404"/>
      <c r="R221" s="148"/>
      <c r="S221" s="242"/>
      <c r="T221" s="242"/>
      <c r="U221" s="242"/>
      <c r="V221" s="242"/>
      <c r="W221" s="242"/>
      <c r="X221" s="242"/>
      <c r="Y221" s="148"/>
      <c r="Z221" s="148"/>
    </row>
    <row r="222">
      <c r="A222" s="239"/>
      <c r="B222" s="239"/>
      <c r="C222" s="561" t="s">
        <v>781</v>
      </c>
      <c r="D222" s="423"/>
      <c r="E222" s="228"/>
      <c r="F222" s="547"/>
      <c r="G222" s="579"/>
      <c r="H222" s="419"/>
      <c r="I222" s="239"/>
      <c r="J222" s="685" t="s">
        <v>1117</v>
      </c>
      <c r="K222" s="420"/>
      <c r="L222" s="150"/>
      <c r="M222" s="374"/>
      <c r="O222" s="371"/>
      <c r="P222" s="157"/>
      <c r="Q222" s="404"/>
      <c r="R222" s="148"/>
      <c r="S222" s="242"/>
      <c r="T222" s="242"/>
      <c r="U222" s="242"/>
      <c r="V222" s="242"/>
      <c r="W222" s="242"/>
      <c r="X222" s="242"/>
      <c r="Y222" s="148"/>
      <c r="Z222" s="148"/>
    </row>
    <row r="223">
      <c r="A223" s="239"/>
      <c r="B223" s="157"/>
      <c r="C223" s="561" t="s">
        <v>1118</v>
      </c>
      <c r="D223" s="157"/>
      <c r="E223" s="569"/>
      <c r="F223" s="547"/>
      <c r="G223" s="578"/>
      <c r="H223" s="419"/>
      <c r="I223" s="57"/>
      <c r="J223" s="685" t="s">
        <v>1119</v>
      </c>
      <c r="K223" s="420"/>
      <c r="L223" s="193"/>
      <c r="M223" s="377"/>
      <c r="O223" s="371"/>
      <c r="P223" s="157"/>
      <c r="Q223" s="404"/>
      <c r="R223" s="148"/>
      <c r="S223" s="242"/>
      <c r="T223" s="242"/>
      <c r="U223" s="242"/>
      <c r="V223" s="242"/>
      <c r="W223" s="242"/>
      <c r="X223" s="242"/>
      <c r="Y223" s="148"/>
      <c r="Z223" s="148"/>
    </row>
    <row r="224">
      <c r="A224" s="239"/>
      <c r="B224" s="157"/>
      <c r="C224" s="561" t="s">
        <v>1120</v>
      </c>
      <c r="D224" s="157"/>
      <c r="E224" s="228"/>
      <c r="F224" s="547"/>
      <c r="G224" s="578"/>
      <c r="H224" s="419"/>
      <c r="I224" s="239"/>
      <c r="J224" s="596" t="s">
        <v>1001</v>
      </c>
      <c r="K224" s="420"/>
      <c r="L224" s="193"/>
      <c r="M224" s="377"/>
      <c r="O224" s="371"/>
      <c r="P224" s="157"/>
      <c r="Q224" s="404"/>
      <c r="R224" s="148"/>
      <c r="S224" s="242"/>
      <c r="T224" s="242"/>
      <c r="U224" s="242"/>
      <c r="V224" s="242"/>
      <c r="W224" s="242"/>
      <c r="X224" s="242"/>
      <c r="Y224" s="148"/>
      <c r="Z224" s="148"/>
    </row>
    <row r="225">
      <c r="A225" s="239"/>
      <c r="B225" s="157"/>
      <c r="C225" s="561"/>
      <c r="D225" s="157"/>
      <c r="E225" s="570"/>
      <c r="F225" s="547"/>
      <c r="G225" s="578"/>
      <c r="H225" s="419"/>
      <c r="I225" s="239"/>
      <c r="J225" s="568"/>
      <c r="K225" s="420"/>
      <c r="L225" s="193"/>
      <c r="M225" s="374"/>
      <c r="O225" s="371"/>
      <c r="P225" s="157"/>
      <c r="Q225" s="404"/>
      <c r="R225" s="148"/>
      <c r="S225" s="242"/>
      <c r="T225" s="242"/>
      <c r="U225" s="242"/>
      <c r="V225" s="242"/>
      <c r="W225" s="242"/>
      <c r="X225" s="242"/>
      <c r="Y225" s="148"/>
      <c r="Z225" s="148"/>
    </row>
    <row r="226">
      <c r="C226" s="571"/>
      <c r="D226" s="157"/>
      <c r="E226" s="570"/>
      <c r="F226" s="547"/>
      <c r="G226" s="578"/>
      <c r="H226" s="419"/>
      <c r="I226" s="239"/>
      <c r="J226" s="464" t="s">
        <v>692</v>
      </c>
      <c r="K226" s="420"/>
      <c r="L226" s="193"/>
      <c r="M226" s="377"/>
      <c r="O226" s="371"/>
      <c r="P226" s="157"/>
      <c r="Q226" s="404"/>
      <c r="R226" s="148"/>
      <c r="S226" s="242"/>
      <c r="T226" s="242"/>
      <c r="U226" s="242"/>
      <c r="V226" s="242"/>
      <c r="W226" s="242"/>
      <c r="X226" s="242"/>
      <c r="Y226" s="148"/>
      <c r="Z226" s="148"/>
    </row>
    <row r="227">
      <c r="C227" s="571"/>
      <c r="D227" s="157"/>
      <c r="E227" s="570"/>
      <c r="F227" s="547"/>
      <c r="G227" s="578"/>
      <c r="H227" s="419"/>
      <c r="I227" s="239"/>
      <c r="J227" s="464" t="s">
        <v>694</v>
      </c>
      <c r="K227" s="420"/>
      <c r="L227" s="193">
        <v>406.0</v>
      </c>
      <c r="M227" s="377" t="s">
        <v>1210</v>
      </c>
      <c r="O227" s="371"/>
      <c r="P227" s="157"/>
      <c r="Q227" s="404"/>
      <c r="R227" s="148"/>
      <c r="S227" s="242"/>
      <c r="T227" s="242"/>
      <c r="U227" s="242"/>
      <c r="V227" s="242"/>
      <c r="W227" s="242"/>
      <c r="X227" s="242"/>
      <c r="Y227" s="148"/>
      <c r="Z227" s="148"/>
    </row>
    <row r="228">
      <c r="C228" s="571"/>
      <c r="D228" s="423"/>
      <c r="E228" s="570"/>
      <c r="F228" s="546"/>
      <c r="G228" s="578"/>
      <c r="H228" s="419"/>
      <c r="I228" s="57"/>
      <c r="J228" s="105"/>
      <c r="K228" s="57"/>
      <c r="L228" s="150"/>
      <c r="M228" s="57"/>
      <c r="N228" s="57"/>
      <c r="O228" s="57"/>
      <c r="P228" s="157"/>
      <c r="Q228" s="404"/>
      <c r="R228" s="148"/>
      <c r="S228" s="242"/>
      <c r="T228" s="242"/>
      <c r="U228" s="242"/>
      <c r="V228" s="242"/>
      <c r="W228" s="242"/>
      <c r="X228" s="242"/>
      <c r="Y228" s="148"/>
      <c r="Z228" s="148"/>
    </row>
    <row r="229">
      <c r="A229" s="125" t="s">
        <v>798</v>
      </c>
      <c r="B229" s="572">
        <f>C202-B206</f>
        <v>1063.17</v>
      </c>
      <c r="D229" s="157"/>
      <c r="E229" s="570"/>
      <c r="F229" s="573"/>
      <c r="G229" s="581"/>
      <c r="H229" s="419"/>
      <c r="I229" s="239"/>
      <c r="J229" s="568"/>
      <c r="K229" s="57"/>
      <c r="L229" s="150"/>
      <c r="M229" s="57"/>
      <c r="N229" s="57"/>
      <c r="O229" s="57"/>
      <c r="P229" s="157"/>
      <c r="Q229" s="404"/>
      <c r="R229" s="148"/>
      <c r="S229" s="242"/>
      <c r="T229" s="242"/>
      <c r="U229" s="242"/>
      <c r="V229" s="242"/>
      <c r="W229" s="242"/>
      <c r="X229" s="242"/>
      <c r="Y229" s="148"/>
      <c r="Z229" s="148"/>
    </row>
    <row r="230">
      <c r="A230" s="274" t="s">
        <v>783</v>
      </c>
      <c r="B230" s="109"/>
      <c r="C230" s="395"/>
      <c r="D230" s="157"/>
      <c r="E230" s="570"/>
      <c r="F230" s="573"/>
      <c r="G230" s="581"/>
      <c r="H230" s="419"/>
      <c r="I230" s="239"/>
      <c r="J230" s="568"/>
      <c r="K230" s="57"/>
      <c r="L230" s="150"/>
      <c r="M230" s="57"/>
      <c r="N230" s="57"/>
      <c r="O230" s="57"/>
      <c r="P230" s="157"/>
      <c r="Q230" s="404"/>
      <c r="R230" s="148"/>
      <c r="S230" s="242"/>
      <c r="T230" s="242"/>
      <c r="U230" s="242"/>
      <c r="V230" s="242"/>
      <c r="W230" s="242"/>
      <c r="X230" s="242"/>
      <c r="Y230" s="148"/>
      <c r="Z230" s="148"/>
    </row>
    <row r="231">
      <c r="A231" s="274" t="s">
        <v>784</v>
      </c>
      <c r="B231" s="109"/>
      <c r="C231" s="109"/>
      <c r="D231" s="157"/>
      <c r="E231" s="570"/>
      <c r="F231" s="573"/>
      <c r="G231" s="581"/>
      <c r="H231" s="419"/>
      <c r="I231" s="239"/>
      <c r="J231" s="568"/>
      <c r="K231" s="57"/>
      <c r="L231" s="150"/>
      <c r="M231" s="57"/>
      <c r="N231" s="57"/>
      <c r="O231" s="57"/>
      <c r="P231" s="157"/>
      <c r="Q231" s="404"/>
      <c r="R231" s="148"/>
      <c r="S231" s="242"/>
      <c r="T231" s="242"/>
      <c r="U231" s="242"/>
      <c r="V231" s="242"/>
      <c r="W231" s="242"/>
      <c r="X231" s="242"/>
      <c r="Y231" s="148"/>
      <c r="Z231" s="148"/>
    </row>
    <row r="232">
      <c r="A232" s="274" t="s">
        <v>785</v>
      </c>
      <c r="B232" s="109"/>
      <c r="C232" s="686">
        <f>SUM(B230:B232)</f>
        <v>0</v>
      </c>
      <c r="D232" s="157"/>
      <c r="E232" s="570"/>
      <c r="F232" s="573"/>
      <c r="G232" s="581"/>
      <c r="H232" s="419"/>
      <c r="I232" s="239"/>
      <c r="J232" s="568"/>
      <c r="K232" s="57"/>
      <c r="L232" s="150"/>
      <c r="M232" s="57"/>
      <c r="N232" s="57"/>
      <c r="O232" s="57"/>
      <c r="P232" s="157"/>
      <c r="Q232" s="404"/>
      <c r="R232" s="148"/>
      <c r="S232" s="242"/>
      <c r="T232" s="242"/>
      <c r="U232" s="242"/>
      <c r="V232" s="242"/>
      <c r="W232" s="242"/>
      <c r="X232" s="242"/>
      <c r="Y232" s="148"/>
      <c r="Z232" s="148"/>
    </row>
    <row r="233">
      <c r="A233" s="402"/>
      <c r="B233" s="403"/>
      <c r="C233" s="403"/>
      <c r="D233" s="403"/>
      <c r="E233" s="574"/>
      <c r="F233" s="575"/>
      <c r="G233" s="576"/>
      <c r="H233" s="159"/>
      <c r="I233" s="159"/>
      <c r="J233" s="576"/>
      <c r="K233" s="159"/>
      <c r="L233" s="162"/>
      <c r="M233" s="402"/>
      <c r="N233" s="402"/>
      <c r="O233" s="159"/>
      <c r="P233" s="403"/>
      <c r="Q233" s="577"/>
      <c r="R233" s="148"/>
      <c r="S233" s="242"/>
      <c r="T233" s="242"/>
      <c r="U233" s="242"/>
      <c r="V233" s="242"/>
      <c r="W233" s="242"/>
      <c r="X233" s="242"/>
      <c r="Y233" s="148"/>
      <c r="Z233" s="148"/>
    </row>
    <row r="234">
      <c r="A234" s="148"/>
      <c r="B234" s="148"/>
      <c r="C234" s="148"/>
      <c r="D234" s="245"/>
      <c r="E234" s="585"/>
      <c r="F234" s="586"/>
      <c r="G234" s="243"/>
      <c r="H234" s="148"/>
      <c r="I234" s="251"/>
      <c r="J234" s="243"/>
      <c r="K234" s="148"/>
      <c r="L234" s="277"/>
      <c r="M234" s="252"/>
      <c r="N234" s="250"/>
      <c r="O234" s="253"/>
      <c r="P234" s="240"/>
      <c r="Q234" s="148"/>
      <c r="R234" s="148"/>
      <c r="S234" s="242"/>
      <c r="T234" s="242"/>
      <c r="U234" s="242"/>
      <c r="V234" s="242"/>
      <c r="W234" s="242"/>
      <c r="X234" s="242"/>
      <c r="Y234" s="148"/>
      <c r="Z234" s="148"/>
    </row>
    <row r="235">
      <c r="A235" s="169" t="s">
        <v>85</v>
      </c>
      <c r="B235" s="539"/>
      <c r="C235" s="540"/>
      <c r="D235" s="405"/>
      <c r="E235" s="541"/>
      <c r="F235" s="542"/>
      <c r="G235" s="467" t="s">
        <v>333</v>
      </c>
      <c r="H235" s="361"/>
      <c r="I235" s="57"/>
      <c r="J235" s="105"/>
      <c r="K235" s="57"/>
      <c r="L235" s="150"/>
      <c r="M235" s="239"/>
      <c r="N235" s="239"/>
      <c r="O235" s="57"/>
      <c r="P235" s="157"/>
      <c r="Q235" s="404"/>
      <c r="R235" s="148"/>
      <c r="S235" s="242"/>
      <c r="T235" s="242"/>
      <c r="U235" s="242"/>
      <c r="V235" s="242"/>
      <c r="W235" s="242"/>
      <c r="X235" s="242"/>
      <c r="Y235" s="148"/>
      <c r="Z235" s="148"/>
    </row>
    <row r="236">
      <c r="A236" s="468"/>
      <c r="B236" s="157"/>
      <c r="C236" s="466"/>
      <c r="D236" s="405"/>
      <c r="E236" s="543" t="s">
        <v>335</v>
      </c>
      <c r="F236" s="544" t="s">
        <v>237</v>
      </c>
      <c r="G236" s="412" t="s">
        <v>336</v>
      </c>
      <c r="H236" s="413" t="s">
        <v>337</v>
      </c>
      <c r="I236" s="239"/>
      <c r="J236" s="145" t="s">
        <v>60</v>
      </c>
      <c r="K236" s="57"/>
      <c r="L236" s="150"/>
      <c r="M236" s="414"/>
      <c r="N236" s="414"/>
      <c r="O236" s="57" t="s">
        <v>334</v>
      </c>
      <c r="P236" s="157"/>
      <c r="Q236" s="404"/>
      <c r="R236" s="148"/>
      <c r="S236" s="242"/>
      <c r="T236" s="242"/>
      <c r="U236" s="242"/>
      <c r="V236" s="242"/>
      <c r="W236" s="242"/>
      <c r="X236" s="242"/>
      <c r="Y236" s="148"/>
      <c r="Z236" s="148"/>
    </row>
    <row r="237">
      <c r="A237" s="470" t="s">
        <v>179</v>
      </c>
      <c r="C237" s="416">
        <f>SUM(F237:F271)</f>
        <v>4420</v>
      </c>
      <c r="D237" s="405"/>
      <c r="E237" s="545"/>
      <c r="F237" s="546"/>
      <c r="G237" s="578"/>
      <c r="H237" s="419"/>
      <c r="I237" s="57"/>
      <c r="K237" s="57"/>
      <c r="L237" s="150"/>
      <c r="M237" s="377" t="s">
        <v>366</v>
      </c>
      <c r="P237" s="157"/>
      <c r="Q237" s="404"/>
      <c r="R237" s="148"/>
      <c r="S237" s="242"/>
      <c r="T237" s="242"/>
      <c r="U237" s="242"/>
      <c r="V237" s="242"/>
      <c r="W237" s="242"/>
      <c r="X237" s="242"/>
      <c r="Y237" s="148"/>
      <c r="Z237" s="148"/>
    </row>
    <row r="238">
      <c r="A238" s="421" t="s">
        <v>343</v>
      </c>
      <c r="B238" s="422" t="s">
        <v>321</v>
      </c>
      <c r="C238" s="416">
        <f>SUM(P238:P271)</f>
        <v>0</v>
      </c>
      <c r="D238" s="157"/>
      <c r="E238" s="545"/>
      <c r="F238" s="546"/>
      <c r="G238" s="578"/>
      <c r="H238" s="419"/>
      <c r="I238" s="239"/>
      <c r="J238" s="471" t="s">
        <v>341</v>
      </c>
      <c r="K238" s="420"/>
      <c r="L238" s="150"/>
      <c r="M238" s="374"/>
      <c r="O238" s="426"/>
      <c r="P238" s="423"/>
      <c r="Q238" s="404"/>
      <c r="R238" s="148"/>
      <c r="S238" s="242"/>
      <c r="T238" s="242"/>
      <c r="U238" s="242"/>
      <c r="V238" s="242"/>
      <c r="W238" s="242"/>
      <c r="X238" s="242"/>
      <c r="Y238" s="148"/>
      <c r="Z238" s="148"/>
    </row>
    <row r="239">
      <c r="A239" s="427" t="s">
        <v>201</v>
      </c>
      <c r="C239" s="204">
        <f>SUM(L238:L271)</f>
        <v>1902.25</v>
      </c>
      <c r="D239" s="157"/>
      <c r="E239" s="545"/>
      <c r="F239" s="546"/>
      <c r="G239" s="578"/>
      <c r="H239" s="419"/>
      <c r="I239" s="239"/>
      <c r="J239" s="472" t="s">
        <v>345</v>
      </c>
      <c r="K239" s="420"/>
      <c r="L239" s="150"/>
      <c r="M239" s="374"/>
      <c r="O239" s="426"/>
      <c r="P239" s="423"/>
      <c r="Q239" s="404"/>
      <c r="R239" s="148"/>
      <c r="S239" s="242"/>
      <c r="T239" s="242"/>
      <c r="U239" s="242"/>
      <c r="V239" s="242"/>
      <c r="W239" s="242"/>
      <c r="X239" s="242"/>
      <c r="Y239" s="148"/>
      <c r="Z239" s="148"/>
    </row>
    <row r="240">
      <c r="A240" s="548" t="s">
        <v>761</v>
      </c>
      <c r="B240" s="549">
        <v>0.4</v>
      </c>
      <c r="C240" s="191"/>
      <c r="D240" s="157"/>
      <c r="E240" s="550" t="s">
        <v>695</v>
      </c>
      <c r="F240" s="546"/>
      <c r="G240" s="562"/>
      <c r="H240" s="419"/>
      <c r="I240" s="239"/>
      <c r="J240" s="433" t="s">
        <v>656</v>
      </c>
      <c r="K240" s="420"/>
      <c r="L240" s="193"/>
      <c r="M240" s="374"/>
      <c r="O240" s="426"/>
      <c r="P240" s="423"/>
      <c r="Q240" s="404"/>
      <c r="R240" s="148"/>
      <c r="S240" s="242"/>
      <c r="T240" s="242"/>
      <c r="U240" s="242"/>
      <c r="V240" s="242"/>
      <c r="W240" s="242"/>
      <c r="X240" s="242"/>
      <c r="Y240" s="148"/>
      <c r="Z240" s="148"/>
    </row>
    <row r="241">
      <c r="A241" s="434" t="s">
        <v>350</v>
      </c>
      <c r="C241" s="551">
        <f>C237-C239-C240</f>
        <v>2517.75</v>
      </c>
      <c r="D241" s="157"/>
      <c r="E241" s="192" t="s">
        <v>1211</v>
      </c>
      <c r="F241" s="546">
        <v>390.0</v>
      </c>
      <c r="G241" s="579"/>
      <c r="H241" s="419"/>
      <c r="I241" s="57"/>
      <c r="J241" s="444" t="s">
        <v>658</v>
      </c>
      <c r="K241" s="420"/>
      <c r="L241" s="193"/>
      <c r="M241" s="377"/>
      <c r="O241" s="431"/>
      <c r="P241" s="423"/>
      <c r="Q241" s="404"/>
      <c r="R241" s="148"/>
      <c r="S241" s="242"/>
      <c r="T241" s="242"/>
      <c r="U241" s="242"/>
      <c r="V241" s="242"/>
      <c r="W241" s="242"/>
      <c r="X241" s="242"/>
      <c r="Y241" s="148"/>
      <c r="Z241" s="148"/>
    </row>
    <row r="242">
      <c r="A242" s="554"/>
      <c r="B242" s="555"/>
      <c r="C242" s="447"/>
      <c r="D242" s="157"/>
      <c r="E242" s="192" t="s">
        <v>1196</v>
      </c>
      <c r="F242" s="546">
        <v>260.0</v>
      </c>
      <c r="G242" s="562"/>
      <c r="H242" s="419"/>
      <c r="I242" s="57"/>
      <c r="J242" s="444" t="s">
        <v>660</v>
      </c>
      <c r="K242" s="420"/>
      <c r="L242" s="193"/>
      <c r="M242" s="377"/>
      <c r="O242" s="431"/>
      <c r="P242" s="423"/>
      <c r="Q242" s="404"/>
      <c r="R242" s="148"/>
      <c r="S242" s="242"/>
      <c r="T242" s="242"/>
      <c r="U242" s="242"/>
      <c r="V242" s="242"/>
      <c r="W242" s="242"/>
      <c r="X242" s="242"/>
      <c r="Y242" s="148"/>
      <c r="Z242" s="148"/>
    </row>
    <row r="243">
      <c r="A243" s="556"/>
      <c r="C243" s="395"/>
      <c r="D243" s="157"/>
      <c r="E243" s="192" t="s">
        <v>1127</v>
      </c>
      <c r="F243" s="546">
        <v>275.0</v>
      </c>
      <c r="G243" s="562"/>
      <c r="H243" s="419"/>
      <c r="I243" s="239"/>
      <c r="J243" s="370" t="s">
        <v>662</v>
      </c>
      <c r="K243" s="420"/>
      <c r="L243" s="193"/>
      <c r="M243" s="374"/>
      <c r="O243" s="431"/>
      <c r="P243" s="423"/>
      <c r="Q243" s="404"/>
      <c r="R243" s="148"/>
      <c r="S243" s="242"/>
      <c r="T243" s="242"/>
      <c r="U243" s="242"/>
      <c r="V243" s="242"/>
      <c r="W243" s="242"/>
      <c r="X243" s="242"/>
      <c r="Y243" s="148"/>
      <c r="Z243" s="148"/>
    </row>
    <row r="244">
      <c r="A244" s="557"/>
      <c r="B244" s="109"/>
      <c r="C244" s="395"/>
      <c r="D244" s="373"/>
      <c r="E244" s="192" t="s">
        <v>1146</v>
      </c>
      <c r="F244" s="546">
        <v>1800.0</v>
      </c>
      <c r="G244" s="578"/>
      <c r="H244" s="419"/>
      <c r="I244" s="239"/>
      <c r="J244" s="433" t="s">
        <v>666</v>
      </c>
      <c r="K244" s="420"/>
      <c r="L244" s="698">
        <v>69.25</v>
      </c>
      <c r="M244" s="699" t="s">
        <v>1212</v>
      </c>
      <c r="O244" s="431"/>
      <c r="P244" s="423"/>
      <c r="Q244" s="404"/>
      <c r="R244" s="148"/>
      <c r="S244" s="242"/>
      <c r="T244" s="242"/>
      <c r="U244" s="242"/>
      <c r="V244" s="242"/>
      <c r="W244" s="242"/>
      <c r="X244" s="242"/>
      <c r="Y244" s="148"/>
      <c r="Z244" s="148"/>
    </row>
    <row r="245">
      <c r="A245" s="559" t="s">
        <v>765</v>
      </c>
      <c r="B245" s="560">
        <f>SUM(D245:D271)</f>
        <v>420</v>
      </c>
      <c r="C245" s="477" t="s">
        <v>366</v>
      </c>
      <c r="D245" s="157"/>
      <c r="E245" s="192" t="s">
        <v>1073</v>
      </c>
      <c r="F245" s="546">
        <v>260.0</v>
      </c>
      <c r="G245" s="562" t="s">
        <v>426</v>
      </c>
      <c r="H245" s="419"/>
      <c r="I245" s="239"/>
      <c r="J245" s="433" t="s">
        <v>668</v>
      </c>
      <c r="K245" s="420"/>
      <c r="L245" s="193">
        <v>130.0</v>
      </c>
      <c r="M245" s="377" t="s">
        <v>1213</v>
      </c>
      <c r="O245" s="431"/>
      <c r="P245" s="423"/>
      <c r="Q245" s="404"/>
      <c r="R245" s="148"/>
      <c r="S245" s="242"/>
      <c r="T245" s="242"/>
      <c r="U245" s="242"/>
      <c r="V245" s="242"/>
      <c r="W245" s="242"/>
      <c r="X245" s="242"/>
      <c r="Y245" s="148"/>
      <c r="Z245" s="148"/>
    </row>
    <row r="246">
      <c r="A246" s="453" t="s">
        <v>369</v>
      </c>
      <c r="C246" s="561" t="s">
        <v>766</v>
      </c>
      <c r="D246" s="423"/>
      <c r="E246" s="192" t="s">
        <v>1214</v>
      </c>
      <c r="F246" s="546">
        <v>890.0</v>
      </c>
      <c r="G246" s="562" t="s">
        <v>426</v>
      </c>
      <c r="H246" s="419"/>
      <c r="I246" s="239"/>
      <c r="J246" s="433" t="s">
        <v>670</v>
      </c>
      <c r="K246" s="458"/>
      <c r="L246" s="193">
        <v>1400.0</v>
      </c>
      <c r="M246" s="700" t="s">
        <v>1215</v>
      </c>
      <c r="O246" s="431"/>
      <c r="P246" s="423"/>
      <c r="Q246" s="404"/>
      <c r="R246" s="148"/>
      <c r="S246" s="242"/>
      <c r="T246" s="242"/>
      <c r="U246" s="242"/>
      <c r="V246" s="242"/>
      <c r="W246" s="242"/>
      <c r="X246" s="242"/>
      <c r="Y246" s="148"/>
      <c r="Z246" s="148"/>
    </row>
    <row r="247">
      <c r="C247" s="561" t="s">
        <v>767</v>
      </c>
      <c r="D247" s="423"/>
      <c r="E247" s="192" t="s">
        <v>424</v>
      </c>
      <c r="F247" s="546">
        <v>195.0</v>
      </c>
      <c r="G247" s="578"/>
      <c r="H247" s="419"/>
      <c r="I247" s="239"/>
      <c r="J247" s="433" t="s">
        <v>217</v>
      </c>
      <c r="K247" s="458"/>
      <c r="L247" s="150"/>
      <c r="M247" s="377"/>
      <c r="O247" s="431"/>
      <c r="P247" s="157"/>
      <c r="Q247" s="404"/>
      <c r="R247" s="148"/>
      <c r="S247" s="242"/>
      <c r="T247" s="242"/>
      <c r="U247" s="242"/>
      <c r="V247" s="242"/>
      <c r="W247" s="242"/>
      <c r="X247" s="242"/>
      <c r="Y247" s="148"/>
      <c r="Z247" s="148"/>
    </row>
    <row r="248">
      <c r="A248" s="57"/>
      <c r="B248" s="57"/>
      <c r="C248" s="561" t="s">
        <v>768</v>
      </c>
      <c r="D248" s="423"/>
      <c r="E248" s="192" t="s">
        <v>862</v>
      </c>
      <c r="F248" s="546">
        <v>350.0</v>
      </c>
      <c r="G248" s="562"/>
      <c r="H248" s="419"/>
      <c r="I248" s="239"/>
      <c r="J248" s="109"/>
      <c r="K248" s="420"/>
      <c r="L248" s="193"/>
      <c r="M248" s="374"/>
      <c r="O248" s="431"/>
      <c r="P248" s="157"/>
      <c r="Q248" s="404"/>
      <c r="R248" s="148"/>
      <c r="S248" s="242"/>
      <c r="T248" s="242"/>
      <c r="U248" s="242"/>
      <c r="V248" s="242"/>
      <c r="W248" s="242"/>
      <c r="X248" s="242"/>
      <c r="Y248" s="148"/>
      <c r="Z248" s="148"/>
    </row>
    <row r="249">
      <c r="A249" s="57"/>
      <c r="B249" s="57"/>
      <c r="C249" s="561" t="s">
        <v>769</v>
      </c>
      <c r="D249" s="157"/>
      <c r="E249" s="192"/>
      <c r="F249" s="546"/>
      <c r="G249" s="562"/>
      <c r="H249" s="419"/>
      <c r="I249" s="239"/>
      <c r="J249" s="456" t="s">
        <v>672</v>
      </c>
      <c r="K249" s="420"/>
      <c r="L249" s="567"/>
      <c r="M249" s="658"/>
      <c r="O249" s="431"/>
      <c r="P249" s="157"/>
      <c r="Q249" s="404"/>
      <c r="R249" s="148"/>
      <c r="S249" s="242"/>
      <c r="T249" s="242"/>
      <c r="U249" s="242"/>
      <c r="V249" s="242"/>
      <c r="W249" s="242"/>
      <c r="X249" s="242"/>
      <c r="Y249" s="148"/>
      <c r="Z249" s="148"/>
    </row>
    <row r="250">
      <c r="A250" s="57"/>
      <c r="B250" s="57"/>
      <c r="C250" s="561" t="s">
        <v>770</v>
      </c>
      <c r="D250" s="423"/>
      <c r="E250" s="192"/>
      <c r="F250" s="546"/>
      <c r="G250" s="578"/>
      <c r="H250" s="419"/>
      <c r="I250" s="57"/>
      <c r="J250" s="456" t="s">
        <v>675</v>
      </c>
      <c r="K250" s="420"/>
      <c r="L250" s="701"/>
      <c r="M250" s="702"/>
      <c r="O250" s="431"/>
      <c r="P250" s="157"/>
      <c r="Q250" s="404"/>
      <c r="R250" s="148"/>
      <c r="S250" s="242"/>
      <c r="T250" s="242"/>
      <c r="U250" s="242"/>
      <c r="V250" s="242"/>
      <c r="W250" s="242"/>
      <c r="X250" s="242"/>
      <c r="Y250" s="148"/>
      <c r="Z250" s="148"/>
    </row>
    <row r="251">
      <c r="A251" s="57"/>
      <c r="B251" s="57"/>
      <c r="C251" s="561" t="s">
        <v>793</v>
      </c>
      <c r="D251" s="423"/>
      <c r="E251" s="192"/>
      <c r="F251" s="546"/>
      <c r="G251" s="562"/>
      <c r="H251" s="419"/>
      <c r="I251" s="57"/>
      <c r="J251" s="456"/>
      <c r="K251" s="420"/>
      <c r="L251" s="567"/>
      <c r="M251" s="703"/>
      <c r="O251" s="431"/>
      <c r="P251" s="157"/>
      <c r="Q251" s="404"/>
      <c r="R251" s="148"/>
      <c r="S251" s="242"/>
      <c r="T251" s="242"/>
      <c r="U251" s="242"/>
      <c r="V251" s="242"/>
      <c r="W251" s="242"/>
      <c r="X251" s="242"/>
      <c r="Y251" s="148"/>
      <c r="Z251" s="148"/>
    </row>
    <row r="252">
      <c r="A252" s="239"/>
      <c r="B252" s="57"/>
      <c r="C252" s="561" t="s">
        <v>794</v>
      </c>
      <c r="D252" s="423"/>
      <c r="E252" s="192"/>
      <c r="F252" s="546"/>
      <c r="G252" s="562"/>
      <c r="H252" s="419"/>
      <c r="I252" s="57"/>
      <c r="J252" s="375"/>
      <c r="K252" s="420"/>
      <c r="L252" s="150"/>
      <c r="M252" s="425"/>
      <c r="O252" s="431"/>
      <c r="P252" s="157"/>
      <c r="Q252" s="404"/>
      <c r="R252" s="148"/>
      <c r="S252" s="242"/>
      <c r="T252" s="242"/>
      <c r="U252" s="242"/>
      <c r="V252" s="242"/>
      <c r="W252" s="242"/>
      <c r="X252" s="242"/>
      <c r="Y252" s="148"/>
      <c r="Z252" s="148"/>
    </row>
    <row r="253">
      <c r="A253" s="238"/>
      <c r="B253" s="57"/>
      <c r="C253" s="561" t="s">
        <v>18</v>
      </c>
      <c r="D253" s="157"/>
      <c r="E253" s="192"/>
      <c r="F253" s="546"/>
      <c r="G253" s="562"/>
      <c r="H253" s="419"/>
      <c r="I253" s="57"/>
      <c r="J253" s="375"/>
      <c r="K253" s="420"/>
      <c r="L253" s="193"/>
      <c r="M253" s="382"/>
      <c r="O253" s="431"/>
      <c r="P253" s="157"/>
      <c r="Q253" s="404"/>
      <c r="R253" s="148"/>
      <c r="S253" s="242"/>
      <c r="T253" s="242"/>
      <c r="U253" s="242"/>
      <c r="V253" s="242"/>
      <c r="W253" s="242"/>
      <c r="X253" s="242"/>
      <c r="Y253" s="148"/>
      <c r="Z253" s="148"/>
    </row>
    <row r="254">
      <c r="A254" s="238"/>
      <c r="B254" s="57"/>
      <c r="C254" s="563" t="s">
        <v>1115</v>
      </c>
      <c r="D254" s="423">
        <v>400.0</v>
      </c>
      <c r="E254" s="192"/>
      <c r="F254" s="546"/>
      <c r="G254" s="579"/>
      <c r="H254" s="419"/>
      <c r="I254" s="57"/>
      <c r="J254" s="452"/>
      <c r="K254" s="420"/>
      <c r="L254" s="150"/>
      <c r="M254" s="425"/>
      <c r="O254" s="431"/>
      <c r="P254" s="157"/>
      <c r="Q254" s="404"/>
      <c r="R254" s="148"/>
      <c r="S254" s="242"/>
      <c r="T254" s="242"/>
      <c r="U254" s="242"/>
      <c r="V254" s="242"/>
      <c r="W254" s="242"/>
      <c r="X254" s="242"/>
      <c r="Y254" s="148"/>
      <c r="Z254" s="148"/>
    </row>
    <row r="255">
      <c r="A255" s="238" t="s">
        <v>1216</v>
      </c>
      <c r="B255" s="57"/>
      <c r="C255" s="561" t="s">
        <v>1116</v>
      </c>
      <c r="D255" s="423">
        <v>20.0</v>
      </c>
      <c r="E255" s="192"/>
      <c r="F255" s="546"/>
      <c r="G255" s="578"/>
      <c r="H255" s="419"/>
      <c r="I255" s="57"/>
      <c r="J255" s="105"/>
      <c r="K255" s="420"/>
      <c r="L255" s="150"/>
      <c r="M255" s="425"/>
      <c r="O255" s="431"/>
      <c r="P255" s="157"/>
      <c r="Q255" s="404"/>
      <c r="R255" s="148"/>
      <c r="S255" s="242"/>
      <c r="T255" s="242"/>
      <c r="U255" s="242"/>
      <c r="V255" s="242"/>
      <c r="W255" s="242"/>
      <c r="X255" s="242"/>
      <c r="Y255" s="148"/>
      <c r="Z255" s="148"/>
    </row>
    <row r="256">
      <c r="A256" s="239"/>
      <c r="B256" s="239"/>
      <c r="C256" s="561" t="s">
        <v>775</v>
      </c>
      <c r="D256" s="423"/>
      <c r="E256" s="228"/>
      <c r="F256" s="547"/>
      <c r="G256" s="578"/>
      <c r="H256" s="419"/>
      <c r="I256" s="57"/>
      <c r="J256" s="378" t="s">
        <v>682</v>
      </c>
      <c r="K256" s="420"/>
      <c r="L256" s="193">
        <v>142.0</v>
      </c>
      <c r="M256" s="377"/>
      <c r="O256" s="431"/>
      <c r="P256" s="157"/>
      <c r="Q256" s="404"/>
      <c r="R256" s="148"/>
      <c r="S256" s="242"/>
      <c r="T256" s="242"/>
      <c r="U256" s="242"/>
      <c r="V256" s="242"/>
      <c r="W256" s="242"/>
      <c r="X256" s="242"/>
      <c r="Y256" s="148"/>
      <c r="Z256" s="148"/>
    </row>
    <row r="257">
      <c r="A257" s="239"/>
      <c r="B257" s="239"/>
      <c r="C257" s="561" t="s">
        <v>10</v>
      </c>
      <c r="D257" s="157"/>
      <c r="E257" s="206"/>
      <c r="F257" s="564"/>
      <c r="G257" s="581"/>
      <c r="H257" s="419"/>
      <c r="I257" s="57"/>
      <c r="J257" s="461" t="s">
        <v>684</v>
      </c>
      <c r="K257" s="420"/>
      <c r="L257" s="193"/>
      <c r="M257" s="377"/>
      <c r="O257" s="431"/>
      <c r="P257" s="157"/>
      <c r="Q257" s="404"/>
      <c r="R257" s="148"/>
      <c r="S257" s="242"/>
      <c r="T257" s="242"/>
      <c r="U257" s="242"/>
      <c r="V257" s="242"/>
      <c r="W257" s="242"/>
      <c r="X257" s="242"/>
      <c r="Y257" s="148"/>
      <c r="Z257" s="148"/>
    </row>
    <row r="258">
      <c r="A258" s="239"/>
      <c r="B258" s="239"/>
      <c r="C258" s="561" t="s">
        <v>6</v>
      </c>
      <c r="D258" s="423"/>
      <c r="E258" s="206"/>
      <c r="F258" s="547"/>
      <c r="G258" s="579"/>
      <c r="H258" s="455"/>
      <c r="I258" s="57"/>
      <c r="J258" s="461" t="s">
        <v>686</v>
      </c>
      <c r="K258" s="420"/>
      <c r="L258" s="150"/>
      <c r="M258" s="374"/>
      <c r="O258" s="463"/>
      <c r="P258" s="157"/>
      <c r="Q258" s="404"/>
      <c r="R258" s="148"/>
      <c r="S258" s="242"/>
      <c r="T258" s="242"/>
      <c r="U258" s="242"/>
      <c r="V258" s="242"/>
      <c r="W258" s="242"/>
      <c r="X258" s="242"/>
      <c r="Y258" s="148"/>
      <c r="Z258" s="148"/>
    </row>
    <row r="259">
      <c r="A259" s="57"/>
      <c r="B259" s="57"/>
      <c r="C259" s="561" t="s">
        <v>779</v>
      </c>
      <c r="D259" s="157"/>
      <c r="E259" s="228"/>
      <c r="F259" s="547"/>
      <c r="G259" s="579"/>
      <c r="H259" s="455"/>
      <c r="I259" s="239"/>
      <c r="J259" s="460" t="s">
        <v>202</v>
      </c>
      <c r="K259" s="420"/>
      <c r="L259" s="193"/>
      <c r="M259" s="377"/>
      <c r="O259" s="463"/>
      <c r="P259" s="157"/>
      <c r="Q259" s="404"/>
      <c r="R259" s="148"/>
      <c r="S259" s="242"/>
      <c r="T259" s="242"/>
      <c r="U259" s="242"/>
      <c r="V259" s="242"/>
      <c r="W259" s="242"/>
      <c r="X259" s="242"/>
      <c r="Y259" s="148"/>
      <c r="Z259" s="148"/>
    </row>
    <row r="260">
      <c r="A260" s="239"/>
      <c r="B260" s="239"/>
      <c r="C260" s="561" t="s">
        <v>780</v>
      </c>
      <c r="D260" s="157"/>
      <c r="E260" s="228"/>
      <c r="F260" s="547"/>
      <c r="G260" s="579"/>
      <c r="H260" s="455"/>
      <c r="I260" s="57"/>
      <c r="J260" s="460" t="s">
        <v>274</v>
      </c>
      <c r="K260" s="420"/>
      <c r="L260" s="193"/>
      <c r="M260" s="377"/>
      <c r="O260" s="463"/>
      <c r="P260" s="157"/>
      <c r="Q260" s="404"/>
      <c r="R260" s="148"/>
      <c r="S260" s="242"/>
      <c r="T260" s="242"/>
      <c r="U260" s="242"/>
      <c r="V260" s="242"/>
      <c r="W260" s="242"/>
      <c r="X260" s="242"/>
      <c r="Y260" s="148"/>
      <c r="Z260" s="148"/>
    </row>
    <row r="261">
      <c r="A261" s="239"/>
      <c r="B261" s="239"/>
      <c r="C261" s="561" t="s">
        <v>781</v>
      </c>
      <c r="D261" s="423"/>
      <c r="E261" s="228"/>
      <c r="F261" s="547"/>
      <c r="G261" s="579"/>
      <c r="H261" s="419"/>
      <c r="I261" s="239"/>
      <c r="J261" s="685" t="s">
        <v>1117</v>
      </c>
      <c r="K261" s="420"/>
      <c r="L261" s="150"/>
      <c r="M261" s="374"/>
      <c r="O261" s="431"/>
      <c r="P261" s="157"/>
      <c r="Q261" s="404"/>
      <c r="R261" s="148"/>
      <c r="S261" s="242"/>
      <c r="T261" s="242"/>
      <c r="U261" s="242"/>
      <c r="V261" s="242"/>
      <c r="W261" s="242"/>
      <c r="X261" s="242"/>
      <c r="Y261" s="148"/>
      <c r="Z261" s="148"/>
    </row>
    <row r="262">
      <c r="A262" s="239"/>
      <c r="B262" s="157"/>
      <c r="C262" s="561" t="s">
        <v>1118</v>
      </c>
      <c r="D262" s="157"/>
      <c r="E262" s="569"/>
      <c r="F262" s="547"/>
      <c r="G262" s="578"/>
      <c r="H262" s="419"/>
      <c r="I262" s="57"/>
      <c r="J262" s="685" t="s">
        <v>1119</v>
      </c>
      <c r="K262" s="420"/>
      <c r="L262" s="193"/>
      <c r="M262" s="377"/>
      <c r="O262" s="431"/>
      <c r="P262" s="157"/>
      <c r="Q262" s="404"/>
      <c r="R262" s="148"/>
      <c r="S262" s="242"/>
      <c r="T262" s="242"/>
      <c r="U262" s="242"/>
      <c r="V262" s="242"/>
      <c r="W262" s="242"/>
      <c r="X262" s="242"/>
      <c r="Y262" s="148"/>
      <c r="Z262" s="148"/>
    </row>
    <row r="263">
      <c r="A263" s="239"/>
      <c r="B263" s="157"/>
      <c r="C263" s="561" t="s">
        <v>1120</v>
      </c>
      <c r="D263" s="157"/>
      <c r="E263" s="228"/>
      <c r="F263" s="547"/>
      <c r="G263" s="578"/>
      <c r="H263" s="419"/>
      <c r="I263" s="239"/>
      <c r="J263" s="596" t="s">
        <v>1001</v>
      </c>
      <c r="K263" s="420"/>
      <c r="L263" s="193"/>
      <c r="M263" s="377"/>
      <c r="O263" s="431"/>
      <c r="P263" s="157"/>
      <c r="Q263" s="404"/>
      <c r="R263" s="148"/>
      <c r="S263" s="242"/>
      <c r="T263" s="242"/>
      <c r="U263" s="242"/>
      <c r="V263" s="242"/>
      <c r="W263" s="242"/>
      <c r="X263" s="242"/>
      <c r="Y263" s="148"/>
      <c r="Z263" s="148"/>
    </row>
    <row r="264">
      <c r="A264" s="239"/>
      <c r="B264" s="157"/>
      <c r="C264" s="561"/>
      <c r="D264" s="157"/>
      <c r="E264" s="570"/>
      <c r="F264" s="547"/>
      <c r="G264" s="578"/>
      <c r="H264" s="419"/>
      <c r="I264" s="239"/>
      <c r="J264" s="568"/>
      <c r="K264" s="420"/>
      <c r="L264" s="193"/>
      <c r="M264" s="374"/>
      <c r="O264" s="431"/>
      <c r="P264" s="157"/>
      <c r="Q264" s="404"/>
      <c r="R264" s="148"/>
      <c r="S264" s="242"/>
      <c r="T264" s="242"/>
      <c r="U264" s="242"/>
      <c r="V264" s="242"/>
      <c r="W264" s="242"/>
      <c r="X264" s="242"/>
      <c r="Y264" s="148"/>
      <c r="Z264" s="148"/>
    </row>
    <row r="265">
      <c r="C265" s="571"/>
      <c r="D265" s="157"/>
      <c r="E265" s="570"/>
      <c r="F265" s="547"/>
      <c r="G265" s="578"/>
      <c r="H265" s="419"/>
      <c r="I265" s="239"/>
      <c r="J265" s="464" t="s">
        <v>692</v>
      </c>
      <c r="K265" s="420"/>
      <c r="L265" s="150"/>
      <c r="M265" s="377"/>
      <c r="O265" s="431"/>
      <c r="P265" s="157"/>
      <c r="Q265" s="404"/>
      <c r="R265" s="148"/>
      <c r="S265" s="242"/>
      <c r="T265" s="242"/>
      <c r="U265" s="242"/>
      <c r="V265" s="242"/>
      <c r="W265" s="242"/>
      <c r="X265" s="242"/>
      <c r="Y265" s="148"/>
      <c r="Z265" s="148"/>
    </row>
    <row r="266">
      <c r="C266" s="571"/>
      <c r="D266" s="157"/>
      <c r="E266" s="570"/>
      <c r="F266" s="547"/>
      <c r="G266" s="578"/>
      <c r="H266" s="419"/>
      <c r="I266" s="239"/>
      <c r="J266" s="464" t="s">
        <v>694</v>
      </c>
      <c r="K266" s="420"/>
      <c r="L266" s="193">
        <v>161.0</v>
      </c>
      <c r="M266" s="374"/>
      <c r="O266" s="431"/>
      <c r="P266" s="157"/>
      <c r="Q266" s="404"/>
      <c r="R266" s="148"/>
      <c r="S266" s="242"/>
      <c r="T266" s="242"/>
      <c r="U266" s="242"/>
      <c r="V266" s="242"/>
      <c r="W266" s="242"/>
      <c r="X266" s="242"/>
      <c r="Y266" s="148"/>
      <c r="Z266" s="148"/>
    </row>
    <row r="267">
      <c r="C267" s="571"/>
      <c r="D267" s="423"/>
      <c r="E267" s="570"/>
      <c r="F267" s="546"/>
      <c r="G267" s="578"/>
      <c r="H267" s="419"/>
      <c r="I267" s="57"/>
      <c r="J267" s="105"/>
      <c r="K267" s="57"/>
      <c r="L267" s="150"/>
      <c r="M267" s="57"/>
      <c r="N267" s="57"/>
      <c r="O267" s="57"/>
      <c r="P267" s="157"/>
      <c r="Q267" s="404"/>
      <c r="R267" s="148"/>
      <c r="S267" s="242"/>
      <c r="T267" s="242"/>
      <c r="U267" s="242"/>
      <c r="V267" s="242"/>
      <c r="W267" s="242"/>
      <c r="X267" s="242"/>
      <c r="Y267" s="148"/>
      <c r="Z267" s="148"/>
    </row>
    <row r="268">
      <c r="A268" s="125" t="s">
        <v>798</v>
      </c>
      <c r="B268" s="572">
        <f>C241-B245</f>
        <v>2097.75</v>
      </c>
      <c r="D268" s="157"/>
      <c r="E268" s="570"/>
      <c r="F268" s="573"/>
      <c r="G268" s="581"/>
      <c r="H268" s="419"/>
      <c r="I268" s="239"/>
      <c r="J268" s="568"/>
      <c r="K268" s="57"/>
      <c r="L268" s="150"/>
      <c r="M268" s="57"/>
      <c r="N268" s="57"/>
      <c r="O268" s="57"/>
      <c r="P268" s="157"/>
      <c r="Q268" s="404"/>
      <c r="R268" s="148"/>
      <c r="S268" s="242"/>
      <c r="T268" s="242"/>
      <c r="U268" s="242"/>
      <c r="V268" s="242"/>
      <c r="W268" s="242"/>
      <c r="X268" s="242"/>
      <c r="Y268" s="148"/>
      <c r="Z268" s="148"/>
    </row>
    <row r="269">
      <c r="A269" s="274" t="s">
        <v>783</v>
      </c>
      <c r="B269" s="109"/>
      <c r="C269" s="395"/>
      <c r="D269" s="157"/>
      <c r="E269" s="570"/>
      <c r="F269" s="573"/>
      <c r="G269" s="581"/>
      <c r="H269" s="419"/>
      <c r="I269" s="239"/>
      <c r="J269" s="568"/>
      <c r="K269" s="57"/>
      <c r="L269" s="150"/>
      <c r="M269" s="57"/>
      <c r="N269" s="57"/>
      <c r="O269" s="57"/>
      <c r="P269" s="157"/>
      <c r="Q269" s="404"/>
      <c r="R269" s="148"/>
      <c r="S269" s="242"/>
      <c r="T269" s="242"/>
      <c r="U269" s="242"/>
      <c r="V269" s="242"/>
      <c r="W269" s="242"/>
      <c r="X269" s="242"/>
      <c r="Y269" s="148"/>
      <c r="Z269" s="148"/>
    </row>
    <row r="270">
      <c r="A270" s="274" t="s">
        <v>784</v>
      </c>
      <c r="B270" s="109"/>
      <c r="C270" s="395"/>
      <c r="D270" s="157"/>
      <c r="E270" s="570"/>
      <c r="F270" s="573"/>
      <c r="G270" s="581"/>
      <c r="H270" s="419"/>
      <c r="I270" s="239"/>
      <c r="J270" s="568"/>
      <c r="K270" s="57"/>
      <c r="L270" s="150"/>
      <c r="M270" s="57"/>
      <c r="N270" s="57"/>
      <c r="O270" s="57"/>
      <c r="P270" s="157"/>
      <c r="Q270" s="404"/>
      <c r="R270" s="148"/>
      <c r="S270" s="242"/>
      <c r="T270" s="242"/>
      <c r="U270" s="242"/>
      <c r="V270" s="242"/>
      <c r="W270" s="242"/>
      <c r="X270" s="242"/>
      <c r="Y270" s="148"/>
      <c r="Z270" s="148"/>
    </row>
    <row r="271">
      <c r="A271" s="274" t="s">
        <v>785</v>
      </c>
      <c r="B271" s="109"/>
      <c r="C271" s="686">
        <f>SUM(B269:B271)</f>
        <v>0</v>
      </c>
      <c r="D271" s="157"/>
      <c r="E271" s="570"/>
      <c r="F271" s="573"/>
      <c r="G271" s="581"/>
      <c r="H271" s="419"/>
      <c r="I271" s="239"/>
      <c r="J271" s="568"/>
      <c r="K271" s="57"/>
      <c r="L271" s="150"/>
      <c r="M271" s="57"/>
      <c r="N271" s="57"/>
      <c r="O271" s="57"/>
      <c r="P271" s="157"/>
      <c r="Q271" s="404"/>
      <c r="R271" s="148"/>
      <c r="S271" s="242"/>
      <c r="T271" s="242"/>
      <c r="U271" s="242"/>
      <c r="V271" s="242"/>
      <c r="W271" s="242"/>
      <c r="X271" s="242"/>
      <c r="Y271" s="148"/>
      <c r="Z271" s="148"/>
    </row>
    <row r="272">
      <c r="A272" s="402"/>
      <c r="B272" s="403"/>
      <c r="C272" s="403"/>
      <c r="D272" s="403"/>
      <c r="E272" s="574"/>
      <c r="F272" s="575"/>
      <c r="G272" s="576"/>
      <c r="H272" s="159"/>
      <c r="I272" s="159"/>
      <c r="J272" s="576"/>
      <c r="K272" s="159"/>
      <c r="L272" s="162"/>
      <c r="M272" s="402"/>
      <c r="N272" s="402"/>
      <c r="O272" s="159"/>
      <c r="P272" s="403"/>
      <c r="Q272" s="577"/>
      <c r="R272" s="148"/>
      <c r="S272" s="242"/>
      <c r="T272" s="242"/>
      <c r="U272" s="242"/>
      <c r="V272" s="242"/>
      <c r="W272" s="242"/>
      <c r="X272" s="242"/>
      <c r="Y272" s="148"/>
      <c r="Z272" s="148"/>
    </row>
    <row r="273">
      <c r="A273" s="148"/>
      <c r="B273" s="148"/>
      <c r="C273" s="148"/>
      <c r="D273" s="245"/>
      <c r="E273" s="585"/>
      <c r="F273" s="586"/>
      <c r="G273" s="243"/>
      <c r="H273" s="148"/>
      <c r="I273" s="251"/>
      <c r="J273" s="243"/>
      <c r="K273" s="148"/>
      <c r="L273" s="277"/>
      <c r="M273" s="252"/>
      <c r="N273" s="250"/>
      <c r="O273" s="253"/>
      <c r="P273" s="240"/>
      <c r="Q273" s="148"/>
      <c r="R273" s="148"/>
      <c r="S273" s="242"/>
      <c r="T273" s="242"/>
      <c r="U273" s="242"/>
      <c r="V273" s="242"/>
      <c r="W273" s="242"/>
      <c r="X273" s="242"/>
      <c r="Y273" s="148"/>
      <c r="Z273" s="148"/>
    </row>
    <row r="274">
      <c r="A274" s="169" t="s">
        <v>857</v>
      </c>
      <c r="B274" s="539"/>
      <c r="C274" s="540"/>
      <c r="D274" s="405"/>
      <c r="E274" s="541"/>
      <c r="F274" s="542"/>
      <c r="G274" s="467" t="s">
        <v>333</v>
      </c>
      <c r="H274" s="361"/>
      <c r="I274" s="57"/>
      <c r="J274" s="105"/>
      <c r="K274" s="57"/>
      <c r="L274" s="150"/>
      <c r="M274" s="239"/>
      <c r="N274" s="239"/>
      <c r="O274" s="57"/>
      <c r="P274" s="157"/>
      <c r="Q274" s="404"/>
      <c r="R274" s="148"/>
      <c r="S274" s="242"/>
      <c r="T274" s="242"/>
      <c r="U274" s="242"/>
      <c r="V274" s="242"/>
      <c r="W274" s="242"/>
      <c r="X274" s="242"/>
      <c r="Y274" s="148"/>
      <c r="Z274" s="148"/>
    </row>
    <row r="275">
      <c r="A275" s="468"/>
      <c r="B275" s="157"/>
      <c r="C275" s="466"/>
      <c r="D275" s="405"/>
      <c r="E275" s="543" t="s">
        <v>335</v>
      </c>
      <c r="F275" s="544" t="s">
        <v>237</v>
      </c>
      <c r="G275" s="412" t="s">
        <v>336</v>
      </c>
      <c r="H275" s="413" t="s">
        <v>337</v>
      </c>
      <c r="I275" s="239"/>
      <c r="J275" s="145" t="s">
        <v>60</v>
      </c>
      <c r="K275" s="57"/>
      <c r="L275" s="150"/>
      <c r="M275" s="414"/>
      <c r="N275" s="414"/>
      <c r="O275" s="57" t="s">
        <v>334</v>
      </c>
      <c r="P275" s="157"/>
      <c r="Q275" s="404"/>
      <c r="R275" s="148"/>
      <c r="S275" s="242"/>
      <c r="T275" s="242"/>
      <c r="U275" s="242"/>
      <c r="V275" s="242"/>
      <c r="W275" s="242"/>
      <c r="X275" s="242"/>
      <c r="Y275" s="148"/>
      <c r="Z275" s="148"/>
    </row>
    <row r="276">
      <c r="A276" s="470" t="s">
        <v>179</v>
      </c>
      <c r="C276" s="416">
        <f>SUM(F276:F310)</f>
        <v>350</v>
      </c>
      <c r="D276" s="405"/>
      <c r="E276" s="545"/>
      <c r="F276" s="546"/>
      <c r="G276" s="578"/>
      <c r="H276" s="419"/>
      <c r="I276" s="57"/>
      <c r="K276" s="57"/>
      <c r="L276" s="150"/>
      <c r="M276" s="377" t="s">
        <v>366</v>
      </c>
      <c r="P276" s="157"/>
      <c r="Q276" s="404"/>
      <c r="R276" s="148"/>
      <c r="S276" s="242"/>
      <c r="T276" s="242"/>
      <c r="U276" s="242"/>
      <c r="V276" s="242"/>
      <c r="W276" s="242"/>
      <c r="X276" s="242"/>
      <c r="Y276" s="148"/>
      <c r="Z276" s="148"/>
    </row>
    <row r="277">
      <c r="A277" s="421" t="s">
        <v>343</v>
      </c>
      <c r="B277" s="422" t="s">
        <v>321</v>
      </c>
      <c r="C277" s="416">
        <f>SUM(P277:P310)</f>
        <v>0</v>
      </c>
      <c r="D277" s="157"/>
      <c r="E277" s="545"/>
      <c r="F277" s="546"/>
      <c r="G277" s="578"/>
      <c r="H277" s="419"/>
      <c r="I277" s="239"/>
      <c r="J277" s="471" t="s">
        <v>341</v>
      </c>
      <c r="K277" s="420"/>
      <c r="L277" s="150"/>
      <c r="M277" s="374"/>
      <c r="O277" s="431"/>
      <c r="P277" s="423"/>
      <c r="Q277" s="404"/>
      <c r="R277" s="148"/>
      <c r="S277" s="242"/>
      <c r="T277" s="242"/>
      <c r="U277" s="242"/>
      <c r="V277" s="242"/>
      <c r="W277" s="242"/>
      <c r="X277" s="242"/>
      <c r="Y277" s="148"/>
      <c r="Z277" s="148"/>
    </row>
    <row r="278">
      <c r="A278" s="427" t="s">
        <v>201</v>
      </c>
      <c r="C278" s="204">
        <f>SUM(L277:L310)</f>
        <v>1250</v>
      </c>
      <c r="D278" s="157"/>
      <c r="E278" s="545"/>
      <c r="F278" s="547"/>
      <c r="G278" s="578"/>
      <c r="H278" s="419"/>
      <c r="I278" s="239"/>
      <c r="J278" s="472" t="s">
        <v>345</v>
      </c>
      <c r="K278" s="420"/>
      <c r="L278" s="193"/>
      <c r="M278" s="377"/>
      <c r="O278" s="431"/>
      <c r="P278" s="423"/>
      <c r="Q278" s="404"/>
      <c r="R278" s="148"/>
      <c r="S278" s="242"/>
      <c r="T278" s="242"/>
      <c r="U278" s="242"/>
      <c r="V278" s="242"/>
      <c r="W278" s="242"/>
      <c r="X278" s="242"/>
      <c r="Y278" s="148"/>
      <c r="Z278" s="148"/>
    </row>
    <row r="279">
      <c r="A279" s="548" t="s">
        <v>761</v>
      </c>
      <c r="B279" s="549">
        <v>0.4</v>
      </c>
      <c r="C279" s="191"/>
      <c r="D279" s="157"/>
      <c r="E279" s="550" t="s">
        <v>695</v>
      </c>
      <c r="F279" s="546"/>
      <c r="G279" s="578"/>
      <c r="H279" s="419"/>
      <c r="I279" s="239"/>
      <c r="J279" s="433" t="s">
        <v>656</v>
      </c>
      <c r="K279" s="420"/>
      <c r="L279" s="193"/>
      <c r="M279" s="377"/>
      <c r="O279" s="431"/>
      <c r="P279" s="423"/>
      <c r="Q279" s="404"/>
      <c r="R279" s="148"/>
      <c r="S279" s="242"/>
      <c r="T279" s="242"/>
      <c r="U279" s="242"/>
      <c r="V279" s="242"/>
      <c r="W279" s="242"/>
      <c r="X279" s="242"/>
      <c r="Y279" s="148"/>
      <c r="Z279" s="148"/>
    </row>
    <row r="280">
      <c r="A280" s="434" t="s">
        <v>350</v>
      </c>
      <c r="C280" s="551">
        <f>C276-C278-C279</f>
        <v>-900</v>
      </c>
      <c r="D280" s="157"/>
      <c r="E280" s="192" t="s">
        <v>862</v>
      </c>
      <c r="F280" s="546">
        <v>350.0</v>
      </c>
      <c r="G280" s="579"/>
      <c r="H280" s="419"/>
      <c r="I280" s="57"/>
      <c r="J280" s="444" t="s">
        <v>658</v>
      </c>
      <c r="K280" s="420"/>
      <c r="L280" s="193"/>
      <c r="M280" s="377"/>
      <c r="O280" s="431"/>
      <c r="P280" s="157"/>
      <c r="Q280" s="404"/>
      <c r="R280" s="148"/>
      <c r="S280" s="242"/>
      <c r="T280" s="242"/>
      <c r="U280" s="242"/>
      <c r="V280" s="242"/>
      <c r="W280" s="242"/>
      <c r="X280" s="242"/>
      <c r="Y280" s="148"/>
      <c r="Z280" s="148"/>
    </row>
    <row r="281">
      <c r="A281" s="554"/>
      <c r="B281" s="555"/>
      <c r="C281" s="447"/>
      <c r="D281" s="157"/>
      <c r="E281" s="228"/>
      <c r="F281" s="547"/>
      <c r="G281" s="578"/>
      <c r="H281" s="419"/>
      <c r="I281" s="57"/>
      <c r="J281" s="444" t="s">
        <v>660</v>
      </c>
      <c r="K281" s="420"/>
      <c r="L281" s="193"/>
      <c r="M281" s="377"/>
      <c r="O281" s="431"/>
      <c r="P281" s="157"/>
      <c r="Q281" s="404"/>
      <c r="R281" s="148"/>
      <c r="S281" s="242"/>
      <c r="T281" s="242"/>
      <c r="U281" s="242"/>
      <c r="V281" s="242"/>
      <c r="W281" s="242"/>
      <c r="X281" s="242"/>
      <c r="Y281" s="148"/>
      <c r="Z281" s="148"/>
    </row>
    <row r="282">
      <c r="A282" s="556"/>
      <c r="C282" s="395"/>
      <c r="D282" s="157"/>
      <c r="E282" s="228"/>
      <c r="F282" s="546"/>
      <c r="G282" s="579"/>
      <c r="H282" s="419"/>
      <c r="I282" s="239"/>
      <c r="J282" s="370" t="s">
        <v>662</v>
      </c>
      <c r="K282" s="420"/>
      <c r="L282" s="193"/>
      <c r="M282" s="374"/>
      <c r="O282" s="431"/>
      <c r="P282" s="157"/>
      <c r="Q282" s="404"/>
      <c r="R282" s="148"/>
      <c r="S282" s="242"/>
      <c r="T282" s="242"/>
      <c r="U282" s="242"/>
      <c r="V282" s="242"/>
      <c r="W282" s="242"/>
      <c r="X282" s="242"/>
      <c r="Y282" s="148"/>
      <c r="Z282" s="148"/>
    </row>
    <row r="283">
      <c r="A283" s="557"/>
      <c r="B283" s="109"/>
      <c r="C283" s="395"/>
      <c r="D283" s="373"/>
      <c r="E283" s="228"/>
      <c r="F283" s="547"/>
      <c r="G283" s="578"/>
      <c r="H283" s="419"/>
      <c r="I283" s="239"/>
      <c r="J283" s="433" t="s">
        <v>666</v>
      </c>
      <c r="K283" s="420"/>
      <c r="L283" s="193"/>
      <c r="M283" s="377"/>
      <c r="O283" s="431"/>
      <c r="P283" s="157"/>
      <c r="Q283" s="404"/>
      <c r="R283" s="148"/>
      <c r="S283" s="242"/>
      <c r="T283" s="242"/>
      <c r="U283" s="242"/>
      <c r="V283" s="242"/>
      <c r="W283" s="242"/>
      <c r="X283" s="242"/>
      <c r="Y283" s="148"/>
      <c r="Z283" s="148"/>
    </row>
    <row r="284">
      <c r="A284" s="559" t="s">
        <v>765</v>
      </c>
      <c r="B284" s="560">
        <f>SUM(D284:D310)</f>
        <v>0</v>
      </c>
      <c r="C284" s="477" t="s">
        <v>366</v>
      </c>
      <c r="D284" s="157"/>
      <c r="E284" s="228"/>
      <c r="F284" s="547"/>
      <c r="G284" s="578"/>
      <c r="H284" s="419"/>
      <c r="I284" s="239"/>
      <c r="J284" s="433" t="s">
        <v>668</v>
      </c>
      <c r="K284" s="420"/>
      <c r="L284" s="150"/>
      <c r="M284" s="377"/>
      <c r="O284" s="431"/>
      <c r="P284" s="157"/>
      <c r="Q284" s="404"/>
      <c r="R284" s="148"/>
      <c r="S284" s="242"/>
      <c r="T284" s="242"/>
      <c r="U284" s="242"/>
      <c r="V284" s="242"/>
      <c r="W284" s="242"/>
      <c r="X284" s="242"/>
      <c r="Y284" s="148"/>
      <c r="Z284" s="148"/>
    </row>
    <row r="285">
      <c r="A285" s="453" t="s">
        <v>369</v>
      </c>
      <c r="C285" s="561" t="s">
        <v>766</v>
      </c>
      <c r="D285" s="423"/>
      <c r="E285" s="228"/>
      <c r="F285" s="547"/>
      <c r="G285" s="578"/>
      <c r="H285" s="419"/>
      <c r="I285" s="239"/>
      <c r="J285" s="433" t="s">
        <v>670</v>
      </c>
      <c r="K285" s="458"/>
      <c r="L285" s="193">
        <v>1250.0</v>
      </c>
      <c r="M285" s="377"/>
      <c r="O285" s="431"/>
      <c r="P285" s="157"/>
      <c r="Q285" s="404"/>
      <c r="R285" s="148"/>
      <c r="S285" s="242"/>
      <c r="T285" s="242"/>
      <c r="U285" s="242"/>
      <c r="V285" s="242"/>
      <c r="W285" s="242"/>
      <c r="X285" s="242"/>
      <c r="Y285" s="148"/>
      <c r="Z285" s="148"/>
    </row>
    <row r="286">
      <c r="C286" s="561" t="s">
        <v>767</v>
      </c>
      <c r="D286" s="157"/>
      <c r="E286" s="228"/>
      <c r="F286" s="547"/>
      <c r="G286" s="578"/>
      <c r="H286" s="419"/>
      <c r="I286" s="239"/>
      <c r="J286" s="433" t="s">
        <v>217</v>
      </c>
      <c r="K286" s="458"/>
      <c r="L286" s="150"/>
      <c r="M286" s="377"/>
      <c r="O286" s="431"/>
      <c r="P286" s="157"/>
      <c r="Q286" s="404"/>
      <c r="R286" s="148"/>
      <c r="S286" s="242"/>
      <c r="T286" s="242"/>
      <c r="U286" s="242"/>
      <c r="V286" s="242"/>
      <c r="W286" s="242"/>
      <c r="X286" s="242"/>
      <c r="Y286" s="148"/>
      <c r="Z286" s="148"/>
    </row>
    <row r="287">
      <c r="A287" s="57"/>
      <c r="B287" s="57"/>
      <c r="C287" s="561" t="s">
        <v>768</v>
      </c>
      <c r="D287" s="423"/>
      <c r="E287" s="228"/>
      <c r="F287" s="547"/>
      <c r="G287" s="578"/>
      <c r="H287" s="419"/>
      <c r="I287" s="239"/>
      <c r="J287" s="109"/>
      <c r="K287" s="420"/>
      <c r="L287" s="193"/>
      <c r="M287" s="374"/>
      <c r="O287" s="431"/>
      <c r="P287" s="157"/>
      <c r="Q287" s="404"/>
      <c r="R287" s="148"/>
      <c r="S287" s="242"/>
      <c r="T287" s="242"/>
      <c r="U287" s="242"/>
      <c r="V287" s="242"/>
      <c r="W287" s="242"/>
      <c r="X287" s="242"/>
      <c r="Y287" s="148"/>
      <c r="Z287" s="148"/>
    </row>
    <row r="288">
      <c r="A288" s="57"/>
      <c r="B288" s="57"/>
      <c r="C288" s="561" t="s">
        <v>769</v>
      </c>
      <c r="D288" s="157"/>
      <c r="E288" s="228"/>
      <c r="F288" s="547"/>
      <c r="G288" s="578"/>
      <c r="H288" s="419"/>
      <c r="I288" s="239"/>
      <c r="J288" s="456" t="s">
        <v>672</v>
      </c>
      <c r="K288" s="420"/>
      <c r="L288" s="150"/>
      <c r="M288" s="377"/>
      <c r="O288" s="431"/>
      <c r="P288" s="157"/>
      <c r="Q288" s="404"/>
      <c r="R288" s="148"/>
      <c r="S288" s="242"/>
      <c r="T288" s="242"/>
      <c r="U288" s="242"/>
      <c r="V288" s="242"/>
      <c r="W288" s="242"/>
      <c r="X288" s="242"/>
      <c r="Y288" s="148"/>
      <c r="Z288" s="148"/>
    </row>
    <row r="289">
      <c r="A289" s="57"/>
      <c r="B289" s="57"/>
      <c r="C289" s="561" t="s">
        <v>770</v>
      </c>
      <c r="D289" s="423"/>
      <c r="E289" s="228"/>
      <c r="F289" s="547"/>
      <c r="G289" s="578"/>
      <c r="H289" s="419"/>
      <c r="I289" s="57"/>
      <c r="J289" s="456" t="s">
        <v>675</v>
      </c>
      <c r="K289" s="420"/>
      <c r="L289" s="150"/>
      <c r="M289" s="382"/>
      <c r="O289" s="431"/>
      <c r="P289" s="157"/>
      <c r="Q289" s="404"/>
      <c r="R289" s="148"/>
      <c r="S289" s="242"/>
      <c r="T289" s="242"/>
      <c r="U289" s="242"/>
      <c r="V289" s="242"/>
      <c r="W289" s="242"/>
      <c r="X289" s="242"/>
      <c r="Y289" s="148"/>
      <c r="Z289" s="148"/>
    </row>
    <row r="290">
      <c r="A290" s="57"/>
      <c r="B290" s="57"/>
      <c r="C290" s="561" t="s">
        <v>793</v>
      </c>
      <c r="D290" s="423"/>
      <c r="E290" s="228"/>
      <c r="F290" s="547"/>
      <c r="G290" s="579"/>
      <c r="H290" s="419"/>
      <c r="I290" s="57"/>
      <c r="J290" s="456"/>
      <c r="K290" s="420"/>
      <c r="L290" s="150"/>
      <c r="M290" s="425"/>
      <c r="O290" s="431"/>
      <c r="P290" s="157"/>
      <c r="Q290" s="404"/>
      <c r="R290" s="148"/>
      <c r="S290" s="242"/>
      <c r="T290" s="242"/>
      <c r="U290" s="242"/>
      <c r="V290" s="242"/>
      <c r="W290" s="242"/>
      <c r="X290" s="242"/>
      <c r="Y290" s="148"/>
      <c r="Z290" s="148"/>
    </row>
    <row r="291">
      <c r="A291" s="239"/>
      <c r="B291" s="57"/>
      <c r="C291" s="561" t="s">
        <v>794</v>
      </c>
      <c r="D291" s="423"/>
      <c r="E291" s="228"/>
      <c r="F291" s="547"/>
      <c r="G291" s="578"/>
      <c r="H291" s="419"/>
      <c r="I291" s="57"/>
      <c r="J291" s="375"/>
      <c r="K291" s="420"/>
      <c r="L291" s="150"/>
      <c r="M291" s="425"/>
      <c r="O291" s="431"/>
      <c r="P291" s="157"/>
      <c r="Q291" s="404"/>
      <c r="R291" s="148"/>
      <c r="S291" s="242"/>
      <c r="T291" s="242"/>
      <c r="U291" s="242"/>
      <c r="V291" s="242"/>
      <c r="W291" s="242"/>
      <c r="X291" s="242"/>
      <c r="Y291" s="148"/>
      <c r="Z291" s="148"/>
    </row>
    <row r="292">
      <c r="A292" s="239"/>
      <c r="B292" s="57"/>
      <c r="C292" s="561" t="s">
        <v>18</v>
      </c>
      <c r="D292" s="423"/>
      <c r="E292" s="228"/>
      <c r="F292" s="547"/>
      <c r="G292" s="578"/>
      <c r="H292" s="419"/>
      <c r="I292" s="57"/>
      <c r="J292" s="375"/>
      <c r="K292" s="420"/>
      <c r="L292" s="193"/>
      <c r="M292" s="382"/>
      <c r="O292" s="431"/>
      <c r="P292" s="157"/>
      <c r="Q292" s="404"/>
      <c r="R292" s="148"/>
      <c r="S292" s="242"/>
      <c r="T292" s="242"/>
      <c r="U292" s="242"/>
      <c r="V292" s="242"/>
      <c r="W292" s="242"/>
      <c r="X292" s="242"/>
      <c r="Y292" s="148"/>
      <c r="Z292" s="148"/>
    </row>
    <row r="293">
      <c r="A293" s="239"/>
      <c r="B293" s="57"/>
      <c r="C293" s="563" t="s">
        <v>1115</v>
      </c>
      <c r="D293" s="423"/>
      <c r="E293" s="228"/>
      <c r="F293" s="547"/>
      <c r="G293" s="579"/>
      <c r="H293" s="419"/>
      <c r="I293" s="57"/>
      <c r="J293" s="452"/>
      <c r="K293" s="420"/>
      <c r="L293" s="150"/>
      <c r="M293" s="425"/>
      <c r="O293" s="431"/>
      <c r="P293" s="157"/>
      <c r="Q293" s="404"/>
      <c r="R293" s="148"/>
      <c r="S293" s="242"/>
      <c r="T293" s="242"/>
      <c r="U293" s="242"/>
      <c r="V293" s="242"/>
      <c r="W293" s="242"/>
      <c r="X293" s="242"/>
      <c r="Y293" s="148"/>
      <c r="Z293" s="148"/>
    </row>
    <row r="294">
      <c r="A294" s="57"/>
      <c r="B294" s="57"/>
      <c r="C294" s="561" t="s">
        <v>1116</v>
      </c>
      <c r="D294" s="423"/>
      <c r="E294" s="228"/>
      <c r="F294" s="547"/>
      <c r="G294" s="578"/>
      <c r="H294" s="419"/>
      <c r="I294" s="57"/>
      <c r="J294" s="105"/>
      <c r="K294" s="420"/>
      <c r="L294" s="193"/>
      <c r="M294" s="425"/>
      <c r="O294" s="431"/>
      <c r="P294" s="157"/>
      <c r="Q294" s="404"/>
      <c r="R294" s="148"/>
      <c r="S294" s="242"/>
      <c r="T294" s="242"/>
      <c r="U294" s="242"/>
      <c r="V294" s="242"/>
      <c r="W294" s="242"/>
      <c r="X294" s="242"/>
      <c r="Y294" s="148"/>
      <c r="Z294" s="148"/>
    </row>
    <row r="295">
      <c r="A295" s="239"/>
      <c r="B295" s="239"/>
      <c r="C295" s="561" t="s">
        <v>775</v>
      </c>
      <c r="D295" s="423"/>
      <c r="E295" s="228"/>
      <c r="F295" s="547"/>
      <c r="G295" s="578"/>
      <c r="H295" s="419"/>
      <c r="I295" s="57"/>
      <c r="J295" s="378" t="s">
        <v>682</v>
      </c>
      <c r="K295" s="420"/>
      <c r="L295" s="193"/>
      <c r="M295" s="377"/>
      <c r="O295" s="431"/>
      <c r="P295" s="157"/>
      <c r="Q295" s="404"/>
      <c r="R295" s="148"/>
      <c r="S295" s="242"/>
      <c r="T295" s="242"/>
      <c r="U295" s="242"/>
      <c r="V295" s="242"/>
      <c r="W295" s="242"/>
      <c r="X295" s="242"/>
      <c r="Y295" s="148"/>
      <c r="Z295" s="148"/>
    </row>
    <row r="296">
      <c r="A296" s="239"/>
      <c r="B296" s="239"/>
      <c r="C296" s="561" t="s">
        <v>10</v>
      </c>
      <c r="D296" s="157"/>
      <c r="E296" s="206"/>
      <c r="F296" s="564"/>
      <c r="G296" s="581"/>
      <c r="H296" s="419"/>
      <c r="I296" s="57"/>
      <c r="J296" s="461" t="s">
        <v>684</v>
      </c>
      <c r="K296" s="420"/>
      <c r="L296" s="193"/>
      <c r="M296" s="377"/>
      <c r="O296" s="431"/>
      <c r="P296" s="157"/>
      <c r="Q296" s="404"/>
      <c r="R296" s="148"/>
      <c r="S296" s="242"/>
      <c r="T296" s="242"/>
      <c r="U296" s="242"/>
      <c r="V296" s="242"/>
      <c r="W296" s="242"/>
      <c r="X296" s="242"/>
      <c r="Y296" s="148"/>
      <c r="Z296" s="148"/>
    </row>
    <row r="297">
      <c r="A297" s="239"/>
      <c r="B297" s="239"/>
      <c r="C297" s="561" t="s">
        <v>6</v>
      </c>
      <c r="D297" s="157"/>
      <c r="E297" s="206"/>
      <c r="F297" s="547"/>
      <c r="G297" s="579"/>
      <c r="H297" s="455"/>
      <c r="I297" s="57"/>
      <c r="J297" s="461" t="s">
        <v>686</v>
      </c>
      <c r="K297" s="420"/>
      <c r="L297" s="150"/>
      <c r="M297" s="374"/>
      <c r="O297" s="463"/>
      <c r="P297" s="157"/>
      <c r="Q297" s="404"/>
      <c r="R297" s="148"/>
      <c r="S297" s="242"/>
      <c r="T297" s="242"/>
      <c r="U297" s="242"/>
      <c r="V297" s="242"/>
      <c r="W297" s="242"/>
      <c r="X297" s="242"/>
      <c r="Y297" s="148"/>
      <c r="Z297" s="148"/>
    </row>
    <row r="298">
      <c r="A298" s="57"/>
      <c r="B298" s="57"/>
      <c r="C298" s="561" t="s">
        <v>779</v>
      </c>
      <c r="D298" s="157"/>
      <c r="E298" s="228"/>
      <c r="F298" s="547"/>
      <c r="G298" s="579"/>
      <c r="H298" s="455"/>
      <c r="I298" s="239"/>
      <c r="J298" s="460" t="s">
        <v>202</v>
      </c>
      <c r="K298" s="420"/>
      <c r="L298" s="193"/>
      <c r="M298" s="377"/>
      <c r="O298" s="463"/>
      <c r="P298" s="157"/>
      <c r="Q298" s="404"/>
      <c r="R298" s="148"/>
      <c r="S298" s="242"/>
      <c r="T298" s="242"/>
      <c r="U298" s="242"/>
      <c r="V298" s="242"/>
      <c r="W298" s="242"/>
      <c r="X298" s="242"/>
      <c r="Y298" s="148"/>
      <c r="Z298" s="148"/>
    </row>
    <row r="299">
      <c r="A299" s="239"/>
      <c r="B299" s="239"/>
      <c r="C299" s="561" t="s">
        <v>780</v>
      </c>
      <c r="D299" s="157"/>
      <c r="E299" s="228"/>
      <c r="F299" s="547"/>
      <c r="G299" s="579"/>
      <c r="H299" s="455"/>
      <c r="I299" s="57"/>
      <c r="J299" s="460" t="s">
        <v>274</v>
      </c>
      <c r="K299" s="420"/>
      <c r="L299" s="193"/>
      <c r="M299" s="374"/>
      <c r="O299" s="463"/>
      <c r="P299" s="157"/>
      <c r="Q299" s="404"/>
      <c r="R299" s="148"/>
      <c r="S299" s="242"/>
      <c r="T299" s="242"/>
      <c r="U299" s="242"/>
      <c r="V299" s="242"/>
      <c r="W299" s="242"/>
      <c r="X299" s="242"/>
      <c r="Y299" s="148"/>
      <c r="Z299" s="148"/>
    </row>
    <row r="300">
      <c r="A300" s="239"/>
      <c r="B300" s="239"/>
      <c r="C300" s="561" t="s">
        <v>781</v>
      </c>
      <c r="D300" s="423"/>
      <c r="E300" s="228"/>
      <c r="F300" s="547"/>
      <c r="G300" s="579"/>
      <c r="H300" s="419"/>
      <c r="I300" s="239"/>
      <c r="J300" s="685" t="s">
        <v>1117</v>
      </c>
      <c r="K300" s="420"/>
      <c r="L300" s="150"/>
      <c r="M300" s="374"/>
      <c r="O300" s="431"/>
      <c r="P300" s="157"/>
      <c r="Q300" s="404"/>
      <c r="R300" s="148"/>
      <c r="S300" s="242"/>
      <c r="T300" s="242"/>
      <c r="U300" s="242"/>
      <c r="V300" s="242"/>
      <c r="W300" s="242"/>
      <c r="X300" s="242"/>
      <c r="Y300" s="148"/>
      <c r="Z300" s="148"/>
    </row>
    <row r="301">
      <c r="A301" s="239"/>
      <c r="B301" s="157"/>
      <c r="C301" s="561" t="s">
        <v>1118</v>
      </c>
      <c r="D301" s="157"/>
      <c r="E301" s="569"/>
      <c r="F301" s="547"/>
      <c r="G301" s="578"/>
      <c r="H301" s="419"/>
      <c r="I301" s="57"/>
      <c r="J301" s="685" t="s">
        <v>1119</v>
      </c>
      <c r="K301" s="420"/>
      <c r="L301" s="193"/>
      <c r="M301" s="374"/>
      <c r="O301" s="431"/>
      <c r="P301" s="157"/>
      <c r="Q301" s="404"/>
      <c r="R301" s="148"/>
      <c r="S301" s="242"/>
      <c r="T301" s="242"/>
      <c r="U301" s="242"/>
      <c r="V301" s="242"/>
      <c r="W301" s="242"/>
      <c r="X301" s="242"/>
      <c r="Y301" s="148"/>
      <c r="Z301" s="148"/>
    </row>
    <row r="302">
      <c r="A302" s="239"/>
      <c r="B302" s="157"/>
      <c r="C302" s="561" t="s">
        <v>1120</v>
      </c>
      <c r="D302" s="157"/>
      <c r="E302" s="228"/>
      <c r="F302" s="547"/>
      <c r="G302" s="578"/>
      <c r="H302" s="419"/>
      <c r="I302" s="239"/>
      <c r="J302" s="596" t="s">
        <v>1001</v>
      </c>
      <c r="K302" s="420"/>
      <c r="L302" s="193"/>
      <c r="M302" s="377"/>
      <c r="O302" s="431"/>
      <c r="P302" s="157"/>
      <c r="Q302" s="404"/>
      <c r="R302" s="148"/>
      <c r="S302" s="242"/>
      <c r="T302" s="242"/>
      <c r="U302" s="242"/>
      <c r="V302" s="242"/>
      <c r="W302" s="242"/>
      <c r="X302" s="242"/>
      <c r="Y302" s="148"/>
      <c r="Z302" s="148"/>
    </row>
    <row r="303">
      <c r="A303" s="239"/>
      <c r="B303" s="157"/>
      <c r="C303" s="561"/>
      <c r="D303" s="157"/>
      <c r="E303" s="570"/>
      <c r="F303" s="547"/>
      <c r="G303" s="578"/>
      <c r="H303" s="419"/>
      <c r="I303" s="239"/>
      <c r="J303" s="568"/>
      <c r="K303" s="420"/>
      <c r="L303" s="193"/>
      <c r="M303" s="374"/>
      <c r="O303" s="431"/>
      <c r="P303" s="157"/>
      <c r="Q303" s="404"/>
      <c r="R303" s="148"/>
      <c r="S303" s="242"/>
      <c r="T303" s="242"/>
      <c r="U303" s="242"/>
      <c r="V303" s="242"/>
      <c r="W303" s="242"/>
      <c r="X303" s="242"/>
      <c r="Y303" s="148"/>
      <c r="Z303" s="148"/>
    </row>
    <row r="304">
      <c r="C304" s="571"/>
      <c r="D304" s="157"/>
      <c r="E304" s="570"/>
      <c r="F304" s="547"/>
      <c r="G304" s="578"/>
      <c r="H304" s="419"/>
      <c r="I304" s="239"/>
      <c r="J304" s="464" t="s">
        <v>692</v>
      </c>
      <c r="K304" s="420"/>
      <c r="L304" s="150"/>
      <c r="M304" s="377"/>
      <c r="O304" s="431"/>
      <c r="P304" s="157"/>
      <c r="Q304" s="404"/>
      <c r="R304" s="148"/>
      <c r="S304" s="242"/>
      <c r="T304" s="242"/>
      <c r="U304" s="242"/>
      <c r="V304" s="242"/>
      <c r="W304" s="242"/>
      <c r="X304" s="242"/>
      <c r="Y304" s="148"/>
      <c r="Z304" s="148"/>
    </row>
    <row r="305">
      <c r="C305" s="571"/>
      <c r="D305" s="157"/>
      <c r="E305" s="570"/>
      <c r="F305" s="547"/>
      <c r="G305" s="578"/>
      <c r="H305" s="419"/>
      <c r="I305" s="239"/>
      <c r="J305" s="464" t="s">
        <v>694</v>
      </c>
      <c r="K305" s="420"/>
      <c r="L305" s="193"/>
      <c r="M305" s="374"/>
      <c r="O305" s="431"/>
      <c r="P305" s="157"/>
      <c r="Q305" s="404"/>
      <c r="R305" s="148"/>
      <c r="S305" s="242"/>
      <c r="T305" s="242"/>
      <c r="U305" s="242"/>
      <c r="V305" s="242"/>
      <c r="W305" s="242"/>
      <c r="X305" s="242"/>
      <c r="Y305" s="148"/>
      <c r="Z305" s="148"/>
    </row>
    <row r="306">
      <c r="C306" s="571"/>
      <c r="D306" s="423"/>
      <c r="E306" s="570"/>
      <c r="F306" s="546"/>
      <c r="G306" s="578"/>
      <c r="H306" s="419"/>
      <c r="I306" s="57"/>
      <c r="J306" s="105"/>
      <c r="K306" s="57"/>
      <c r="L306" s="150"/>
      <c r="M306" s="57"/>
      <c r="N306" s="57"/>
      <c r="O306" s="57"/>
      <c r="P306" s="157"/>
      <c r="Q306" s="404"/>
      <c r="R306" s="148"/>
      <c r="S306" s="242"/>
      <c r="T306" s="242"/>
      <c r="U306" s="242"/>
      <c r="V306" s="242"/>
      <c r="W306" s="242"/>
      <c r="X306" s="242"/>
      <c r="Y306" s="148"/>
      <c r="Z306" s="148"/>
    </row>
    <row r="307">
      <c r="A307" s="125" t="s">
        <v>798</v>
      </c>
      <c r="B307" s="572">
        <f>C280-B284</f>
        <v>-900</v>
      </c>
      <c r="D307" s="157"/>
      <c r="E307" s="570"/>
      <c r="F307" s="573"/>
      <c r="G307" s="581"/>
      <c r="H307" s="419"/>
      <c r="I307" s="239"/>
      <c r="J307" s="568"/>
      <c r="K307" s="57"/>
      <c r="L307" s="150"/>
      <c r="M307" s="57"/>
      <c r="N307" s="57"/>
      <c r="O307" s="57"/>
      <c r="P307" s="157"/>
      <c r="Q307" s="404"/>
      <c r="R307" s="148"/>
      <c r="S307" s="242"/>
      <c r="T307" s="242"/>
      <c r="U307" s="242"/>
      <c r="V307" s="242"/>
      <c r="W307" s="242"/>
      <c r="X307" s="242"/>
      <c r="Y307" s="148"/>
      <c r="Z307" s="148"/>
    </row>
    <row r="308">
      <c r="A308" s="274" t="s">
        <v>783</v>
      </c>
      <c r="B308" s="109"/>
      <c r="C308" s="395"/>
      <c r="D308" s="157"/>
      <c r="E308" s="570"/>
      <c r="F308" s="573"/>
      <c r="G308" s="581"/>
      <c r="H308" s="419"/>
      <c r="I308" s="239"/>
      <c r="J308" s="568"/>
      <c r="K308" s="57"/>
      <c r="L308" s="150"/>
      <c r="M308" s="57"/>
      <c r="N308" s="57"/>
      <c r="O308" s="57"/>
      <c r="P308" s="157"/>
      <c r="Q308" s="404"/>
      <c r="R308" s="148"/>
      <c r="S308" s="242"/>
      <c r="T308" s="242"/>
      <c r="U308" s="242"/>
      <c r="V308" s="242"/>
      <c r="W308" s="242"/>
      <c r="X308" s="242"/>
      <c r="Y308" s="148"/>
      <c r="Z308" s="148"/>
    </row>
    <row r="309">
      <c r="A309" s="274" t="s">
        <v>784</v>
      </c>
      <c r="B309" s="109"/>
      <c r="C309" s="395"/>
      <c r="D309" s="157"/>
      <c r="E309" s="570"/>
      <c r="F309" s="573"/>
      <c r="G309" s="581"/>
      <c r="H309" s="419"/>
      <c r="I309" s="239"/>
      <c r="J309" s="568"/>
      <c r="K309" s="57"/>
      <c r="L309" s="150"/>
      <c r="M309" s="57"/>
      <c r="N309" s="57"/>
      <c r="O309" s="57"/>
      <c r="P309" s="157"/>
      <c r="Q309" s="404"/>
      <c r="R309" s="148"/>
      <c r="S309" s="242"/>
      <c r="T309" s="242"/>
      <c r="U309" s="242"/>
      <c r="V309" s="242"/>
      <c r="W309" s="242"/>
      <c r="X309" s="242"/>
      <c r="Y309" s="148"/>
      <c r="Z309" s="148"/>
    </row>
    <row r="310">
      <c r="A310" s="274" t="s">
        <v>785</v>
      </c>
      <c r="B310" s="109"/>
      <c r="C310" s="686">
        <f>SUM(B308:B310)</f>
        <v>0</v>
      </c>
      <c r="D310" s="157"/>
      <c r="E310" s="570"/>
      <c r="F310" s="573"/>
      <c r="G310" s="581"/>
      <c r="H310" s="419"/>
      <c r="I310" s="239"/>
      <c r="J310" s="568"/>
      <c r="K310" s="57"/>
      <c r="L310" s="150"/>
      <c r="M310" s="57"/>
      <c r="N310" s="57"/>
      <c r="O310" s="57"/>
      <c r="P310" s="157"/>
      <c r="Q310" s="404"/>
      <c r="R310" s="148"/>
      <c r="S310" s="242"/>
      <c r="T310" s="242"/>
      <c r="U310" s="242"/>
      <c r="V310" s="242"/>
      <c r="W310" s="242"/>
      <c r="X310" s="242"/>
      <c r="Y310" s="148"/>
      <c r="Z310" s="148"/>
    </row>
    <row r="311">
      <c r="A311" s="402"/>
      <c r="B311" s="403"/>
      <c r="C311" s="403"/>
      <c r="D311" s="403"/>
      <c r="E311" s="574"/>
      <c r="F311" s="575"/>
      <c r="G311" s="576"/>
      <c r="H311" s="159"/>
      <c r="I311" s="159"/>
      <c r="J311" s="576"/>
      <c r="K311" s="159"/>
      <c r="L311" s="162"/>
      <c r="M311" s="402"/>
      <c r="N311" s="402"/>
      <c r="O311" s="159"/>
      <c r="P311" s="403"/>
      <c r="Q311" s="577"/>
      <c r="R311" s="148"/>
      <c r="S311" s="242"/>
      <c r="T311" s="242"/>
      <c r="U311" s="242"/>
      <c r="V311" s="242"/>
      <c r="W311" s="242"/>
      <c r="X311" s="242"/>
      <c r="Y311" s="148"/>
      <c r="Z311" s="148"/>
    </row>
    <row r="312">
      <c r="A312" s="148"/>
      <c r="B312" s="148"/>
      <c r="C312" s="148"/>
      <c r="D312" s="245"/>
      <c r="E312" s="585"/>
      <c r="F312" s="586"/>
      <c r="G312" s="243"/>
      <c r="H312" s="148"/>
      <c r="I312" s="251"/>
      <c r="J312" s="243"/>
      <c r="K312" s="148"/>
      <c r="L312" s="277"/>
      <c r="M312" s="252"/>
      <c r="N312" s="250"/>
      <c r="O312" s="253"/>
      <c r="P312" s="240"/>
      <c r="Q312" s="148"/>
      <c r="R312" s="148"/>
      <c r="S312" s="242"/>
      <c r="T312" s="242"/>
      <c r="U312" s="242"/>
      <c r="V312" s="242"/>
      <c r="W312" s="242"/>
      <c r="X312" s="242"/>
      <c r="Y312" s="148"/>
      <c r="Z312" s="148"/>
    </row>
    <row r="313">
      <c r="A313" s="169" t="s">
        <v>150</v>
      </c>
      <c r="B313" s="539"/>
      <c r="C313" s="540"/>
      <c r="D313" s="405"/>
      <c r="E313" s="541"/>
      <c r="F313" s="542"/>
      <c r="G313" s="467" t="s">
        <v>333</v>
      </c>
      <c r="H313" s="361"/>
      <c r="I313" s="57"/>
      <c r="J313" s="105"/>
      <c r="K313" s="57"/>
      <c r="L313" s="150"/>
      <c r="M313" s="239"/>
      <c r="N313" s="239"/>
      <c r="O313" s="57"/>
      <c r="P313" s="157"/>
      <c r="Q313" s="404"/>
      <c r="R313" s="148"/>
      <c r="S313" s="242"/>
      <c r="T313" s="242"/>
      <c r="U313" s="242"/>
      <c r="V313" s="242"/>
      <c r="W313" s="242"/>
      <c r="X313" s="242"/>
      <c r="Y313" s="148"/>
      <c r="Z313" s="148"/>
    </row>
    <row r="314">
      <c r="A314" s="468"/>
      <c r="B314" s="157"/>
      <c r="C314" s="466"/>
      <c r="D314" s="405"/>
      <c r="E314" s="543" t="s">
        <v>335</v>
      </c>
      <c r="F314" s="544" t="s">
        <v>237</v>
      </c>
      <c r="G314" s="412" t="s">
        <v>336</v>
      </c>
      <c r="H314" s="413" t="s">
        <v>337</v>
      </c>
      <c r="I314" s="239"/>
      <c r="J314" s="145" t="s">
        <v>60</v>
      </c>
      <c r="K314" s="57"/>
      <c r="L314" s="150"/>
      <c r="M314" s="414"/>
      <c r="N314" s="414"/>
      <c r="O314" s="57" t="s">
        <v>334</v>
      </c>
      <c r="P314" s="157"/>
      <c r="Q314" s="404"/>
      <c r="R314" s="148"/>
      <c r="S314" s="242"/>
      <c r="T314" s="242"/>
      <c r="U314" s="242"/>
      <c r="V314" s="242"/>
      <c r="W314" s="242"/>
      <c r="X314" s="242"/>
      <c r="Y314" s="148"/>
      <c r="Z314" s="148"/>
    </row>
    <row r="315">
      <c r="A315" s="470" t="s">
        <v>179</v>
      </c>
      <c r="C315" s="416">
        <f>SUM(F315:F349)</f>
        <v>5759</v>
      </c>
      <c r="D315" s="405"/>
      <c r="E315" s="545"/>
      <c r="F315" s="546"/>
      <c r="G315" s="578"/>
      <c r="H315" s="419"/>
      <c r="I315" s="57"/>
      <c r="K315" s="57"/>
      <c r="L315" s="150"/>
      <c r="M315" s="377" t="s">
        <v>366</v>
      </c>
      <c r="P315" s="157"/>
      <c r="Q315" s="404"/>
      <c r="R315" s="148"/>
      <c r="S315" s="242"/>
      <c r="T315" s="242"/>
      <c r="U315" s="242"/>
      <c r="V315" s="242"/>
      <c r="W315" s="242"/>
      <c r="X315" s="242"/>
      <c r="Y315" s="148"/>
      <c r="Z315" s="148"/>
    </row>
    <row r="316">
      <c r="A316" s="421" t="s">
        <v>343</v>
      </c>
      <c r="B316" s="422" t="s">
        <v>321</v>
      </c>
      <c r="C316" s="416">
        <f>SUM(P316:P349)</f>
        <v>1088</v>
      </c>
      <c r="D316" s="157"/>
      <c r="E316" s="545"/>
      <c r="F316" s="546"/>
      <c r="G316" s="578"/>
      <c r="H316" s="419"/>
      <c r="I316" s="239"/>
      <c r="J316" s="471" t="s">
        <v>341</v>
      </c>
      <c r="K316" s="420"/>
      <c r="L316" s="150"/>
      <c r="M316" s="374"/>
      <c r="O316" s="192" t="s">
        <v>1217</v>
      </c>
      <c r="P316" s="546">
        <v>180.0</v>
      </c>
      <c r="Q316" s="404"/>
      <c r="R316" s="148"/>
      <c r="S316" s="242"/>
      <c r="T316" s="242"/>
      <c r="U316" s="242"/>
      <c r="V316" s="242"/>
      <c r="W316" s="242"/>
      <c r="X316" s="242"/>
      <c r="Y316" s="148"/>
      <c r="Z316" s="148"/>
    </row>
    <row r="317">
      <c r="A317" s="427" t="s">
        <v>201</v>
      </c>
      <c r="C317" s="204">
        <f>SUM(L316:L349)</f>
        <v>1290</v>
      </c>
      <c r="D317" s="157"/>
      <c r="E317" s="545"/>
      <c r="F317" s="546"/>
      <c r="G317" s="578"/>
      <c r="H317" s="419"/>
      <c r="I317" s="239"/>
      <c r="J317" s="472" t="s">
        <v>345</v>
      </c>
      <c r="K317" s="420"/>
      <c r="L317" s="150"/>
      <c r="M317" s="374"/>
      <c r="O317" s="192" t="s">
        <v>1218</v>
      </c>
      <c r="P317" s="546">
        <v>180.0</v>
      </c>
      <c r="Q317" s="404"/>
      <c r="R317" s="148"/>
      <c r="S317" s="242"/>
      <c r="T317" s="242"/>
      <c r="U317" s="242"/>
      <c r="V317" s="242"/>
      <c r="W317" s="242"/>
      <c r="X317" s="242"/>
      <c r="Y317" s="148"/>
      <c r="Z317" s="148"/>
    </row>
    <row r="318">
      <c r="A318" s="548" t="s">
        <v>761</v>
      </c>
      <c r="B318" s="549">
        <v>0.4</v>
      </c>
      <c r="C318" s="191"/>
      <c r="D318" s="157"/>
      <c r="E318" s="550" t="s">
        <v>695</v>
      </c>
      <c r="F318" s="546"/>
      <c r="G318" s="562"/>
      <c r="H318" s="419"/>
      <c r="I318" s="239"/>
      <c r="J318" s="433" t="s">
        <v>656</v>
      </c>
      <c r="K318" s="420"/>
      <c r="L318" s="193"/>
      <c r="M318" s="374"/>
      <c r="O318" s="192" t="s">
        <v>1140</v>
      </c>
      <c r="P318" s="546">
        <v>280.0</v>
      </c>
      <c r="Q318" s="404"/>
      <c r="R318" s="148"/>
      <c r="S318" s="242"/>
      <c r="T318" s="242"/>
      <c r="U318" s="242"/>
      <c r="V318" s="242"/>
      <c r="W318" s="242"/>
      <c r="X318" s="242"/>
      <c r="Y318" s="148"/>
      <c r="Z318" s="148"/>
    </row>
    <row r="319">
      <c r="A319" s="434" t="s">
        <v>350</v>
      </c>
      <c r="C319" s="551">
        <f>C315-C317-C318</f>
        <v>4469</v>
      </c>
      <c r="D319" s="157"/>
      <c r="E319" s="192" t="s">
        <v>504</v>
      </c>
      <c r="F319" s="546">
        <v>430.0</v>
      </c>
      <c r="G319" s="579"/>
      <c r="H319" s="419"/>
      <c r="I319" s="57"/>
      <c r="J319" s="444" t="s">
        <v>658</v>
      </c>
      <c r="K319" s="420"/>
      <c r="L319" s="193"/>
      <c r="M319" s="377"/>
      <c r="O319" s="192" t="s">
        <v>1219</v>
      </c>
      <c r="P319" s="546">
        <v>208.0</v>
      </c>
      <c r="Q319" s="404"/>
      <c r="R319" s="148"/>
      <c r="S319" s="242"/>
      <c r="T319" s="242"/>
      <c r="U319" s="242"/>
      <c r="V319" s="242"/>
      <c r="W319" s="242"/>
      <c r="X319" s="242"/>
      <c r="Y319" s="148"/>
      <c r="Z319" s="148"/>
    </row>
    <row r="320">
      <c r="A320" s="554"/>
      <c r="B320" s="555"/>
      <c r="C320" s="447"/>
      <c r="D320" s="157"/>
      <c r="E320" s="192" t="s">
        <v>1220</v>
      </c>
      <c r="F320" s="546">
        <v>275.0</v>
      </c>
      <c r="G320" s="578"/>
      <c r="H320" s="419"/>
      <c r="I320" s="57"/>
      <c r="J320" s="444" t="s">
        <v>660</v>
      </c>
      <c r="K320" s="420"/>
      <c r="L320" s="193"/>
      <c r="M320" s="377"/>
      <c r="O320" s="192" t="s">
        <v>1142</v>
      </c>
      <c r="P320" s="546">
        <v>240.0</v>
      </c>
      <c r="Q320" s="404"/>
      <c r="R320" s="148"/>
      <c r="S320" s="242"/>
      <c r="T320" s="242"/>
      <c r="U320" s="242"/>
      <c r="V320" s="242"/>
      <c r="W320" s="242"/>
      <c r="X320" s="242"/>
      <c r="Y320" s="148"/>
      <c r="Z320" s="148"/>
    </row>
    <row r="321">
      <c r="A321" s="556"/>
      <c r="C321" s="395"/>
      <c r="D321" s="157"/>
      <c r="E321" s="192" t="s">
        <v>1217</v>
      </c>
      <c r="F321" s="546">
        <v>180.0</v>
      </c>
      <c r="G321" s="558" t="s">
        <v>426</v>
      </c>
      <c r="H321" s="419"/>
      <c r="I321" s="239"/>
      <c r="J321" s="370" t="s">
        <v>662</v>
      </c>
      <c r="K321" s="420"/>
      <c r="L321" s="193"/>
      <c r="M321" s="374"/>
      <c r="O321" s="431"/>
      <c r="P321" s="157"/>
      <c r="Q321" s="404"/>
      <c r="R321" s="148"/>
      <c r="S321" s="242"/>
      <c r="T321" s="242"/>
      <c r="U321" s="242"/>
      <c r="V321" s="242"/>
      <c r="W321" s="242"/>
      <c r="X321" s="242"/>
      <c r="Y321" s="148"/>
      <c r="Z321" s="148"/>
    </row>
    <row r="322">
      <c r="A322" s="557"/>
      <c r="B322" s="109"/>
      <c r="C322" s="395"/>
      <c r="D322" s="373"/>
      <c r="E322" s="192" t="s">
        <v>1218</v>
      </c>
      <c r="F322" s="546">
        <v>180.0</v>
      </c>
      <c r="G322" s="558" t="s">
        <v>426</v>
      </c>
      <c r="H322" s="419"/>
      <c r="I322" s="239"/>
      <c r="J322" s="433" t="s">
        <v>666</v>
      </c>
      <c r="K322" s="420"/>
      <c r="L322" s="150"/>
      <c r="M322" s="374"/>
      <c r="O322" s="431"/>
      <c r="P322" s="157"/>
      <c r="Q322" s="404"/>
      <c r="R322" s="148"/>
      <c r="S322" s="242"/>
      <c r="T322" s="242"/>
      <c r="U322" s="242"/>
      <c r="V322" s="242"/>
      <c r="W322" s="242"/>
      <c r="X322" s="242"/>
      <c r="Y322" s="148"/>
      <c r="Z322" s="148"/>
    </row>
    <row r="323">
      <c r="A323" s="559" t="s">
        <v>765</v>
      </c>
      <c r="B323" s="560">
        <f>SUM(D323:D349)</f>
        <v>480</v>
      </c>
      <c r="C323" s="477" t="s">
        <v>366</v>
      </c>
      <c r="D323" s="157"/>
      <c r="E323" s="192" t="s">
        <v>1140</v>
      </c>
      <c r="F323" s="546">
        <v>280.0</v>
      </c>
      <c r="G323" s="558" t="s">
        <v>426</v>
      </c>
      <c r="H323" s="419"/>
      <c r="I323" s="239"/>
      <c r="J323" s="433" t="s">
        <v>668</v>
      </c>
      <c r="K323" s="420"/>
      <c r="L323" s="150"/>
      <c r="M323" s="377"/>
      <c r="O323" s="431"/>
      <c r="P323" s="157"/>
      <c r="Q323" s="404"/>
      <c r="R323" s="148"/>
      <c r="S323" s="242"/>
      <c r="T323" s="242"/>
      <c r="U323" s="242"/>
      <c r="V323" s="242"/>
      <c r="W323" s="242"/>
      <c r="X323" s="242"/>
      <c r="Y323" s="148"/>
      <c r="Z323" s="148"/>
    </row>
    <row r="324">
      <c r="A324" s="453" t="s">
        <v>369</v>
      </c>
      <c r="C324" s="561" t="s">
        <v>766</v>
      </c>
      <c r="D324" s="423"/>
      <c r="E324" s="192" t="s">
        <v>1221</v>
      </c>
      <c r="F324" s="546">
        <v>180.0</v>
      </c>
      <c r="G324" s="562" t="s">
        <v>426</v>
      </c>
      <c r="H324" s="419"/>
      <c r="I324" s="239"/>
      <c r="J324" s="433" t="s">
        <v>670</v>
      </c>
      <c r="K324" s="458"/>
      <c r="L324" s="193">
        <v>1250.0</v>
      </c>
      <c r="M324" s="377"/>
      <c r="O324" s="431"/>
      <c r="P324" s="157"/>
      <c r="Q324" s="404"/>
      <c r="R324" s="148"/>
      <c r="S324" s="242"/>
      <c r="T324" s="242"/>
      <c r="U324" s="242"/>
      <c r="V324" s="242"/>
      <c r="W324" s="242"/>
      <c r="X324" s="242"/>
      <c r="Y324" s="148"/>
      <c r="Z324" s="148"/>
    </row>
    <row r="325">
      <c r="C325" s="561" t="s">
        <v>767</v>
      </c>
      <c r="D325" s="423"/>
      <c r="E325" s="192" t="s">
        <v>1222</v>
      </c>
      <c r="F325" s="546">
        <v>1440.0</v>
      </c>
      <c r="G325" s="562" t="s">
        <v>426</v>
      </c>
      <c r="H325" s="419"/>
      <c r="I325" s="239"/>
      <c r="J325" s="433" t="s">
        <v>217</v>
      </c>
      <c r="K325" s="458"/>
      <c r="L325" s="150"/>
      <c r="M325" s="377"/>
      <c r="O325" s="431"/>
      <c r="P325" s="157"/>
      <c r="Q325" s="404"/>
      <c r="R325" s="148"/>
      <c r="S325" s="242"/>
      <c r="T325" s="242"/>
      <c r="U325" s="242"/>
      <c r="V325" s="242"/>
      <c r="W325" s="242"/>
      <c r="X325" s="242"/>
      <c r="Y325" s="148"/>
      <c r="Z325" s="148"/>
    </row>
    <row r="326">
      <c r="A326" s="57"/>
      <c r="B326" s="57"/>
      <c r="C326" s="561" t="s">
        <v>768</v>
      </c>
      <c r="D326" s="423"/>
      <c r="E326" s="192" t="s">
        <v>1180</v>
      </c>
      <c r="F326" s="546">
        <v>600.0</v>
      </c>
      <c r="G326" s="578"/>
      <c r="H326" s="419"/>
      <c r="I326" s="239"/>
      <c r="J326" s="109"/>
      <c r="K326" s="420"/>
      <c r="L326" s="193"/>
      <c r="M326" s="374"/>
      <c r="O326" s="431"/>
      <c r="P326" s="157"/>
      <c r="Q326" s="404"/>
      <c r="R326" s="148"/>
      <c r="S326" s="242"/>
      <c r="T326" s="242"/>
      <c r="U326" s="242"/>
      <c r="V326" s="242"/>
      <c r="W326" s="242"/>
      <c r="X326" s="242"/>
      <c r="Y326" s="148"/>
      <c r="Z326" s="148"/>
    </row>
    <row r="327">
      <c r="A327" s="57"/>
      <c r="B327" s="57"/>
      <c r="C327" s="561" t="s">
        <v>769</v>
      </c>
      <c r="D327" s="157"/>
      <c r="E327" s="192" t="s">
        <v>1219</v>
      </c>
      <c r="F327" s="546">
        <v>208.0</v>
      </c>
      <c r="G327" s="558" t="s">
        <v>426</v>
      </c>
      <c r="H327" s="419"/>
      <c r="I327" s="239"/>
      <c r="J327" s="456" t="s">
        <v>672</v>
      </c>
      <c r="K327" s="420"/>
      <c r="L327" s="594"/>
      <c r="M327" s="377"/>
      <c r="O327" s="431"/>
      <c r="P327" s="157"/>
      <c r="Q327" s="404"/>
      <c r="R327" s="148"/>
      <c r="S327" s="242"/>
      <c r="T327" s="242"/>
      <c r="U327" s="242"/>
      <c r="V327" s="242"/>
      <c r="W327" s="242"/>
      <c r="X327" s="242"/>
      <c r="Y327" s="148"/>
      <c r="Z327" s="148"/>
    </row>
    <row r="328">
      <c r="A328" s="57"/>
      <c r="B328" s="57"/>
      <c r="C328" s="561" t="s">
        <v>770</v>
      </c>
      <c r="D328" s="423"/>
      <c r="E328" s="192" t="s">
        <v>873</v>
      </c>
      <c r="F328" s="546">
        <v>260.0</v>
      </c>
      <c r="G328" s="562" t="s">
        <v>426</v>
      </c>
      <c r="H328" s="419"/>
      <c r="I328" s="57"/>
      <c r="J328" s="456" t="s">
        <v>675</v>
      </c>
      <c r="K328" s="420"/>
      <c r="L328" s="150"/>
      <c r="M328" s="382"/>
      <c r="O328" s="431"/>
      <c r="P328" s="157"/>
      <c r="Q328" s="404"/>
      <c r="R328" s="148"/>
      <c r="S328" s="242"/>
      <c r="T328" s="242"/>
      <c r="U328" s="242"/>
      <c r="V328" s="242"/>
      <c r="W328" s="242"/>
      <c r="X328" s="242"/>
      <c r="Y328" s="148"/>
      <c r="Z328" s="148"/>
    </row>
    <row r="329">
      <c r="A329" s="57"/>
      <c r="B329" s="57"/>
      <c r="C329" s="561" t="s">
        <v>793</v>
      </c>
      <c r="D329" s="423"/>
      <c r="E329" s="192" t="s">
        <v>1142</v>
      </c>
      <c r="F329" s="546">
        <v>240.0</v>
      </c>
      <c r="G329" s="558" t="s">
        <v>426</v>
      </c>
      <c r="H329" s="419"/>
      <c r="I329" s="57"/>
      <c r="J329" s="456"/>
      <c r="K329" s="420"/>
      <c r="L329" s="150"/>
      <c r="M329" s="425"/>
      <c r="O329" s="431"/>
      <c r="P329" s="157"/>
      <c r="Q329" s="404"/>
      <c r="R329" s="148"/>
      <c r="S329" s="242"/>
      <c r="T329" s="242"/>
      <c r="U329" s="242"/>
      <c r="V329" s="242"/>
      <c r="W329" s="242"/>
      <c r="X329" s="242"/>
      <c r="Y329" s="148"/>
      <c r="Z329" s="148"/>
    </row>
    <row r="330">
      <c r="A330" s="239"/>
      <c r="B330" s="57"/>
      <c r="C330" s="561" t="s">
        <v>794</v>
      </c>
      <c r="D330" s="423"/>
      <c r="E330" s="192" t="s">
        <v>1223</v>
      </c>
      <c r="F330" s="546">
        <v>50.0</v>
      </c>
      <c r="G330" s="578"/>
      <c r="H330" s="419"/>
      <c r="I330" s="57"/>
      <c r="J330" s="375"/>
      <c r="K330" s="420"/>
      <c r="L330" s="150"/>
      <c r="M330" s="425"/>
      <c r="O330" s="431"/>
      <c r="P330" s="157"/>
      <c r="Q330" s="404"/>
      <c r="R330" s="148"/>
      <c r="S330" s="242"/>
      <c r="T330" s="242"/>
      <c r="U330" s="242"/>
      <c r="V330" s="242"/>
      <c r="W330" s="242"/>
      <c r="X330" s="242"/>
      <c r="Y330" s="148"/>
      <c r="Z330" s="148"/>
    </row>
    <row r="331">
      <c r="A331" s="239"/>
      <c r="B331" s="57"/>
      <c r="C331" s="561" t="s">
        <v>18</v>
      </c>
      <c r="D331" s="423"/>
      <c r="E331" s="192" t="s">
        <v>1224</v>
      </c>
      <c r="F331" s="546">
        <v>296.0</v>
      </c>
      <c r="G331" s="578"/>
      <c r="H331" s="419"/>
      <c r="I331" s="57"/>
      <c r="J331" s="375"/>
      <c r="K331" s="420"/>
      <c r="L331" s="193"/>
      <c r="M331" s="382"/>
      <c r="O331" s="431"/>
      <c r="P331" s="157"/>
      <c r="Q331" s="404"/>
      <c r="R331" s="148"/>
      <c r="S331" s="242"/>
      <c r="T331" s="242"/>
      <c r="U331" s="242"/>
      <c r="V331" s="242"/>
      <c r="W331" s="242"/>
      <c r="X331" s="242"/>
      <c r="Y331" s="148"/>
      <c r="Z331" s="148"/>
    </row>
    <row r="332">
      <c r="A332" s="239"/>
      <c r="B332" s="57"/>
      <c r="C332" s="563" t="s">
        <v>1115</v>
      </c>
      <c r="D332" s="423">
        <v>400.0</v>
      </c>
      <c r="E332" s="192" t="s">
        <v>1179</v>
      </c>
      <c r="F332" s="546">
        <v>250.0</v>
      </c>
      <c r="G332" s="562" t="s">
        <v>980</v>
      </c>
      <c r="H332" s="419"/>
      <c r="I332" s="57"/>
      <c r="J332" s="452"/>
      <c r="K332" s="420"/>
      <c r="L332" s="150"/>
      <c r="M332" s="425"/>
      <c r="O332" s="431"/>
      <c r="P332" s="157"/>
      <c r="Q332" s="404"/>
      <c r="R332" s="148"/>
      <c r="S332" s="242"/>
      <c r="T332" s="242"/>
      <c r="U332" s="242"/>
      <c r="V332" s="242"/>
      <c r="W332" s="242"/>
      <c r="X332" s="242"/>
      <c r="Y332" s="148"/>
      <c r="Z332" s="148"/>
    </row>
    <row r="333">
      <c r="A333" s="57"/>
      <c r="B333" s="57"/>
      <c r="C333" s="561" t="s">
        <v>1116</v>
      </c>
      <c r="D333" s="423"/>
      <c r="E333" s="192" t="s">
        <v>1225</v>
      </c>
      <c r="F333" s="546">
        <v>890.0</v>
      </c>
      <c r="G333" s="562" t="s">
        <v>980</v>
      </c>
      <c r="H333" s="419"/>
      <c r="I333" s="57"/>
      <c r="J333" s="105"/>
      <c r="K333" s="420"/>
      <c r="L333" s="193"/>
      <c r="M333" s="425"/>
      <c r="O333" s="431"/>
      <c r="P333" s="157"/>
      <c r="Q333" s="404"/>
      <c r="R333" s="148"/>
      <c r="S333" s="242"/>
      <c r="T333" s="242"/>
      <c r="U333" s="242"/>
      <c r="V333" s="242"/>
      <c r="W333" s="242"/>
      <c r="X333" s="242"/>
      <c r="Y333" s="148"/>
      <c r="Z333" s="148"/>
    </row>
    <row r="334">
      <c r="A334" s="239"/>
      <c r="B334" s="239"/>
      <c r="C334" s="561" t="s">
        <v>775</v>
      </c>
      <c r="E334" s="228"/>
      <c r="F334" s="547"/>
      <c r="G334" s="578"/>
      <c r="H334" s="419"/>
      <c r="I334" s="57"/>
      <c r="J334" s="378" t="s">
        <v>682</v>
      </c>
      <c r="K334" s="420"/>
      <c r="L334" s="193">
        <v>40.0</v>
      </c>
      <c r="M334" s="377" t="s">
        <v>1226</v>
      </c>
      <c r="O334" s="431"/>
      <c r="P334" s="157"/>
      <c r="Q334" s="404"/>
      <c r="R334" s="148"/>
      <c r="S334" s="242"/>
      <c r="T334" s="242"/>
      <c r="U334" s="242"/>
      <c r="V334" s="242"/>
      <c r="W334" s="242"/>
      <c r="X334" s="242"/>
      <c r="Y334" s="148"/>
      <c r="Z334" s="148"/>
    </row>
    <row r="335">
      <c r="A335" s="239"/>
      <c r="B335" s="239"/>
      <c r="C335" s="561" t="s">
        <v>10</v>
      </c>
      <c r="D335" s="157"/>
      <c r="E335" s="206"/>
      <c r="F335" s="564"/>
      <c r="G335" s="581"/>
      <c r="H335" s="419"/>
      <c r="I335" s="57"/>
      <c r="J335" s="461" t="s">
        <v>684</v>
      </c>
      <c r="K335" s="420"/>
      <c r="L335" s="193"/>
      <c r="M335" s="377"/>
      <c r="O335" s="431"/>
      <c r="P335" s="157"/>
      <c r="Q335" s="404"/>
      <c r="R335" s="148"/>
      <c r="S335" s="242"/>
      <c r="T335" s="242"/>
      <c r="U335" s="242"/>
      <c r="V335" s="242"/>
      <c r="W335" s="242"/>
      <c r="X335" s="242"/>
      <c r="Y335" s="148"/>
      <c r="Z335" s="148"/>
    </row>
    <row r="336">
      <c r="A336" s="239"/>
      <c r="B336" s="239"/>
      <c r="C336" s="561" t="s">
        <v>6</v>
      </c>
      <c r="D336" s="423"/>
      <c r="E336" s="595"/>
      <c r="F336" s="547"/>
      <c r="G336" s="579"/>
      <c r="H336" s="455"/>
      <c r="I336" s="57"/>
      <c r="J336" s="461" t="s">
        <v>686</v>
      </c>
      <c r="K336" s="420"/>
      <c r="L336" s="193"/>
      <c r="M336" s="377"/>
      <c r="O336" s="463"/>
      <c r="P336" s="157"/>
      <c r="Q336" s="404"/>
      <c r="R336" s="148"/>
      <c r="S336" s="242"/>
      <c r="T336" s="242"/>
      <c r="U336" s="242"/>
      <c r="V336" s="242"/>
      <c r="W336" s="242"/>
      <c r="X336" s="242"/>
      <c r="Y336" s="148"/>
      <c r="Z336" s="148"/>
    </row>
    <row r="337">
      <c r="A337" s="238" t="s">
        <v>1227</v>
      </c>
      <c r="B337" s="57"/>
      <c r="C337" s="561" t="s">
        <v>779</v>
      </c>
      <c r="D337" s="423">
        <v>80.0</v>
      </c>
      <c r="E337" s="228"/>
      <c r="F337" s="547"/>
      <c r="G337" s="579"/>
      <c r="H337" s="455"/>
      <c r="I337" s="239"/>
      <c r="J337" s="460" t="s">
        <v>202</v>
      </c>
      <c r="K337" s="420"/>
      <c r="L337" s="193"/>
      <c r="M337" s="377"/>
      <c r="O337" s="463"/>
      <c r="P337" s="157"/>
      <c r="Q337" s="404"/>
      <c r="R337" s="148"/>
      <c r="S337" s="242"/>
      <c r="T337" s="242"/>
      <c r="U337" s="242"/>
      <c r="V337" s="242"/>
      <c r="W337" s="242"/>
      <c r="X337" s="242"/>
      <c r="Y337" s="148"/>
      <c r="Z337" s="148"/>
    </row>
    <row r="338">
      <c r="A338" s="239"/>
      <c r="B338" s="239"/>
      <c r="C338" s="561" t="s">
        <v>780</v>
      </c>
      <c r="D338" s="157"/>
      <c r="E338" s="228"/>
      <c r="F338" s="547"/>
      <c r="G338" s="579"/>
      <c r="H338" s="455"/>
      <c r="I338" s="57"/>
      <c r="J338" s="460" t="s">
        <v>274</v>
      </c>
      <c r="K338" s="420"/>
      <c r="L338" s="193"/>
      <c r="M338" s="374"/>
      <c r="O338" s="463"/>
      <c r="P338" s="157"/>
      <c r="Q338" s="404"/>
      <c r="R338" s="148"/>
      <c r="S338" s="242"/>
      <c r="T338" s="242"/>
      <c r="U338" s="242"/>
      <c r="V338" s="242"/>
      <c r="W338" s="242"/>
      <c r="X338" s="242"/>
      <c r="Y338" s="148"/>
      <c r="Z338" s="148"/>
    </row>
    <row r="339">
      <c r="A339" s="239"/>
      <c r="B339" s="239"/>
      <c r="C339" s="561" t="s">
        <v>781</v>
      </c>
      <c r="D339" s="423"/>
      <c r="E339" s="228"/>
      <c r="F339" s="547"/>
      <c r="G339" s="579"/>
      <c r="H339" s="419"/>
      <c r="I339" s="239"/>
      <c r="J339" s="685" t="s">
        <v>1117</v>
      </c>
      <c r="K339" s="420"/>
      <c r="L339" s="150"/>
      <c r="M339" s="374"/>
      <c r="O339" s="431"/>
      <c r="P339" s="157"/>
      <c r="Q339" s="404"/>
      <c r="R339" s="148"/>
      <c r="S339" s="242"/>
      <c r="T339" s="242"/>
      <c r="U339" s="242"/>
      <c r="V339" s="242"/>
      <c r="W339" s="242"/>
      <c r="X339" s="242"/>
      <c r="Y339" s="148"/>
      <c r="Z339" s="148"/>
    </row>
    <row r="340">
      <c r="A340" s="239"/>
      <c r="B340" s="157"/>
      <c r="C340" s="561" t="s">
        <v>1118</v>
      </c>
      <c r="D340" s="157"/>
      <c r="E340" s="569"/>
      <c r="F340" s="547"/>
      <c r="G340" s="578"/>
      <c r="H340" s="419"/>
      <c r="I340" s="57"/>
      <c r="J340" s="685" t="s">
        <v>1119</v>
      </c>
      <c r="K340" s="420"/>
      <c r="L340" s="193"/>
      <c r="M340" s="377"/>
      <c r="O340" s="431"/>
      <c r="P340" s="157"/>
      <c r="Q340" s="404"/>
      <c r="R340" s="148"/>
      <c r="S340" s="242"/>
      <c r="T340" s="242"/>
      <c r="U340" s="242"/>
      <c r="V340" s="242"/>
      <c r="W340" s="242"/>
      <c r="X340" s="242"/>
      <c r="Y340" s="148"/>
      <c r="Z340" s="148"/>
    </row>
    <row r="341">
      <c r="A341" s="239"/>
      <c r="B341" s="157"/>
      <c r="C341" s="561" t="s">
        <v>1120</v>
      </c>
      <c r="D341" s="157"/>
      <c r="E341" s="228"/>
      <c r="F341" s="547"/>
      <c r="G341" s="578"/>
      <c r="H341" s="419"/>
      <c r="I341" s="239"/>
      <c r="J341" s="596" t="s">
        <v>1001</v>
      </c>
      <c r="K341" s="420"/>
      <c r="L341" s="193"/>
      <c r="M341" s="377"/>
      <c r="O341" s="431"/>
      <c r="P341" s="157"/>
      <c r="Q341" s="404"/>
      <c r="R341" s="148"/>
      <c r="S341" s="242"/>
      <c r="T341" s="242"/>
      <c r="U341" s="242"/>
      <c r="V341" s="242"/>
      <c r="W341" s="242"/>
      <c r="X341" s="242"/>
      <c r="Y341" s="148"/>
      <c r="Z341" s="148"/>
    </row>
    <row r="342">
      <c r="A342" s="239"/>
      <c r="B342" s="157"/>
      <c r="C342" s="561"/>
      <c r="D342" s="157"/>
      <c r="E342" s="570"/>
      <c r="F342" s="547"/>
      <c r="G342" s="578"/>
      <c r="H342" s="419"/>
      <c r="I342" s="239"/>
      <c r="J342" s="568"/>
      <c r="K342" s="420"/>
      <c r="L342" s="193"/>
      <c r="M342" s="374"/>
      <c r="O342" s="431"/>
      <c r="P342" s="157"/>
      <c r="Q342" s="404"/>
      <c r="R342" s="148"/>
      <c r="S342" s="242"/>
      <c r="T342" s="242"/>
      <c r="U342" s="242"/>
      <c r="V342" s="242"/>
      <c r="W342" s="242"/>
      <c r="X342" s="242"/>
      <c r="Y342" s="148"/>
      <c r="Z342" s="148"/>
    </row>
    <row r="343">
      <c r="C343" s="571"/>
      <c r="D343" s="157"/>
      <c r="E343" s="570"/>
      <c r="F343" s="547"/>
      <c r="G343" s="578"/>
      <c r="H343" s="419"/>
      <c r="I343" s="239"/>
      <c r="J343" s="464" t="s">
        <v>692</v>
      </c>
      <c r="K343" s="420"/>
      <c r="L343" s="193"/>
      <c r="M343" s="377"/>
      <c r="O343" s="431"/>
      <c r="P343" s="157"/>
      <c r="Q343" s="404"/>
      <c r="R343" s="148"/>
      <c r="S343" s="242"/>
      <c r="T343" s="242"/>
      <c r="U343" s="242"/>
      <c r="V343" s="242"/>
      <c r="W343" s="242"/>
      <c r="X343" s="242"/>
      <c r="Y343" s="148"/>
      <c r="Z343" s="148"/>
    </row>
    <row r="344">
      <c r="C344" s="571"/>
      <c r="D344" s="157"/>
      <c r="E344" s="570"/>
      <c r="F344" s="547"/>
      <c r="G344" s="578"/>
      <c r="H344" s="419"/>
      <c r="I344" s="239"/>
      <c r="J344" s="464" t="s">
        <v>694</v>
      </c>
      <c r="K344" s="420"/>
      <c r="L344" s="193"/>
      <c r="M344" s="374"/>
      <c r="O344" s="431"/>
      <c r="P344" s="157"/>
      <c r="Q344" s="404"/>
      <c r="R344" s="148"/>
      <c r="S344" s="242"/>
      <c r="T344" s="242"/>
      <c r="U344" s="242"/>
      <c r="V344" s="242"/>
      <c r="W344" s="242"/>
      <c r="X344" s="242"/>
      <c r="Y344" s="148"/>
      <c r="Z344" s="148"/>
    </row>
    <row r="345">
      <c r="C345" s="571"/>
      <c r="D345" s="423"/>
      <c r="E345" s="570"/>
      <c r="F345" s="546"/>
      <c r="G345" s="578"/>
      <c r="H345" s="419"/>
      <c r="I345" s="57"/>
      <c r="J345" s="105"/>
      <c r="K345" s="57"/>
      <c r="L345" s="150"/>
      <c r="M345" s="57"/>
      <c r="N345" s="57"/>
      <c r="O345" s="57"/>
      <c r="P345" s="157"/>
      <c r="Q345" s="404"/>
      <c r="R345" s="148"/>
      <c r="S345" s="242"/>
      <c r="T345" s="242"/>
      <c r="U345" s="242"/>
      <c r="V345" s="242"/>
      <c r="W345" s="242"/>
      <c r="X345" s="242"/>
      <c r="Y345" s="148"/>
      <c r="Z345" s="148"/>
    </row>
    <row r="346">
      <c r="A346" s="125" t="s">
        <v>798</v>
      </c>
      <c r="B346" s="572">
        <f>C319-B323</f>
        <v>3989</v>
      </c>
      <c r="D346" s="157"/>
      <c r="E346" s="570"/>
      <c r="F346" s="573"/>
      <c r="G346" s="581"/>
      <c r="H346" s="419"/>
      <c r="I346" s="239"/>
      <c r="J346" s="568"/>
      <c r="K346" s="57"/>
      <c r="L346" s="150"/>
      <c r="M346" s="57"/>
      <c r="N346" s="57"/>
      <c r="O346" s="57"/>
      <c r="P346" s="157"/>
      <c r="Q346" s="404"/>
      <c r="R346" s="148"/>
      <c r="S346" s="242"/>
      <c r="T346" s="242"/>
      <c r="U346" s="242"/>
      <c r="V346" s="242"/>
      <c r="W346" s="242"/>
      <c r="X346" s="242"/>
      <c r="Y346" s="148"/>
      <c r="Z346" s="148"/>
    </row>
    <row r="347">
      <c r="A347" s="274" t="s">
        <v>783</v>
      </c>
      <c r="B347" s="109"/>
      <c r="C347" s="395"/>
      <c r="D347" s="157"/>
      <c r="E347" s="570"/>
      <c r="F347" s="573"/>
      <c r="G347" s="581"/>
      <c r="H347" s="419"/>
      <c r="I347" s="239"/>
      <c r="J347" s="568"/>
      <c r="K347" s="57"/>
      <c r="L347" s="150"/>
      <c r="M347" s="57"/>
      <c r="N347" s="57"/>
      <c r="O347" s="57"/>
      <c r="P347" s="157"/>
      <c r="Q347" s="404"/>
      <c r="R347" s="148"/>
      <c r="S347" s="242"/>
      <c r="T347" s="242"/>
      <c r="U347" s="242"/>
      <c r="V347" s="242"/>
      <c r="W347" s="242"/>
      <c r="X347" s="242"/>
      <c r="Y347" s="148"/>
      <c r="Z347" s="148"/>
    </row>
    <row r="348">
      <c r="A348" s="274" t="s">
        <v>784</v>
      </c>
      <c r="B348" s="109"/>
      <c r="C348" s="395"/>
      <c r="D348" s="157"/>
      <c r="E348" s="570"/>
      <c r="F348" s="573"/>
      <c r="G348" s="581"/>
      <c r="H348" s="419"/>
      <c r="I348" s="239"/>
      <c r="J348" s="568"/>
      <c r="K348" s="57"/>
      <c r="L348" s="150"/>
      <c r="M348" s="57"/>
      <c r="N348" s="57"/>
      <c r="O348" s="57"/>
      <c r="P348" s="157"/>
      <c r="Q348" s="404"/>
      <c r="R348" s="148"/>
      <c r="S348" s="242"/>
      <c r="T348" s="242"/>
      <c r="U348" s="242"/>
      <c r="V348" s="242"/>
      <c r="W348" s="242"/>
      <c r="X348" s="242"/>
      <c r="Y348" s="148"/>
      <c r="Z348" s="148"/>
    </row>
    <row r="349">
      <c r="A349" s="274" t="s">
        <v>785</v>
      </c>
      <c r="B349" s="109"/>
      <c r="C349" s="686">
        <f>SUM(B347:B349)</f>
        <v>0</v>
      </c>
      <c r="D349" s="157"/>
      <c r="E349" s="570"/>
      <c r="F349" s="573"/>
      <c r="G349" s="581"/>
      <c r="H349" s="419"/>
      <c r="I349" s="239"/>
      <c r="J349" s="568"/>
      <c r="K349" s="57"/>
      <c r="L349" s="150"/>
      <c r="M349" s="57"/>
      <c r="N349" s="57"/>
      <c r="O349" s="57"/>
      <c r="P349" s="157"/>
      <c r="Q349" s="404"/>
      <c r="R349" s="148"/>
      <c r="S349" s="242"/>
      <c r="T349" s="242"/>
      <c r="U349" s="242"/>
      <c r="V349" s="242"/>
      <c r="W349" s="242"/>
      <c r="X349" s="242"/>
      <c r="Y349" s="148"/>
      <c r="Z349" s="148"/>
    </row>
    <row r="350">
      <c r="A350" s="402"/>
      <c r="B350" s="403"/>
      <c r="C350" s="403"/>
      <c r="D350" s="403"/>
      <c r="E350" s="574"/>
      <c r="F350" s="575"/>
      <c r="G350" s="576"/>
      <c r="H350" s="159"/>
      <c r="I350" s="159"/>
      <c r="J350" s="576"/>
      <c r="K350" s="159"/>
      <c r="L350" s="162"/>
      <c r="M350" s="402"/>
      <c r="N350" s="402"/>
      <c r="O350" s="159"/>
      <c r="P350" s="403"/>
      <c r="Q350" s="577"/>
      <c r="R350" s="148"/>
      <c r="S350" s="242"/>
      <c r="T350" s="242"/>
      <c r="U350" s="242"/>
      <c r="V350" s="242"/>
      <c r="W350" s="242"/>
      <c r="X350" s="242"/>
      <c r="Y350" s="148"/>
      <c r="Z350" s="148"/>
    </row>
    <row r="351">
      <c r="A351" s="148"/>
      <c r="B351" s="148"/>
      <c r="C351" s="148"/>
      <c r="D351" s="245"/>
      <c r="E351" s="585"/>
      <c r="F351" s="586"/>
      <c r="G351" s="243"/>
      <c r="H351" s="148"/>
      <c r="I351" s="251"/>
      <c r="J351" s="243"/>
      <c r="K351" s="148"/>
      <c r="L351" s="277"/>
      <c r="M351" s="252"/>
      <c r="N351" s="250"/>
      <c r="O351" s="253"/>
      <c r="P351" s="240"/>
      <c r="Q351" s="148"/>
      <c r="R351" s="148"/>
      <c r="S351" s="242"/>
      <c r="T351" s="242"/>
      <c r="U351" s="242"/>
      <c r="V351" s="242"/>
      <c r="W351" s="242"/>
      <c r="X351" s="242"/>
      <c r="Y351" s="148"/>
      <c r="Z351" s="148"/>
    </row>
    <row r="352">
      <c r="A352" s="169" t="s">
        <v>98</v>
      </c>
      <c r="B352" s="539"/>
      <c r="C352" s="540"/>
      <c r="D352" s="405"/>
      <c r="E352" s="541"/>
      <c r="F352" s="542"/>
      <c r="G352" s="467" t="s">
        <v>333</v>
      </c>
      <c r="H352" s="361"/>
      <c r="I352" s="57"/>
      <c r="J352" s="105"/>
      <c r="K352" s="57"/>
      <c r="L352" s="150"/>
      <c r="M352" s="239"/>
      <c r="N352" s="239"/>
      <c r="O352" s="57"/>
      <c r="P352" s="157"/>
      <c r="Q352" s="404"/>
      <c r="R352" s="148"/>
      <c r="S352" s="242"/>
      <c r="T352" s="242"/>
      <c r="U352" s="242"/>
      <c r="V352" s="242"/>
      <c r="W352" s="242"/>
      <c r="X352" s="242"/>
      <c r="Y352" s="148"/>
      <c r="Z352" s="148"/>
    </row>
    <row r="353">
      <c r="A353" s="468"/>
      <c r="B353" s="157"/>
      <c r="C353" s="466"/>
      <c r="D353" s="405"/>
      <c r="E353" s="543" t="s">
        <v>335</v>
      </c>
      <c r="F353" s="544" t="s">
        <v>237</v>
      </c>
      <c r="G353" s="412" t="s">
        <v>336</v>
      </c>
      <c r="H353" s="413" t="s">
        <v>337</v>
      </c>
      <c r="I353" s="239"/>
      <c r="J353" s="145" t="s">
        <v>60</v>
      </c>
      <c r="K353" s="57"/>
      <c r="L353" s="150"/>
      <c r="M353" s="414"/>
      <c r="N353" s="414"/>
      <c r="O353" s="57" t="s">
        <v>334</v>
      </c>
      <c r="P353" s="157"/>
      <c r="Q353" s="404"/>
      <c r="R353" s="148"/>
      <c r="S353" s="242"/>
      <c r="T353" s="242"/>
      <c r="U353" s="242"/>
      <c r="V353" s="242"/>
      <c r="W353" s="242"/>
      <c r="X353" s="242"/>
      <c r="Y353" s="148"/>
      <c r="Z353" s="148"/>
    </row>
    <row r="354">
      <c r="A354" s="470" t="s">
        <v>179</v>
      </c>
      <c r="C354" s="416">
        <f>SUM(F354:F388)</f>
        <v>330</v>
      </c>
      <c r="D354" s="405"/>
      <c r="E354" s="545"/>
      <c r="F354" s="546"/>
      <c r="G354" s="578"/>
      <c r="H354" s="419"/>
      <c r="I354" s="57"/>
      <c r="K354" s="57"/>
      <c r="L354" s="150"/>
      <c r="M354" s="377" t="s">
        <v>366</v>
      </c>
      <c r="P354" s="157"/>
      <c r="Q354" s="404"/>
      <c r="R354" s="148"/>
      <c r="S354" s="242"/>
      <c r="T354" s="242"/>
      <c r="U354" s="242"/>
      <c r="V354" s="242"/>
      <c r="W354" s="242"/>
      <c r="X354" s="242"/>
      <c r="Y354" s="148"/>
      <c r="Z354" s="148"/>
    </row>
    <row r="355">
      <c r="A355" s="421" t="s">
        <v>343</v>
      </c>
      <c r="B355" s="422" t="s">
        <v>321</v>
      </c>
      <c r="C355" s="416">
        <f>SUM(P355:P388)</f>
        <v>0</v>
      </c>
      <c r="D355" s="157"/>
      <c r="E355" s="545"/>
      <c r="F355" s="546"/>
      <c r="G355" s="578"/>
      <c r="H355" s="419"/>
      <c r="I355" s="239"/>
      <c r="J355" s="471" t="s">
        <v>341</v>
      </c>
      <c r="K355" s="420"/>
      <c r="L355" s="150"/>
      <c r="M355" s="374"/>
      <c r="O355" s="426"/>
      <c r="P355" s="423"/>
      <c r="Q355" s="404"/>
      <c r="R355" s="148"/>
      <c r="S355" s="242"/>
      <c r="T355" s="242"/>
      <c r="U355" s="242"/>
      <c r="V355" s="242"/>
      <c r="W355" s="242"/>
      <c r="X355" s="242"/>
      <c r="Y355" s="148"/>
      <c r="Z355" s="148"/>
    </row>
    <row r="356">
      <c r="A356" s="427" t="s">
        <v>201</v>
      </c>
      <c r="C356" s="204">
        <f>SUM(L355:L388)</f>
        <v>0</v>
      </c>
      <c r="D356" s="157"/>
      <c r="E356" s="545"/>
      <c r="F356" s="546"/>
      <c r="G356" s="578"/>
      <c r="H356" s="419"/>
      <c r="I356" s="239"/>
      <c r="J356" s="472" t="s">
        <v>345</v>
      </c>
      <c r="K356" s="420"/>
      <c r="L356" s="150"/>
      <c r="M356" s="374"/>
      <c r="O356" s="426"/>
      <c r="P356" s="423"/>
      <c r="Q356" s="404"/>
      <c r="R356" s="148"/>
      <c r="S356" s="242"/>
      <c r="T356" s="242"/>
      <c r="U356" s="242"/>
      <c r="V356" s="242"/>
      <c r="W356" s="242"/>
      <c r="X356" s="242"/>
      <c r="Y356" s="148"/>
      <c r="Z356" s="148"/>
    </row>
    <row r="357">
      <c r="A357" s="548" t="s">
        <v>761</v>
      </c>
      <c r="B357" s="549">
        <v>0.4</v>
      </c>
      <c r="C357" s="191"/>
      <c r="D357" s="157"/>
      <c r="E357" s="550" t="s">
        <v>695</v>
      </c>
      <c r="F357" s="546"/>
      <c r="G357" s="562"/>
      <c r="H357" s="419"/>
      <c r="I357" s="239"/>
      <c r="J357" s="433" t="s">
        <v>656</v>
      </c>
      <c r="K357" s="420"/>
      <c r="L357" s="193"/>
      <c r="M357" s="374"/>
      <c r="O357" s="426"/>
      <c r="P357" s="423"/>
      <c r="Q357" s="404"/>
      <c r="R357" s="148"/>
      <c r="S357" s="242"/>
      <c r="T357" s="242"/>
      <c r="U357" s="242"/>
      <c r="V357" s="242"/>
      <c r="W357" s="242"/>
      <c r="X357" s="242"/>
      <c r="Y357" s="148"/>
      <c r="Z357" s="148"/>
    </row>
    <row r="358">
      <c r="A358" s="434" t="s">
        <v>350</v>
      </c>
      <c r="C358" s="551">
        <f>C354-C356-C357</f>
        <v>330</v>
      </c>
      <c r="D358" s="157"/>
      <c r="E358" s="192" t="s">
        <v>1223</v>
      </c>
      <c r="F358" s="546">
        <v>50.0</v>
      </c>
      <c r="G358" s="562"/>
      <c r="H358" s="419"/>
      <c r="I358" s="57"/>
      <c r="J358" s="444" t="s">
        <v>658</v>
      </c>
      <c r="K358" s="420"/>
      <c r="L358" s="193"/>
      <c r="M358" s="377"/>
      <c r="O358" s="431"/>
      <c r="P358" s="157"/>
      <c r="Q358" s="404"/>
      <c r="R358" s="148"/>
      <c r="S358" s="242"/>
      <c r="T358" s="242"/>
      <c r="U358" s="242"/>
      <c r="V358" s="242"/>
      <c r="W358" s="242"/>
      <c r="X358" s="242"/>
      <c r="Y358" s="148"/>
      <c r="Z358" s="148"/>
    </row>
    <row r="359">
      <c r="A359" s="554"/>
      <c r="B359" s="555"/>
      <c r="C359" s="447"/>
      <c r="D359" s="157"/>
      <c r="E359" s="192" t="s">
        <v>1228</v>
      </c>
      <c r="F359" s="546">
        <v>280.0</v>
      </c>
      <c r="G359" s="578"/>
      <c r="H359" s="419"/>
      <c r="I359" s="57"/>
      <c r="J359" s="444" t="s">
        <v>660</v>
      </c>
      <c r="K359" s="420"/>
      <c r="L359" s="193"/>
      <c r="M359" s="377"/>
      <c r="O359" s="431"/>
      <c r="P359" s="157"/>
      <c r="Q359" s="404"/>
      <c r="R359" s="148"/>
      <c r="S359" s="242"/>
      <c r="T359" s="242"/>
      <c r="U359" s="242"/>
      <c r="V359" s="242"/>
      <c r="W359" s="242"/>
      <c r="X359" s="242"/>
      <c r="Y359" s="148"/>
      <c r="Z359" s="148"/>
    </row>
    <row r="360">
      <c r="A360" s="556"/>
      <c r="C360" s="395"/>
      <c r="D360" s="157"/>
      <c r="E360" s="192"/>
      <c r="F360" s="546"/>
      <c r="G360" s="579"/>
      <c r="H360" s="419"/>
      <c r="I360" s="239"/>
      <c r="J360" s="370" t="s">
        <v>662</v>
      </c>
      <c r="K360" s="420"/>
      <c r="L360" s="193"/>
      <c r="M360" s="377"/>
      <c r="O360" s="431"/>
      <c r="P360" s="157"/>
      <c r="Q360" s="404"/>
      <c r="R360" s="148"/>
      <c r="S360" s="242"/>
      <c r="T360" s="242"/>
      <c r="U360" s="242"/>
      <c r="V360" s="242"/>
      <c r="W360" s="242"/>
      <c r="X360" s="242"/>
      <c r="Y360" s="148"/>
      <c r="Z360" s="148"/>
    </row>
    <row r="361">
      <c r="A361" s="557"/>
      <c r="B361" s="109"/>
      <c r="C361" s="395"/>
      <c r="D361" s="373"/>
      <c r="E361" s="192"/>
      <c r="F361" s="546"/>
      <c r="G361" s="562"/>
      <c r="H361" s="419"/>
      <c r="I361" s="239"/>
      <c r="J361" s="433" t="s">
        <v>666</v>
      </c>
      <c r="K361" s="420"/>
      <c r="L361" s="193"/>
      <c r="M361" s="377"/>
      <c r="O361" s="431"/>
      <c r="P361" s="157"/>
      <c r="Q361" s="404"/>
      <c r="R361" s="148"/>
      <c r="S361" s="242"/>
      <c r="T361" s="242"/>
      <c r="U361" s="242"/>
      <c r="V361" s="242"/>
      <c r="W361" s="242"/>
      <c r="X361" s="242"/>
      <c r="Y361" s="148"/>
      <c r="Z361" s="148"/>
    </row>
    <row r="362">
      <c r="A362" s="559" t="s">
        <v>765</v>
      </c>
      <c r="B362" s="560">
        <f>SUM(D362:D388)</f>
        <v>0</v>
      </c>
      <c r="C362" s="477" t="s">
        <v>366</v>
      </c>
      <c r="D362" s="157"/>
      <c r="E362" s="192"/>
      <c r="F362" s="546"/>
      <c r="G362" s="578"/>
      <c r="H362" s="419"/>
      <c r="I362" s="239"/>
      <c r="J362" s="433" t="s">
        <v>668</v>
      </c>
      <c r="K362" s="420"/>
      <c r="L362" s="150"/>
      <c r="M362" s="377"/>
      <c r="O362" s="431"/>
      <c r="P362" s="157"/>
      <c r="Q362" s="404"/>
      <c r="R362" s="148"/>
      <c r="S362" s="242"/>
      <c r="T362" s="242"/>
      <c r="U362" s="242"/>
      <c r="V362" s="242"/>
      <c r="W362" s="242"/>
      <c r="X362" s="242"/>
      <c r="Y362" s="148"/>
      <c r="Z362" s="148"/>
    </row>
    <row r="363">
      <c r="A363" s="453" t="s">
        <v>369</v>
      </c>
      <c r="C363" s="561" t="s">
        <v>766</v>
      </c>
      <c r="D363" s="423"/>
      <c r="E363" s="192"/>
      <c r="F363" s="546"/>
      <c r="G363" s="578"/>
      <c r="H363" s="419"/>
      <c r="I363" s="239"/>
      <c r="J363" s="433" t="s">
        <v>670</v>
      </c>
      <c r="K363" s="458"/>
      <c r="L363" s="193"/>
      <c r="M363" s="377"/>
      <c r="O363" s="431"/>
      <c r="P363" s="157"/>
      <c r="Q363" s="404"/>
      <c r="R363" s="148"/>
      <c r="S363" s="242"/>
      <c r="T363" s="242"/>
      <c r="U363" s="242"/>
      <c r="V363" s="242"/>
      <c r="W363" s="242"/>
      <c r="X363" s="242"/>
      <c r="Y363" s="148"/>
      <c r="Z363" s="148"/>
    </row>
    <row r="364">
      <c r="C364" s="561" t="s">
        <v>767</v>
      </c>
      <c r="D364" s="157"/>
      <c r="E364" s="192"/>
      <c r="F364" s="546"/>
      <c r="G364" s="578"/>
      <c r="H364" s="419"/>
      <c r="I364" s="239"/>
      <c r="J364" s="433" t="s">
        <v>217</v>
      </c>
      <c r="K364" s="458"/>
      <c r="L364" s="150"/>
      <c r="M364" s="377"/>
      <c r="O364" s="431"/>
      <c r="P364" s="157"/>
      <c r="Q364" s="404"/>
      <c r="R364" s="148"/>
      <c r="S364" s="242"/>
      <c r="T364" s="242"/>
      <c r="U364" s="242"/>
      <c r="V364" s="242"/>
      <c r="W364" s="242"/>
      <c r="X364" s="242"/>
      <c r="Y364" s="148"/>
      <c r="Z364" s="148"/>
    </row>
    <row r="365">
      <c r="A365" s="57"/>
      <c r="B365" s="57"/>
      <c r="C365" s="561" t="s">
        <v>768</v>
      </c>
      <c r="D365" s="423"/>
      <c r="E365" s="192"/>
      <c r="F365" s="546"/>
      <c r="G365" s="562"/>
      <c r="H365" s="419"/>
      <c r="I365" s="239"/>
      <c r="J365" s="109"/>
      <c r="K365" s="420"/>
      <c r="L365" s="193"/>
      <c r="M365" s="374"/>
      <c r="O365" s="431"/>
      <c r="P365" s="157"/>
      <c r="Q365" s="404"/>
      <c r="R365" s="148"/>
      <c r="S365" s="242"/>
      <c r="T365" s="242"/>
      <c r="U365" s="242"/>
      <c r="V365" s="242"/>
      <c r="W365" s="242"/>
      <c r="X365" s="242"/>
      <c r="Y365" s="148"/>
      <c r="Z365" s="148"/>
    </row>
    <row r="366">
      <c r="A366" s="57"/>
      <c r="B366" s="57"/>
      <c r="C366" s="561" t="s">
        <v>769</v>
      </c>
      <c r="D366" s="157"/>
      <c r="E366" s="192"/>
      <c r="F366" s="546"/>
      <c r="G366" s="578"/>
      <c r="H366" s="419"/>
      <c r="I366" s="239"/>
      <c r="J366" s="456" t="s">
        <v>672</v>
      </c>
      <c r="K366" s="420"/>
      <c r="L366" s="150"/>
      <c r="M366" s="377"/>
      <c r="O366" s="431"/>
      <c r="P366" s="157"/>
      <c r="Q366" s="404"/>
      <c r="R366" s="148"/>
      <c r="S366" s="242"/>
      <c r="T366" s="242"/>
      <c r="U366" s="242"/>
      <c r="V366" s="242"/>
      <c r="W366" s="242"/>
      <c r="X366" s="242"/>
      <c r="Y366" s="148"/>
      <c r="Z366" s="148"/>
    </row>
    <row r="367">
      <c r="A367" s="57"/>
      <c r="B367" s="57"/>
      <c r="C367" s="561" t="s">
        <v>770</v>
      </c>
      <c r="D367" s="423"/>
      <c r="E367" s="192"/>
      <c r="F367" s="546"/>
      <c r="G367" s="562"/>
      <c r="H367" s="419"/>
      <c r="I367" s="57"/>
      <c r="J367" s="456" t="s">
        <v>675</v>
      </c>
      <c r="K367" s="420"/>
      <c r="L367" s="150"/>
      <c r="M367" s="382"/>
      <c r="O367" s="431"/>
      <c r="P367" s="157"/>
      <c r="Q367" s="404"/>
      <c r="R367" s="148"/>
      <c r="S367" s="242"/>
      <c r="T367" s="242"/>
      <c r="U367" s="242"/>
      <c r="V367" s="242"/>
      <c r="W367" s="242"/>
      <c r="X367" s="242"/>
      <c r="Y367" s="148"/>
      <c r="Z367" s="148"/>
    </row>
    <row r="368">
      <c r="A368" s="57"/>
      <c r="B368" s="57"/>
      <c r="C368" s="561" t="s">
        <v>793</v>
      </c>
      <c r="D368" s="423"/>
      <c r="E368" s="192"/>
      <c r="F368" s="546"/>
      <c r="G368" s="579"/>
      <c r="H368" s="419"/>
      <c r="I368" s="57"/>
      <c r="J368" s="456"/>
      <c r="K368" s="420"/>
      <c r="L368" s="150"/>
      <c r="M368" s="425"/>
      <c r="O368" s="431"/>
      <c r="P368" s="157"/>
      <c r="Q368" s="404"/>
      <c r="R368" s="148"/>
      <c r="S368" s="242"/>
      <c r="T368" s="242"/>
      <c r="U368" s="242"/>
      <c r="V368" s="242"/>
      <c r="W368" s="242"/>
      <c r="X368" s="242"/>
      <c r="Y368" s="148"/>
      <c r="Z368" s="148"/>
    </row>
    <row r="369">
      <c r="A369" s="239"/>
      <c r="B369" s="57"/>
      <c r="C369" s="561" t="s">
        <v>794</v>
      </c>
      <c r="D369" s="423"/>
      <c r="E369" s="228"/>
      <c r="F369" s="547"/>
      <c r="G369" s="578"/>
      <c r="H369" s="419"/>
      <c r="I369" s="57"/>
      <c r="J369" s="375"/>
      <c r="K369" s="420"/>
      <c r="L369" s="150"/>
      <c r="M369" s="425"/>
      <c r="O369" s="431"/>
      <c r="P369" s="157"/>
      <c r="Q369" s="404"/>
      <c r="R369" s="148"/>
      <c r="S369" s="242"/>
      <c r="T369" s="242"/>
      <c r="U369" s="242"/>
      <c r="V369" s="242"/>
      <c r="W369" s="242"/>
      <c r="X369" s="242"/>
      <c r="Y369" s="148"/>
      <c r="Z369" s="148"/>
    </row>
    <row r="370">
      <c r="A370" s="239"/>
      <c r="B370" s="57"/>
      <c r="C370" s="561" t="s">
        <v>18</v>
      </c>
      <c r="D370" s="423"/>
      <c r="E370" s="228"/>
      <c r="F370" s="547"/>
      <c r="G370" s="578"/>
      <c r="H370" s="419"/>
      <c r="I370" s="57"/>
      <c r="J370" s="375"/>
      <c r="K370" s="420"/>
      <c r="L370" s="193"/>
      <c r="M370" s="382"/>
      <c r="O370" s="431"/>
      <c r="P370" s="157"/>
      <c r="Q370" s="404"/>
      <c r="R370" s="148"/>
      <c r="S370" s="242"/>
      <c r="T370" s="242"/>
      <c r="U370" s="242"/>
      <c r="V370" s="242"/>
      <c r="W370" s="242"/>
      <c r="X370" s="242"/>
      <c r="Y370" s="148"/>
      <c r="Z370" s="148"/>
    </row>
    <row r="371">
      <c r="A371" s="239"/>
      <c r="B371" s="57"/>
      <c r="C371" s="563" t="s">
        <v>1115</v>
      </c>
      <c r="D371" s="157"/>
      <c r="E371" s="228"/>
      <c r="F371" s="547"/>
      <c r="G371" s="579"/>
      <c r="H371" s="419"/>
      <c r="I371" s="57"/>
      <c r="J371" s="452"/>
      <c r="K371" s="420"/>
      <c r="L371" s="150"/>
      <c r="M371" s="425"/>
      <c r="O371" s="431"/>
      <c r="P371" s="157"/>
      <c r="Q371" s="404"/>
      <c r="R371" s="148"/>
      <c r="S371" s="242"/>
      <c r="T371" s="242"/>
      <c r="U371" s="242"/>
      <c r="V371" s="242"/>
      <c r="W371" s="242"/>
      <c r="X371" s="242"/>
      <c r="Y371" s="148"/>
      <c r="Z371" s="148"/>
    </row>
    <row r="372">
      <c r="A372" s="57"/>
      <c r="B372" s="57"/>
      <c r="C372" s="561" t="s">
        <v>1116</v>
      </c>
      <c r="D372" s="423"/>
      <c r="E372" s="228"/>
      <c r="F372" s="547"/>
      <c r="G372" s="578"/>
      <c r="H372" s="419"/>
      <c r="I372" s="57"/>
      <c r="J372" s="105"/>
      <c r="K372" s="420"/>
      <c r="L372" s="150"/>
      <c r="M372" s="425"/>
      <c r="O372" s="431"/>
      <c r="P372" s="157"/>
      <c r="Q372" s="404"/>
      <c r="R372" s="148"/>
      <c r="S372" s="242"/>
      <c r="T372" s="242"/>
      <c r="U372" s="242"/>
      <c r="V372" s="242"/>
      <c r="W372" s="242"/>
      <c r="X372" s="242"/>
      <c r="Y372" s="148"/>
      <c r="Z372" s="148"/>
    </row>
    <row r="373">
      <c r="A373" s="239"/>
      <c r="B373" s="239"/>
      <c r="C373" s="561" t="s">
        <v>775</v>
      </c>
      <c r="D373" s="423"/>
      <c r="E373" s="228"/>
      <c r="F373" s="547"/>
      <c r="G373" s="578"/>
      <c r="H373" s="419"/>
      <c r="I373" s="57"/>
      <c r="J373" s="378" t="s">
        <v>682</v>
      </c>
      <c r="K373" s="420"/>
      <c r="L373" s="193"/>
      <c r="M373" s="377"/>
      <c r="O373" s="431"/>
      <c r="P373" s="157"/>
      <c r="Q373" s="404"/>
      <c r="R373" s="148"/>
      <c r="S373" s="242"/>
      <c r="T373" s="242"/>
      <c r="U373" s="242"/>
      <c r="V373" s="242"/>
      <c r="W373" s="242"/>
      <c r="X373" s="242"/>
      <c r="Y373" s="148"/>
      <c r="Z373" s="148"/>
    </row>
    <row r="374">
      <c r="A374" s="239"/>
      <c r="B374" s="239"/>
      <c r="C374" s="561" t="s">
        <v>10</v>
      </c>
      <c r="D374" s="157"/>
      <c r="E374" s="206"/>
      <c r="F374" s="564"/>
      <c r="G374" s="581"/>
      <c r="H374" s="419"/>
      <c r="I374" s="57"/>
      <c r="J374" s="461" t="s">
        <v>684</v>
      </c>
      <c r="K374" s="420"/>
      <c r="L374" s="193"/>
      <c r="M374" s="377"/>
      <c r="O374" s="431"/>
      <c r="P374" s="157"/>
      <c r="Q374" s="404"/>
      <c r="R374" s="148"/>
      <c r="S374" s="242"/>
      <c r="T374" s="242"/>
      <c r="U374" s="242"/>
      <c r="V374" s="242"/>
      <c r="W374" s="242"/>
      <c r="X374" s="242"/>
      <c r="Y374" s="148"/>
      <c r="Z374" s="148"/>
    </row>
    <row r="375">
      <c r="A375" s="239"/>
      <c r="B375" s="239"/>
      <c r="C375" s="561" t="s">
        <v>6</v>
      </c>
      <c r="D375" s="423"/>
      <c r="E375" s="206"/>
      <c r="F375" s="547"/>
      <c r="G375" s="579"/>
      <c r="H375" s="455"/>
      <c r="I375" s="57"/>
      <c r="J375" s="461" t="s">
        <v>686</v>
      </c>
      <c r="K375" s="420"/>
      <c r="L375" s="193"/>
      <c r="M375" s="377"/>
      <c r="O375" s="463"/>
      <c r="P375" s="157"/>
      <c r="Q375" s="404"/>
      <c r="R375" s="148"/>
      <c r="S375" s="242"/>
      <c r="T375" s="242"/>
      <c r="U375" s="242"/>
      <c r="V375" s="242"/>
      <c r="W375" s="242"/>
      <c r="X375" s="242"/>
      <c r="Y375" s="148"/>
      <c r="Z375" s="148"/>
    </row>
    <row r="376">
      <c r="A376" s="57"/>
      <c r="B376" s="57"/>
      <c r="C376" s="561" t="s">
        <v>779</v>
      </c>
      <c r="D376" s="157"/>
      <c r="E376" s="228"/>
      <c r="F376" s="547"/>
      <c r="G376" s="579"/>
      <c r="H376" s="455"/>
      <c r="I376" s="239"/>
      <c r="J376" s="460" t="s">
        <v>202</v>
      </c>
      <c r="K376" s="420"/>
      <c r="L376" s="193"/>
      <c r="M376" s="377"/>
      <c r="O376" s="463"/>
      <c r="P376" s="157"/>
      <c r="Q376" s="404"/>
      <c r="R376" s="148"/>
      <c r="S376" s="242"/>
      <c r="T376" s="242"/>
      <c r="U376" s="242"/>
      <c r="V376" s="242"/>
      <c r="W376" s="242"/>
      <c r="X376" s="242"/>
      <c r="Y376" s="148"/>
      <c r="Z376" s="148"/>
    </row>
    <row r="377">
      <c r="A377" s="239"/>
      <c r="B377" s="239"/>
      <c r="C377" s="561" t="s">
        <v>780</v>
      </c>
      <c r="D377" s="157"/>
      <c r="E377" s="228"/>
      <c r="F377" s="547"/>
      <c r="G377" s="579"/>
      <c r="H377" s="455"/>
      <c r="I377" s="57"/>
      <c r="J377" s="460" t="s">
        <v>274</v>
      </c>
      <c r="K377" s="420"/>
      <c r="L377" s="193"/>
      <c r="M377" s="374"/>
      <c r="O377" s="463"/>
      <c r="P377" s="157"/>
      <c r="Q377" s="404"/>
      <c r="R377" s="148"/>
      <c r="S377" s="242"/>
      <c r="T377" s="242"/>
      <c r="U377" s="242"/>
      <c r="V377" s="242"/>
      <c r="W377" s="242"/>
      <c r="X377" s="242"/>
      <c r="Y377" s="148"/>
      <c r="Z377" s="148"/>
    </row>
    <row r="378">
      <c r="A378" s="239"/>
      <c r="B378" s="239"/>
      <c r="C378" s="561" t="s">
        <v>781</v>
      </c>
      <c r="D378" s="423"/>
      <c r="E378" s="228"/>
      <c r="F378" s="547"/>
      <c r="G378" s="579"/>
      <c r="H378" s="419"/>
      <c r="I378" s="239"/>
      <c r="J378" s="685" t="s">
        <v>1117</v>
      </c>
      <c r="K378" s="420"/>
      <c r="L378" s="150"/>
      <c r="M378" s="374"/>
      <c r="O378" s="431"/>
      <c r="P378" s="157"/>
      <c r="Q378" s="404"/>
      <c r="R378" s="148"/>
      <c r="S378" s="242"/>
      <c r="T378" s="242"/>
      <c r="U378" s="242"/>
      <c r="V378" s="242"/>
      <c r="W378" s="242"/>
      <c r="X378" s="242"/>
      <c r="Y378" s="148"/>
      <c r="Z378" s="148"/>
    </row>
    <row r="379">
      <c r="A379" s="239"/>
      <c r="B379" s="157"/>
      <c r="C379" s="561" t="s">
        <v>1118</v>
      </c>
      <c r="D379" s="157"/>
      <c r="E379" s="569"/>
      <c r="F379" s="547"/>
      <c r="G379" s="578"/>
      <c r="H379" s="419"/>
      <c r="I379" s="57"/>
      <c r="J379" s="685" t="s">
        <v>1119</v>
      </c>
      <c r="K379" s="420"/>
      <c r="L379" s="193"/>
      <c r="M379" s="377"/>
      <c r="O379" s="431"/>
      <c r="P379" s="157"/>
      <c r="Q379" s="404"/>
      <c r="R379" s="148"/>
      <c r="S379" s="242"/>
      <c r="T379" s="242"/>
      <c r="U379" s="242"/>
      <c r="V379" s="242"/>
      <c r="W379" s="242"/>
      <c r="X379" s="242"/>
      <c r="Y379" s="148"/>
      <c r="Z379" s="148"/>
    </row>
    <row r="380">
      <c r="A380" s="239"/>
      <c r="B380" s="157"/>
      <c r="C380" s="561" t="s">
        <v>1120</v>
      </c>
      <c r="D380" s="157"/>
      <c r="E380" s="228"/>
      <c r="F380" s="547"/>
      <c r="G380" s="578"/>
      <c r="H380" s="419"/>
      <c r="I380" s="239"/>
      <c r="J380" s="596" t="s">
        <v>1001</v>
      </c>
      <c r="K380" s="420"/>
      <c r="L380" s="193"/>
      <c r="M380" s="377"/>
      <c r="O380" s="431"/>
      <c r="P380" s="157"/>
      <c r="Q380" s="404"/>
      <c r="R380" s="148"/>
      <c r="S380" s="242"/>
      <c r="T380" s="242"/>
      <c r="U380" s="242"/>
      <c r="V380" s="242"/>
      <c r="W380" s="242"/>
      <c r="X380" s="242"/>
      <c r="Y380" s="148"/>
      <c r="Z380" s="148"/>
    </row>
    <row r="381">
      <c r="A381" s="239"/>
      <c r="B381" s="157"/>
      <c r="C381" s="561"/>
      <c r="D381" s="157"/>
      <c r="E381" s="570"/>
      <c r="F381" s="547"/>
      <c r="G381" s="578"/>
      <c r="H381" s="419"/>
      <c r="I381" s="239"/>
      <c r="J381" s="568"/>
      <c r="K381" s="420"/>
      <c r="L381" s="193"/>
      <c r="M381" s="374"/>
      <c r="O381" s="431"/>
      <c r="P381" s="157"/>
      <c r="Q381" s="404"/>
      <c r="R381" s="148"/>
      <c r="S381" s="242"/>
      <c r="T381" s="242"/>
      <c r="U381" s="242"/>
      <c r="V381" s="242"/>
      <c r="W381" s="242"/>
      <c r="X381" s="242"/>
      <c r="Y381" s="148"/>
      <c r="Z381" s="148"/>
    </row>
    <row r="382">
      <c r="C382" s="571"/>
      <c r="D382" s="157"/>
      <c r="E382" s="570"/>
      <c r="F382" s="547"/>
      <c r="G382" s="578"/>
      <c r="H382" s="419"/>
      <c r="I382" s="239"/>
      <c r="J382" s="464" t="s">
        <v>692</v>
      </c>
      <c r="K382" s="420"/>
      <c r="L382" s="150"/>
      <c r="M382" s="377"/>
      <c r="O382" s="431"/>
      <c r="P382" s="157"/>
      <c r="Q382" s="404"/>
      <c r="R382" s="148"/>
      <c r="S382" s="242"/>
      <c r="T382" s="242"/>
      <c r="U382" s="242"/>
      <c r="V382" s="242"/>
      <c r="W382" s="242"/>
      <c r="X382" s="242"/>
      <c r="Y382" s="148"/>
      <c r="Z382" s="148"/>
    </row>
    <row r="383">
      <c r="C383" s="571"/>
      <c r="D383" s="157"/>
      <c r="E383" s="570"/>
      <c r="F383" s="547"/>
      <c r="G383" s="578"/>
      <c r="H383" s="419"/>
      <c r="I383" s="239"/>
      <c r="J383" s="464" t="s">
        <v>694</v>
      </c>
      <c r="K383" s="420"/>
      <c r="L383" s="193"/>
      <c r="M383" s="377"/>
      <c r="O383" s="431"/>
      <c r="P383" s="157"/>
      <c r="Q383" s="404"/>
      <c r="R383" s="148"/>
      <c r="S383" s="242"/>
      <c r="T383" s="242"/>
      <c r="U383" s="242"/>
      <c r="V383" s="242"/>
      <c r="W383" s="242"/>
      <c r="X383" s="242"/>
      <c r="Y383" s="148"/>
      <c r="Z383" s="148"/>
    </row>
    <row r="384">
      <c r="C384" s="571"/>
      <c r="D384" s="423"/>
      <c r="E384" s="570"/>
      <c r="F384" s="546"/>
      <c r="G384" s="578"/>
      <c r="H384" s="419"/>
      <c r="I384" s="57"/>
      <c r="J384" s="105"/>
      <c r="K384" s="57"/>
      <c r="L384" s="150"/>
      <c r="M384" s="57"/>
      <c r="N384" s="57"/>
      <c r="O384" s="57"/>
      <c r="P384" s="157"/>
      <c r="Q384" s="404"/>
      <c r="R384" s="148"/>
      <c r="S384" s="242"/>
      <c r="T384" s="242"/>
      <c r="U384" s="242"/>
      <c r="V384" s="242"/>
      <c r="W384" s="242"/>
      <c r="X384" s="242"/>
      <c r="Y384" s="148"/>
      <c r="Z384" s="148"/>
    </row>
    <row r="385">
      <c r="A385" s="125" t="s">
        <v>798</v>
      </c>
      <c r="B385" s="572">
        <f>C358-B362</f>
        <v>330</v>
      </c>
      <c r="D385" s="157"/>
      <c r="E385" s="570"/>
      <c r="F385" s="573"/>
      <c r="G385" s="581"/>
      <c r="H385" s="419"/>
      <c r="I385" s="239"/>
      <c r="J385" s="568"/>
      <c r="K385" s="57"/>
      <c r="L385" s="150"/>
      <c r="M385" s="57"/>
      <c r="N385" s="57"/>
      <c r="O385" s="57"/>
      <c r="P385" s="157"/>
      <c r="Q385" s="404"/>
      <c r="R385" s="148"/>
      <c r="S385" s="242"/>
      <c r="T385" s="242"/>
      <c r="U385" s="242"/>
      <c r="V385" s="242"/>
      <c r="W385" s="242"/>
      <c r="X385" s="242"/>
      <c r="Y385" s="148"/>
      <c r="Z385" s="148"/>
    </row>
    <row r="386">
      <c r="A386" s="274" t="s">
        <v>783</v>
      </c>
      <c r="B386" s="109"/>
      <c r="C386" s="395"/>
      <c r="D386" s="157"/>
      <c r="E386" s="570"/>
      <c r="F386" s="573"/>
      <c r="G386" s="581"/>
      <c r="H386" s="419"/>
      <c r="I386" s="239"/>
      <c r="J386" s="568"/>
      <c r="K386" s="57"/>
      <c r="L386" s="150"/>
      <c r="M386" s="57"/>
      <c r="N386" s="57"/>
      <c r="O386" s="57"/>
      <c r="P386" s="157"/>
      <c r="Q386" s="404"/>
      <c r="R386" s="148"/>
      <c r="S386" s="242"/>
      <c r="T386" s="242"/>
      <c r="U386" s="242"/>
      <c r="V386" s="242"/>
      <c r="W386" s="242"/>
      <c r="X386" s="242"/>
      <c r="Y386" s="148"/>
      <c r="Z386" s="148"/>
    </row>
    <row r="387">
      <c r="A387" s="274" t="s">
        <v>784</v>
      </c>
      <c r="B387" s="109"/>
      <c r="C387" s="395"/>
      <c r="D387" s="157"/>
      <c r="E387" s="570"/>
      <c r="F387" s="573"/>
      <c r="G387" s="581"/>
      <c r="H387" s="419"/>
      <c r="I387" s="239"/>
      <c r="J387" s="568"/>
      <c r="K387" s="57"/>
      <c r="L387" s="150"/>
      <c r="M387" s="57"/>
      <c r="N387" s="57"/>
      <c r="O387" s="57"/>
      <c r="P387" s="157"/>
      <c r="Q387" s="404"/>
      <c r="R387" s="148"/>
      <c r="S387" s="242"/>
      <c r="T387" s="242"/>
      <c r="U387" s="242"/>
      <c r="V387" s="242"/>
      <c r="W387" s="242"/>
      <c r="X387" s="242"/>
      <c r="Y387" s="148"/>
      <c r="Z387" s="148"/>
    </row>
    <row r="388">
      <c r="A388" s="274" t="s">
        <v>785</v>
      </c>
      <c r="B388" s="109"/>
      <c r="C388" s="686">
        <f>SUM(B386:B388)</f>
        <v>0</v>
      </c>
      <c r="D388" s="157"/>
      <c r="E388" s="570"/>
      <c r="F388" s="573"/>
      <c r="G388" s="581"/>
      <c r="H388" s="419"/>
      <c r="I388" s="239"/>
      <c r="J388" s="568"/>
      <c r="K388" s="57"/>
      <c r="L388" s="150"/>
      <c r="M388" s="57"/>
      <c r="N388" s="57"/>
      <c r="O388" s="57"/>
      <c r="P388" s="157"/>
      <c r="Q388" s="404"/>
      <c r="R388" s="148"/>
      <c r="S388" s="242"/>
      <c r="T388" s="242"/>
      <c r="U388" s="242"/>
      <c r="V388" s="242"/>
      <c r="W388" s="242"/>
      <c r="X388" s="242"/>
      <c r="Y388" s="148"/>
      <c r="Z388" s="148"/>
    </row>
    <row r="389">
      <c r="A389" s="402"/>
      <c r="B389" s="403"/>
      <c r="C389" s="403"/>
      <c r="D389" s="403"/>
      <c r="E389" s="574"/>
      <c r="F389" s="575"/>
      <c r="G389" s="576"/>
      <c r="H389" s="159"/>
      <c r="I389" s="159"/>
      <c r="J389" s="576"/>
      <c r="K389" s="159"/>
      <c r="L389" s="162"/>
      <c r="M389" s="402"/>
      <c r="N389" s="402"/>
      <c r="O389" s="159"/>
      <c r="P389" s="403"/>
      <c r="Q389" s="577"/>
      <c r="R389" s="148"/>
      <c r="S389" s="242"/>
      <c r="T389" s="242"/>
      <c r="U389" s="242"/>
      <c r="V389" s="242"/>
      <c r="W389" s="242"/>
      <c r="X389" s="242"/>
      <c r="Y389" s="148"/>
      <c r="Z389" s="148"/>
    </row>
    <row r="390">
      <c r="A390" s="148"/>
      <c r="B390" s="148"/>
      <c r="C390" s="148"/>
      <c r="D390" s="245"/>
      <c r="E390" s="585"/>
      <c r="F390" s="586"/>
      <c r="G390" s="243"/>
      <c r="H390" s="148"/>
      <c r="I390" s="251"/>
      <c r="J390" s="243"/>
      <c r="K390" s="148"/>
      <c r="L390" s="277"/>
      <c r="M390" s="252"/>
      <c r="N390" s="250"/>
      <c r="O390" s="253"/>
      <c r="P390" s="240"/>
      <c r="Q390" s="148"/>
      <c r="R390" s="148"/>
      <c r="S390" s="242"/>
      <c r="T390" s="242"/>
      <c r="U390" s="242"/>
      <c r="V390" s="242"/>
      <c r="W390" s="242"/>
      <c r="X390" s="242"/>
      <c r="Y390" s="148"/>
      <c r="Z390" s="148"/>
    </row>
    <row r="391">
      <c r="A391" s="169" t="s">
        <v>104</v>
      </c>
      <c r="B391" s="539"/>
      <c r="C391" s="540"/>
      <c r="D391" s="405"/>
      <c r="E391" s="541"/>
      <c r="F391" s="542"/>
      <c r="G391" s="467" t="s">
        <v>333</v>
      </c>
      <c r="H391" s="361"/>
      <c r="I391" s="57"/>
      <c r="J391" s="105"/>
      <c r="K391" s="57"/>
      <c r="L391" s="150"/>
      <c r="M391" s="239"/>
      <c r="N391" s="239"/>
      <c r="O391" s="57"/>
      <c r="P391" s="157"/>
      <c r="Q391" s="404"/>
      <c r="R391" s="148"/>
      <c r="S391" s="242"/>
      <c r="T391" s="242"/>
      <c r="U391" s="242"/>
      <c r="V391" s="242"/>
      <c r="W391" s="242"/>
      <c r="X391" s="242"/>
      <c r="Y391" s="148"/>
      <c r="Z391" s="148"/>
    </row>
    <row r="392">
      <c r="A392" s="468"/>
      <c r="B392" s="157"/>
      <c r="C392" s="466"/>
      <c r="D392" s="405"/>
      <c r="E392" s="543" t="s">
        <v>335</v>
      </c>
      <c r="F392" s="544" t="s">
        <v>237</v>
      </c>
      <c r="G392" s="412" t="s">
        <v>336</v>
      </c>
      <c r="H392" s="413" t="s">
        <v>337</v>
      </c>
      <c r="I392" s="239"/>
      <c r="J392" s="145" t="s">
        <v>60</v>
      </c>
      <c r="K392" s="57"/>
      <c r="L392" s="150"/>
      <c r="M392" s="414"/>
      <c r="N392" s="414"/>
      <c r="O392" s="57" t="s">
        <v>334</v>
      </c>
      <c r="P392" s="157"/>
      <c r="Q392" s="404"/>
      <c r="R392" s="148"/>
      <c r="S392" s="242"/>
      <c r="T392" s="242"/>
      <c r="U392" s="242"/>
      <c r="V392" s="242"/>
      <c r="W392" s="242"/>
      <c r="X392" s="242"/>
      <c r="Y392" s="148"/>
      <c r="Z392" s="148"/>
    </row>
    <row r="393">
      <c r="A393" s="470" t="s">
        <v>179</v>
      </c>
      <c r="C393" s="416">
        <f>SUM(F393:F427)</f>
        <v>0</v>
      </c>
      <c r="D393" s="405"/>
      <c r="E393" s="545"/>
      <c r="F393" s="546"/>
      <c r="G393" s="578"/>
      <c r="H393" s="419"/>
      <c r="I393" s="57"/>
      <c r="K393" s="57"/>
      <c r="L393" s="150"/>
      <c r="M393" s="377" t="s">
        <v>366</v>
      </c>
      <c r="P393" s="157"/>
      <c r="Q393" s="404"/>
      <c r="R393" s="148"/>
      <c r="S393" s="242"/>
      <c r="T393" s="242"/>
      <c r="U393" s="242"/>
      <c r="V393" s="242"/>
      <c r="W393" s="242"/>
      <c r="X393" s="242"/>
      <c r="Y393" s="148"/>
      <c r="Z393" s="148"/>
    </row>
    <row r="394">
      <c r="A394" s="421" t="s">
        <v>343</v>
      </c>
      <c r="B394" s="422" t="s">
        <v>321</v>
      </c>
      <c r="C394" s="416">
        <f>SUM(P394:P427)</f>
        <v>0</v>
      </c>
      <c r="D394" s="157"/>
      <c r="E394" s="545"/>
      <c r="F394" s="546"/>
      <c r="G394" s="578"/>
      <c r="H394" s="419"/>
      <c r="I394" s="239"/>
      <c r="J394" s="471" t="s">
        <v>341</v>
      </c>
      <c r="K394" s="420"/>
      <c r="L394" s="150"/>
      <c r="M394" s="374"/>
      <c r="O394" s="426"/>
      <c r="P394" s="423"/>
      <c r="Q394" s="404"/>
      <c r="R394" s="148"/>
      <c r="S394" s="242"/>
      <c r="T394" s="242"/>
      <c r="U394" s="242"/>
      <c r="V394" s="242"/>
      <c r="W394" s="242"/>
      <c r="X394" s="242"/>
      <c r="Y394" s="148"/>
      <c r="Z394" s="148"/>
    </row>
    <row r="395">
      <c r="A395" s="427" t="s">
        <v>201</v>
      </c>
      <c r="C395" s="204">
        <f>SUM(L394:L427)</f>
        <v>0</v>
      </c>
      <c r="D395" s="157"/>
      <c r="E395" s="545"/>
      <c r="F395" s="546"/>
      <c r="G395" s="578"/>
      <c r="H395" s="419"/>
      <c r="I395" s="239"/>
      <c r="J395" s="472" t="s">
        <v>345</v>
      </c>
      <c r="K395" s="420"/>
      <c r="L395" s="150"/>
      <c r="M395" s="374"/>
      <c r="O395" s="426"/>
      <c r="P395" s="423"/>
      <c r="Q395" s="404"/>
      <c r="R395" s="148"/>
      <c r="S395" s="242"/>
      <c r="T395" s="242"/>
      <c r="U395" s="242"/>
      <c r="V395" s="242"/>
      <c r="W395" s="242"/>
      <c r="X395" s="242"/>
      <c r="Y395" s="148"/>
      <c r="Z395" s="148"/>
    </row>
    <row r="396">
      <c r="A396" s="548" t="s">
        <v>761</v>
      </c>
      <c r="B396" s="549">
        <v>0.4</v>
      </c>
      <c r="C396" s="191"/>
      <c r="D396" s="157"/>
      <c r="E396" s="550" t="s">
        <v>695</v>
      </c>
      <c r="F396" s="546"/>
      <c r="G396" s="578"/>
      <c r="H396" s="419"/>
      <c r="I396" s="239"/>
      <c r="J396" s="433" t="s">
        <v>656</v>
      </c>
      <c r="K396" s="420"/>
      <c r="L396" s="193"/>
      <c r="M396" s="377"/>
      <c r="O396" s="426"/>
      <c r="P396" s="423"/>
      <c r="Q396" s="404"/>
      <c r="R396" s="148"/>
      <c r="S396" s="242"/>
      <c r="T396" s="242"/>
      <c r="U396" s="242"/>
      <c r="V396" s="242"/>
      <c r="W396" s="242"/>
      <c r="X396" s="242"/>
      <c r="Y396" s="148"/>
      <c r="Z396" s="148"/>
    </row>
    <row r="397">
      <c r="A397" s="434" t="s">
        <v>350</v>
      </c>
      <c r="C397" s="551">
        <f>C393-C395-C396</f>
        <v>0</v>
      </c>
      <c r="D397" s="157"/>
      <c r="E397" s="192"/>
      <c r="F397" s="546"/>
      <c r="G397" s="579"/>
      <c r="H397" s="419"/>
      <c r="I397" s="57"/>
      <c r="J397" s="444" t="s">
        <v>658</v>
      </c>
      <c r="K397" s="420"/>
      <c r="L397" s="193"/>
      <c r="M397" s="377"/>
      <c r="O397" s="426"/>
      <c r="P397" s="423"/>
      <c r="Q397" s="404"/>
      <c r="R397" s="148"/>
      <c r="S397" s="242"/>
      <c r="T397" s="242"/>
      <c r="U397" s="242"/>
      <c r="V397" s="242"/>
      <c r="W397" s="242"/>
      <c r="X397" s="242"/>
      <c r="Y397" s="148"/>
      <c r="Z397" s="148"/>
    </row>
    <row r="398">
      <c r="A398" s="554"/>
      <c r="B398" s="555"/>
      <c r="C398" s="447"/>
      <c r="D398" s="157"/>
      <c r="E398" s="192"/>
      <c r="F398" s="546"/>
      <c r="G398" s="562"/>
      <c r="H398" s="419"/>
      <c r="I398" s="57"/>
      <c r="J398" s="444" t="s">
        <v>660</v>
      </c>
      <c r="K398" s="420"/>
      <c r="L398" s="193"/>
      <c r="M398" s="377"/>
      <c r="O398" s="431"/>
      <c r="P398" s="157"/>
      <c r="Q398" s="404"/>
      <c r="R398" s="148"/>
      <c r="S398" s="242"/>
      <c r="T398" s="242"/>
      <c r="U398" s="242"/>
      <c r="V398" s="242"/>
      <c r="W398" s="242"/>
      <c r="X398" s="242"/>
      <c r="Y398" s="148"/>
      <c r="Z398" s="148"/>
    </row>
    <row r="399">
      <c r="A399" s="556"/>
      <c r="C399" s="395"/>
      <c r="D399" s="157"/>
      <c r="E399" s="192"/>
      <c r="F399" s="546"/>
      <c r="G399" s="579"/>
      <c r="H399" s="419"/>
      <c r="I399" s="239"/>
      <c r="J399" s="370" t="s">
        <v>662</v>
      </c>
      <c r="K399" s="420"/>
      <c r="L399" s="193"/>
      <c r="M399" s="374"/>
      <c r="O399" s="431"/>
      <c r="P399" s="157"/>
      <c r="Q399" s="404"/>
      <c r="R399" s="148"/>
      <c r="S399" s="242"/>
      <c r="T399" s="242"/>
      <c r="U399" s="242"/>
      <c r="V399" s="242"/>
      <c r="W399" s="242"/>
      <c r="X399" s="242"/>
      <c r="Y399" s="148"/>
      <c r="Z399" s="148"/>
    </row>
    <row r="400">
      <c r="A400" s="557"/>
      <c r="B400" s="109"/>
      <c r="C400" s="395"/>
      <c r="D400" s="373"/>
      <c r="E400" s="192"/>
      <c r="F400" s="546"/>
      <c r="G400" s="578"/>
      <c r="H400" s="419"/>
      <c r="I400" s="239"/>
      <c r="J400" s="433" t="s">
        <v>666</v>
      </c>
      <c r="K400" s="420"/>
      <c r="L400" s="150"/>
      <c r="M400" s="374"/>
      <c r="O400" s="431"/>
      <c r="P400" s="157"/>
      <c r="Q400" s="404"/>
      <c r="R400" s="148"/>
      <c r="S400" s="242"/>
      <c r="T400" s="242"/>
      <c r="U400" s="242"/>
      <c r="V400" s="242"/>
      <c r="W400" s="242"/>
      <c r="X400" s="242"/>
      <c r="Y400" s="148"/>
      <c r="Z400" s="148"/>
    </row>
    <row r="401">
      <c r="A401" s="559" t="s">
        <v>765</v>
      </c>
      <c r="B401" s="560">
        <f>SUM(D401:D427)</f>
        <v>0</v>
      </c>
      <c r="C401" s="477" t="s">
        <v>366</v>
      </c>
      <c r="D401" s="157"/>
      <c r="E401" s="192"/>
      <c r="F401" s="546"/>
      <c r="G401" s="578"/>
      <c r="H401" s="419"/>
      <c r="I401" s="239"/>
      <c r="J401" s="433" t="s">
        <v>668</v>
      </c>
      <c r="K401" s="420"/>
      <c r="L401" s="150"/>
      <c r="M401" s="377"/>
      <c r="O401" s="431"/>
      <c r="P401" s="157"/>
      <c r="Q401" s="404"/>
      <c r="R401" s="148"/>
      <c r="S401" s="242"/>
      <c r="T401" s="242"/>
      <c r="U401" s="242"/>
      <c r="V401" s="242"/>
      <c r="W401" s="242"/>
      <c r="X401" s="242"/>
      <c r="Y401" s="148"/>
      <c r="Z401" s="148"/>
    </row>
    <row r="402">
      <c r="A402" s="453" t="s">
        <v>369</v>
      </c>
      <c r="C402" s="561" t="s">
        <v>766</v>
      </c>
      <c r="D402" s="423"/>
      <c r="E402" s="192"/>
      <c r="F402" s="546"/>
      <c r="G402" s="578"/>
      <c r="H402" s="419"/>
      <c r="I402" s="239"/>
      <c r="J402" s="433" t="s">
        <v>670</v>
      </c>
      <c r="K402" s="458"/>
      <c r="L402" s="193"/>
      <c r="M402" s="377"/>
      <c r="O402" s="431"/>
      <c r="P402" s="157"/>
      <c r="Q402" s="404"/>
      <c r="R402" s="148"/>
      <c r="S402" s="242"/>
      <c r="T402" s="242"/>
      <c r="U402" s="242"/>
      <c r="V402" s="242"/>
      <c r="W402" s="242"/>
      <c r="X402" s="242"/>
      <c r="Y402" s="148"/>
      <c r="Z402" s="148"/>
    </row>
    <row r="403">
      <c r="C403" s="561" t="s">
        <v>767</v>
      </c>
      <c r="D403" s="423"/>
      <c r="E403" s="192"/>
      <c r="F403" s="546"/>
      <c r="G403" s="578"/>
      <c r="H403" s="419"/>
      <c r="I403" s="239"/>
      <c r="J403" s="433" t="s">
        <v>217</v>
      </c>
      <c r="K403" s="458"/>
      <c r="L403" s="150"/>
      <c r="M403" s="377"/>
      <c r="O403" s="431"/>
      <c r="P403" s="157"/>
      <c r="Q403" s="404"/>
      <c r="R403" s="148"/>
      <c r="S403" s="242"/>
      <c r="T403" s="242"/>
      <c r="U403" s="242"/>
      <c r="V403" s="242"/>
      <c r="W403" s="242"/>
      <c r="X403" s="242"/>
      <c r="Y403" s="148"/>
      <c r="Z403" s="148"/>
    </row>
    <row r="404">
      <c r="A404" s="57"/>
      <c r="B404" s="272" t="s">
        <v>889</v>
      </c>
      <c r="C404" s="561" t="s">
        <v>768</v>
      </c>
      <c r="D404" s="423"/>
      <c r="E404" s="192"/>
      <c r="F404" s="546"/>
      <c r="G404" s="578"/>
      <c r="H404" s="419"/>
      <c r="I404" s="239"/>
      <c r="J404" s="109"/>
      <c r="K404" s="420"/>
      <c r="L404" s="193"/>
      <c r="M404" s="374"/>
      <c r="O404" s="431"/>
      <c r="P404" s="157"/>
      <c r="Q404" s="404"/>
      <c r="R404" s="148"/>
      <c r="S404" s="242"/>
      <c r="T404" s="242"/>
      <c r="U404" s="242"/>
      <c r="V404" s="242"/>
      <c r="W404" s="242"/>
      <c r="X404" s="242"/>
      <c r="Y404" s="148"/>
      <c r="Z404" s="148"/>
    </row>
    <row r="405">
      <c r="A405" s="57"/>
      <c r="B405" s="57"/>
      <c r="C405" s="561" t="s">
        <v>769</v>
      </c>
      <c r="D405" s="157"/>
      <c r="E405" s="192"/>
      <c r="F405" s="546"/>
      <c r="G405" s="578"/>
      <c r="H405" s="419"/>
      <c r="I405" s="239"/>
      <c r="J405" s="456" t="s">
        <v>672</v>
      </c>
      <c r="K405" s="420"/>
      <c r="L405" s="150"/>
      <c r="M405" s="377"/>
      <c r="O405" s="431"/>
      <c r="P405" s="157"/>
      <c r="Q405" s="404"/>
      <c r="R405" s="148"/>
      <c r="S405" s="242"/>
      <c r="T405" s="242"/>
      <c r="U405" s="242"/>
      <c r="V405" s="242"/>
      <c r="W405" s="242"/>
      <c r="X405" s="242"/>
      <c r="Y405" s="148"/>
      <c r="Z405" s="148"/>
    </row>
    <row r="406">
      <c r="A406" s="597"/>
      <c r="C406" s="561" t="s">
        <v>770</v>
      </c>
      <c r="D406" s="423"/>
      <c r="E406" s="192"/>
      <c r="F406" s="546"/>
      <c r="G406" s="578"/>
      <c r="H406" s="419"/>
      <c r="I406" s="57"/>
      <c r="J406" s="456" t="s">
        <v>675</v>
      </c>
      <c r="K406" s="420"/>
      <c r="L406" s="150"/>
      <c r="M406" s="382"/>
      <c r="O406" s="431"/>
      <c r="P406" s="157"/>
      <c r="Q406" s="404"/>
      <c r="R406" s="148"/>
      <c r="S406" s="242"/>
      <c r="T406" s="242"/>
      <c r="U406" s="242"/>
      <c r="V406" s="242"/>
      <c r="W406" s="242"/>
      <c r="X406" s="242"/>
      <c r="Y406" s="148"/>
      <c r="Z406" s="148"/>
    </row>
    <row r="407">
      <c r="A407" s="57"/>
      <c r="B407" s="57"/>
      <c r="C407" s="561" t="s">
        <v>793</v>
      </c>
      <c r="D407" s="423"/>
      <c r="E407" s="192"/>
      <c r="F407" s="546"/>
      <c r="G407" s="562"/>
      <c r="H407" s="419"/>
      <c r="I407" s="57"/>
      <c r="J407" s="456"/>
      <c r="K407" s="420"/>
      <c r="L407" s="150"/>
      <c r="M407" s="425"/>
      <c r="O407" s="431"/>
      <c r="P407" s="157"/>
      <c r="Q407" s="404"/>
      <c r="R407" s="148"/>
      <c r="S407" s="242"/>
      <c r="T407" s="242"/>
      <c r="U407" s="242"/>
      <c r="V407" s="242"/>
      <c r="W407" s="242"/>
      <c r="X407" s="242"/>
      <c r="Y407" s="148"/>
      <c r="Z407" s="148"/>
    </row>
    <row r="408">
      <c r="A408" s="239"/>
      <c r="B408" s="57"/>
      <c r="C408" s="561" t="s">
        <v>794</v>
      </c>
      <c r="D408" s="157"/>
      <c r="E408" s="192"/>
      <c r="F408" s="546"/>
      <c r="G408" s="562"/>
      <c r="H408" s="419"/>
      <c r="I408" s="57"/>
      <c r="J408" s="375"/>
      <c r="K408" s="420"/>
      <c r="L408" s="150"/>
      <c r="M408" s="425"/>
      <c r="O408" s="431"/>
      <c r="P408" s="157"/>
      <c r="Q408" s="404"/>
      <c r="R408" s="148"/>
      <c r="S408" s="242"/>
      <c r="T408" s="242"/>
      <c r="U408" s="242"/>
      <c r="V408" s="242"/>
      <c r="W408" s="242"/>
      <c r="X408" s="242"/>
      <c r="Y408" s="148"/>
      <c r="Z408" s="148"/>
    </row>
    <row r="409">
      <c r="A409" s="239"/>
      <c r="B409" s="57"/>
      <c r="C409" s="561" t="s">
        <v>18</v>
      </c>
      <c r="D409" s="157"/>
      <c r="E409" s="192"/>
      <c r="F409" s="546"/>
      <c r="G409" s="578"/>
      <c r="H409" s="419"/>
      <c r="I409" s="57"/>
      <c r="J409" s="375"/>
      <c r="K409" s="420"/>
      <c r="L409" s="193"/>
      <c r="M409" s="382"/>
      <c r="O409" s="431"/>
      <c r="P409" s="157"/>
      <c r="Q409" s="404"/>
      <c r="R409" s="148"/>
      <c r="S409" s="242"/>
      <c r="T409" s="242"/>
      <c r="U409" s="242"/>
      <c r="V409" s="242"/>
      <c r="W409" s="242"/>
      <c r="X409" s="242"/>
      <c r="Y409" s="148"/>
      <c r="Z409" s="148"/>
    </row>
    <row r="410">
      <c r="A410" s="239"/>
      <c r="B410" s="57"/>
      <c r="C410" s="563" t="s">
        <v>1115</v>
      </c>
      <c r="D410" s="157"/>
      <c r="E410" s="192"/>
      <c r="F410" s="546"/>
      <c r="G410" s="562"/>
      <c r="H410" s="419"/>
      <c r="I410" s="57"/>
      <c r="J410" s="452"/>
      <c r="K410" s="420"/>
      <c r="L410" s="150"/>
      <c r="M410" s="425"/>
      <c r="O410" s="431"/>
      <c r="P410" s="157"/>
      <c r="Q410" s="404"/>
      <c r="R410" s="148"/>
      <c r="S410" s="242"/>
      <c r="T410" s="242"/>
      <c r="U410" s="242"/>
      <c r="V410" s="242"/>
      <c r="W410" s="242"/>
      <c r="X410" s="242"/>
      <c r="Y410" s="148"/>
      <c r="Z410" s="148"/>
    </row>
    <row r="411">
      <c r="A411" s="57"/>
      <c r="B411" s="57"/>
      <c r="C411" s="561" t="s">
        <v>1116</v>
      </c>
      <c r="D411" s="423"/>
      <c r="E411" s="192"/>
      <c r="F411" s="546"/>
      <c r="G411" s="562"/>
      <c r="H411" s="419"/>
      <c r="I411" s="57"/>
      <c r="J411" s="105"/>
      <c r="K411" s="420"/>
      <c r="L411" s="150"/>
      <c r="M411" s="425"/>
      <c r="O411" s="431"/>
      <c r="P411" s="157"/>
      <c r="Q411" s="404"/>
      <c r="R411" s="148"/>
      <c r="S411" s="242"/>
      <c r="T411" s="242"/>
      <c r="U411" s="242"/>
      <c r="V411" s="242"/>
      <c r="W411" s="242"/>
      <c r="X411" s="242"/>
      <c r="Y411" s="148"/>
      <c r="Z411" s="148"/>
    </row>
    <row r="412">
      <c r="A412" s="239"/>
      <c r="B412" s="239"/>
      <c r="C412" s="561" t="s">
        <v>775</v>
      </c>
      <c r="D412" s="423"/>
      <c r="E412" s="228"/>
      <c r="F412" s="547"/>
      <c r="G412" s="578"/>
      <c r="H412" s="419"/>
      <c r="I412" s="57"/>
      <c r="J412" s="378" t="s">
        <v>682</v>
      </c>
      <c r="K412" s="420"/>
      <c r="L412" s="193"/>
      <c r="M412" s="377"/>
      <c r="O412" s="431"/>
      <c r="P412" s="157"/>
      <c r="Q412" s="404"/>
      <c r="R412" s="148"/>
      <c r="S412" s="242"/>
      <c r="T412" s="242"/>
      <c r="U412" s="242"/>
      <c r="V412" s="242"/>
      <c r="W412" s="242"/>
      <c r="X412" s="242"/>
      <c r="Y412" s="148"/>
      <c r="Z412" s="148"/>
    </row>
    <row r="413">
      <c r="A413" s="239"/>
      <c r="B413" s="239"/>
      <c r="C413" s="561" t="s">
        <v>10</v>
      </c>
      <c r="D413" s="157"/>
      <c r="E413" s="206"/>
      <c r="F413" s="564"/>
      <c r="G413" s="581"/>
      <c r="H413" s="419"/>
      <c r="I413" s="57"/>
      <c r="J413" s="461" t="s">
        <v>684</v>
      </c>
      <c r="K413" s="420"/>
      <c r="L413" s="193"/>
      <c r="M413" s="377"/>
      <c r="O413" s="431"/>
      <c r="P413" s="157"/>
      <c r="Q413" s="404"/>
      <c r="R413" s="148"/>
      <c r="S413" s="242"/>
      <c r="T413" s="242"/>
      <c r="U413" s="242"/>
      <c r="V413" s="242"/>
      <c r="W413" s="242"/>
      <c r="X413" s="242"/>
      <c r="Y413" s="148"/>
      <c r="Z413" s="148"/>
    </row>
    <row r="414">
      <c r="A414" s="239"/>
      <c r="B414" s="239"/>
      <c r="C414" s="561" t="s">
        <v>6</v>
      </c>
      <c r="D414" s="157"/>
      <c r="E414" s="206"/>
      <c r="F414" s="547"/>
      <c r="G414" s="579"/>
      <c r="H414" s="455"/>
      <c r="I414" s="57"/>
      <c r="J414" s="461" t="s">
        <v>686</v>
      </c>
      <c r="K414" s="420"/>
      <c r="L414" s="150"/>
      <c r="M414" s="374"/>
      <c r="O414" s="463"/>
      <c r="P414" s="157"/>
      <c r="Q414" s="404"/>
      <c r="R414" s="148"/>
      <c r="S414" s="242"/>
      <c r="T414" s="242"/>
      <c r="U414" s="242"/>
      <c r="V414" s="242"/>
      <c r="W414" s="242"/>
      <c r="X414" s="242"/>
      <c r="Y414" s="148"/>
      <c r="Z414" s="148"/>
    </row>
    <row r="415">
      <c r="A415" s="57"/>
      <c r="B415" s="57"/>
      <c r="C415" s="561" t="s">
        <v>779</v>
      </c>
      <c r="D415" s="157"/>
      <c r="E415" s="228"/>
      <c r="F415" s="547"/>
      <c r="G415" s="579"/>
      <c r="H415" s="455"/>
      <c r="I415" s="239"/>
      <c r="J415" s="460" t="s">
        <v>202</v>
      </c>
      <c r="K415" s="420"/>
      <c r="L415" s="193"/>
      <c r="M415" s="377"/>
      <c r="O415" s="463"/>
      <c r="P415" s="157"/>
      <c r="Q415" s="404"/>
      <c r="R415" s="148"/>
      <c r="S415" s="242"/>
      <c r="T415" s="242"/>
      <c r="U415" s="242"/>
      <c r="V415" s="242"/>
      <c r="W415" s="242"/>
      <c r="X415" s="242"/>
      <c r="Y415" s="148"/>
      <c r="Z415" s="148"/>
    </row>
    <row r="416">
      <c r="A416" s="239"/>
      <c r="B416" s="239"/>
      <c r="C416" s="561" t="s">
        <v>780</v>
      </c>
      <c r="D416" s="423"/>
      <c r="E416" s="228"/>
      <c r="F416" s="547"/>
      <c r="G416" s="579"/>
      <c r="H416" s="455"/>
      <c r="I416" s="57"/>
      <c r="J416" s="460" t="s">
        <v>274</v>
      </c>
      <c r="K416" s="420"/>
      <c r="L416" s="193"/>
      <c r="M416" s="374"/>
      <c r="O416" s="463"/>
      <c r="P416" s="157"/>
      <c r="Q416" s="404"/>
      <c r="R416" s="148"/>
      <c r="S416" s="242"/>
      <c r="T416" s="242"/>
      <c r="U416" s="242"/>
      <c r="V416" s="242"/>
      <c r="W416" s="242"/>
      <c r="X416" s="242"/>
      <c r="Y416" s="148"/>
      <c r="Z416" s="148"/>
    </row>
    <row r="417">
      <c r="A417" s="239"/>
      <c r="B417" s="239"/>
      <c r="C417" s="561" t="s">
        <v>781</v>
      </c>
      <c r="D417" s="423"/>
      <c r="E417" s="228"/>
      <c r="F417" s="547"/>
      <c r="G417" s="579"/>
      <c r="H417" s="419"/>
      <c r="I417" s="239"/>
      <c r="J417" s="685" t="s">
        <v>1117</v>
      </c>
      <c r="K417" s="420"/>
      <c r="L417" s="150"/>
      <c r="M417" s="374"/>
      <c r="O417" s="431"/>
      <c r="P417" s="157"/>
      <c r="Q417" s="404"/>
      <c r="R417" s="148"/>
      <c r="S417" s="242"/>
      <c r="T417" s="242"/>
      <c r="U417" s="242"/>
      <c r="V417" s="242"/>
      <c r="W417" s="242"/>
      <c r="X417" s="242"/>
      <c r="Y417" s="148"/>
      <c r="Z417" s="148"/>
    </row>
    <row r="418">
      <c r="A418" s="239"/>
      <c r="B418" s="157"/>
      <c r="C418" s="561" t="s">
        <v>1118</v>
      </c>
      <c r="D418" s="157"/>
      <c r="E418" s="569"/>
      <c r="F418" s="547"/>
      <c r="G418" s="578"/>
      <c r="H418" s="419"/>
      <c r="I418" s="57"/>
      <c r="J418" s="685" t="s">
        <v>1119</v>
      </c>
      <c r="K418" s="420"/>
      <c r="L418" s="193"/>
      <c r="M418" s="377"/>
      <c r="O418" s="431"/>
      <c r="P418" s="157"/>
      <c r="Q418" s="404"/>
      <c r="R418" s="148"/>
      <c r="S418" s="242"/>
      <c r="T418" s="242"/>
      <c r="U418" s="242"/>
      <c r="V418" s="242"/>
      <c r="W418" s="242"/>
      <c r="X418" s="242"/>
      <c r="Y418" s="148"/>
      <c r="Z418" s="148"/>
    </row>
    <row r="419">
      <c r="A419" s="239"/>
      <c r="B419" s="157"/>
      <c r="C419" s="561" t="s">
        <v>1120</v>
      </c>
      <c r="D419" s="157"/>
      <c r="E419" s="228"/>
      <c r="F419" s="547"/>
      <c r="G419" s="578"/>
      <c r="H419" s="419"/>
      <c r="I419" s="239"/>
      <c r="J419" s="596" t="s">
        <v>1001</v>
      </c>
      <c r="K419" s="420"/>
      <c r="L419" s="193"/>
      <c r="M419" s="377"/>
      <c r="O419" s="431"/>
      <c r="P419" s="157"/>
      <c r="Q419" s="404"/>
      <c r="R419" s="148"/>
      <c r="S419" s="242"/>
      <c r="T419" s="242"/>
      <c r="U419" s="242"/>
      <c r="V419" s="242"/>
      <c r="W419" s="242"/>
      <c r="X419" s="242"/>
      <c r="Y419" s="148"/>
      <c r="Z419" s="148"/>
    </row>
    <row r="420">
      <c r="A420" s="239"/>
      <c r="B420" s="157"/>
      <c r="C420" s="561"/>
      <c r="D420" s="157"/>
      <c r="E420" s="570"/>
      <c r="F420" s="547"/>
      <c r="G420" s="578"/>
      <c r="H420" s="419"/>
      <c r="I420" s="239"/>
      <c r="J420" s="568"/>
      <c r="K420" s="420"/>
      <c r="L420" s="193"/>
      <c r="M420" s="374"/>
      <c r="O420" s="431"/>
      <c r="P420" s="157"/>
      <c r="Q420" s="404"/>
      <c r="R420" s="148"/>
      <c r="S420" s="242"/>
      <c r="T420" s="242"/>
      <c r="U420" s="242"/>
      <c r="V420" s="242"/>
      <c r="W420" s="242"/>
      <c r="X420" s="242"/>
      <c r="Y420" s="148"/>
      <c r="Z420" s="148"/>
    </row>
    <row r="421">
      <c r="C421" s="571"/>
      <c r="D421" s="157"/>
      <c r="E421" s="570"/>
      <c r="F421" s="547"/>
      <c r="G421" s="578"/>
      <c r="H421" s="419"/>
      <c r="I421" s="239"/>
      <c r="J421" s="464" t="s">
        <v>692</v>
      </c>
      <c r="K421" s="420"/>
      <c r="L421" s="150"/>
      <c r="M421" s="377"/>
      <c r="O421" s="431"/>
      <c r="P421" s="157"/>
      <c r="Q421" s="404"/>
      <c r="R421" s="148"/>
      <c r="S421" s="242"/>
      <c r="T421" s="242"/>
      <c r="U421" s="242"/>
      <c r="V421" s="242"/>
      <c r="W421" s="242"/>
      <c r="X421" s="242"/>
      <c r="Y421" s="148"/>
      <c r="Z421" s="148"/>
    </row>
    <row r="422">
      <c r="C422" s="571"/>
      <c r="D422" s="157"/>
      <c r="E422" s="570"/>
      <c r="F422" s="547"/>
      <c r="G422" s="578"/>
      <c r="H422" s="419"/>
      <c r="I422" s="239"/>
      <c r="J422" s="464" t="s">
        <v>694</v>
      </c>
      <c r="K422" s="420"/>
      <c r="L422" s="193"/>
      <c r="M422" s="374"/>
      <c r="O422" s="431"/>
      <c r="P422" s="157"/>
      <c r="Q422" s="404"/>
      <c r="R422" s="148"/>
      <c r="S422" s="242"/>
      <c r="T422" s="242"/>
      <c r="U422" s="242"/>
      <c r="V422" s="242"/>
      <c r="W422" s="242"/>
      <c r="X422" s="242"/>
      <c r="Y422" s="148"/>
      <c r="Z422" s="148"/>
    </row>
    <row r="423">
      <c r="C423" s="571"/>
      <c r="D423" s="423"/>
      <c r="E423" s="570"/>
      <c r="F423" s="546"/>
      <c r="G423" s="578"/>
      <c r="H423" s="419"/>
      <c r="I423" s="57"/>
      <c r="J423" s="105"/>
      <c r="K423" s="57"/>
      <c r="L423" s="150"/>
      <c r="M423" s="57"/>
      <c r="N423" s="57"/>
      <c r="O423" s="57"/>
      <c r="P423" s="157"/>
      <c r="Q423" s="404"/>
      <c r="R423" s="148"/>
      <c r="S423" s="242"/>
      <c r="T423" s="242"/>
      <c r="U423" s="242"/>
      <c r="V423" s="242"/>
      <c r="W423" s="242"/>
      <c r="X423" s="242"/>
      <c r="Y423" s="148"/>
      <c r="Z423" s="148"/>
    </row>
    <row r="424">
      <c r="A424" s="125" t="s">
        <v>798</v>
      </c>
      <c r="B424" s="572">
        <f>C397-B401</f>
        <v>0</v>
      </c>
      <c r="D424" s="157"/>
      <c r="E424" s="570"/>
      <c r="F424" s="573"/>
      <c r="G424" s="581"/>
      <c r="H424" s="419"/>
      <c r="I424" s="239"/>
      <c r="J424" s="568"/>
      <c r="K424" s="57"/>
      <c r="L424" s="150"/>
      <c r="M424" s="57"/>
      <c r="N424" s="57"/>
      <c r="O424" s="57"/>
      <c r="P424" s="157"/>
      <c r="Q424" s="404"/>
      <c r="R424" s="148"/>
      <c r="S424" s="242"/>
      <c r="T424" s="242"/>
      <c r="U424" s="242"/>
      <c r="V424" s="242"/>
      <c r="W424" s="242"/>
      <c r="X424" s="242"/>
      <c r="Y424" s="148"/>
      <c r="Z424" s="148"/>
    </row>
    <row r="425">
      <c r="A425" s="274" t="s">
        <v>783</v>
      </c>
      <c r="B425" s="109"/>
      <c r="C425" s="395"/>
      <c r="D425" s="157"/>
      <c r="E425" s="570"/>
      <c r="F425" s="573"/>
      <c r="G425" s="581"/>
      <c r="H425" s="419"/>
      <c r="I425" s="239"/>
      <c r="J425" s="568"/>
      <c r="K425" s="57"/>
      <c r="L425" s="150"/>
      <c r="M425" s="57"/>
      <c r="N425" s="57"/>
      <c r="O425" s="57"/>
      <c r="P425" s="157"/>
      <c r="Q425" s="404"/>
      <c r="R425" s="148"/>
      <c r="S425" s="242"/>
      <c r="T425" s="242"/>
      <c r="U425" s="242"/>
      <c r="V425" s="242"/>
      <c r="W425" s="242"/>
      <c r="X425" s="242"/>
      <c r="Y425" s="148"/>
      <c r="Z425" s="148"/>
    </row>
    <row r="426">
      <c r="A426" s="274" t="s">
        <v>784</v>
      </c>
      <c r="B426" s="109"/>
      <c r="C426" s="395"/>
      <c r="D426" s="157"/>
      <c r="E426" s="570"/>
      <c r="F426" s="573"/>
      <c r="G426" s="581"/>
      <c r="H426" s="419"/>
      <c r="I426" s="239"/>
      <c r="J426" s="568"/>
      <c r="K426" s="57"/>
      <c r="L426" s="150"/>
      <c r="M426" s="57"/>
      <c r="N426" s="57"/>
      <c r="O426" s="57"/>
      <c r="P426" s="157"/>
      <c r="Q426" s="404"/>
      <c r="R426" s="148"/>
      <c r="S426" s="242"/>
      <c r="T426" s="242"/>
      <c r="U426" s="242"/>
      <c r="V426" s="242"/>
      <c r="W426" s="242"/>
      <c r="X426" s="242"/>
      <c r="Y426" s="148"/>
      <c r="Z426" s="148"/>
    </row>
    <row r="427">
      <c r="A427" s="274" t="s">
        <v>785</v>
      </c>
      <c r="B427" s="109"/>
      <c r="C427" s="686">
        <f>SUM(B425:B427)</f>
        <v>0</v>
      </c>
      <c r="D427" s="157"/>
      <c r="E427" s="570"/>
      <c r="F427" s="573"/>
      <c r="G427" s="581"/>
      <c r="H427" s="419"/>
      <c r="I427" s="239"/>
      <c r="J427" s="568"/>
      <c r="K427" s="57"/>
      <c r="L427" s="150"/>
      <c r="M427" s="57"/>
      <c r="N427" s="57"/>
      <c r="O427" s="57"/>
      <c r="P427" s="157"/>
      <c r="Q427" s="404"/>
      <c r="R427" s="148"/>
      <c r="S427" s="242"/>
      <c r="T427" s="242"/>
      <c r="U427" s="242"/>
      <c r="V427" s="242"/>
      <c r="W427" s="242"/>
      <c r="X427" s="242"/>
      <c r="Y427" s="148"/>
      <c r="Z427" s="148"/>
    </row>
    <row r="428">
      <c r="A428" s="402"/>
      <c r="B428" s="403"/>
      <c r="C428" s="403"/>
      <c r="D428" s="403"/>
      <c r="E428" s="574"/>
      <c r="F428" s="575"/>
      <c r="G428" s="576"/>
      <c r="H428" s="159"/>
      <c r="I428" s="159"/>
      <c r="J428" s="576"/>
      <c r="K428" s="159"/>
      <c r="L428" s="162"/>
      <c r="M428" s="402"/>
      <c r="N428" s="402"/>
      <c r="O428" s="159"/>
      <c r="P428" s="403"/>
      <c r="Q428" s="577"/>
      <c r="R428" s="148"/>
      <c r="S428" s="242"/>
      <c r="T428" s="242"/>
      <c r="U428" s="242"/>
      <c r="V428" s="242"/>
      <c r="W428" s="242"/>
      <c r="X428" s="242"/>
      <c r="Y428" s="148"/>
      <c r="Z428" s="148"/>
    </row>
    <row r="429">
      <c r="A429" s="148"/>
      <c r="B429" s="148"/>
      <c r="C429" s="148"/>
      <c r="D429" s="245"/>
      <c r="E429" s="585"/>
      <c r="F429" s="586"/>
      <c r="G429" s="243"/>
      <c r="H429" s="148"/>
      <c r="I429" s="251"/>
      <c r="J429" s="243"/>
      <c r="K429" s="148"/>
      <c r="L429" s="277"/>
      <c r="M429" s="252"/>
      <c r="N429" s="250"/>
      <c r="O429" s="253"/>
      <c r="P429" s="240"/>
      <c r="Q429" s="148"/>
      <c r="R429" s="148"/>
      <c r="S429" s="242"/>
      <c r="T429" s="242"/>
      <c r="U429" s="242"/>
      <c r="V429" s="242"/>
      <c r="W429" s="242"/>
      <c r="X429" s="242"/>
      <c r="Y429" s="148"/>
      <c r="Z429" s="148"/>
    </row>
    <row r="430">
      <c r="A430" s="169" t="s">
        <v>109</v>
      </c>
      <c r="B430" s="539"/>
      <c r="C430" s="540"/>
      <c r="D430" s="405"/>
      <c r="E430" s="541"/>
      <c r="F430" s="542"/>
      <c r="G430" s="467" t="s">
        <v>333</v>
      </c>
      <c r="H430" s="361"/>
      <c r="I430" s="57"/>
      <c r="J430" s="105"/>
      <c r="K430" s="57"/>
      <c r="L430" s="150"/>
      <c r="M430" s="239"/>
      <c r="N430" s="239"/>
      <c r="O430" s="57"/>
      <c r="P430" s="157"/>
      <c r="Q430" s="404"/>
      <c r="R430" s="148"/>
      <c r="S430" s="242"/>
      <c r="T430" s="242"/>
      <c r="U430" s="242"/>
      <c r="V430" s="242"/>
      <c r="W430" s="242"/>
      <c r="X430" s="242"/>
      <c r="Y430" s="148"/>
      <c r="Z430" s="148"/>
    </row>
    <row r="431">
      <c r="A431" s="468"/>
      <c r="B431" s="157"/>
      <c r="C431" s="466"/>
      <c r="D431" s="405"/>
      <c r="E431" s="543" t="s">
        <v>335</v>
      </c>
      <c r="F431" s="544" t="s">
        <v>237</v>
      </c>
      <c r="G431" s="412" t="s">
        <v>336</v>
      </c>
      <c r="H431" s="413" t="s">
        <v>337</v>
      </c>
      <c r="I431" s="239"/>
      <c r="J431" s="145" t="s">
        <v>60</v>
      </c>
      <c r="K431" s="57"/>
      <c r="L431" s="150"/>
      <c r="M431" s="414"/>
      <c r="N431" s="414"/>
      <c r="O431" s="57" t="s">
        <v>334</v>
      </c>
      <c r="P431" s="157"/>
      <c r="Q431" s="404"/>
      <c r="R431" s="148"/>
      <c r="S431" s="242"/>
      <c r="T431" s="242"/>
      <c r="U431" s="242"/>
      <c r="V431" s="242"/>
      <c r="W431" s="242"/>
      <c r="X431" s="242"/>
      <c r="Y431" s="148"/>
      <c r="Z431" s="148"/>
    </row>
    <row r="432">
      <c r="A432" s="470" t="s">
        <v>179</v>
      </c>
      <c r="C432" s="416">
        <f>SUM(F432:F466)</f>
        <v>0</v>
      </c>
      <c r="D432" s="405"/>
      <c r="E432" s="545"/>
      <c r="F432" s="546"/>
      <c r="G432" s="578"/>
      <c r="H432" s="419"/>
      <c r="I432" s="57"/>
      <c r="K432" s="57"/>
      <c r="L432" s="150"/>
      <c r="M432" s="377" t="s">
        <v>366</v>
      </c>
      <c r="P432" s="157"/>
      <c r="Q432" s="404"/>
      <c r="R432" s="148"/>
      <c r="S432" s="242"/>
      <c r="T432" s="242"/>
      <c r="U432" s="242"/>
      <c r="V432" s="242"/>
      <c r="W432" s="242"/>
      <c r="X432" s="242"/>
      <c r="Y432" s="148"/>
      <c r="Z432" s="148"/>
    </row>
    <row r="433">
      <c r="A433" s="421" t="s">
        <v>343</v>
      </c>
      <c r="B433" s="422" t="s">
        <v>321</v>
      </c>
      <c r="C433" s="416">
        <f>SUM(P433:P466)</f>
        <v>0</v>
      </c>
      <c r="D433" s="157"/>
      <c r="E433" s="545"/>
      <c r="F433" s="546"/>
      <c r="G433" s="578"/>
      <c r="H433" s="419"/>
      <c r="I433" s="239"/>
      <c r="J433" s="471" t="s">
        <v>341</v>
      </c>
      <c r="K433" s="420"/>
      <c r="L433" s="150"/>
      <c r="M433" s="374"/>
      <c r="O433" s="426"/>
      <c r="P433" s="423"/>
      <c r="Q433" s="404"/>
      <c r="R433" s="148"/>
      <c r="S433" s="242"/>
      <c r="T433" s="242"/>
      <c r="U433" s="242"/>
      <c r="V433" s="242"/>
      <c r="W433" s="242"/>
      <c r="X433" s="242"/>
      <c r="Y433" s="148"/>
      <c r="Z433" s="148"/>
    </row>
    <row r="434">
      <c r="A434" s="427" t="s">
        <v>201</v>
      </c>
      <c r="C434" s="204">
        <f>SUM(L433:L466)</f>
        <v>0</v>
      </c>
      <c r="D434" s="157"/>
      <c r="E434" s="545"/>
      <c r="F434" s="546"/>
      <c r="G434" s="578"/>
      <c r="H434" s="419"/>
      <c r="I434" s="239"/>
      <c r="J434" s="472" t="s">
        <v>345</v>
      </c>
      <c r="K434" s="420"/>
      <c r="L434" s="193"/>
      <c r="M434" s="377"/>
      <c r="O434" s="426"/>
      <c r="P434" s="423"/>
      <c r="Q434" s="404"/>
      <c r="R434" s="148"/>
      <c r="S434" s="242"/>
      <c r="T434" s="242"/>
      <c r="U434" s="242"/>
      <c r="V434" s="242"/>
      <c r="W434" s="242"/>
      <c r="X434" s="242"/>
      <c r="Y434" s="148"/>
      <c r="Z434" s="148"/>
    </row>
    <row r="435">
      <c r="A435" s="548" t="s">
        <v>761</v>
      </c>
      <c r="B435" s="549">
        <v>0.4</v>
      </c>
      <c r="C435" s="191"/>
      <c r="D435" s="157"/>
      <c r="E435" s="550" t="s">
        <v>695</v>
      </c>
      <c r="F435" s="546"/>
      <c r="G435" s="578"/>
      <c r="H435" s="419"/>
      <c r="I435" s="239"/>
      <c r="J435" s="433" t="s">
        <v>656</v>
      </c>
      <c r="K435" s="420"/>
      <c r="L435" s="598"/>
      <c r="M435" s="377"/>
      <c r="O435" s="426"/>
      <c r="P435" s="423"/>
      <c r="Q435" s="404"/>
      <c r="R435" s="148"/>
      <c r="S435" s="242"/>
      <c r="T435" s="242"/>
      <c r="U435" s="242"/>
      <c r="V435" s="242"/>
      <c r="W435" s="242"/>
      <c r="X435" s="242"/>
      <c r="Y435" s="148"/>
      <c r="Z435" s="148"/>
    </row>
    <row r="436">
      <c r="A436" s="434" t="s">
        <v>350</v>
      </c>
      <c r="C436" s="551">
        <f>C432-C434-C435</f>
        <v>0</v>
      </c>
      <c r="D436" s="157"/>
      <c r="E436" s="192"/>
      <c r="F436" s="546"/>
      <c r="G436" s="562"/>
      <c r="H436" s="419"/>
      <c r="I436" s="57"/>
      <c r="J436" s="444" t="s">
        <v>658</v>
      </c>
      <c r="K436" s="420"/>
      <c r="L436" s="193"/>
      <c r="M436" s="377"/>
      <c r="O436" s="431"/>
      <c r="P436" s="157"/>
      <c r="Q436" s="404"/>
      <c r="R436" s="148"/>
      <c r="S436" s="242"/>
      <c r="T436" s="242"/>
      <c r="U436" s="242"/>
      <c r="V436" s="242"/>
      <c r="W436" s="242"/>
      <c r="X436" s="242"/>
      <c r="Y436" s="148"/>
      <c r="Z436" s="148"/>
    </row>
    <row r="437">
      <c r="A437" s="554"/>
      <c r="B437" s="555"/>
      <c r="C437" s="447"/>
      <c r="D437" s="157"/>
      <c r="E437" s="192"/>
      <c r="F437" s="546"/>
      <c r="G437" s="562"/>
      <c r="H437" s="419"/>
      <c r="I437" s="57"/>
      <c r="J437" s="444" t="s">
        <v>660</v>
      </c>
      <c r="K437" s="420"/>
      <c r="L437" s="193"/>
      <c r="M437" s="377"/>
      <c r="O437" s="431"/>
      <c r="P437" s="157"/>
      <c r="Q437" s="404"/>
      <c r="R437" s="148"/>
      <c r="S437" s="242"/>
      <c r="T437" s="242"/>
      <c r="U437" s="242"/>
      <c r="V437" s="242"/>
      <c r="W437" s="242"/>
      <c r="X437" s="242"/>
      <c r="Y437" s="148"/>
      <c r="Z437" s="148"/>
    </row>
    <row r="438">
      <c r="A438" s="556"/>
      <c r="C438" s="395"/>
      <c r="D438" s="157"/>
      <c r="E438" s="192"/>
      <c r="F438" s="546"/>
      <c r="G438" s="579"/>
      <c r="H438" s="419"/>
      <c r="I438" s="239"/>
      <c r="J438" s="370" t="s">
        <v>662</v>
      </c>
      <c r="K438" s="420"/>
      <c r="L438" s="193"/>
      <c r="M438" s="374"/>
      <c r="O438" s="431"/>
      <c r="P438" s="157"/>
      <c r="Q438" s="404"/>
      <c r="R438" s="148"/>
      <c r="S438" s="242"/>
      <c r="T438" s="242"/>
      <c r="U438" s="242"/>
      <c r="V438" s="242"/>
      <c r="W438" s="242"/>
      <c r="X438" s="242"/>
      <c r="Y438" s="148"/>
      <c r="Z438" s="148"/>
    </row>
    <row r="439">
      <c r="A439" s="557"/>
      <c r="B439" s="109"/>
      <c r="C439" s="395"/>
      <c r="D439" s="681"/>
      <c r="E439" s="192"/>
      <c r="F439" s="546"/>
      <c r="G439" s="562"/>
      <c r="H439" s="419"/>
      <c r="I439" s="239"/>
      <c r="J439" s="433" t="s">
        <v>666</v>
      </c>
      <c r="K439" s="420"/>
      <c r="L439" s="150"/>
      <c r="M439" s="374"/>
      <c r="O439" s="431"/>
      <c r="P439" s="157"/>
      <c r="Q439" s="404"/>
      <c r="R439" s="148"/>
      <c r="S439" s="242"/>
      <c r="T439" s="242"/>
      <c r="U439" s="242"/>
      <c r="V439" s="242"/>
      <c r="W439" s="242"/>
      <c r="X439" s="242"/>
      <c r="Y439" s="148"/>
      <c r="Z439" s="148"/>
    </row>
    <row r="440">
      <c r="A440" s="559" t="s">
        <v>765</v>
      </c>
      <c r="B440" s="560">
        <f>SUM(D440:D466)</f>
        <v>0</v>
      </c>
      <c r="C440" s="477" t="s">
        <v>366</v>
      </c>
      <c r="D440" s="157"/>
      <c r="E440" s="192"/>
      <c r="F440" s="546"/>
      <c r="G440" s="578"/>
      <c r="H440" s="419"/>
      <c r="I440" s="239"/>
      <c r="J440" s="433" t="s">
        <v>668</v>
      </c>
      <c r="K440" s="420"/>
      <c r="L440" s="150"/>
      <c r="M440" s="377"/>
      <c r="O440" s="431"/>
      <c r="P440" s="157"/>
      <c r="Q440" s="404"/>
      <c r="R440" s="148"/>
      <c r="S440" s="242"/>
      <c r="T440" s="242"/>
      <c r="U440" s="242"/>
      <c r="V440" s="242"/>
      <c r="W440" s="242"/>
      <c r="X440" s="242"/>
      <c r="Y440" s="148"/>
      <c r="Z440" s="148"/>
    </row>
    <row r="441">
      <c r="A441" s="453" t="s">
        <v>369</v>
      </c>
      <c r="C441" s="561" t="s">
        <v>766</v>
      </c>
      <c r="D441" s="423"/>
      <c r="E441" s="192"/>
      <c r="F441" s="546"/>
      <c r="G441" s="578"/>
      <c r="H441" s="419"/>
      <c r="I441" s="239"/>
      <c r="J441" s="433" t="s">
        <v>670</v>
      </c>
      <c r="K441" s="458"/>
      <c r="L441" s="193"/>
      <c r="M441" s="377"/>
      <c r="O441" s="431"/>
      <c r="P441" s="157"/>
      <c r="Q441" s="404"/>
      <c r="R441" s="148"/>
      <c r="S441" s="242"/>
      <c r="T441" s="242"/>
      <c r="U441" s="242"/>
      <c r="V441" s="242"/>
      <c r="W441" s="242"/>
      <c r="X441" s="242"/>
      <c r="Y441" s="148"/>
      <c r="Z441" s="148"/>
    </row>
    <row r="442">
      <c r="C442" s="561" t="s">
        <v>767</v>
      </c>
      <c r="D442" s="423"/>
      <c r="E442" s="192"/>
      <c r="F442" s="546"/>
      <c r="G442" s="578"/>
      <c r="H442" s="419"/>
      <c r="I442" s="239"/>
      <c r="J442" s="433" t="s">
        <v>217</v>
      </c>
      <c r="K442" s="458"/>
      <c r="L442" s="150"/>
      <c r="M442" s="377"/>
      <c r="O442" s="431"/>
      <c r="P442" s="157"/>
      <c r="Q442" s="404"/>
      <c r="R442" s="148"/>
      <c r="S442" s="242"/>
      <c r="T442" s="242"/>
      <c r="U442" s="242"/>
      <c r="V442" s="242"/>
      <c r="W442" s="242"/>
      <c r="X442" s="242"/>
      <c r="Y442" s="148"/>
      <c r="Z442" s="148"/>
    </row>
    <row r="443">
      <c r="A443" s="57"/>
      <c r="B443" s="57"/>
      <c r="C443" s="561" t="s">
        <v>768</v>
      </c>
      <c r="D443" s="423"/>
      <c r="E443" s="228"/>
      <c r="F443" s="547"/>
      <c r="G443" s="578"/>
      <c r="H443" s="419"/>
      <c r="I443" s="239"/>
      <c r="J443" s="109"/>
      <c r="K443" s="420"/>
      <c r="L443" s="193"/>
      <c r="M443" s="374"/>
      <c r="O443" s="431"/>
      <c r="P443" s="157"/>
      <c r="Q443" s="404"/>
      <c r="R443" s="148"/>
      <c r="S443" s="242"/>
      <c r="T443" s="242"/>
      <c r="U443" s="242"/>
      <c r="V443" s="242"/>
      <c r="W443" s="242"/>
      <c r="X443" s="242"/>
      <c r="Y443" s="148"/>
      <c r="Z443" s="148"/>
    </row>
    <row r="444">
      <c r="A444" s="57"/>
      <c r="B444" s="57"/>
      <c r="C444" s="561" t="s">
        <v>769</v>
      </c>
      <c r="D444" s="157"/>
      <c r="E444" s="228"/>
      <c r="F444" s="547"/>
      <c r="G444" s="578"/>
      <c r="H444" s="419"/>
      <c r="I444" s="239"/>
      <c r="J444" s="456" t="s">
        <v>672</v>
      </c>
      <c r="K444" s="420"/>
      <c r="L444" s="150"/>
      <c r="M444" s="377"/>
      <c r="O444" s="431"/>
      <c r="P444" s="157"/>
      <c r="Q444" s="404"/>
      <c r="R444" s="148"/>
      <c r="S444" s="242"/>
      <c r="T444" s="242"/>
      <c r="U444" s="242"/>
      <c r="V444" s="242"/>
      <c r="W444" s="242"/>
      <c r="X444" s="242"/>
      <c r="Y444" s="148"/>
      <c r="Z444" s="148"/>
    </row>
    <row r="445">
      <c r="A445" s="57"/>
      <c r="B445" s="57"/>
      <c r="C445" s="561" t="s">
        <v>770</v>
      </c>
      <c r="D445" s="423"/>
      <c r="E445" s="228"/>
      <c r="F445" s="547"/>
      <c r="G445" s="578"/>
      <c r="H445" s="419"/>
      <c r="I445" s="57"/>
      <c r="J445" s="456" t="s">
        <v>675</v>
      </c>
      <c r="K445" s="420"/>
      <c r="L445" s="150"/>
      <c r="M445" s="382"/>
      <c r="O445" s="431"/>
      <c r="P445" s="157"/>
      <c r="Q445" s="404"/>
      <c r="R445" s="148"/>
      <c r="S445" s="242"/>
      <c r="T445" s="242"/>
      <c r="U445" s="242"/>
      <c r="V445" s="242"/>
      <c r="W445" s="242"/>
      <c r="X445" s="242"/>
      <c r="Y445" s="148"/>
      <c r="Z445" s="148"/>
    </row>
    <row r="446">
      <c r="A446" s="57"/>
      <c r="B446" s="57"/>
      <c r="C446" s="561" t="s">
        <v>793</v>
      </c>
      <c r="D446" s="423"/>
      <c r="E446" s="228"/>
      <c r="F446" s="547"/>
      <c r="G446" s="579"/>
      <c r="H446" s="419"/>
      <c r="I446" s="57"/>
      <c r="J446" s="456"/>
      <c r="K446" s="420"/>
      <c r="L446" s="150"/>
      <c r="M446" s="425"/>
      <c r="O446" s="431"/>
      <c r="P446" s="157"/>
      <c r="Q446" s="404"/>
      <c r="R446" s="148"/>
      <c r="S446" s="242"/>
      <c r="T446" s="242"/>
      <c r="U446" s="242"/>
      <c r="V446" s="242"/>
      <c r="W446" s="242"/>
      <c r="X446" s="242"/>
      <c r="Y446" s="148"/>
      <c r="Z446" s="148"/>
    </row>
    <row r="447">
      <c r="A447" s="239"/>
      <c r="B447" s="57"/>
      <c r="C447" s="561" t="s">
        <v>794</v>
      </c>
      <c r="D447" s="157"/>
      <c r="E447" s="228"/>
      <c r="F447" s="547"/>
      <c r="G447" s="578"/>
      <c r="H447" s="419"/>
      <c r="I447" s="57"/>
      <c r="J447" s="375"/>
      <c r="K447" s="420"/>
      <c r="L447" s="150"/>
      <c r="M447" s="425"/>
      <c r="O447" s="431"/>
      <c r="P447" s="157"/>
      <c r="Q447" s="404"/>
      <c r="R447" s="148"/>
      <c r="S447" s="242"/>
      <c r="T447" s="242"/>
      <c r="U447" s="242"/>
      <c r="V447" s="242"/>
      <c r="W447" s="242"/>
      <c r="X447" s="242"/>
      <c r="Y447" s="148"/>
      <c r="Z447" s="148"/>
    </row>
    <row r="448">
      <c r="A448" s="238"/>
      <c r="B448" s="57"/>
      <c r="C448" s="561" t="s">
        <v>18</v>
      </c>
      <c r="D448" s="423"/>
      <c r="E448" s="228"/>
      <c r="F448" s="547"/>
      <c r="G448" s="578"/>
      <c r="H448" s="419"/>
      <c r="I448" s="57"/>
      <c r="J448" s="375"/>
      <c r="K448" s="420"/>
      <c r="L448" s="193"/>
      <c r="M448" s="382"/>
      <c r="O448" s="431"/>
      <c r="P448" s="157"/>
      <c r="Q448" s="404"/>
      <c r="R448" s="148"/>
      <c r="S448" s="242"/>
      <c r="T448" s="242"/>
      <c r="U448" s="242"/>
      <c r="V448" s="242"/>
      <c r="W448" s="242"/>
      <c r="X448" s="242"/>
      <c r="Y448" s="148"/>
      <c r="Z448" s="148"/>
    </row>
    <row r="449">
      <c r="A449" s="239"/>
      <c r="B449" s="57"/>
      <c r="C449" s="563" t="s">
        <v>1115</v>
      </c>
      <c r="D449" s="157"/>
      <c r="E449" s="228"/>
      <c r="F449" s="547"/>
      <c r="G449" s="579"/>
      <c r="H449" s="419"/>
      <c r="I449" s="57"/>
      <c r="J449" s="452"/>
      <c r="K449" s="420"/>
      <c r="L449" s="150"/>
      <c r="M449" s="425"/>
      <c r="O449" s="431"/>
      <c r="P449" s="157"/>
      <c r="Q449" s="404"/>
      <c r="R449" s="148"/>
      <c r="S449" s="242"/>
      <c r="T449" s="242"/>
      <c r="U449" s="242"/>
      <c r="V449" s="242"/>
      <c r="W449" s="242"/>
      <c r="X449" s="242"/>
      <c r="Y449" s="148"/>
      <c r="Z449" s="148"/>
    </row>
    <row r="450">
      <c r="A450" s="238"/>
      <c r="B450" s="57"/>
      <c r="C450" s="561" t="s">
        <v>1116</v>
      </c>
      <c r="D450" s="423"/>
      <c r="E450" s="228"/>
      <c r="F450" s="547"/>
      <c r="G450" s="578"/>
      <c r="H450" s="419"/>
      <c r="I450" s="57"/>
      <c r="J450" s="105"/>
      <c r="K450" s="420"/>
      <c r="L450" s="150"/>
      <c r="M450" s="425"/>
      <c r="O450" s="431"/>
      <c r="P450" s="157"/>
      <c r="Q450" s="404"/>
      <c r="R450" s="148"/>
      <c r="S450" s="242"/>
      <c r="T450" s="242"/>
      <c r="U450" s="242"/>
      <c r="V450" s="242"/>
      <c r="W450" s="242"/>
      <c r="X450" s="242"/>
      <c r="Y450" s="148"/>
      <c r="Z450" s="148"/>
    </row>
    <row r="451">
      <c r="A451" s="238"/>
      <c r="B451" s="239"/>
      <c r="C451" s="561" t="s">
        <v>775</v>
      </c>
      <c r="D451" s="423"/>
      <c r="E451" s="192"/>
      <c r="F451" s="547"/>
      <c r="G451" s="578"/>
      <c r="H451" s="419"/>
      <c r="I451" s="57"/>
      <c r="J451" s="378" t="s">
        <v>682</v>
      </c>
      <c r="K451" s="420"/>
      <c r="L451" s="193"/>
      <c r="M451" s="377"/>
      <c r="O451" s="431"/>
      <c r="P451" s="157"/>
      <c r="Q451" s="404"/>
      <c r="R451" s="148"/>
      <c r="S451" s="242"/>
      <c r="T451" s="242"/>
      <c r="U451" s="242"/>
      <c r="V451" s="242"/>
      <c r="W451" s="242"/>
      <c r="X451" s="242"/>
      <c r="Y451" s="148"/>
      <c r="Z451" s="148"/>
    </row>
    <row r="452">
      <c r="A452" s="238"/>
      <c r="B452" s="239"/>
      <c r="C452" s="561" t="s">
        <v>10</v>
      </c>
      <c r="D452" s="423"/>
      <c r="E452" s="206"/>
      <c r="F452" s="564"/>
      <c r="G452" s="581"/>
      <c r="H452" s="419"/>
      <c r="I452" s="57"/>
      <c r="J452" s="461" t="s">
        <v>684</v>
      </c>
      <c r="K452" s="420"/>
      <c r="L452" s="193"/>
      <c r="M452" s="377"/>
      <c r="O452" s="431"/>
      <c r="P452" s="157"/>
      <c r="Q452" s="404"/>
      <c r="R452" s="148"/>
      <c r="S452" s="242"/>
      <c r="T452" s="242"/>
      <c r="U452" s="242"/>
      <c r="V452" s="242"/>
      <c r="W452" s="242"/>
      <c r="X452" s="242"/>
      <c r="Y452" s="148"/>
      <c r="Z452" s="148"/>
    </row>
    <row r="453">
      <c r="A453" s="238"/>
      <c r="B453" s="239"/>
      <c r="C453" s="561" t="s">
        <v>6</v>
      </c>
      <c r="D453" s="423"/>
      <c r="E453" s="206"/>
      <c r="F453" s="547"/>
      <c r="G453" s="579"/>
      <c r="H453" s="455"/>
      <c r="I453" s="57"/>
      <c r="J453" s="461" t="s">
        <v>686</v>
      </c>
      <c r="K453" s="420"/>
      <c r="L453" s="150"/>
      <c r="M453" s="374"/>
      <c r="O453" s="463"/>
      <c r="P453" s="157"/>
      <c r="Q453" s="404"/>
      <c r="R453" s="148"/>
      <c r="S453" s="242"/>
      <c r="T453" s="242"/>
      <c r="U453" s="242"/>
      <c r="V453" s="242"/>
      <c r="W453" s="242"/>
      <c r="X453" s="242"/>
      <c r="Y453" s="148"/>
      <c r="Z453" s="148"/>
    </row>
    <row r="454">
      <c r="A454" s="57"/>
      <c r="B454" s="57"/>
      <c r="C454" s="561" t="s">
        <v>779</v>
      </c>
      <c r="D454" s="157"/>
      <c r="E454" s="228"/>
      <c r="F454" s="547"/>
      <c r="G454" s="579"/>
      <c r="H454" s="455"/>
      <c r="I454" s="239"/>
      <c r="J454" s="460" t="s">
        <v>202</v>
      </c>
      <c r="K454" s="420"/>
      <c r="L454" s="193"/>
      <c r="M454" s="377"/>
      <c r="O454" s="463"/>
      <c r="P454" s="157"/>
      <c r="Q454" s="404"/>
      <c r="R454" s="148"/>
      <c r="S454" s="242"/>
      <c r="T454" s="242"/>
      <c r="U454" s="242"/>
      <c r="V454" s="242"/>
      <c r="W454" s="242"/>
      <c r="X454" s="242"/>
      <c r="Y454" s="148"/>
      <c r="Z454" s="148"/>
    </row>
    <row r="455">
      <c r="A455" s="239"/>
      <c r="B455" s="239"/>
      <c r="C455" s="561" t="s">
        <v>780</v>
      </c>
      <c r="D455" s="423"/>
      <c r="E455" s="228"/>
      <c r="F455" s="547"/>
      <c r="G455" s="579"/>
      <c r="H455" s="455"/>
      <c r="I455" s="57"/>
      <c r="J455" s="460" t="s">
        <v>274</v>
      </c>
      <c r="K455" s="420"/>
      <c r="L455" s="193"/>
      <c r="M455" s="374"/>
      <c r="O455" s="463"/>
      <c r="P455" s="157"/>
      <c r="Q455" s="404"/>
      <c r="R455" s="148"/>
      <c r="S455" s="242"/>
      <c r="T455" s="242"/>
      <c r="U455" s="242"/>
      <c r="V455" s="242"/>
      <c r="W455" s="242"/>
      <c r="X455" s="242"/>
      <c r="Y455" s="148"/>
      <c r="Z455" s="148"/>
    </row>
    <row r="456">
      <c r="A456" s="215"/>
      <c r="B456" s="239"/>
      <c r="C456" s="561" t="s">
        <v>781</v>
      </c>
      <c r="D456" s="423"/>
      <c r="E456" s="192"/>
      <c r="F456" s="547"/>
      <c r="G456" s="579"/>
      <c r="H456" s="419"/>
      <c r="I456" s="239"/>
      <c r="J456" s="685" t="s">
        <v>1117</v>
      </c>
      <c r="K456" s="420"/>
      <c r="L456" s="150"/>
      <c r="M456" s="374"/>
      <c r="O456" s="431"/>
      <c r="P456" s="157"/>
      <c r="Q456" s="404"/>
      <c r="R456" s="148"/>
      <c r="S456" s="242"/>
      <c r="T456" s="242"/>
      <c r="U456" s="242"/>
      <c r="V456" s="242"/>
      <c r="W456" s="242"/>
      <c r="X456" s="242"/>
      <c r="Y456" s="148"/>
      <c r="Z456" s="148"/>
    </row>
    <row r="457">
      <c r="A457" s="239"/>
      <c r="B457" s="157"/>
      <c r="C457" s="561" t="s">
        <v>1118</v>
      </c>
      <c r="D457" s="157"/>
      <c r="E457" s="569"/>
      <c r="F457" s="547"/>
      <c r="G457" s="578"/>
      <c r="H457" s="419"/>
      <c r="I457" s="57"/>
      <c r="J457" s="685" t="s">
        <v>1119</v>
      </c>
      <c r="K457" s="420"/>
      <c r="L457" s="193"/>
      <c r="M457" s="377"/>
      <c r="O457" s="431"/>
      <c r="P457" s="157"/>
      <c r="Q457" s="404"/>
      <c r="R457" s="148"/>
      <c r="S457" s="242"/>
      <c r="T457" s="242"/>
      <c r="U457" s="242"/>
      <c r="V457" s="242"/>
      <c r="W457" s="242"/>
      <c r="X457" s="242"/>
      <c r="Y457" s="148"/>
      <c r="Z457" s="148"/>
    </row>
    <row r="458">
      <c r="A458" s="239"/>
      <c r="B458" s="157"/>
      <c r="C458" s="561" t="s">
        <v>1120</v>
      </c>
      <c r="D458" s="157"/>
      <c r="E458" s="228"/>
      <c r="F458" s="547"/>
      <c r="G458" s="578"/>
      <c r="H458" s="419"/>
      <c r="I458" s="239"/>
      <c r="J458" s="596" t="s">
        <v>1001</v>
      </c>
      <c r="K458" s="420"/>
      <c r="L458" s="193"/>
      <c r="M458" s="377"/>
      <c r="O458" s="431"/>
      <c r="P458" s="157"/>
      <c r="Q458" s="404"/>
      <c r="R458" s="148"/>
      <c r="S458" s="242"/>
      <c r="T458" s="242"/>
      <c r="U458" s="242"/>
      <c r="V458" s="242"/>
      <c r="W458" s="242"/>
      <c r="X458" s="242"/>
      <c r="Y458" s="148"/>
      <c r="Z458" s="148"/>
    </row>
    <row r="459">
      <c r="A459" s="239"/>
      <c r="B459" s="157"/>
      <c r="C459" s="561"/>
      <c r="D459" s="157"/>
      <c r="E459" s="570"/>
      <c r="F459" s="547"/>
      <c r="G459" s="578"/>
      <c r="H459" s="419"/>
      <c r="I459" s="239"/>
      <c r="J459" s="568"/>
      <c r="K459" s="420"/>
      <c r="L459" s="193"/>
      <c r="M459" s="374"/>
      <c r="O459" s="431"/>
      <c r="P459" s="157"/>
      <c r="Q459" s="404"/>
      <c r="R459" s="148"/>
      <c r="S459" s="242"/>
      <c r="T459" s="242"/>
      <c r="U459" s="242"/>
      <c r="V459" s="242"/>
      <c r="W459" s="242"/>
      <c r="X459" s="242"/>
      <c r="Y459" s="148"/>
      <c r="Z459" s="148"/>
    </row>
    <row r="460">
      <c r="C460" s="571"/>
      <c r="D460" s="157"/>
      <c r="E460" s="570"/>
      <c r="F460" s="547"/>
      <c r="G460" s="578"/>
      <c r="H460" s="419"/>
      <c r="I460" s="239"/>
      <c r="J460" s="464" t="s">
        <v>692</v>
      </c>
      <c r="K460" s="420"/>
      <c r="L460" s="150"/>
      <c r="M460" s="377"/>
      <c r="O460" s="431"/>
      <c r="P460" s="157"/>
      <c r="Q460" s="404"/>
      <c r="R460" s="148"/>
      <c r="S460" s="242"/>
      <c r="T460" s="242"/>
      <c r="U460" s="242"/>
      <c r="V460" s="242"/>
      <c r="W460" s="242"/>
      <c r="X460" s="242"/>
      <c r="Y460" s="148"/>
      <c r="Z460" s="148"/>
    </row>
    <row r="461">
      <c r="C461" s="571"/>
      <c r="D461" s="157"/>
      <c r="E461" s="570"/>
      <c r="F461" s="547"/>
      <c r="G461" s="578"/>
      <c r="H461" s="419"/>
      <c r="I461" s="239"/>
      <c r="J461" s="464" t="s">
        <v>694</v>
      </c>
      <c r="K461" s="420"/>
      <c r="L461" s="150"/>
      <c r="M461" s="374"/>
      <c r="O461" s="431"/>
      <c r="P461" s="157"/>
      <c r="Q461" s="404"/>
      <c r="R461" s="148"/>
      <c r="S461" s="242"/>
      <c r="T461" s="242"/>
      <c r="U461" s="242"/>
      <c r="V461" s="242"/>
      <c r="W461" s="242"/>
      <c r="X461" s="242"/>
      <c r="Y461" s="148"/>
      <c r="Z461" s="148"/>
    </row>
    <row r="462">
      <c r="C462" s="571"/>
      <c r="D462" s="423"/>
      <c r="E462" s="570"/>
      <c r="F462" s="546"/>
      <c r="G462" s="578"/>
      <c r="H462" s="419"/>
      <c r="I462" s="57"/>
      <c r="J462" s="105"/>
      <c r="K462" s="57"/>
      <c r="L462" s="150"/>
      <c r="M462" s="57"/>
      <c r="N462" s="57"/>
      <c r="O462" s="57"/>
      <c r="P462" s="157"/>
      <c r="Q462" s="404"/>
      <c r="R462" s="148"/>
      <c r="S462" s="242"/>
      <c r="T462" s="242"/>
      <c r="U462" s="242"/>
      <c r="V462" s="242"/>
      <c r="W462" s="242"/>
      <c r="X462" s="242"/>
      <c r="Y462" s="148"/>
      <c r="Z462" s="148"/>
    </row>
    <row r="463">
      <c r="A463" s="125" t="s">
        <v>798</v>
      </c>
      <c r="B463" s="572">
        <f>C436-B440</f>
        <v>0</v>
      </c>
      <c r="D463" s="157"/>
      <c r="E463" s="570"/>
      <c r="F463" s="573"/>
      <c r="G463" s="581"/>
      <c r="H463" s="419"/>
      <c r="I463" s="239"/>
      <c r="J463" s="568"/>
      <c r="K463" s="57"/>
      <c r="L463" s="150"/>
      <c r="M463" s="57"/>
      <c r="N463" s="57"/>
      <c r="O463" s="57"/>
      <c r="P463" s="157"/>
      <c r="Q463" s="404"/>
      <c r="R463" s="148"/>
      <c r="S463" s="242"/>
      <c r="T463" s="242"/>
      <c r="U463" s="242"/>
      <c r="V463" s="242"/>
      <c r="W463" s="242"/>
      <c r="X463" s="242"/>
      <c r="Y463" s="148"/>
      <c r="Z463" s="148"/>
    </row>
    <row r="464">
      <c r="A464" s="274" t="s">
        <v>783</v>
      </c>
      <c r="B464" s="109"/>
      <c r="C464" s="395"/>
      <c r="D464" s="157"/>
      <c r="E464" s="570"/>
      <c r="F464" s="573"/>
      <c r="G464" s="581"/>
      <c r="H464" s="419"/>
      <c r="I464" s="239"/>
      <c r="J464" s="568"/>
      <c r="K464" s="57"/>
      <c r="L464" s="150"/>
      <c r="M464" s="57"/>
      <c r="N464" s="57"/>
      <c r="O464" s="57"/>
      <c r="P464" s="157"/>
      <c r="Q464" s="404"/>
      <c r="R464" s="148"/>
      <c r="S464" s="242"/>
      <c r="T464" s="242"/>
      <c r="U464" s="242"/>
      <c r="V464" s="242"/>
      <c r="W464" s="242"/>
      <c r="X464" s="242"/>
      <c r="Y464" s="148"/>
      <c r="Z464" s="148"/>
    </row>
    <row r="465">
      <c r="A465" s="274" t="s">
        <v>784</v>
      </c>
      <c r="B465" s="109"/>
      <c r="C465" s="395"/>
      <c r="D465" s="157"/>
      <c r="E465" s="570"/>
      <c r="F465" s="573"/>
      <c r="G465" s="581"/>
      <c r="H465" s="419"/>
      <c r="I465" s="239"/>
      <c r="J465" s="568"/>
      <c r="K465" s="57"/>
      <c r="L465" s="150"/>
      <c r="M465" s="57"/>
      <c r="N465" s="57"/>
      <c r="O465" s="57"/>
      <c r="P465" s="157"/>
      <c r="Q465" s="404"/>
      <c r="R465" s="148"/>
      <c r="S465" s="242"/>
      <c r="T465" s="242"/>
      <c r="U465" s="242"/>
      <c r="V465" s="242"/>
      <c r="W465" s="242"/>
      <c r="X465" s="242"/>
      <c r="Y465" s="148"/>
      <c r="Z465" s="148"/>
    </row>
    <row r="466">
      <c r="A466" s="274" t="s">
        <v>785</v>
      </c>
      <c r="B466" s="109"/>
      <c r="C466" s="686">
        <f>SUM(B464:B466)</f>
        <v>0</v>
      </c>
      <c r="D466" s="157"/>
      <c r="E466" s="570"/>
      <c r="F466" s="573"/>
      <c r="G466" s="581"/>
      <c r="H466" s="419"/>
      <c r="I466" s="239"/>
      <c r="J466" s="568"/>
      <c r="K466" s="57"/>
      <c r="L466" s="150"/>
      <c r="M466" s="57"/>
      <c r="N466" s="57"/>
      <c r="O466" s="57"/>
      <c r="P466" s="157"/>
      <c r="Q466" s="404"/>
      <c r="R466" s="148"/>
      <c r="S466" s="242"/>
      <c r="T466" s="242"/>
      <c r="U466" s="242"/>
      <c r="V466" s="242"/>
      <c r="W466" s="242"/>
      <c r="X466" s="242"/>
      <c r="Y466" s="148"/>
      <c r="Z466" s="148"/>
    </row>
    <row r="467">
      <c r="A467" s="402"/>
      <c r="B467" s="403"/>
      <c r="C467" s="403"/>
      <c r="D467" s="403"/>
      <c r="E467" s="574"/>
      <c r="F467" s="575"/>
      <c r="G467" s="576"/>
      <c r="H467" s="159"/>
      <c r="I467" s="159"/>
      <c r="J467" s="576"/>
      <c r="K467" s="159"/>
      <c r="L467" s="162"/>
      <c r="M467" s="402"/>
      <c r="N467" s="402"/>
      <c r="O467" s="159"/>
      <c r="P467" s="403"/>
      <c r="Q467" s="577"/>
      <c r="R467" s="148"/>
      <c r="S467" s="242"/>
      <c r="T467" s="242"/>
      <c r="U467" s="242"/>
      <c r="V467" s="242"/>
      <c r="W467" s="242"/>
      <c r="X467" s="242"/>
      <c r="Y467" s="148"/>
      <c r="Z467" s="148"/>
    </row>
    <row r="468">
      <c r="A468" s="148"/>
      <c r="B468" s="148"/>
      <c r="C468" s="148"/>
      <c r="D468" s="245"/>
      <c r="E468" s="585"/>
      <c r="F468" s="586"/>
      <c r="G468" s="243"/>
      <c r="H468" s="148"/>
      <c r="I468" s="251"/>
      <c r="J468" s="243"/>
      <c r="K468" s="148"/>
      <c r="L468" s="277"/>
      <c r="M468" s="252"/>
      <c r="N468" s="250"/>
      <c r="O468" s="253"/>
      <c r="P468" s="240"/>
      <c r="Q468" s="148"/>
      <c r="R468" s="148"/>
      <c r="S468" s="242"/>
      <c r="T468" s="242"/>
      <c r="U468" s="242"/>
      <c r="V468" s="242"/>
      <c r="W468" s="242"/>
      <c r="X468" s="242"/>
      <c r="Y468" s="148"/>
      <c r="Z468" s="148"/>
    </row>
    <row r="469">
      <c r="A469" s="601" t="s">
        <v>911</v>
      </c>
      <c r="B469" s="361"/>
      <c r="C469" s="602" t="s">
        <v>912</v>
      </c>
      <c r="D469" s="601" t="s">
        <v>913</v>
      </c>
      <c r="E469" s="361"/>
      <c r="F469" s="603"/>
      <c r="G469" s="243"/>
      <c r="H469" s="243"/>
      <c r="I469" s="243"/>
      <c r="J469" s="243"/>
      <c r="K469" s="243"/>
      <c r="L469" s="277"/>
      <c r="M469" s="425"/>
      <c r="N469" s="604"/>
      <c r="O469" s="323"/>
      <c r="P469" s="317"/>
      <c r="Q469" s="243"/>
      <c r="R469" s="243"/>
      <c r="S469" s="317"/>
      <c r="T469" s="317"/>
      <c r="U469" s="317"/>
      <c r="V469" s="317"/>
      <c r="W469" s="317"/>
      <c r="X469" s="317"/>
      <c r="Y469" s="243"/>
      <c r="Z469" s="243"/>
    </row>
    <row r="470">
      <c r="A470" s="605" t="s">
        <v>341</v>
      </c>
      <c r="B470" s="606">
        <f t="shared" ref="B470:B479" si="1">SUM(L4,L43,L82,L121,L160,L199,L238,L277,L316,L355,L394,L433)</f>
        <v>290</v>
      </c>
      <c r="C470" s="109"/>
      <c r="D470" s="607" t="s">
        <v>766</v>
      </c>
      <c r="E470" s="608">
        <f>SUM(D12,D51,D90,D129,D168,D207,D246,D285,D324,D363,D402,D441)</f>
        <v>0</v>
      </c>
      <c r="F470" s="609"/>
      <c r="G470" s="243"/>
      <c r="H470" s="243"/>
      <c r="I470" s="243"/>
      <c r="J470" s="243"/>
      <c r="K470" s="243"/>
      <c r="L470" s="277"/>
      <c r="M470" s="425"/>
      <c r="N470" s="604"/>
      <c r="O470" s="323"/>
      <c r="P470" s="317"/>
      <c r="Q470" s="243"/>
      <c r="R470" s="243"/>
      <c r="S470" s="317"/>
      <c r="T470" s="317"/>
      <c r="U470" s="317"/>
      <c r="V470" s="317"/>
      <c r="W470" s="317"/>
      <c r="X470" s="317"/>
      <c r="Y470" s="243"/>
      <c r="Z470" s="243"/>
    </row>
    <row r="471">
      <c r="A471" s="610" t="s">
        <v>345</v>
      </c>
      <c r="B471" s="611">
        <f t="shared" si="1"/>
        <v>663.53</v>
      </c>
      <c r="C471" s="538"/>
      <c r="D471" s="607" t="s">
        <v>767</v>
      </c>
      <c r="E471" s="608">
        <f t="shared" ref="E471:E473" si="2">SUM(D442,D403,D364,D325,D286,D247,D208,D169,D130,D91,D52,D13)</f>
        <v>0</v>
      </c>
      <c r="F471" s="612"/>
      <c r="G471" s="243"/>
      <c r="H471" s="243"/>
      <c r="I471" s="243"/>
      <c r="J471" s="243"/>
      <c r="K471" s="243"/>
      <c r="L471" s="277"/>
      <c r="M471" s="425"/>
      <c r="N471" s="604"/>
      <c r="O471" s="323"/>
      <c r="P471" s="317"/>
      <c r="Q471" s="243"/>
      <c r="R471" s="243"/>
      <c r="S471" s="317"/>
      <c r="T471" s="317"/>
      <c r="U471" s="317"/>
      <c r="V471" s="317"/>
      <c r="W471" s="317"/>
      <c r="X471" s="317"/>
      <c r="Y471" s="243"/>
      <c r="Z471" s="243"/>
    </row>
    <row r="472">
      <c r="A472" s="613" t="s">
        <v>656</v>
      </c>
      <c r="B472" s="611">
        <f t="shared" si="1"/>
        <v>731.41</v>
      </c>
      <c r="C472" s="614"/>
      <c r="D472" s="607" t="s">
        <v>768</v>
      </c>
      <c r="E472" s="608">
        <f t="shared" si="2"/>
        <v>0</v>
      </c>
      <c r="F472" s="612"/>
      <c r="G472" s="243"/>
      <c r="H472" s="243"/>
      <c r="I472" s="243"/>
      <c r="J472" s="243"/>
      <c r="K472" s="243"/>
      <c r="L472" s="277"/>
      <c r="M472" s="425"/>
      <c r="N472" s="604"/>
      <c r="O472" s="323"/>
      <c r="P472" s="317"/>
      <c r="Q472" s="243"/>
      <c r="R472" s="243"/>
      <c r="S472" s="317"/>
      <c r="T472" s="317"/>
      <c r="U472" s="317"/>
      <c r="V472" s="317"/>
      <c r="W472" s="317"/>
      <c r="X472" s="317"/>
      <c r="Y472" s="243"/>
      <c r="Z472" s="243"/>
    </row>
    <row r="473">
      <c r="A473" s="615" t="s">
        <v>658</v>
      </c>
      <c r="B473" s="611">
        <f t="shared" si="1"/>
        <v>57.9</v>
      </c>
      <c r="C473" s="400"/>
      <c r="D473" s="607" t="s">
        <v>769</v>
      </c>
      <c r="E473" s="608">
        <f t="shared" si="2"/>
        <v>0</v>
      </c>
      <c r="F473" s="612"/>
      <c r="G473" s="243"/>
      <c r="H473" s="243"/>
      <c r="I473" s="243"/>
      <c r="J473" s="243"/>
      <c r="K473" s="243"/>
      <c r="L473" s="277"/>
      <c r="M473" s="425"/>
      <c r="N473" s="604"/>
      <c r="O473" s="323"/>
      <c r="P473" s="317"/>
      <c r="Q473" s="243"/>
      <c r="R473" s="243"/>
      <c r="S473" s="317"/>
      <c r="T473" s="317"/>
      <c r="U473" s="317"/>
      <c r="V473" s="317"/>
      <c r="W473" s="317"/>
      <c r="X473" s="317"/>
      <c r="Y473" s="243"/>
      <c r="Z473" s="243"/>
    </row>
    <row r="474">
      <c r="A474" s="615" t="s">
        <v>660</v>
      </c>
      <c r="B474" s="611">
        <f t="shared" si="1"/>
        <v>1280</v>
      </c>
      <c r="C474" s="400"/>
      <c r="D474" s="607" t="s">
        <v>770</v>
      </c>
      <c r="E474" s="608">
        <f>SUM(D16,D55,D94,D133,D172,D211,D250,D289,D328,D367,D406,D445)</f>
        <v>0</v>
      </c>
      <c r="F474" s="612"/>
      <c r="G474" s="243"/>
      <c r="H474" s="243"/>
      <c r="I474" s="243"/>
      <c r="J474" s="243"/>
      <c r="K474" s="243"/>
      <c r="L474" s="277"/>
      <c r="M474" s="425"/>
      <c r="N474" s="604"/>
      <c r="O474" s="323"/>
      <c r="P474" s="317"/>
      <c r="Q474" s="243"/>
      <c r="R474" s="243"/>
      <c r="S474" s="317"/>
      <c r="T474" s="317"/>
      <c r="U474" s="317"/>
      <c r="V474" s="317"/>
      <c r="W474" s="317"/>
      <c r="X474" s="317"/>
      <c r="Y474" s="243"/>
      <c r="Z474" s="243"/>
    </row>
    <row r="475">
      <c r="A475" s="616" t="s">
        <v>662</v>
      </c>
      <c r="B475" s="611">
        <f t="shared" si="1"/>
        <v>0</v>
      </c>
      <c r="C475" s="400"/>
      <c r="D475" s="617" t="s">
        <v>793</v>
      </c>
      <c r="E475" s="608">
        <f>SUM(D446,D407,D368,D329,D290,D251,D212,D173,D134,D95,D56,D17)</f>
        <v>170</v>
      </c>
      <c r="F475" s="618"/>
      <c r="G475" s="243"/>
      <c r="H475" s="243"/>
      <c r="I475" s="243"/>
      <c r="J475" s="243"/>
      <c r="K475" s="243"/>
      <c r="L475" s="277"/>
      <c r="M475" s="425"/>
      <c r="N475" s="604"/>
      <c r="O475" s="323"/>
      <c r="P475" s="317"/>
      <c r="Q475" s="243"/>
      <c r="R475" s="243"/>
      <c r="S475" s="317"/>
      <c r="T475" s="317"/>
      <c r="U475" s="317"/>
      <c r="V475" s="317"/>
      <c r="W475" s="317"/>
      <c r="X475" s="317"/>
      <c r="Y475" s="243"/>
      <c r="Z475" s="243"/>
    </row>
    <row r="476">
      <c r="A476" s="613" t="s">
        <v>666</v>
      </c>
      <c r="B476" s="611">
        <f t="shared" si="1"/>
        <v>119.25</v>
      </c>
      <c r="C476" s="400"/>
      <c r="D476" s="617" t="s">
        <v>794</v>
      </c>
      <c r="E476" s="608">
        <f>SUM(D18,D57,D96,D135,D174,D213,D252,D291,D330,D369,D408,D447)</f>
        <v>30</v>
      </c>
      <c r="F476" s="612"/>
      <c r="G476" s="243"/>
      <c r="H476" s="243"/>
      <c r="I476" s="243"/>
      <c r="J476" s="243"/>
      <c r="K476" s="243"/>
      <c r="L476" s="277"/>
      <c r="M476" s="425"/>
      <c r="N476" s="604"/>
      <c r="O476" s="323"/>
      <c r="P476" s="317"/>
      <c r="Q476" s="243"/>
      <c r="R476" s="243"/>
      <c r="S476" s="317"/>
      <c r="T476" s="317"/>
      <c r="U476" s="317"/>
      <c r="V476" s="317"/>
      <c r="W476" s="317"/>
      <c r="X476" s="317"/>
      <c r="Y476" s="243"/>
      <c r="Z476" s="243"/>
    </row>
    <row r="477">
      <c r="A477" s="613" t="s">
        <v>668</v>
      </c>
      <c r="B477" s="611">
        <f t="shared" si="1"/>
        <v>273</v>
      </c>
      <c r="C477" s="400"/>
      <c r="D477" s="607" t="s">
        <v>18</v>
      </c>
      <c r="E477" s="608">
        <f>SUM(D448,D409,D370,D331,D292,D253,D214,D175,D136,D97,D58,D19)</f>
        <v>1024</v>
      </c>
      <c r="F477" s="612"/>
      <c r="G477" s="243"/>
      <c r="H477" s="243"/>
      <c r="I477" s="243"/>
      <c r="J477" s="243"/>
      <c r="K477" s="243"/>
      <c r="L477" s="277"/>
      <c r="M477" s="425"/>
      <c r="N477" s="604"/>
      <c r="O477" s="323"/>
      <c r="P477" s="317"/>
      <c r="Q477" s="243"/>
      <c r="R477" s="243"/>
      <c r="S477" s="317"/>
      <c r="T477" s="317"/>
      <c r="U477" s="317"/>
      <c r="V477" s="317"/>
      <c r="W477" s="317"/>
      <c r="X477" s="317"/>
      <c r="Y477" s="243"/>
      <c r="Z477" s="243"/>
    </row>
    <row r="478">
      <c r="A478" s="613" t="s">
        <v>670</v>
      </c>
      <c r="B478" s="611">
        <f t="shared" si="1"/>
        <v>11400</v>
      </c>
      <c r="C478" s="619"/>
      <c r="D478" s="617" t="s">
        <v>1115</v>
      </c>
      <c r="E478" s="626" t="str">
        <f>SUM(D449,D410,D371,#REF!,D293,D254,D215,D176,D137,D98,D59,D20)</f>
        <v>#REF!</v>
      </c>
      <c r="F478" s="612"/>
      <c r="G478" s="243"/>
      <c r="H478" s="243"/>
      <c r="I478" s="243"/>
      <c r="J478" s="243"/>
      <c r="K478" s="243"/>
      <c r="L478" s="277"/>
      <c r="M478" s="425"/>
      <c r="N478" s="604"/>
      <c r="O478" s="323"/>
      <c r="P478" s="317"/>
      <c r="Q478" s="243"/>
      <c r="R478" s="243"/>
      <c r="S478" s="317"/>
      <c r="T478" s="317"/>
      <c r="U478" s="317"/>
      <c r="V478" s="317"/>
      <c r="W478" s="317"/>
      <c r="X478" s="317"/>
      <c r="Y478" s="243"/>
      <c r="Z478" s="243"/>
    </row>
    <row r="479">
      <c r="A479" s="613" t="s">
        <v>217</v>
      </c>
      <c r="B479" s="611">
        <f t="shared" si="1"/>
        <v>151.36</v>
      </c>
      <c r="C479" s="400"/>
      <c r="D479" s="607" t="s">
        <v>1116</v>
      </c>
      <c r="E479" s="608">
        <f>SUM(D450,D411,D372,D333,D294,D255,D216,D177,D138,D99,D60,D21)</f>
        <v>137</v>
      </c>
      <c r="F479" s="612"/>
      <c r="G479" s="243"/>
      <c r="H479" s="243"/>
      <c r="I479" s="243"/>
      <c r="J479" s="243"/>
      <c r="K479" s="243"/>
      <c r="L479" s="277"/>
      <c r="M479" s="425"/>
      <c r="N479" s="604"/>
      <c r="O479" s="323"/>
      <c r="P479" s="317"/>
      <c r="Q479" s="243"/>
      <c r="R479" s="243"/>
      <c r="S479" s="317"/>
      <c r="T479" s="317"/>
      <c r="U479" s="317"/>
      <c r="V479" s="317"/>
      <c r="W479" s="317"/>
      <c r="X479" s="317"/>
      <c r="Y479" s="243"/>
      <c r="Z479" s="243"/>
    </row>
    <row r="480">
      <c r="A480" s="620" t="s">
        <v>672</v>
      </c>
      <c r="B480" s="611">
        <f>SUM(L444,L405,L366,L327,L288,L249,L210,L171,L132,L93,L54,L15)</f>
        <v>173.53</v>
      </c>
      <c r="C480" s="400"/>
      <c r="D480" s="607" t="s">
        <v>775</v>
      </c>
      <c r="E480" s="608">
        <f>SUM(D451,D412,D373,D332,D295,D256,D217,D178,D139,D100,D61,D22)</f>
        <v>1369</v>
      </c>
      <c r="F480" s="612"/>
      <c r="G480" s="243"/>
      <c r="H480" s="243"/>
      <c r="I480" s="243"/>
      <c r="J480" s="243"/>
      <c r="K480" s="243"/>
      <c r="L480" s="277"/>
      <c r="M480" s="425"/>
      <c r="N480" s="604"/>
      <c r="O480" s="323"/>
      <c r="P480" s="317"/>
      <c r="Q480" s="243"/>
      <c r="R480" s="243"/>
      <c r="S480" s="317"/>
      <c r="T480" s="317"/>
      <c r="U480" s="317"/>
      <c r="V480" s="317"/>
      <c r="W480" s="317"/>
      <c r="X480" s="317"/>
      <c r="Y480" s="243"/>
      <c r="Z480" s="243"/>
    </row>
    <row r="481">
      <c r="A481" s="620" t="s">
        <v>675</v>
      </c>
      <c r="B481" s="611">
        <f>SUM(L445,L406,L367,L328,L328,L289,L250,L211,L172,L133,L94,L55,L16)</f>
        <v>50</v>
      </c>
      <c r="C481" s="400"/>
      <c r="D481" s="607" t="s">
        <v>10</v>
      </c>
      <c r="E481" s="608">
        <f t="shared" ref="E481:E482" si="3">SUM(D23,D62,D101,D140,D179,D218,D257,D296,D335,D374,D413,D452)</f>
        <v>277</v>
      </c>
      <c r="F481" s="612"/>
      <c r="G481" s="243"/>
      <c r="H481" s="243"/>
      <c r="I481" s="243"/>
      <c r="J481" s="243"/>
      <c r="K481" s="243"/>
      <c r="L481" s="277"/>
      <c r="M481" s="425"/>
      <c r="N481" s="604"/>
      <c r="O481" s="323"/>
      <c r="P481" s="317"/>
      <c r="Q481" s="243"/>
      <c r="R481" s="243"/>
      <c r="S481" s="317"/>
      <c r="T481" s="317"/>
      <c r="U481" s="317"/>
      <c r="V481" s="317"/>
      <c r="W481" s="317"/>
      <c r="X481" s="317"/>
      <c r="Y481" s="243"/>
      <c r="Z481" s="243"/>
    </row>
    <row r="482">
      <c r="A482" s="621" t="s">
        <v>682</v>
      </c>
      <c r="B482" s="611">
        <f>SUM(L22,L61,L100,L139,L178,L217,L256,L295,L334,L373,L412,L451)</f>
        <v>1462</v>
      </c>
      <c r="C482" s="400"/>
      <c r="D482" s="607" t="s">
        <v>6</v>
      </c>
      <c r="E482" s="608">
        <f t="shared" si="3"/>
        <v>790</v>
      </c>
      <c r="F482" s="612"/>
      <c r="G482" s="243"/>
      <c r="H482" s="243"/>
      <c r="I482" s="243"/>
      <c r="J482" s="243"/>
      <c r="K482" s="243"/>
      <c r="L482" s="277"/>
      <c r="M482" s="425"/>
      <c r="N482" s="622"/>
      <c r="O482" s="323"/>
      <c r="P482" s="317"/>
      <c r="Q482" s="243"/>
      <c r="R482" s="243"/>
      <c r="S482" s="317"/>
      <c r="T482" s="317"/>
      <c r="U482" s="317"/>
      <c r="V482" s="317"/>
      <c r="W482" s="317"/>
      <c r="X482" s="317"/>
      <c r="Y482" s="243"/>
      <c r="Z482" s="243"/>
    </row>
    <row r="483">
      <c r="A483" s="623" t="s">
        <v>684</v>
      </c>
      <c r="B483" s="611">
        <f>SUM(L452,L413,L374,L335,L296,L257,L218,L179,L140,L101,L62,L23)</f>
        <v>0</v>
      </c>
      <c r="C483" s="400"/>
      <c r="D483" s="607" t="s">
        <v>779</v>
      </c>
      <c r="E483" s="608">
        <f t="shared" ref="E483:E487" si="4">SUM(D454,D415,D376,D337,D298,D259,D220,D181,D142,D103,D64,D25)</f>
        <v>180</v>
      </c>
      <c r="F483" s="586"/>
      <c r="G483" s="243"/>
      <c r="H483" s="243"/>
      <c r="I483" s="243"/>
      <c r="J483" s="243"/>
      <c r="K483" s="243"/>
      <c r="L483" s="277"/>
      <c r="M483" s="425"/>
      <c r="N483" s="622"/>
      <c r="O483" s="323"/>
      <c r="P483" s="317"/>
      <c r="Q483" s="243"/>
      <c r="R483" s="243"/>
      <c r="S483" s="317"/>
      <c r="T483" s="317"/>
      <c r="U483" s="317"/>
      <c r="V483" s="317"/>
      <c r="W483" s="317"/>
      <c r="X483" s="317"/>
      <c r="Y483" s="243"/>
      <c r="Z483" s="243"/>
    </row>
    <row r="484">
      <c r="A484" s="623" t="s">
        <v>686</v>
      </c>
      <c r="B484" s="611">
        <f>SUM(L24,L63,L102,L141,L180,L219,L258,L297,L336,L375,L414,L453)</f>
        <v>1150</v>
      </c>
      <c r="C484" s="400"/>
      <c r="D484" s="607" t="s">
        <v>780</v>
      </c>
      <c r="E484" s="608">
        <f t="shared" si="4"/>
        <v>0</v>
      </c>
      <c r="F484" s="586"/>
      <c r="G484" s="243"/>
      <c r="H484" s="243"/>
      <c r="I484" s="243"/>
      <c r="J484" s="243"/>
      <c r="K484" s="243"/>
      <c r="L484" s="277"/>
      <c r="M484" s="425"/>
      <c r="N484" s="604"/>
      <c r="O484" s="323"/>
      <c r="P484" s="317"/>
      <c r="Q484" s="243"/>
      <c r="R484" s="243"/>
      <c r="S484" s="317"/>
      <c r="T484" s="317"/>
      <c r="U484" s="317"/>
      <c r="V484" s="317"/>
      <c r="W484" s="317"/>
      <c r="X484" s="317"/>
      <c r="Y484" s="243"/>
      <c r="Z484" s="243"/>
    </row>
    <row r="485">
      <c r="A485" s="624" t="s">
        <v>202</v>
      </c>
      <c r="B485" s="611">
        <f t="shared" ref="B485:B486" si="5">SUM(L454,L415,L376,L337,L298,L259,L220,L181,L142,L103,L64,L25)</f>
        <v>0</v>
      </c>
      <c r="C485" s="400"/>
      <c r="D485" s="607" t="s">
        <v>781</v>
      </c>
      <c r="E485" s="608">
        <f t="shared" si="4"/>
        <v>232</v>
      </c>
      <c r="F485" s="586"/>
      <c r="G485" s="243"/>
      <c r="H485" s="243"/>
      <c r="I485" s="243"/>
      <c r="J485" s="243"/>
      <c r="K485" s="243"/>
      <c r="L485" s="277"/>
      <c r="M485" s="425"/>
      <c r="N485" s="604"/>
      <c r="O485" s="323"/>
      <c r="P485" s="317"/>
      <c r="Q485" s="243"/>
      <c r="R485" s="243"/>
      <c r="S485" s="317"/>
      <c r="T485" s="317"/>
      <c r="U485" s="317"/>
      <c r="V485" s="317"/>
      <c r="W485" s="317"/>
      <c r="X485" s="317"/>
      <c r="Y485" s="243"/>
      <c r="Z485" s="243"/>
    </row>
    <row r="486">
      <c r="A486" s="624" t="s">
        <v>274</v>
      </c>
      <c r="B486" s="611">
        <f t="shared" si="5"/>
        <v>0</v>
      </c>
      <c r="C486" s="400"/>
      <c r="D486" s="607" t="s">
        <v>1118</v>
      </c>
      <c r="E486" s="608">
        <f t="shared" si="4"/>
        <v>0</v>
      </c>
      <c r="F486" s="586"/>
      <c r="G486" s="243"/>
      <c r="H486" s="243"/>
      <c r="I486" s="243"/>
      <c r="J486" s="243"/>
      <c r="K486" s="243"/>
      <c r="L486" s="277"/>
      <c r="M486" s="425"/>
      <c r="N486" s="604"/>
      <c r="O486" s="323"/>
      <c r="P486" s="317"/>
      <c r="Q486" s="243"/>
      <c r="R486" s="243"/>
      <c r="S486" s="317"/>
      <c r="T486" s="317"/>
      <c r="U486" s="317"/>
      <c r="V486" s="317"/>
      <c r="W486" s="317"/>
      <c r="X486" s="317"/>
      <c r="Y486" s="243"/>
      <c r="Z486" s="243"/>
    </row>
    <row r="487">
      <c r="A487" s="621" t="s">
        <v>1121</v>
      </c>
      <c r="B487" s="611">
        <f>SUM(L456,L457,L417,L418,L378,L379,L339,L340,L300,L301,L261,L262,L222,L223,L183,L184,L144,L145,L105,L106,L66,L67,L27,L28)</f>
        <v>0</v>
      </c>
      <c r="C487" s="400"/>
      <c r="D487" s="607" t="s">
        <v>1122</v>
      </c>
      <c r="E487" s="608">
        <f t="shared" si="4"/>
        <v>0</v>
      </c>
      <c r="F487" s="586"/>
      <c r="G487" s="243"/>
      <c r="H487" s="243"/>
      <c r="I487" s="243"/>
      <c r="J487" s="243"/>
      <c r="K487" s="243"/>
      <c r="L487" s="277"/>
      <c r="M487" s="425"/>
      <c r="N487" s="604"/>
      <c r="O487" s="323"/>
      <c r="P487" s="317"/>
      <c r="Q487" s="243"/>
      <c r="R487" s="243"/>
      <c r="S487" s="317"/>
      <c r="T487" s="317"/>
      <c r="U487" s="317"/>
      <c r="V487" s="317"/>
      <c r="W487" s="317"/>
      <c r="X487" s="317"/>
      <c r="Y487" s="243"/>
      <c r="Z487" s="243"/>
    </row>
    <row r="488">
      <c r="A488" s="627" t="s">
        <v>381</v>
      </c>
      <c r="B488" s="611">
        <f t="shared" ref="B488:B489" si="6">SUM(L28,L67,L106,L145,L184,L223,L262,L301,L340,L379,L418,L457)</f>
        <v>0</v>
      </c>
      <c r="C488" s="400"/>
      <c r="D488" s="628"/>
      <c r="E488" s="626"/>
      <c r="F488" s="586"/>
      <c r="G488" s="243"/>
      <c r="H488" s="243"/>
      <c r="I488" s="243"/>
      <c r="J488" s="243"/>
      <c r="K488" s="243"/>
      <c r="L488" s="277"/>
      <c r="M488" s="425"/>
      <c r="N488" s="604"/>
      <c r="O488" s="323"/>
      <c r="P488" s="317"/>
      <c r="Q488" s="243"/>
      <c r="R488" s="243"/>
      <c r="S488" s="317"/>
      <c r="T488" s="317"/>
      <c r="U488" s="317"/>
      <c r="V488" s="317"/>
      <c r="W488" s="317"/>
      <c r="X488" s="317"/>
      <c r="Y488" s="243"/>
      <c r="Z488" s="243"/>
    </row>
    <row r="489">
      <c r="A489" s="629" t="s">
        <v>914</v>
      </c>
      <c r="B489" s="611">
        <f t="shared" si="6"/>
        <v>0</v>
      </c>
      <c r="C489" s="400"/>
      <c r="D489" s="628"/>
      <c r="E489" s="626"/>
      <c r="F489" s="586"/>
      <c r="G489" s="243"/>
      <c r="H489" s="243"/>
      <c r="I489" s="243"/>
      <c r="J489" s="243"/>
      <c r="K489" s="243"/>
      <c r="L489" s="277"/>
      <c r="M489" s="425"/>
      <c r="N489" s="604"/>
      <c r="O489" s="323"/>
      <c r="P489" s="317"/>
      <c r="Q489" s="243"/>
      <c r="R489" s="243"/>
      <c r="S489" s="317"/>
      <c r="T489" s="317"/>
      <c r="U489" s="317"/>
      <c r="V489" s="317"/>
      <c r="W489" s="317"/>
      <c r="X489" s="317"/>
      <c r="Y489" s="243"/>
      <c r="Z489" s="243"/>
    </row>
    <row r="490">
      <c r="A490" s="630" t="s">
        <v>692</v>
      </c>
      <c r="B490" s="611">
        <f>SUM(L460,L421,L382,L343,L304,L265,L226,L187,L148,L109,L70,L31)</f>
        <v>0</v>
      </c>
      <c r="D490" s="628"/>
      <c r="E490" s="626"/>
      <c r="F490" s="586"/>
      <c r="G490" s="243"/>
      <c r="H490" s="243"/>
      <c r="I490" s="243"/>
      <c r="J490" s="243"/>
      <c r="K490" s="243"/>
      <c r="L490" s="277"/>
      <c r="M490" s="425"/>
      <c r="N490" s="604"/>
      <c r="O490" s="323"/>
      <c r="P490" s="317"/>
      <c r="Q490" s="243"/>
      <c r="R490" s="243"/>
      <c r="S490" s="317"/>
      <c r="T490" s="317"/>
      <c r="U490" s="317"/>
      <c r="V490" s="317"/>
      <c r="W490" s="317"/>
      <c r="X490" s="317"/>
      <c r="Y490" s="243"/>
      <c r="Z490" s="243"/>
    </row>
    <row r="491">
      <c r="A491" s="631" t="s">
        <v>915</v>
      </c>
      <c r="B491" s="632">
        <f>SUM(C6,C45,C84,C123,C162,C201,C240,C279,C318,C357,C396,C435)</f>
        <v>962</v>
      </c>
      <c r="D491" s="628"/>
      <c r="E491" s="626"/>
      <c r="F491" s="586"/>
      <c r="G491" s="243"/>
      <c r="H491" s="243"/>
      <c r="I491" s="243"/>
      <c r="J491" s="243"/>
      <c r="K491" s="243"/>
      <c r="L491" s="277"/>
      <c r="M491" s="425"/>
      <c r="N491" s="604"/>
      <c r="O491" s="323"/>
      <c r="P491" s="317"/>
      <c r="Q491" s="243"/>
      <c r="R491" s="243"/>
      <c r="S491" s="317"/>
      <c r="T491" s="317"/>
      <c r="U491" s="317"/>
      <c r="V491" s="317"/>
      <c r="W491" s="317"/>
      <c r="X491" s="317"/>
      <c r="Y491" s="243"/>
      <c r="Z491" s="243"/>
    </row>
    <row r="492">
      <c r="A492" s="633" t="s">
        <v>916</v>
      </c>
      <c r="B492" s="332">
        <f>SUM(B470:B491)</f>
        <v>18763.98</v>
      </c>
      <c r="C492" s="634">
        <f>SUM(C433,C394,C355,C316,C277,C238,C199,C160,C121,C82,C43,C4)</f>
        <v>8768.2</v>
      </c>
      <c r="D492" s="524" t="s">
        <v>916</v>
      </c>
      <c r="E492" s="704" t="str">
        <f>SUM(E470:E491)</f>
        <v>#REF!</v>
      </c>
      <c r="F492" s="586"/>
      <c r="G492" s="243"/>
      <c r="H492" s="243"/>
      <c r="I492" s="243"/>
      <c r="J492" s="243"/>
      <c r="K492" s="243"/>
      <c r="L492" s="277"/>
      <c r="M492" s="425"/>
      <c r="N492" s="604"/>
      <c r="O492" s="323"/>
      <c r="P492" s="317"/>
      <c r="Q492" s="243"/>
      <c r="R492" s="243"/>
      <c r="S492" s="317"/>
      <c r="T492" s="317"/>
      <c r="U492" s="317"/>
      <c r="V492" s="317"/>
      <c r="W492" s="317"/>
      <c r="X492" s="317"/>
      <c r="Y492" s="243"/>
      <c r="Z492" s="243"/>
    </row>
    <row r="493">
      <c r="A493" s="377"/>
      <c r="B493" s="243"/>
      <c r="C493" s="243"/>
      <c r="D493" s="243"/>
      <c r="E493" s="585"/>
      <c r="F493" s="586"/>
      <c r="G493" s="243"/>
      <c r="H493" s="243"/>
      <c r="I493" s="243"/>
      <c r="J493" s="243"/>
      <c r="K493" s="243"/>
      <c r="L493" s="277"/>
      <c r="M493" s="425"/>
      <c r="N493" s="604"/>
      <c r="O493" s="323"/>
      <c r="P493" s="317"/>
      <c r="Q493" s="243"/>
      <c r="R493" s="243"/>
      <c r="S493" s="317"/>
      <c r="T493" s="317"/>
      <c r="U493" s="317"/>
      <c r="V493" s="317"/>
      <c r="W493" s="317"/>
      <c r="X493" s="317"/>
      <c r="Y493" s="243"/>
      <c r="Z493" s="243"/>
    </row>
    <row r="494">
      <c r="A494" s="636" t="s">
        <v>917</v>
      </c>
      <c r="B494" s="319"/>
      <c r="C494" s="319"/>
      <c r="D494" s="319"/>
      <c r="E494" s="319"/>
      <c r="F494" s="319"/>
      <c r="G494" s="319"/>
      <c r="H494" s="319"/>
      <c r="I494" s="319"/>
      <c r="J494" s="319"/>
      <c r="K494" s="319"/>
      <c r="L494" s="319"/>
      <c r="M494" s="319"/>
      <c r="N494" s="26"/>
      <c r="O494" s="323"/>
      <c r="P494" s="317"/>
      <c r="Q494" s="243"/>
      <c r="R494" s="243"/>
      <c r="S494" s="317"/>
      <c r="T494" s="317"/>
      <c r="U494" s="317"/>
      <c r="V494" s="317"/>
      <c r="W494" s="317"/>
      <c r="X494" s="317"/>
      <c r="Y494" s="243"/>
      <c r="Z494" s="243"/>
    </row>
    <row r="495">
      <c r="A495" s="637" t="s">
        <v>1229</v>
      </c>
      <c r="B495" s="638" t="s">
        <v>919</v>
      </c>
      <c r="C495" s="638" t="s">
        <v>920</v>
      </c>
      <c r="D495" s="638" t="s">
        <v>921</v>
      </c>
      <c r="E495" s="639" t="s">
        <v>922</v>
      </c>
      <c r="F495" s="640" t="s">
        <v>923</v>
      </c>
      <c r="G495" s="638" t="s">
        <v>924</v>
      </c>
      <c r="J495" s="639" t="s">
        <v>925</v>
      </c>
      <c r="L495" s="641" t="s">
        <v>926</v>
      </c>
      <c r="M495" s="638" t="s">
        <v>1114</v>
      </c>
      <c r="N495" s="642" t="s">
        <v>928</v>
      </c>
      <c r="O495" s="643" t="s">
        <v>929</v>
      </c>
      <c r="P495" s="317"/>
      <c r="Q495" s="243"/>
      <c r="R495" s="243"/>
      <c r="S495" s="317"/>
      <c r="T495" s="317"/>
      <c r="U495" s="317"/>
      <c r="V495" s="317"/>
      <c r="W495" s="317"/>
      <c r="X495" s="317"/>
      <c r="Y495" s="243"/>
      <c r="Z495" s="243"/>
    </row>
    <row r="496">
      <c r="A496" s="644">
        <f>SUM(C5,C44,C83,C122,C161,C200,C239,C278,C317,C356,C395,C434,B491)</f>
        <v>19394.98</v>
      </c>
      <c r="B496" s="645">
        <f>SUM(C3,C42,C81,C120,C159,C198,C237,C276,C315,C354,C393,C432)</f>
        <v>35604.2</v>
      </c>
      <c r="C496" s="645">
        <f>SUM(L461,L422,L383,L344,L305,L266,L227,L188,L149,L110,L71,L32)</f>
        <v>631</v>
      </c>
      <c r="D496" s="645">
        <f>SUM(B11,B50,B89,B128,B167,B206,B245,B284,B323,B362,B401,B440)</f>
        <v>6149</v>
      </c>
      <c r="E496" s="645">
        <f>B496-A496-C496</f>
        <v>15578.22</v>
      </c>
      <c r="F496" s="646">
        <f>B496-A496-C496-D496</f>
        <v>9429.22</v>
      </c>
      <c r="G496" s="647">
        <f>AVERAGE(C3,C42,C81,C120,C159,C198,C237,C276,C315,C354,C393,C432)</f>
        <v>2967.016667</v>
      </c>
      <c r="H496" s="648"/>
      <c r="I496" s="648"/>
      <c r="J496" s="647">
        <f>AVERAGE(C436,C397,C358,C319,C280,C241,C202,C163,C124,C85,C46,C7)</f>
        <v>1350.768333</v>
      </c>
      <c r="K496" s="648"/>
      <c r="L496" s="647">
        <f>AVERAGE(B463,B424,B385,B346,B307,B268,B229,B190,B151,B112,B73,B34)</f>
        <v>838.3516667</v>
      </c>
      <c r="M496" s="649">
        <f>AVERAGE(C434,C395,C356,C317,C278,C239,C200,C161,C122,C83,C44,C5)</f>
        <v>1536.081667</v>
      </c>
      <c r="N496" s="650">
        <f>AVERAGE(B11,B50,B89,B128,B167,B245,B284,B323,B362,B401,B440,B206)</f>
        <v>512.4166667</v>
      </c>
      <c r="O496" s="687">
        <f>SUM(B464:B466)</f>
        <v>0</v>
      </c>
      <c r="P496" s="317"/>
      <c r="Q496" s="243"/>
      <c r="R496" s="243"/>
      <c r="S496" s="317"/>
      <c r="T496" s="317"/>
      <c r="U496" s="317"/>
      <c r="V496" s="317"/>
      <c r="W496" s="317"/>
      <c r="X496" s="317"/>
      <c r="Y496" s="243"/>
      <c r="Z496" s="243"/>
    </row>
    <row r="497">
      <c r="A497" s="243"/>
      <c r="B497" s="243"/>
      <c r="C497" s="243"/>
      <c r="D497" s="652"/>
      <c r="E497" s="246"/>
      <c r="F497" s="586"/>
      <c r="G497" s="243"/>
      <c r="H497" s="243"/>
      <c r="I497" s="243"/>
      <c r="J497" s="243"/>
      <c r="K497" s="243"/>
      <c r="L497" s="277"/>
      <c r="M497" s="425"/>
      <c r="N497" s="604"/>
      <c r="O497" s="323"/>
      <c r="P497" s="317"/>
      <c r="Q497" s="243"/>
      <c r="R497" s="243"/>
      <c r="S497" s="317"/>
      <c r="T497" s="317"/>
      <c r="U497" s="317"/>
      <c r="V497" s="317"/>
      <c r="W497" s="317"/>
      <c r="X497" s="317"/>
      <c r="Y497" s="243"/>
      <c r="Z497" s="243"/>
    </row>
    <row r="498">
      <c r="F498" s="586"/>
      <c r="G498" s="243"/>
      <c r="H498" s="148"/>
      <c r="I498" s="251"/>
      <c r="J498" s="243"/>
      <c r="K498" s="148"/>
      <c r="L498" s="277"/>
      <c r="M498" s="252"/>
      <c r="N498" s="250"/>
      <c r="O498" s="253"/>
      <c r="P498" s="240"/>
      <c r="Q498" s="148"/>
      <c r="R498" s="148"/>
      <c r="S498" s="242"/>
      <c r="T498" s="242"/>
      <c r="U498" s="242"/>
      <c r="V498" s="242"/>
      <c r="W498" s="242"/>
      <c r="X498" s="242"/>
      <c r="Y498" s="148"/>
      <c r="Z498" s="148"/>
    </row>
    <row r="499">
      <c r="A499" s="333"/>
      <c r="B499" s="333"/>
      <c r="C499" s="333"/>
      <c r="D499" s="333"/>
      <c r="E499" s="333"/>
      <c r="F499" s="333"/>
      <c r="G499" s="243"/>
      <c r="H499" s="148"/>
      <c r="I499" s="251"/>
      <c r="J499" s="243"/>
      <c r="K499" s="148"/>
      <c r="L499" s="277"/>
      <c r="M499" s="252"/>
      <c r="N499" s="250"/>
      <c r="O499" s="253"/>
      <c r="P499" s="240"/>
      <c r="Q499" s="148"/>
      <c r="R499" s="148"/>
      <c r="S499" s="242"/>
      <c r="T499" s="242"/>
      <c r="U499" s="242"/>
      <c r="V499" s="242"/>
      <c r="W499" s="242"/>
      <c r="X499" s="242"/>
      <c r="Y499" s="148"/>
      <c r="Z499" s="148"/>
    </row>
    <row r="500">
      <c r="A500" s="688" t="s">
        <v>930</v>
      </c>
      <c r="F500" s="333"/>
      <c r="G500" s="243"/>
      <c r="H500" s="148"/>
      <c r="I500" s="251"/>
      <c r="J500" s="243"/>
      <c r="K500" s="148"/>
      <c r="L500" s="277"/>
      <c r="M500" s="252"/>
      <c r="N500" s="250"/>
      <c r="O500" s="253"/>
      <c r="P500" s="240"/>
      <c r="Q500" s="148"/>
      <c r="R500" s="148"/>
      <c r="S500" s="242"/>
      <c r="T500" s="242"/>
      <c r="U500" s="242"/>
      <c r="V500" s="242"/>
      <c r="W500" s="242"/>
      <c r="X500" s="242"/>
      <c r="Y500" s="148"/>
      <c r="Z500" s="148"/>
    </row>
    <row r="501">
      <c r="A501" s="333"/>
      <c r="B501" s="333"/>
      <c r="C501" s="333"/>
      <c r="D501" s="333"/>
      <c r="E501" s="333"/>
      <c r="F501" s="333"/>
      <c r="G501" s="243"/>
      <c r="H501" s="148"/>
      <c r="I501" s="251"/>
      <c r="J501" s="243"/>
      <c r="K501" s="148"/>
      <c r="L501" s="277"/>
      <c r="M501" s="252"/>
      <c r="N501" s="250"/>
      <c r="O501" s="253"/>
      <c r="P501" s="240"/>
      <c r="Q501" s="148"/>
      <c r="R501" s="148"/>
      <c r="S501" s="242"/>
      <c r="T501" s="242"/>
      <c r="U501" s="242"/>
      <c r="V501" s="242"/>
      <c r="W501" s="242"/>
      <c r="X501" s="242"/>
      <c r="Y501" s="148"/>
      <c r="Z501" s="148"/>
    </row>
    <row r="502">
      <c r="A502" s="333"/>
      <c r="B502" s="333"/>
      <c r="C502" s="333"/>
      <c r="D502" s="333"/>
      <c r="E502" s="333"/>
      <c r="F502" s="333"/>
      <c r="G502" s="243"/>
      <c r="H502" s="148"/>
      <c r="I502" s="251"/>
      <c r="J502" s="243"/>
      <c r="K502" s="148"/>
      <c r="L502" s="277"/>
      <c r="M502" s="252"/>
      <c r="N502" s="250"/>
      <c r="O502" s="253"/>
      <c r="P502" s="240"/>
      <c r="Q502" s="148"/>
      <c r="R502" s="148"/>
      <c r="S502" s="242"/>
      <c r="T502" s="242"/>
      <c r="U502" s="242"/>
      <c r="V502" s="242"/>
      <c r="W502" s="242"/>
      <c r="X502" s="242"/>
      <c r="Y502" s="148"/>
      <c r="Z502" s="148"/>
    </row>
    <row r="503">
      <c r="A503" s="333"/>
      <c r="B503" s="333"/>
      <c r="C503" s="333"/>
      <c r="D503" s="333"/>
      <c r="E503" s="333"/>
      <c r="F503" s="333"/>
      <c r="G503" s="243"/>
      <c r="H503" s="148"/>
      <c r="I503" s="251"/>
      <c r="J503" s="243"/>
      <c r="K503" s="148"/>
      <c r="L503" s="277"/>
      <c r="M503" s="252"/>
      <c r="N503" s="250"/>
      <c r="O503" s="253"/>
      <c r="P503" s="240"/>
      <c r="Q503" s="148"/>
      <c r="R503" s="148"/>
      <c r="S503" s="242"/>
      <c r="T503" s="242"/>
      <c r="U503" s="242"/>
      <c r="V503" s="242"/>
      <c r="W503" s="242"/>
      <c r="X503" s="242"/>
      <c r="Y503" s="148"/>
      <c r="Z503" s="148"/>
    </row>
    <row r="504">
      <c r="A504" s="333"/>
      <c r="B504" s="333"/>
      <c r="C504" s="333"/>
      <c r="D504" s="333"/>
      <c r="E504" s="333"/>
      <c r="F504" s="333"/>
      <c r="G504" s="243"/>
      <c r="H504" s="148"/>
      <c r="I504" s="251"/>
      <c r="J504" s="243"/>
      <c r="K504" s="148"/>
      <c r="L504" s="277"/>
      <c r="M504" s="252"/>
      <c r="N504" s="250"/>
      <c r="O504" s="253"/>
      <c r="P504" s="240"/>
      <c r="Q504" s="148"/>
      <c r="R504" s="148"/>
      <c r="S504" s="242"/>
      <c r="T504" s="242"/>
      <c r="U504" s="242"/>
      <c r="V504" s="242"/>
      <c r="W504" s="242"/>
      <c r="X504" s="242"/>
      <c r="Y504" s="148"/>
      <c r="Z504" s="148"/>
    </row>
    <row r="505">
      <c r="A505" s="333" t="s">
        <v>1124</v>
      </c>
      <c r="E505" s="333"/>
      <c r="F505" s="333"/>
      <c r="G505" s="243"/>
      <c r="H505" s="148"/>
      <c r="I505" s="251"/>
      <c r="J505" s="243"/>
      <c r="K505" s="148"/>
      <c r="L505" s="277"/>
      <c r="M505" s="252"/>
      <c r="N505" s="250"/>
      <c r="O505" s="253"/>
      <c r="P505" s="240"/>
      <c r="Q505" s="148"/>
      <c r="R505" s="148"/>
      <c r="S505" s="242"/>
      <c r="T505" s="242"/>
      <c r="U505" s="242"/>
      <c r="V505" s="242"/>
      <c r="W505" s="242"/>
      <c r="X505" s="242"/>
      <c r="Y505" s="148"/>
      <c r="Z505" s="148"/>
    </row>
    <row r="506">
      <c r="A506" s="333"/>
      <c r="B506" s="333"/>
      <c r="C506" s="333"/>
      <c r="D506" s="333"/>
      <c r="E506" s="333"/>
      <c r="F506" s="333"/>
      <c r="G506" s="243"/>
      <c r="H506" s="148"/>
      <c r="I506" s="251"/>
      <c r="J506" s="243"/>
      <c r="K506" s="148"/>
      <c r="L506" s="277"/>
      <c r="M506" s="252"/>
      <c r="N506" s="250"/>
      <c r="O506" s="253"/>
      <c r="P506" s="240"/>
      <c r="Q506" s="148"/>
      <c r="R506" s="148"/>
      <c r="S506" s="242"/>
      <c r="T506" s="242"/>
      <c r="U506" s="242"/>
      <c r="V506" s="242"/>
      <c r="W506" s="242"/>
      <c r="X506" s="242"/>
      <c r="Y506" s="148"/>
      <c r="Z506" s="148"/>
    </row>
    <row r="507">
      <c r="A507" s="333"/>
      <c r="B507" s="333"/>
      <c r="C507" s="333"/>
      <c r="D507" s="333"/>
      <c r="E507" s="333"/>
      <c r="F507" s="333"/>
      <c r="G507" s="243"/>
      <c r="H507" s="148"/>
      <c r="I507" s="251"/>
      <c r="J507" s="243"/>
      <c r="K507" s="148"/>
      <c r="L507" s="277"/>
      <c r="M507" s="252"/>
      <c r="N507" s="250"/>
      <c r="O507" s="253"/>
      <c r="P507" s="240"/>
      <c r="Q507" s="148"/>
      <c r="R507" s="148"/>
      <c r="S507" s="242"/>
      <c r="T507" s="242"/>
      <c r="U507" s="242"/>
      <c r="V507" s="242"/>
      <c r="W507" s="242"/>
      <c r="X507" s="242"/>
      <c r="Y507" s="148"/>
      <c r="Z507" s="148"/>
    </row>
    <row r="508">
      <c r="A508" s="333"/>
      <c r="B508" s="333"/>
      <c r="C508" s="333"/>
      <c r="D508" s="333"/>
      <c r="E508" s="333"/>
      <c r="F508" s="333"/>
      <c r="G508" s="243"/>
      <c r="H508" s="148"/>
      <c r="I508" s="251"/>
      <c r="J508" s="243"/>
      <c r="K508" s="148"/>
      <c r="L508" s="277"/>
      <c r="M508" s="252"/>
      <c r="N508" s="250"/>
      <c r="O508" s="253"/>
      <c r="P508" s="240"/>
      <c r="Q508" s="148"/>
      <c r="R508" s="148"/>
      <c r="S508" s="242"/>
      <c r="T508" s="242"/>
      <c r="U508" s="242"/>
      <c r="V508" s="242"/>
      <c r="W508" s="242"/>
      <c r="X508" s="242"/>
      <c r="Y508" s="148"/>
      <c r="Z508" s="148"/>
    </row>
    <row r="509">
      <c r="A509" s="333"/>
      <c r="B509" s="333"/>
      <c r="C509" s="333"/>
      <c r="D509" s="333"/>
      <c r="E509" s="333"/>
      <c r="F509" s="333"/>
      <c r="G509" s="243"/>
      <c r="H509" s="148"/>
      <c r="I509" s="251"/>
      <c r="J509" s="243"/>
      <c r="K509" s="148"/>
      <c r="L509" s="277"/>
      <c r="M509" s="252"/>
      <c r="N509" s="250"/>
      <c r="O509" s="253"/>
      <c r="P509" s="240"/>
      <c r="Q509" s="148"/>
      <c r="R509" s="148"/>
      <c r="S509" s="242"/>
      <c r="T509" s="242"/>
      <c r="U509" s="242"/>
      <c r="V509" s="242"/>
      <c r="W509" s="242"/>
      <c r="X509" s="242"/>
      <c r="Y509" s="148"/>
      <c r="Z509" s="148"/>
    </row>
    <row r="510">
      <c r="A510" s="333"/>
      <c r="B510" s="333"/>
      <c r="C510" s="333"/>
      <c r="D510" s="333"/>
      <c r="E510" s="333"/>
      <c r="F510" s="333"/>
      <c r="G510" s="243"/>
      <c r="H510" s="148"/>
      <c r="I510" s="251"/>
      <c r="J510" s="243"/>
      <c r="K510" s="148"/>
      <c r="L510" s="277"/>
      <c r="M510" s="252"/>
      <c r="N510" s="250"/>
      <c r="O510" s="253"/>
      <c r="P510" s="240"/>
      <c r="Q510" s="148"/>
      <c r="R510" s="148"/>
      <c r="S510" s="242"/>
      <c r="T510" s="242"/>
      <c r="U510" s="242"/>
      <c r="V510" s="242"/>
      <c r="W510" s="242"/>
      <c r="X510" s="242"/>
      <c r="Y510" s="148"/>
      <c r="Z510" s="148"/>
    </row>
    <row r="511">
      <c r="A511" s="333"/>
      <c r="B511" s="333"/>
      <c r="C511" s="333"/>
      <c r="D511" s="333"/>
      <c r="E511" s="333"/>
      <c r="F511" s="333"/>
      <c r="G511" s="243"/>
      <c r="H511" s="148"/>
      <c r="I511" s="251"/>
      <c r="J511" s="243"/>
      <c r="K511" s="148"/>
      <c r="L511" s="277"/>
      <c r="M511" s="252"/>
      <c r="N511" s="250"/>
      <c r="O511" s="253"/>
      <c r="P511" s="240"/>
      <c r="Q511" s="148"/>
      <c r="R511" s="148"/>
      <c r="S511" s="242"/>
      <c r="T511" s="242"/>
      <c r="U511" s="242"/>
      <c r="V511" s="242"/>
      <c r="W511" s="242"/>
      <c r="X511" s="242"/>
      <c r="Y511" s="148"/>
      <c r="Z511" s="148"/>
    </row>
    <row r="512">
      <c r="A512" s="333"/>
      <c r="B512" s="333"/>
      <c r="C512" s="333"/>
      <c r="D512" s="333"/>
      <c r="E512" s="333"/>
      <c r="F512" s="333"/>
      <c r="G512" s="243"/>
      <c r="H512" s="148"/>
      <c r="I512" s="251"/>
      <c r="J512" s="243"/>
      <c r="K512" s="148"/>
      <c r="L512" s="277"/>
      <c r="M512" s="252"/>
      <c r="N512" s="250"/>
      <c r="O512" s="253"/>
      <c r="P512" s="240"/>
      <c r="Q512" s="148"/>
      <c r="R512" s="148"/>
      <c r="S512" s="242"/>
      <c r="T512" s="242"/>
      <c r="U512" s="242"/>
      <c r="V512" s="242"/>
      <c r="W512" s="242"/>
      <c r="X512" s="242"/>
      <c r="Y512" s="148"/>
      <c r="Z512" s="148"/>
    </row>
    <row r="513">
      <c r="A513" s="333"/>
      <c r="B513" s="333"/>
      <c r="C513" s="333"/>
      <c r="D513" s="333"/>
      <c r="E513" s="333"/>
      <c r="F513" s="333"/>
      <c r="G513" s="243"/>
      <c r="H513" s="148"/>
      <c r="I513" s="251"/>
      <c r="J513" s="243"/>
      <c r="K513" s="148"/>
      <c r="L513" s="277"/>
      <c r="M513" s="252"/>
      <c r="N513" s="250"/>
      <c r="O513" s="253"/>
      <c r="P513" s="240"/>
      <c r="Q513" s="148"/>
      <c r="R513" s="148"/>
      <c r="S513" s="242"/>
      <c r="T513" s="242"/>
      <c r="U513" s="242"/>
      <c r="V513" s="242"/>
      <c r="W513" s="242"/>
      <c r="X513" s="242"/>
      <c r="Y513" s="148"/>
      <c r="Z513" s="148"/>
    </row>
    <row r="514">
      <c r="A514" s="333"/>
      <c r="B514" s="333"/>
      <c r="C514" s="333"/>
      <c r="D514" s="333"/>
      <c r="E514" s="333"/>
      <c r="F514" s="333"/>
      <c r="G514" s="243"/>
      <c r="H514" s="148"/>
      <c r="I514" s="251"/>
      <c r="J514" s="243"/>
      <c r="K514" s="148"/>
      <c r="L514" s="277"/>
      <c r="M514" s="252"/>
      <c r="N514" s="250"/>
      <c r="O514" s="253"/>
      <c r="P514" s="240"/>
      <c r="Q514" s="148"/>
      <c r="R514" s="148"/>
      <c r="S514" s="242"/>
      <c r="T514" s="242"/>
      <c r="U514" s="242"/>
      <c r="V514" s="242"/>
      <c r="W514" s="242"/>
      <c r="X514" s="242"/>
      <c r="Y514" s="148"/>
      <c r="Z514" s="148"/>
    </row>
    <row r="515">
      <c r="A515" s="333"/>
      <c r="B515" s="333"/>
      <c r="C515" s="333"/>
      <c r="D515" s="333"/>
      <c r="E515" s="333"/>
      <c r="F515" s="333"/>
      <c r="G515" s="243"/>
      <c r="H515" s="148"/>
      <c r="I515" s="251"/>
      <c r="J515" s="243"/>
      <c r="K515" s="148"/>
      <c r="L515" s="277"/>
      <c r="M515" s="252"/>
      <c r="N515" s="250"/>
      <c r="O515" s="253"/>
      <c r="P515" s="240"/>
      <c r="Q515" s="148"/>
      <c r="R515" s="148"/>
      <c r="S515" s="242"/>
      <c r="T515" s="242"/>
      <c r="U515" s="242"/>
      <c r="V515" s="242"/>
      <c r="W515" s="242"/>
      <c r="X515" s="242"/>
      <c r="Y515" s="148"/>
      <c r="Z515" s="148"/>
    </row>
    <row r="516">
      <c r="A516" s="333"/>
      <c r="B516" s="333"/>
      <c r="C516" s="333"/>
      <c r="D516" s="333"/>
      <c r="E516" s="333"/>
      <c r="F516" s="333"/>
      <c r="G516" s="243"/>
      <c r="H516" s="148"/>
      <c r="I516" s="251"/>
      <c r="J516" s="243"/>
      <c r="K516" s="148"/>
      <c r="L516" s="277"/>
      <c r="M516" s="252"/>
      <c r="N516" s="250"/>
      <c r="O516" s="253"/>
      <c r="P516" s="240"/>
      <c r="Q516" s="148"/>
      <c r="R516" s="148"/>
      <c r="S516" s="242"/>
      <c r="T516" s="242"/>
      <c r="U516" s="242"/>
      <c r="V516" s="242"/>
      <c r="W516" s="242"/>
      <c r="X516" s="242"/>
      <c r="Y516" s="148"/>
      <c r="Z516" s="148"/>
    </row>
    <row r="517">
      <c r="A517" s="333"/>
      <c r="B517" s="333"/>
      <c r="C517" s="333"/>
      <c r="D517" s="333"/>
      <c r="E517" s="333"/>
      <c r="F517" s="333"/>
      <c r="G517" s="243"/>
      <c r="H517" s="148"/>
      <c r="I517" s="251"/>
      <c r="J517" s="243"/>
      <c r="K517" s="148"/>
      <c r="L517" s="277"/>
      <c r="M517" s="252"/>
      <c r="N517" s="250"/>
      <c r="O517" s="253"/>
      <c r="P517" s="240"/>
      <c r="Q517" s="148"/>
      <c r="R517" s="148"/>
      <c r="S517" s="242"/>
      <c r="T517" s="242"/>
      <c r="U517" s="242"/>
      <c r="V517" s="242"/>
      <c r="W517" s="242"/>
      <c r="X517" s="242"/>
      <c r="Y517" s="148"/>
      <c r="Z517" s="148"/>
    </row>
    <row r="518">
      <c r="A518" s="333"/>
      <c r="B518" s="333"/>
      <c r="C518" s="333"/>
      <c r="D518" s="333"/>
      <c r="E518" s="333"/>
      <c r="F518" s="333"/>
      <c r="G518" s="243"/>
      <c r="H518" s="148"/>
      <c r="I518" s="251"/>
      <c r="J518" s="243"/>
      <c r="K518" s="148"/>
      <c r="L518" s="277"/>
      <c r="M518" s="252"/>
      <c r="N518" s="250"/>
      <c r="O518" s="253"/>
      <c r="P518" s="240"/>
      <c r="Q518" s="148"/>
      <c r="R518" s="148"/>
      <c r="S518" s="242"/>
      <c r="T518" s="242"/>
      <c r="U518" s="242"/>
      <c r="V518" s="242"/>
      <c r="W518" s="242"/>
      <c r="X518" s="242"/>
      <c r="Y518" s="148"/>
      <c r="Z518" s="148"/>
    </row>
    <row r="519">
      <c r="A519" s="333"/>
      <c r="B519" s="333"/>
      <c r="C519" s="333"/>
      <c r="D519" s="333"/>
      <c r="E519" s="333"/>
      <c r="F519" s="333"/>
      <c r="G519" s="243"/>
      <c r="H519" s="148"/>
      <c r="I519" s="251"/>
      <c r="J519" s="243"/>
      <c r="K519" s="148"/>
      <c r="L519" s="277"/>
      <c r="M519" s="252"/>
      <c r="N519" s="250"/>
      <c r="O519" s="253"/>
      <c r="P519" s="240"/>
      <c r="Q519" s="148"/>
      <c r="R519" s="148"/>
      <c r="S519" s="242"/>
      <c r="T519" s="242"/>
      <c r="U519" s="242"/>
      <c r="V519" s="242"/>
      <c r="W519" s="242"/>
      <c r="X519" s="242"/>
      <c r="Y519" s="148"/>
      <c r="Z519" s="148"/>
    </row>
    <row r="520">
      <c r="A520" s="333"/>
      <c r="B520" s="333"/>
      <c r="C520" s="333"/>
      <c r="D520" s="333"/>
      <c r="E520" s="333"/>
      <c r="F520" s="333"/>
      <c r="G520" s="243"/>
      <c r="H520" s="148"/>
      <c r="I520" s="251"/>
      <c r="J520" s="243"/>
      <c r="K520" s="148"/>
      <c r="L520" s="277"/>
      <c r="M520" s="252"/>
      <c r="N520" s="250"/>
      <c r="O520" s="253"/>
      <c r="P520" s="240"/>
      <c r="Q520" s="148"/>
      <c r="R520" s="148"/>
      <c r="S520" s="242"/>
      <c r="T520" s="242"/>
      <c r="U520" s="242"/>
      <c r="V520" s="242"/>
      <c r="W520" s="242"/>
      <c r="X520" s="242"/>
      <c r="Y520" s="148"/>
      <c r="Z520" s="148"/>
    </row>
    <row r="521">
      <c r="A521" s="333"/>
      <c r="B521" s="333"/>
      <c r="C521" s="333"/>
      <c r="D521" s="333"/>
      <c r="E521" s="333"/>
      <c r="F521" s="333"/>
      <c r="G521" s="243"/>
      <c r="H521" s="148"/>
      <c r="I521" s="251"/>
      <c r="J521" s="243"/>
      <c r="K521" s="148"/>
      <c r="L521" s="277"/>
      <c r="M521" s="252"/>
      <c r="N521" s="250"/>
      <c r="O521" s="253"/>
      <c r="P521" s="240"/>
      <c r="Q521" s="148"/>
      <c r="R521" s="148"/>
      <c r="S521" s="242"/>
      <c r="T521" s="242"/>
      <c r="U521" s="242"/>
      <c r="V521" s="242"/>
      <c r="W521" s="242"/>
      <c r="X521" s="242"/>
      <c r="Y521" s="148"/>
      <c r="Z521" s="148"/>
    </row>
    <row r="522">
      <c r="A522" s="333"/>
      <c r="B522" s="333"/>
      <c r="C522" s="333"/>
      <c r="D522" s="333"/>
      <c r="E522" s="333"/>
      <c r="F522" s="333"/>
      <c r="G522" s="243"/>
      <c r="H522" s="148"/>
      <c r="I522" s="251"/>
      <c r="J522" s="243"/>
      <c r="K522" s="148"/>
      <c r="L522" s="277"/>
      <c r="M522" s="252"/>
      <c r="N522" s="250"/>
      <c r="O522" s="253"/>
      <c r="P522" s="240"/>
      <c r="Q522" s="148"/>
      <c r="R522" s="148"/>
      <c r="S522" s="242"/>
      <c r="T522" s="242"/>
      <c r="U522" s="242"/>
      <c r="V522" s="242"/>
      <c r="W522" s="242"/>
      <c r="X522" s="242"/>
      <c r="Y522" s="148"/>
      <c r="Z522" s="148"/>
    </row>
    <row r="523">
      <c r="A523" s="333"/>
      <c r="B523" s="333"/>
      <c r="C523" s="333"/>
      <c r="D523" s="333"/>
      <c r="E523" s="333"/>
      <c r="F523" s="333"/>
      <c r="G523" s="243"/>
      <c r="H523" s="148"/>
      <c r="I523" s="251"/>
      <c r="J523" s="243"/>
      <c r="K523" s="148"/>
      <c r="L523" s="277"/>
      <c r="M523" s="252"/>
      <c r="N523" s="250"/>
      <c r="O523" s="253"/>
      <c r="P523" s="240"/>
      <c r="Q523" s="148"/>
      <c r="R523" s="148"/>
      <c r="S523" s="242"/>
      <c r="T523" s="242"/>
      <c r="U523" s="242"/>
      <c r="V523" s="242"/>
      <c r="W523" s="242"/>
      <c r="X523" s="242"/>
      <c r="Y523" s="148"/>
      <c r="Z523" s="148"/>
    </row>
    <row r="524">
      <c r="A524" s="333"/>
      <c r="B524" s="333"/>
      <c r="C524" s="333"/>
      <c r="D524" s="333"/>
      <c r="E524" s="333"/>
      <c r="F524" s="333"/>
      <c r="G524" s="243"/>
      <c r="H524" s="148"/>
      <c r="I524" s="251"/>
      <c r="J524" s="243"/>
      <c r="K524" s="148"/>
      <c r="L524" s="277"/>
      <c r="M524" s="252"/>
      <c r="N524" s="250"/>
      <c r="O524" s="253"/>
      <c r="P524" s="240"/>
      <c r="Q524" s="148"/>
      <c r="R524" s="148"/>
      <c r="S524" s="242"/>
      <c r="T524" s="242"/>
      <c r="U524" s="242"/>
      <c r="V524" s="242"/>
      <c r="W524" s="242"/>
      <c r="X524" s="242"/>
      <c r="Y524" s="148"/>
      <c r="Z524" s="148"/>
    </row>
    <row r="525">
      <c r="A525" s="333"/>
      <c r="B525" s="333"/>
      <c r="C525" s="333"/>
      <c r="D525" s="333"/>
      <c r="E525" s="333"/>
      <c r="F525" s="333"/>
      <c r="G525" s="243"/>
      <c r="H525" s="148"/>
      <c r="I525" s="251"/>
      <c r="J525" s="243"/>
      <c r="K525" s="148"/>
      <c r="L525" s="277"/>
      <c r="M525" s="252"/>
      <c r="N525" s="250"/>
      <c r="O525" s="253"/>
      <c r="P525" s="240"/>
      <c r="Q525" s="148"/>
      <c r="R525" s="148"/>
      <c r="S525" s="242"/>
      <c r="T525" s="242"/>
      <c r="U525" s="242"/>
      <c r="V525" s="242"/>
      <c r="W525" s="242"/>
      <c r="X525" s="242"/>
      <c r="Y525" s="148"/>
      <c r="Z525" s="148"/>
    </row>
    <row r="526">
      <c r="A526" s="333"/>
      <c r="B526" s="333"/>
      <c r="C526" s="333"/>
      <c r="D526" s="333"/>
      <c r="E526" s="333"/>
      <c r="F526" s="333"/>
      <c r="G526" s="243"/>
      <c r="H526" s="148"/>
      <c r="I526" s="251"/>
      <c r="J526" s="243"/>
      <c r="K526" s="148"/>
      <c r="L526" s="277"/>
      <c r="M526" s="252"/>
      <c r="N526" s="250"/>
      <c r="O526" s="253"/>
      <c r="P526" s="240"/>
      <c r="Q526" s="148"/>
      <c r="R526" s="148"/>
      <c r="S526" s="242"/>
      <c r="T526" s="242"/>
      <c r="U526" s="242"/>
      <c r="V526" s="242"/>
      <c r="W526" s="242"/>
      <c r="X526" s="242"/>
      <c r="Y526" s="148"/>
      <c r="Z526" s="148"/>
    </row>
    <row r="527">
      <c r="A527" s="333"/>
      <c r="B527" s="333"/>
      <c r="C527" s="333"/>
      <c r="D527" s="333"/>
      <c r="E527" s="333"/>
      <c r="F527" s="333"/>
      <c r="G527" s="243"/>
      <c r="H527" s="148"/>
      <c r="I527" s="251"/>
      <c r="J527" s="243"/>
      <c r="K527" s="148"/>
      <c r="L527" s="277"/>
      <c r="M527" s="252"/>
      <c r="N527" s="250"/>
      <c r="O527" s="253"/>
      <c r="P527" s="240"/>
      <c r="Q527" s="148"/>
      <c r="R527" s="148"/>
      <c r="S527" s="242"/>
      <c r="T527" s="242"/>
      <c r="U527" s="242"/>
      <c r="V527" s="242"/>
      <c r="W527" s="242"/>
      <c r="X527" s="242"/>
      <c r="Y527" s="148"/>
      <c r="Z527" s="148"/>
    </row>
    <row r="528">
      <c r="A528" s="333"/>
      <c r="B528" s="333"/>
      <c r="C528" s="333"/>
      <c r="D528" s="333"/>
      <c r="E528" s="333"/>
      <c r="F528" s="333"/>
      <c r="G528" s="243"/>
      <c r="H528" s="148"/>
      <c r="I528" s="251"/>
      <c r="J528" s="243"/>
      <c r="K528" s="148"/>
      <c r="L528" s="277"/>
      <c r="M528" s="252"/>
      <c r="N528" s="250"/>
      <c r="O528" s="253"/>
      <c r="P528" s="240"/>
      <c r="Q528" s="148"/>
      <c r="R528" s="148"/>
      <c r="S528" s="242"/>
      <c r="T528" s="242"/>
      <c r="U528" s="242"/>
      <c r="V528" s="242"/>
      <c r="W528" s="242"/>
      <c r="X528" s="242"/>
      <c r="Y528" s="148"/>
      <c r="Z528" s="148"/>
    </row>
    <row r="529">
      <c r="A529" s="333"/>
      <c r="B529" s="333"/>
      <c r="C529" s="333"/>
      <c r="D529" s="333"/>
      <c r="E529" s="333"/>
      <c r="F529" s="333"/>
      <c r="G529" s="243"/>
      <c r="H529" s="148"/>
      <c r="I529" s="251"/>
      <c r="J529" s="243"/>
      <c r="K529" s="148"/>
      <c r="L529" s="277"/>
      <c r="M529" s="252"/>
      <c r="N529" s="250"/>
      <c r="O529" s="253"/>
      <c r="P529" s="240"/>
      <c r="Q529" s="148"/>
      <c r="R529" s="148"/>
      <c r="S529" s="242"/>
      <c r="T529" s="242"/>
      <c r="U529" s="242"/>
      <c r="V529" s="242"/>
      <c r="W529" s="242"/>
      <c r="X529" s="242"/>
      <c r="Y529" s="148"/>
      <c r="Z529" s="148"/>
    </row>
    <row r="530">
      <c r="A530" s="333"/>
      <c r="B530" s="333"/>
      <c r="C530" s="333"/>
      <c r="D530" s="333"/>
      <c r="E530" s="333"/>
      <c r="F530" s="333"/>
      <c r="G530" s="243"/>
      <c r="H530" s="148"/>
      <c r="I530" s="251"/>
      <c r="J530" s="243"/>
      <c r="K530" s="148"/>
      <c r="L530" s="277"/>
      <c r="M530" s="252"/>
      <c r="N530" s="250"/>
      <c r="O530" s="253"/>
      <c r="P530" s="240"/>
      <c r="Q530" s="148"/>
      <c r="R530" s="148"/>
      <c r="S530" s="242"/>
      <c r="T530" s="242"/>
      <c r="U530" s="242"/>
      <c r="V530" s="242"/>
      <c r="W530" s="242"/>
      <c r="X530" s="242"/>
      <c r="Y530" s="148"/>
      <c r="Z530" s="148"/>
    </row>
    <row r="531">
      <c r="A531" s="333"/>
      <c r="B531" s="333"/>
      <c r="C531" s="333"/>
      <c r="D531" s="333"/>
      <c r="E531" s="333"/>
      <c r="F531" s="333"/>
      <c r="G531" s="243"/>
      <c r="H531" s="148"/>
      <c r="I531" s="251"/>
      <c r="J531" s="243"/>
      <c r="K531" s="148"/>
      <c r="L531" s="277"/>
      <c r="M531" s="252"/>
      <c r="N531" s="250"/>
      <c r="O531" s="253"/>
      <c r="P531" s="240"/>
      <c r="Q531" s="148"/>
      <c r="R531" s="148"/>
      <c r="S531" s="242"/>
      <c r="T531" s="242"/>
      <c r="U531" s="242"/>
      <c r="V531" s="242"/>
      <c r="W531" s="242"/>
      <c r="X531" s="242"/>
      <c r="Y531" s="148"/>
      <c r="Z531" s="148"/>
    </row>
    <row r="532">
      <c r="A532" s="333"/>
      <c r="B532" s="333"/>
      <c r="C532" s="333"/>
      <c r="D532" s="333"/>
      <c r="E532" s="333"/>
      <c r="F532" s="333"/>
      <c r="G532" s="243"/>
      <c r="H532" s="148"/>
      <c r="I532" s="251"/>
      <c r="J532" s="243"/>
      <c r="K532" s="148"/>
      <c r="L532" s="277"/>
      <c r="M532" s="252"/>
      <c r="N532" s="250"/>
      <c r="O532" s="253"/>
      <c r="P532" s="240"/>
      <c r="Q532" s="148"/>
      <c r="R532" s="148"/>
      <c r="S532" s="242"/>
      <c r="T532" s="242"/>
      <c r="U532" s="242"/>
      <c r="V532" s="242"/>
      <c r="W532" s="242"/>
      <c r="X532" s="242"/>
      <c r="Y532" s="148"/>
      <c r="Z532" s="148"/>
    </row>
    <row r="533">
      <c r="A533" s="333"/>
      <c r="B533" s="333"/>
      <c r="C533" s="333"/>
      <c r="D533" s="333"/>
      <c r="E533" s="333"/>
      <c r="F533" s="333"/>
      <c r="G533" s="243"/>
      <c r="H533" s="148"/>
      <c r="I533" s="251"/>
      <c r="J533" s="243"/>
      <c r="K533" s="148"/>
      <c r="L533" s="277"/>
      <c r="M533" s="252"/>
      <c r="N533" s="250"/>
      <c r="O533" s="253"/>
      <c r="P533" s="240"/>
      <c r="Q533" s="148"/>
      <c r="R533" s="148"/>
      <c r="S533" s="242"/>
      <c r="T533" s="242"/>
      <c r="U533" s="242"/>
      <c r="V533" s="242"/>
      <c r="W533" s="242"/>
      <c r="X533" s="242"/>
      <c r="Y533" s="148"/>
      <c r="Z533" s="148"/>
    </row>
    <row r="534">
      <c r="A534" s="333"/>
      <c r="B534" s="333"/>
      <c r="C534" s="333"/>
      <c r="D534" s="333"/>
      <c r="E534" s="333"/>
      <c r="F534" s="333"/>
      <c r="G534" s="243"/>
      <c r="H534" s="148"/>
      <c r="I534" s="251"/>
      <c r="J534" s="243"/>
      <c r="K534" s="148"/>
      <c r="L534" s="277"/>
      <c r="M534" s="252"/>
      <c r="N534" s="250"/>
      <c r="O534" s="253"/>
      <c r="P534" s="240"/>
      <c r="Q534" s="148"/>
      <c r="R534" s="148"/>
      <c r="S534" s="242"/>
      <c r="T534" s="242"/>
      <c r="U534" s="242"/>
      <c r="V534" s="242"/>
      <c r="W534" s="242"/>
      <c r="X534" s="242"/>
      <c r="Y534" s="148"/>
      <c r="Z534" s="148"/>
    </row>
    <row r="535">
      <c r="A535" s="333"/>
      <c r="B535" s="333"/>
      <c r="C535" s="333"/>
      <c r="D535" s="333"/>
      <c r="E535" s="333"/>
      <c r="F535" s="333"/>
      <c r="G535" s="243"/>
      <c r="H535" s="148"/>
      <c r="I535" s="251"/>
      <c r="J535" s="243"/>
      <c r="K535" s="148"/>
      <c r="L535" s="277"/>
      <c r="M535" s="252"/>
      <c r="N535" s="250"/>
      <c r="O535" s="253"/>
      <c r="P535" s="240"/>
      <c r="Q535" s="148"/>
      <c r="R535" s="148"/>
      <c r="S535" s="242"/>
      <c r="T535" s="242"/>
      <c r="U535" s="242"/>
      <c r="V535" s="242"/>
      <c r="W535" s="242"/>
      <c r="X535" s="242"/>
      <c r="Y535" s="148"/>
      <c r="Z535" s="148"/>
    </row>
    <row r="536">
      <c r="A536" s="333"/>
      <c r="B536" s="333"/>
      <c r="C536" s="333"/>
      <c r="D536" s="333"/>
      <c r="E536" s="333"/>
      <c r="F536" s="333"/>
      <c r="G536" s="243"/>
      <c r="H536" s="148"/>
      <c r="I536" s="251"/>
      <c r="J536" s="243"/>
      <c r="K536" s="148"/>
      <c r="L536" s="277"/>
      <c r="M536" s="252"/>
      <c r="N536" s="250"/>
      <c r="O536" s="253"/>
      <c r="P536" s="240"/>
      <c r="Q536" s="148"/>
      <c r="R536" s="148"/>
      <c r="S536" s="242"/>
      <c r="T536" s="242"/>
      <c r="U536" s="242"/>
      <c r="V536" s="242"/>
      <c r="W536" s="242"/>
      <c r="X536" s="242"/>
      <c r="Y536" s="148"/>
      <c r="Z536" s="148"/>
    </row>
    <row r="537">
      <c r="A537" s="333"/>
      <c r="B537" s="333"/>
      <c r="C537" s="333"/>
      <c r="D537" s="333"/>
      <c r="E537" s="333"/>
      <c r="F537" s="333"/>
      <c r="G537" s="243"/>
      <c r="H537" s="148"/>
      <c r="I537" s="251"/>
      <c r="J537" s="243"/>
      <c r="K537" s="148"/>
      <c r="L537" s="277"/>
      <c r="M537" s="252"/>
      <c r="N537" s="250"/>
      <c r="O537" s="253"/>
      <c r="P537" s="240"/>
      <c r="Q537" s="148"/>
      <c r="R537" s="148"/>
      <c r="S537" s="242"/>
      <c r="T537" s="242"/>
      <c r="U537" s="242"/>
      <c r="V537" s="242"/>
      <c r="W537" s="242"/>
      <c r="X537" s="242"/>
      <c r="Y537" s="148"/>
      <c r="Z537" s="148"/>
    </row>
    <row r="538">
      <c r="A538" s="333"/>
      <c r="B538" s="333"/>
      <c r="C538" s="333"/>
      <c r="D538" s="333"/>
      <c r="E538" s="333"/>
      <c r="F538" s="333"/>
      <c r="G538" s="243"/>
      <c r="H538" s="148"/>
      <c r="I538" s="251"/>
      <c r="J538" s="243"/>
      <c r="K538" s="148"/>
      <c r="L538" s="277"/>
      <c r="M538" s="252"/>
      <c r="N538" s="250"/>
      <c r="O538" s="253"/>
      <c r="P538" s="240"/>
      <c r="Q538" s="148"/>
      <c r="R538" s="148"/>
      <c r="S538" s="242"/>
      <c r="T538" s="242"/>
      <c r="U538" s="242"/>
      <c r="V538" s="242"/>
      <c r="W538" s="242"/>
      <c r="X538" s="242"/>
      <c r="Y538" s="148"/>
      <c r="Z538" s="148"/>
    </row>
    <row r="539">
      <c r="A539" s="333"/>
      <c r="B539" s="333"/>
      <c r="C539" s="333"/>
      <c r="D539" s="333"/>
      <c r="E539" s="333"/>
      <c r="F539" s="333"/>
      <c r="G539" s="243"/>
      <c r="H539" s="148"/>
      <c r="I539" s="251"/>
      <c r="J539" s="243"/>
      <c r="K539" s="148"/>
      <c r="L539" s="277"/>
      <c r="M539" s="252"/>
      <c r="N539" s="250"/>
      <c r="O539" s="253"/>
      <c r="P539" s="240"/>
      <c r="Q539" s="148"/>
      <c r="R539" s="148"/>
      <c r="S539" s="242"/>
      <c r="T539" s="242"/>
      <c r="U539" s="242"/>
      <c r="V539" s="242"/>
      <c r="W539" s="242"/>
      <c r="X539" s="242"/>
      <c r="Y539" s="148"/>
      <c r="Z539" s="148"/>
    </row>
    <row r="540">
      <c r="A540" s="333"/>
      <c r="B540" s="333"/>
      <c r="C540" s="333"/>
      <c r="D540" s="333"/>
      <c r="E540" s="333"/>
      <c r="F540" s="333"/>
      <c r="G540" s="243"/>
      <c r="H540" s="148"/>
      <c r="I540" s="251"/>
      <c r="J540" s="243"/>
      <c r="K540" s="148"/>
      <c r="L540" s="277"/>
      <c r="M540" s="252"/>
      <c r="N540" s="250"/>
      <c r="O540" s="253"/>
      <c r="P540" s="240"/>
      <c r="Q540" s="148"/>
      <c r="R540" s="148"/>
      <c r="S540" s="242"/>
      <c r="T540" s="242"/>
      <c r="U540" s="242"/>
      <c r="V540" s="242"/>
      <c r="W540" s="242"/>
      <c r="X540" s="242"/>
      <c r="Y540" s="148"/>
      <c r="Z540" s="148"/>
    </row>
    <row r="541">
      <c r="A541" s="333"/>
      <c r="B541" s="333"/>
      <c r="C541" s="333"/>
      <c r="D541" s="333"/>
      <c r="E541" s="333"/>
      <c r="F541" s="333"/>
      <c r="G541" s="243"/>
      <c r="H541" s="148"/>
      <c r="I541" s="251"/>
      <c r="J541" s="243"/>
      <c r="K541" s="148"/>
      <c r="L541" s="277"/>
      <c r="M541" s="252"/>
      <c r="N541" s="250"/>
      <c r="O541" s="253"/>
      <c r="P541" s="240"/>
      <c r="Q541" s="148"/>
      <c r="R541" s="148"/>
      <c r="S541" s="242"/>
      <c r="T541" s="242"/>
      <c r="U541" s="242"/>
      <c r="V541" s="242"/>
      <c r="W541" s="242"/>
      <c r="X541" s="242"/>
      <c r="Y541" s="148"/>
      <c r="Z541" s="148"/>
    </row>
    <row r="542">
      <c r="A542" s="333"/>
      <c r="B542" s="333"/>
      <c r="C542" s="333"/>
      <c r="D542" s="333"/>
      <c r="E542" s="333"/>
      <c r="F542" s="333"/>
      <c r="G542" s="243"/>
      <c r="H542" s="148"/>
      <c r="I542" s="251"/>
      <c r="J542" s="243"/>
      <c r="K542" s="148"/>
      <c r="L542" s="277"/>
      <c r="M542" s="252"/>
      <c r="N542" s="250"/>
      <c r="O542" s="253"/>
      <c r="P542" s="240"/>
      <c r="Q542" s="148"/>
      <c r="R542" s="148"/>
      <c r="S542" s="242"/>
      <c r="T542" s="242"/>
      <c r="U542" s="242"/>
      <c r="V542" s="242"/>
      <c r="W542" s="242"/>
      <c r="X542" s="242"/>
      <c r="Y542" s="148"/>
      <c r="Z542" s="148"/>
    </row>
    <row r="543">
      <c r="A543" s="333"/>
      <c r="B543" s="333"/>
      <c r="C543" s="333"/>
      <c r="D543" s="333"/>
      <c r="E543" s="333"/>
      <c r="F543" s="333"/>
      <c r="G543" s="243"/>
      <c r="H543" s="148"/>
      <c r="I543" s="251"/>
      <c r="J543" s="243"/>
      <c r="K543" s="148"/>
      <c r="L543" s="277"/>
      <c r="M543" s="252"/>
      <c r="N543" s="250"/>
      <c r="O543" s="253"/>
      <c r="P543" s="240"/>
      <c r="Q543" s="148"/>
      <c r="R543" s="148"/>
      <c r="S543" s="242"/>
      <c r="T543" s="242"/>
      <c r="U543" s="242"/>
      <c r="V543" s="242"/>
      <c r="W543" s="242"/>
      <c r="X543" s="242"/>
      <c r="Y543" s="148"/>
      <c r="Z543" s="148"/>
    </row>
    <row r="544">
      <c r="A544" s="333"/>
      <c r="B544" s="333"/>
      <c r="C544" s="333"/>
      <c r="D544" s="333"/>
      <c r="E544" s="333"/>
      <c r="F544" s="333"/>
      <c r="G544" s="243"/>
      <c r="H544" s="148"/>
      <c r="I544" s="251"/>
      <c r="J544" s="243"/>
      <c r="K544" s="148"/>
      <c r="L544" s="277"/>
      <c r="M544" s="252"/>
      <c r="N544" s="250"/>
      <c r="O544" s="253"/>
      <c r="P544" s="240"/>
      <c r="Q544" s="148"/>
      <c r="R544" s="148"/>
      <c r="S544" s="242"/>
      <c r="T544" s="242"/>
      <c r="U544" s="242"/>
      <c r="V544" s="242"/>
      <c r="W544" s="242"/>
      <c r="X544" s="242"/>
      <c r="Y544" s="148"/>
      <c r="Z544" s="148"/>
    </row>
    <row r="545">
      <c r="A545" s="333"/>
      <c r="B545" s="333"/>
      <c r="C545" s="333"/>
      <c r="D545" s="333"/>
      <c r="E545" s="333"/>
      <c r="F545" s="333"/>
      <c r="G545" s="243"/>
      <c r="H545" s="148"/>
      <c r="I545" s="251"/>
      <c r="J545" s="243"/>
      <c r="K545" s="148"/>
      <c r="L545" s="277"/>
      <c r="M545" s="252"/>
      <c r="N545" s="250"/>
      <c r="O545" s="253"/>
      <c r="P545" s="240"/>
      <c r="Q545" s="148"/>
      <c r="R545" s="148"/>
      <c r="S545" s="242"/>
      <c r="T545" s="242"/>
      <c r="U545" s="242"/>
      <c r="V545" s="242"/>
      <c r="W545" s="242"/>
      <c r="X545" s="242"/>
      <c r="Y545" s="148"/>
      <c r="Z545" s="148"/>
    </row>
    <row r="546">
      <c r="A546" s="333"/>
      <c r="B546" s="333"/>
      <c r="C546" s="333"/>
      <c r="D546" s="333"/>
      <c r="E546" s="333"/>
      <c r="F546" s="333"/>
      <c r="G546" s="243"/>
      <c r="H546" s="148"/>
      <c r="I546" s="251"/>
      <c r="J546" s="243"/>
      <c r="K546" s="148"/>
      <c r="L546" s="277"/>
      <c r="M546" s="252"/>
      <c r="N546" s="250"/>
      <c r="O546" s="253"/>
      <c r="P546" s="240"/>
      <c r="Q546" s="148"/>
      <c r="R546" s="148"/>
      <c r="S546" s="242"/>
      <c r="T546" s="242"/>
      <c r="U546" s="242"/>
      <c r="V546" s="242"/>
      <c r="W546" s="242"/>
      <c r="X546" s="242"/>
      <c r="Y546" s="148"/>
      <c r="Z546" s="148"/>
    </row>
    <row r="547">
      <c r="A547" s="333"/>
      <c r="B547" s="333"/>
      <c r="C547" s="333"/>
      <c r="D547" s="333"/>
      <c r="E547" s="333"/>
      <c r="F547" s="333"/>
      <c r="G547" s="243"/>
      <c r="H547" s="148"/>
      <c r="I547" s="251"/>
      <c r="J547" s="243"/>
      <c r="K547" s="148"/>
      <c r="L547" s="277"/>
      <c r="M547" s="252"/>
      <c r="N547" s="250"/>
      <c r="O547" s="253"/>
      <c r="P547" s="240"/>
      <c r="Q547" s="148"/>
      <c r="R547" s="148"/>
      <c r="S547" s="242"/>
      <c r="T547" s="242"/>
      <c r="U547" s="242"/>
      <c r="V547" s="242"/>
      <c r="W547" s="242"/>
      <c r="X547" s="242"/>
      <c r="Y547" s="148"/>
      <c r="Z547" s="148"/>
    </row>
    <row r="548">
      <c r="A548" s="333"/>
      <c r="B548" s="333"/>
      <c r="C548" s="333"/>
      <c r="D548" s="333"/>
      <c r="E548" s="333"/>
      <c r="F548" s="333"/>
      <c r="G548" s="243"/>
      <c r="H548" s="148"/>
      <c r="I548" s="251"/>
      <c r="J548" s="243"/>
      <c r="K548" s="148"/>
      <c r="L548" s="277"/>
      <c r="M548" s="252"/>
      <c r="N548" s="250"/>
      <c r="O548" s="253"/>
      <c r="P548" s="240"/>
      <c r="Q548" s="148"/>
      <c r="R548" s="148"/>
      <c r="S548" s="242"/>
      <c r="T548" s="242"/>
      <c r="U548" s="242"/>
      <c r="V548" s="242"/>
      <c r="W548" s="242"/>
      <c r="X548" s="242"/>
      <c r="Y548" s="148"/>
      <c r="Z548" s="148"/>
    </row>
    <row r="549">
      <c r="A549" s="333"/>
      <c r="B549" s="333"/>
      <c r="C549" s="333"/>
      <c r="D549" s="333"/>
      <c r="E549" s="333"/>
      <c r="F549" s="333"/>
      <c r="G549" s="243"/>
      <c r="H549" s="148"/>
      <c r="I549" s="251"/>
      <c r="J549" s="243"/>
      <c r="K549" s="148"/>
      <c r="L549" s="277"/>
      <c r="M549" s="252"/>
      <c r="N549" s="250"/>
      <c r="O549" s="253"/>
      <c r="P549" s="240"/>
      <c r="Q549" s="148"/>
      <c r="R549" s="148"/>
      <c r="S549" s="242"/>
      <c r="T549" s="242"/>
      <c r="U549" s="242"/>
      <c r="V549" s="242"/>
      <c r="W549" s="242"/>
      <c r="X549" s="242"/>
      <c r="Y549" s="148"/>
      <c r="Z549" s="148"/>
    </row>
    <row r="550">
      <c r="A550" s="333"/>
      <c r="B550" s="333"/>
      <c r="C550" s="333"/>
      <c r="D550" s="333"/>
      <c r="E550" s="333"/>
      <c r="F550" s="333"/>
      <c r="G550" s="243"/>
      <c r="H550" s="148"/>
      <c r="I550" s="251"/>
      <c r="J550" s="243"/>
      <c r="K550" s="148"/>
      <c r="L550" s="277"/>
      <c r="M550" s="252"/>
      <c r="N550" s="250"/>
      <c r="O550" s="253"/>
      <c r="P550" s="240"/>
      <c r="Q550" s="148"/>
      <c r="R550" s="148"/>
      <c r="S550" s="242"/>
      <c r="T550" s="242"/>
      <c r="U550" s="242"/>
      <c r="V550" s="242"/>
      <c r="W550" s="242"/>
      <c r="X550" s="242"/>
      <c r="Y550" s="148"/>
      <c r="Z550" s="148"/>
    </row>
    <row r="551">
      <c r="A551" s="333"/>
      <c r="B551" s="333"/>
      <c r="C551" s="333"/>
      <c r="D551" s="333"/>
      <c r="E551" s="333"/>
      <c r="F551" s="333"/>
      <c r="G551" s="243"/>
      <c r="H551" s="148"/>
      <c r="I551" s="251"/>
      <c r="J551" s="243"/>
      <c r="K551" s="148"/>
      <c r="L551" s="277"/>
      <c r="M551" s="252"/>
      <c r="N551" s="250"/>
      <c r="O551" s="253"/>
      <c r="P551" s="240"/>
      <c r="Q551" s="148"/>
      <c r="R551" s="148"/>
      <c r="S551" s="242"/>
      <c r="T551" s="242"/>
      <c r="U551" s="242"/>
      <c r="V551" s="242"/>
      <c r="W551" s="242"/>
      <c r="X551" s="242"/>
      <c r="Y551" s="148"/>
      <c r="Z551" s="148"/>
    </row>
    <row r="552">
      <c r="A552" s="333"/>
      <c r="B552" s="333"/>
      <c r="C552" s="333"/>
      <c r="D552" s="333"/>
      <c r="E552" s="333"/>
      <c r="F552" s="333"/>
      <c r="G552" s="243"/>
      <c r="H552" s="148"/>
      <c r="I552" s="251"/>
      <c r="J552" s="243"/>
      <c r="K552" s="148"/>
      <c r="L552" s="277"/>
      <c r="M552" s="252"/>
      <c r="N552" s="250"/>
      <c r="O552" s="253"/>
      <c r="P552" s="240"/>
      <c r="Q552" s="148"/>
      <c r="R552" s="148"/>
      <c r="S552" s="242"/>
      <c r="T552" s="242"/>
      <c r="U552" s="242"/>
      <c r="V552" s="242"/>
      <c r="W552" s="242"/>
      <c r="X552" s="242"/>
      <c r="Y552" s="148"/>
      <c r="Z552" s="148"/>
    </row>
    <row r="553">
      <c r="A553" s="333"/>
      <c r="B553" s="333"/>
      <c r="C553" s="333"/>
      <c r="D553" s="333"/>
      <c r="E553" s="333"/>
      <c r="F553" s="333"/>
      <c r="G553" s="243"/>
      <c r="H553" s="148"/>
      <c r="I553" s="251"/>
      <c r="J553" s="243"/>
      <c r="K553" s="148"/>
      <c r="L553" s="277"/>
      <c r="M553" s="252"/>
      <c r="N553" s="250"/>
      <c r="O553" s="253"/>
      <c r="P553" s="240"/>
      <c r="Q553" s="148"/>
      <c r="R553" s="148"/>
      <c r="S553" s="242"/>
      <c r="T553" s="242"/>
      <c r="U553" s="242"/>
      <c r="V553" s="242"/>
      <c r="W553" s="242"/>
      <c r="X553" s="242"/>
      <c r="Y553" s="148"/>
      <c r="Z553" s="148"/>
    </row>
    <row r="554">
      <c r="A554" s="148"/>
      <c r="B554" s="148"/>
      <c r="C554" s="148"/>
      <c r="D554" s="245"/>
      <c r="E554" s="585"/>
      <c r="F554" s="586"/>
      <c r="G554" s="243"/>
      <c r="H554" s="148"/>
      <c r="I554" s="251"/>
      <c r="J554" s="243"/>
      <c r="K554" s="148"/>
      <c r="L554" s="277"/>
      <c r="M554" s="252"/>
      <c r="N554" s="250"/>
      <c r="O554" s="253"/>
      <c r="P554" s="240"/>
      <c r="Q554" s="148"/>
      <c r="R554" s="148"/>
      <c r="S554" s="242"/>
      <c r="T554" s="242"/>
      <c r="U554" s="242"/>
      <c r="V554" s="242"/>
      <c r="W554" s="242"/>
      <c r="X554" s="242"/>
      <c r="Y554" s="148"/>
      <c r="Z554" s="148"/>
    </row>
    <row r="555">
      <c r="A555" s="148"/>
      <c r="B555" s="148"/>
      <c r="C555" s="148"/>
      <c r="D555" s="245"/>
      <c r="E555" s="585"/>
      <c r="F555" s="586"/>
      <c r="G555" s="243"/>
      <c r="H555" s="148"/>
      <c r="I555" s="251"/>
      <c r="J555" s="243"/>
      <c r="K555" s="148"/>
      <c r="L555" s="277"/>
      <c r="M555" s="252"/>
      <c r="N555" s="250"/>
      <c r="O555" s="253"/>
      <c r="P555" s="240"/>
      <c r="Q555" s="148"/>
      <c r="R555" s="148"/>
      <c r="S555" s="242"/>
      <c r="T555" s="242"/>
      <c r="U555" s="242"/>
      <c r="V555" s="242"/>
      <c r="W555" s="242"/>
      <c r="X555" s="242"/>
      <c r="Y555" s="148"/>
      <c r="Z555" s="148"/>
    </row>
    <row r="556">
      <c r="A556" s="148"/>
      <c r="B556" s="148"/>
      <c r="C556" s="148"/>
      <c r="D556" s="245"/>
      <c r="E556" s="585"/>
      <c r="F556" s="586"/>
      <c r="G556" s="243"/>
      <c r="H556" s="148"/>
      <c r="I556" s="251"/>
      <c r="J556" s="243"/>
      <c r="K556" s="148"/>
      <c r="L556" s="277"/>
      <c r="M556" s="252"/>
      <c r="N556" s="250"/>
      <c r="O556" s="253"/>
      <c r="P556" s="240"/>
      <c r="Q556" s="148"/>
      <c r="R556" s="148"/>
      <c r="S556" s="242"/>
      <c r="T556" s="242"/>
      <c r="U556" s="242"/>
      <c r="V556" s="242"/>
      <c r="W556" s="242"/>
      <c r="X556" s="242"/>
      <c r="Y556" s="148"/>
      <c r="Z556" s="148"/>
    </row>
    <row r="557">
      <c r="A557" s="148"/>
      <c r="B557" s="148"/>
      <c r="C557" s="148"/>
      <c r="D557" s="245"/>
      <c r="E557" s="585"/>
      <c r="F557" s="586"/>
      <c r="G557" s="243"/>
      <c r="H557" s="148"/>
      <c r="I557" s="251"/>
      <c r="J557" s="243"/>
      <c r="K557" s="148"/>
      <c r="L557" s="277"/>
      <c r="M557" s="252"/>
      <c r="N557" s="250"/>
      <c r="O557" s="253"/>
      <c r="P557" s="240"/>
      <c r="Q557" s="148"/>
      <c r="R557" s="148"/>
      <c r="S557" s="242"/>
      <c r="T557" s="242"/>
      <c r="U557" s="242"/>
      <c r="V557" s="242"/>
      <c r="W557" s="242"/>
      <c r="X557" s="242"/>
      <c r="Y557" s="148"/>
      <c r="Z557" s="148"/>
    </row>
    <row r="558">
      <c r="A558" s="148"/>
      <c r="B558" s="148"/>
      <c r="C558" s="148"/>
      <c r="D558" s="245"/>
      <c r="E558" s="585"/>
      <c r="F558" s="586"/>
      <c r="G558" s="243"/>
      <c r="H558" s="148"/>
      <c r="I558" s="251"/>
      <c r="J558" s="243"/>
      <c r="K558" s="148"/>
      <c r="L558" s="277"/>
      <c r="M558" s="252"/>
      <c r="N558" s="250"/>
      <c r="O558" s="253"/>
      <c r="P558" s="240"/>
      <c r="Q558" s="148"/>
      <c r="R558" s="148"/>
      <c r="S558" s="242"/>
      <c r="T558" s="242"/>
      <c r="U558" s="242"/>
      <c r="V558" s="242"/>
      <c r="W558" s="242"/>
      <c r="X558" s="242"/>
      <c r="Y558" s="148"/>
      <c r="Z558" s="148"/>
    </row>
    <row r="559">
      <c r="A559" s="148"/>
      <c r="B559" s="148"/>
      <c r="C559" s="148"/>
      <c r="D559" s="245"/>
      <c r="E559" s="585"/>
      <c r="F559" s="586"/>
      <c r="G559" s="243"/>
      <c r="H559" s="148"/>
      <c r="I559" s="251"/>
      <c r="J559" s="243"/>
      <c r="K559" s="148"/>
      <c r="L559" s="277"/>
      <c r="M559" s="252"/>
      <c r="N559" s="250"/>
      <c r="O559" s="253"/>
      <c r="P559" s="240"/>
      <c r="Q559" s="148"/>
      <c r="R559" s="148"/>
      <c r="S559" s="242"/>
      <c r="T559" s="242"/>
      <c r="U559" s="242"/>
      <c r="V559" s="242"/>
      <c r="W559" s="242"/>
      <c r="X559" s="242"/>
      <c r="Y559" s="148"/>
      <c r="Z559" s="148"/>
    </row>
    <row r="560">
      <c r="A560" s="148"/>
      <c r="B560" s="148"/>
      <c r="C560" s="148"/>
      <c r="D560" s="245"/>
      <c r="E560" s="585"/>
      <c r="F560" s="586"/>
      <c r="G560" s="243"/>
      <c r="H560" s="148"/>
      <c r="I560" s="251"/>
      <c r="J560" s="243"/>
      <c r="K560" s="148"/>
      <c r="L560" s="277"/>
      <c r="M560" s="252"/>
      <c r="N560" s="250"/>
      <c r="O560" s="253"/>
      <c r="P560" s="240"/>
      <c r="Q560" s="148"/>
      <c r="R560" s="148"/>
      <c r="S560" s="242"/>
      <c r="T560" s="242"/>
      <c r="U560" s="242"/>
      <c r="V560" s="242"/>
      <c r="W560" s="242"/>
      <c r="X560" s="242"/>
      <c r="Y560" s="148"/>
      <c r="Z560" s="148"/>
    </row>
    <row r="561">
      <c r="A561" s="148"/>
      <c r="B561" s="148"/>
      <c r="C561" s="148"/>
      <c r="D561" s="245"/>
      <c r="E561" s="585"/>
      <c r="F561" s="586"/>
      <c r="G561" s="243"/>
      <c r="H561" s="148"/>
      <c r="I561" s="251"/>
      <c r="J561" s="243"/>
      <c r="K561" s="148"/>
      <c r="L561" s="277"/>
      <c r="M561" s="252"/>
      <c r="N561" s="250"/>
      <c r="O561" s="253"/>
      <c r="P561" s="240"/>
      <c r="Q561" s="148"/>
      <c r="R561" s="148"/>
      <c r="S561" s="242"/>
      <c r="T561" s="242"/>
      <c r="U561" s="242"/>
      <c r="V561" s="242"/>
      <c r="W561" s="242"/>
      <c r="X561" s="242"/>
      <c r="Y561" s="148"/>
      <c r="Z561" s="148"/>
    </row>
    <row r="562">
      <c r="A562" s="148"/>
      <c r="B562" s="148"/>
      <c r="C562" s="148"/>
      <c r="D562" s="245"/>
      <c r="E562" s="585"/>
      <c r="F562" s="586"/>
      <c r="G562" s="243"/>
      <c r="H562" s="148"/>
      <c r="I562" s="251"/>
      <c r="J562" s="243"/>
      <c r="K562" s="148"/>
      <c r="L562" s="277"/>
      <c r="M562" s="252"/>
      <c r="N562" s="250"/>
      <c r="O562" s="253"/>
      <c r="P562" s="240"/>
      <c r="Q562" s="148"/>
      <c r="R562" s="148"/>
      <c r="S562" s="242"/>
      <c r="T562" s="242"/>
      <c r="U562" s="242"/>
      <c r="V562" s="242"/>
      <c r="W562" s="242"/>
      <c r="X562" s="242"/>
      <c r="Y562" s="148"/>
      <c r="Z562" s="148"/>
    </row>
    <row r="563">
      <c r="A563" s="148"/>
      <c r="B563" s="148"/>
      <c r="C563" s="148"/>
      <c r="D563" s="245"/>
      <c r="E563" s="585"/>
      <c r="F563" s="586"/>
      <c r="G563" s="243"/>
      <c r="H563" s="148"/>
      <c r="I563" s="251"/>
      <c r="J563" s="243"/>
      <c r="K563" s="148"/>
      <c r="L563" s="277"/>
      <c r="M563" s="252"/>
      <c r="N563" s="250"/>
      <c r="O563" s="253"/>
      <c r="P563" s="240"/>
      <c r="Q563" s="148"/>
      <c r="R563" s="148"/>
      <c r="S563" s="242"/>
      <c r="T563" s="242"/>
      <c r="U563" s="242"/>
      <c r="V563" s="242"/>
      <c r="W563" s="242"/>
      <c r="X563" s="242"/>
      <c r="Y563" s="148"/>
      <c r="Z563" s="148"/>
    </row>
    <row r="564">
      <c r="A564" s="148"/>
      <c r="B564" s="148"/>
      <c r="C564" s="148"/>
      <c r="D564" s="245"/>
      <c r="E564" s="585"/>
      <c r="F564" s="586"/>
      <c r="G564" s="243"/>
      <c r="H564" s="148"/>
      <c r="I564" s="251"/>
      <c r="J564" s="243"/>
      <c r="K564" s="148"/>
      <c r="L564" s="277"/>
      <c r="M564" s="252"/>
      <c r="N564" s="250"/>
      <c r="O564" s="253"/>
      <c r="P564" s="240"/>
      <c r="Q564" s="148"/>
      <c r="R564" s="148"/>
      <c r="S564" s="242"/>
      <c r="T564" s="242"/>
      <c r="U564" s="242"/>
      <c r="V564" s="242"/>
      <c r="W564" s="242"/>
      <c r="X564" s="242"/>
      <c r="Y564" s="148"/>
      <c r="Z564" s="148"/>
    </row>
    <row r="565">
      <c r="A565" s="148"/>
      <c r="B565" s="148"/>
      <c r="C565" s="148"/>
      <c r="D565" s="245"/>
      <c r="E565" s="585"/>
      <c r="F565" s="586"/>
      <c r="G565" s="243"/>
      <c r="H565" s="148"/>
      <c r="I565" s="251"/>
      <c r="J565" s="243"/>
      <c r="K565" s="148"/>
      <c r="L565" s="277"/>
      <c r="M565" s="252"/>
      <c r="N565" s="250"/>
      <c r="O565" s="253"/>
      <c r="P565" s="240"/>
      <c r="Q565" s="148"/>
      <c r="R565" s="148"/>
      <c r="S565" s="242"/>
      <c r="T565" s="242"/>
      <c r="U565" s="242"/>
      <c r="V565" s="242"/>
      <c r="W565" s="242"/>
      <c r="X565" s="242"/>
      <c r="Y565" s="148"/>
      <c r="Z565" s="148"/>
    </row>
    <row r="566">
      <c r="A566" s="148"/>
      <c r="B566" s="148"/>
      <c r="C566" s="148"/>
      <c r="D566" s="245"/>
      <c r="E566" s="585"/>
      <c r="F566" s="586"/>
      <c r="G566" s="243"/>
      <c r="H566" s="148"/>
      <c r="I566" s="251"/>
      <c r="J566" s="243"/>
      <c r="K566" s="148"/>
      <c r="L566" s="277"/>
      <c r="M566" s="252"/>
      <c r="N566" s="250"/>
      <c r="O566" s="253"/>
      <c r="P566" s="240"/>
      <c r="Q566" s="148"/>
      <c r="R566" s="148"/>
      <c r="S566" s="242"/>
      <c r="T566" s="242"/>
      <c r="U566" s="242"/>
      <c r="V566" s="242"/>
      <c r="W566" s="242"/>
      <c r="X566" s="242"/>
      <c r="Y566" s="148"/>
      <c r="Z566" s="148"/>
    </row>
    <row r="567">
      <c r="A567" s="148"/>
      <c r="B567" s="148"/>
      <c r="C567" s="148"/>
      <c r="D567" s="245"/>
      <c r="E567" s="585"/>
      <c r="F567" s="586"/>
      <c r="G567" s="243"/>
      <c r="H567" s="148"/>
      <c r="I567" s="251"/>
      <c r="J567" s="243"/>
      <c r="K567" s="148"/>
      <c r="L567" s="277"/>
      <c r="M567" s="252"/>
      <c r="N567" s="250"/>
      <c r="O567" s="253"/>
      <c r="P567" s="240"/>
      <c r="Q567" s="148"/>
      <c r="R567" s="148"/>
      <c r="S567" s="242"/>
      <c r="T567" s="242"/>
      <c r="U567" s="242"/>
      <c r="V567" s="242"/>
      <c r="W567" s="242"/>
      <c r="X567" s="242"/>
      <c r="Y567" s="148"/>
      <c r="Z567" s="148"/>
    </row>
    <row r="568">
      <c r="A568" s="148"/>
      <c r="B568" s="148"/>
      <c r="C568" s="148"/>
      <c r="D568" s="245"/>
      <c r="E568" s="585"/>
      <c r="F568" s="586"/>
      <c r="G568" s="243"/>
      <c r="H568" s="148"/>
      <c r="I568" s="251"/>
      <c r="J568" s="243"/>
      <c r="K568" s="148"/>
      <c r="L568" s="277"/>
      <c r="M568" s="252"/>
      <c r="N568" s="250"/>
      <c r="O568" s="253"/>
      <c r="P568" s="240"/>
      <c r="Q568" s="148"/>
      <c r="R568" s="148"/>
      <c r="S568" s="242"/>
      <c r="T568" s="242"/>
      <c r="U568" s="242"/>
      <c r="V568" s="242"/>
      <c r="W568" s="242"/>
      <c r="X568" s="242"/>
      <c r="Y568" s="148"/>
      <c r="Z568" s="148"/>
    </row>
    <row r="569">
      <c r="A569" s="148"/>
      <c r="B569" s="148"/>
      <c r="C569" s="148"/>
      <c r="D569" s="245"/>
      <c r="E569" s="585"/>
      <c r="F569" s="586"/>
      <c r="G569" s="243"/>
      <c r="H569" s="148"/>
      <c r="I569" s="251"/>
      <c r="J569" s="243"/>
      <c r="K569" s="148"/>
      <c r="L569" s="277"/>
      <c r="M569" s="252"/>
      <c r="N569" s="250"/>
      <c r="O569" s="253"/>
      <c r="P569" s="240"/>
      <c r="Q569" s="148"/>
      <c r="R569" s="148"/>
      <c r="S569" s="242"/>
      <c r="T569" s="242"/>
      <c r="U569" s="242"/>
      <c r="V569" s="242"/>
      <c r="W569" s="242"/>
      <c r="X569" s="242"/>
      <c r="Y569" s="148"/>
      <c r="Z569" s="148"/>
    </row>
    <row r="570">
      <c r="A570" s="148"/>
      <c r="B570" s="148"/>
      <c r="C570" s="148"/>
      <c r="D570" s="245"/>
      <c r="E570" s="585"/>
      <c r="F570" s="586"/>
      <c r="G570" s="243"/>
      <c r="H570" s="148"/>
      <c r="I570" s="251"/>
      <c r="J570" s="243"/>
      <c r="K570" s="148"/>
      <c r="L570" s="277"/>
      <c r="M570" s="252"/>
      <c r="N570" s="250"/>
      <c r="O570" s="253"/>
      <c r="P570" s="240"/>
      <c r="Q570" s="148"/>
      <c r="R570" s="148"/>
      <c r="S570" s="242"/>
      <c r="T570" s="242"/>
      <c r="U570" s="242"/>
      <c r="V570" s="242"/>
      <c r="W570" s="242"/>
      <c r="X570" s="242"/>
      <c r="Y570" s="148"/>
      <c r="Z570" s="148"/>
    </row>
    <row r="571">
      <c r="A571" s="148"/>
      <c r="B571" s="148"/>
      <c r="C571" s="148"/>
      <c r="D571" s="245"/>
      <c r="E571" s="585"/>
      <c r="F571" s="586"/>
      <c r="G571" s="243"/>
      <c r="H571" s="148"/>
      <c r="I571" s="251"/>
      <c r="J571" s="243"/>
      <c r="K571" s="148"/>
      <c r="L571" s="277"/>
      <c r="M571" s="252"/>
      <c r="N571" s="250"/>
      <c r="O571" s="253"/>
      <c r="P571" s="240"/>
      <c r="Q571" s="148"/>
      <c r="R571" s="148"/>
      <c r="S571" s="242"/>
      <c r="T571" s="242"/>
      <c r="U571" s="242"/>
      <c r="V571" s="242"/>
      <c r="W571" s="242"/>
      <c r="X571" s="242"/>
      <c r="Y571" s="148"/>
      <c r="Z571" s="148"/>
    </row>
    <row r="572">
      <c r="A572" s="148"/>
      <c r="B572" s="148"/>
      <c r="C572" s="148"/>
      <c r="D572" s="245"/>
      <c r="E572" s="585"/>
      <c r="F572" s="586"/>
      <c r="G572" s="243"/>
      <c r="H572" s="148"/>
      <c r="I572" s="251"/>
      <c r="J572" s="243"/>
      <c r="K572" s="148"/>
      <c r="L572" s="277"/>
      <c r="M572" s="252"/>
      <c r="N572" s="250"/>
      <c r="O572" s="253"/>
      <c r="P572" s="240"/>
      <c r="Q572" s="148"/>
      <c r="R572" s="148"/>
      <c r="S572" s="242"/>
      <c r="T572" s="242"/>
      <c r="U572" s="242"/>
      <c r="V572" s="242"/>
      <c r="W572" s="242"/>
      <c r="X572" s="242"/>
      <c r="Y572" s="148"/>
      <c r="Z572" s="148"/>
    </row>
    <row r="573">
      <c r="A573" s="148"/>
      <c r="B573" s="148"/>
      <c r="C573" s="148"/>
      <c r="D573" s="245"/>
      <c r="E573" s="585"/>
      <c r="F573" s="586"/>
      <c r="G573" s="243"/>
      <c r="H573" s="148"/>
      <c r="I573" s="251"/>
      <c r="J573" s="243"/>
      <c r="K573" s="148"/>
      <c r="L573" s="277"/>
      <c r="M573" s="252"/>
      <c r="N573" s="250"/>
      <c r="O573" s="253"/>
      <c r="P573" s="240"/>
      <c r="Q573" s="148"/>
      <c r="R573" s="148"/>
      <c r="S573" s="242"/>
      <c r="T573" s="242"/>
      <c r="U573" s="242"/>
      <c r="V573" s="242"/>
      <c r="W573" s="242"/>
      <c r="X573" s="242"/>
      <c r="Y573" s="148"/>
      <c r="Z573" s="148"/>
    </row>
    <row r="574">
      <c r="A574" s="148"/>
      <c r="B574" s="148"/>
      <c r="C574" s="148"/>
      <c r="D574" s="245"/>
      <c r="E574" s="585"/>
      <c r="F574" s="586"/>
      <c r="G574" s="243"/>
      <c r="H574" s="148"/>
      <c r="I574" s="251"/>
      <c r="J574" s="243"/>
      <c r="K574" s="148"/>
      <c r="L574" s="277"/>
      <c r="M574" s="252"/>
      <c r="N574" s="250"/>
      <c r="O574" s="253"/>
      <c r="P574" s="240"/>
      <c r="Q574" s="148"/>
      <c r="R574" s="148"/>
      <c r="S574" s="242"/>
      <c r="T574" s="242"/>
      <c r="U574" s="242"/>
      <c r="V574" s="242"/>
      <c r="W574" s="242"/>
      <c r="X574" s="242"/>
      <c r="Y574" s="148"/>
      <c r="Z574" s="148"/>
    </row>
    <row r="575">
      <c r="A575" s="148"/>
      <c r="B575" s="148"/>
      <c r="C575" s="148"/>
      <c r="D575" s="245"/>
      <c r="E575" s="585"/>
      <c r="F575" s="586"/>
      <c r="G575" s="243"/>
      <c r="H575" s="148"/>
      <c r="I575" s="251"/>
      <c r="J575" s="243"/>
      <c r="K575" s="148"/>
      <c r="L575" s="277"/>
      <c r="M575" s="252"/>
      <c r="N575" s="250"/>
      <c r="O575" s="253"/>
      <c r="P575" s="240"/>
      <c r="Q575" s="148"/>
      <c r="R575" s="148"/>
      <c r="S575" s="242"/>
      <c r="T575" s="242"/>
      <c r="U575" s="242"/>
      <c r="V575" s="242"/>
      <c r="W575" s="242"/>
      <c r="X575" s="242"/>
      <c r="Y575" s="148"/>
      <c r="Z575" s="148"/>
    </row>
    <row r="576">
      <c r="A576" s="148"/>
      <c r="B576" s="148"/>
      <c r="C576" s="148"/>
      <c r="D576" s="245"/>
      <c r="E576" s="585"/>
      <c r="F576" s="586"/>
      <c r="G576" s="243"/>
      <c r="H576" s="148"/>
      <c r="I576" s="251"/>
      <c r="J576" s="243"/>
      <c r="K576" s="148"/>
      <c r="L576" s="277"/>
      <c r="M576" s="252"/>
      <c r="N576" s="250"/>
      <c r="O576" s="253"/>
      <c r="P576" s="240"/>
      <c r="Q576" s="148"/>
      <c r="R576" s="148"/>
      <c r="S576" s="242"/>
      <c r="T576" s="242"/>
      <c r="U576" s="242"/>
      <c r="V576" s="242"/>
      <c r="W576" s="242"/>
      <c r="X576" s="242"/>
      <c r="Y576" s="148"/>
      <c r="Z576" s="148"/>
    </row>
    <row r="577">
      <c r="A577" s="148"/>
      <c r="B577" s="148"/>
      <c r="C577" s="148"/>
      <c r="D577" s="245"/>
      <c r="E577" s="585"/>
      <c r="F577" s="586"/>
      <c r="G577" s="243"/>
      <c r="H577" s="148"/>
      <c r="I577" s="251"/>
      <c r="J577" s="243"/>
      <c r="K577" s="148"/>
      <c r="L577" s="277"/>
      <c r="M577" s="252"/>
      <c r="N577" s="250"/>
      <c r="O577" s="253"/>
      <c r="P577" s="240"/>
      <c r="Q577" s="148"/>
      <c r="R577" s="148"/>
      <c r="S577" s="242"/>
      <c r="T577" s="242"/>
      <c r="U577" s="242"/>
      <c r="V577" s="242"/>
      <c r="W577" s="242"/>
      <c r="X577" s="242"/>
      <c r="Y577" s="148"/>
      <c r="Z577" s="148"/>
    </row>
    <row r="578">
      <c r="A578" s="148"/>
      <c r="B578" s="148"/>
      <c r="C578" s="148"/>
      <c r="D578" s="245"/>
      <c r="E578" s="585"/>
      <c r="F578" s="586"/>
      <c r="G578" s="243"/>
      <c r="H578" s="148"/>
      <c r="I578" s="251"/>
      <c r="J578" s="243"/>
      <c r="K578" s="148"/>
      <c r="L578" s="277"/>
      <c r="M578" s="252"/>
      <c r="N578" s="250"/>
      <c r="O578" s="253"/>
      <c r="P578" s="240"/>
      <c r="Q578" s="148"/>
      <c r="R578" s="148"/>
      <c r="S578" s="242"/>
      <c r="T578" s="242"/>
      <c r="U578" s="242"/>
      <c r="V578" s="242"/>
      <c r="W578" s="242"/>
      <c r="X578" s="242"/>
      <c r="Y578" s="148"/>
      <c r="Z578" s="148"/>
    </row>
    <row r="579">
      <c r="A579" s="148"/>
      <c r="B579" s="148"/>
      <c r="C579" s="148"/>
      <c r="D579" s="245"/>
      <c r="E579" s="585"/>
      <c r="F579" s="586"/>
      <c r="G579" s="243"/>
      <c r="H579" s="148"/>
      <c r="I579" s="251"/>
      <c r="J579" s="243"/>
      <c r="K579" s="148"/>
      <c r="L579" s="277"/>
      <c r="M579" s="252"/>
      <c r="N579" s="250"/>
      <c r="O579" s="253"/>
      <c r="P579" s="240"/>
      <c r="Q579" s="148"/>
      <c r="R579" s="148"/>
      <c r="S579" s="242"/>
      <c r="T579" s="242"/>
      <c r="U579" s="242"/>
      <c r="V579" s="242"/>
      <c r="W579" s="242"/>
      <c r="X579" s="242"/>
      <c r="Y579" s="148"/>
      <c r="Z579" s="148"/>
    </row>
    <row r="580">
      <c r="A580" s="148"/>
      <c r="B580" s="148"/>
      <c r="C580" s="148"/>
      <c r="D580" s="245"/>
      <c r="E580" s="585"/>
      <c r="F580" s="586"/>
      <c r="G580" s="243"/>
      <c r="H580" s="148"/>
      <c r="I580" s="251"/>
      <c r="J580" s="243"/>
      <c r="K580" s="148"/>
      <c r="L580" s="277"/>
      <c r="M580" s="252"/>
      <c r="N580" s="250"/>
      <c r="O580" s="253"/>
      <c r="P580" s="240"/>
      <c r="Q580" s="148"/>
      <c r="R580" s="148"/>
      <c r="S580" s="242"/>
      <c r="T580" s="242"/>
      <c r="U580" s="242"/>
      <c r="V580" s="242"/>
      <c r="W580" s="242"/>
      <c r="X580" s="242"/>
      <c r="Y580" s="148"/>
      <c r="Z580" s="148"/>
    </row>
    <row r="581">
      <c r="A581" s="148"/>
      <c r="B581" s="148"/>
      <c r="C581" s="148"/>
      <c r="D581" s="245"/>
      <c r="E581" s="585"/>
      <c r="F581" s="586"/>
      <c r="G581" s="243"/>
      <c r="H581" s="148"/>
      <c r="I581" s="251"/>
      <c r="J581" s="243"/>
      <c r="K581" s="148"/>
      <c r="L581" s="277"/>
      <c r="M581" s="252"/>
      <c r="N581" s="250"/>
      <c r="O581" s="253"/>
      <c r="P581" s="240"/>
      <c r="Q581" s="148"/>
      <c r="R581" s="148"/>
      <c r="S581" s="242"/>
      <c r="T581" s="242"/>
      <c r="U581" s="242"/>
      <c r="V581" s="242"/>
      <c r="W581" s="242"/>
      <c r="X581" s="242"/>
      <c r="Y581" s="148"/>
      <c r="Z581" s="148"/>
    </row>
    <row r="582">
      <c r="A582" s="148"/>
      <c r="B582" s="148"/>
      <c r="C582" s="148"/>
      <c r="D582" s="245"/>
      <c r="E582" s="585"/>
      <c r="F582" s="586"/>
      <c r="G582" s="243"/>
      <c r="H582" s="148"/>
      <c r="I582" s="251"/>
      <c r="J582" s="243"/>
      <c r="K582" s="148"/>
      <c r="L582" s="277"/>
      <c r="M582" s="252"/>
      <c r="N582" s="250"/>
      <c r="O582" s="253"/>
      <c r="P582" s="240"/>
      <c r="Q582" s="148"/>
      <c r="R582" s="148"/>
      <c r="S582" s="242"/>
      <c r="T582" s="242"/>
      <c r="U582" s="242"/>
      <c r="V582" s="242"/>
      <c r="W582" s="242"/>
      <c r="X582" s="242"/>
      <c r="Y582" s="148"/>
      <c r="Z582" s="148"/>
    </row>
    <row r="583">
      <c r="A583" s="148"/>
      <c r="B583" s="148"/>
      <c r="C583" s="148"/>
      <c r="D583" s="245"/>
      <c r="E583" s="585"/>
      <c r="F583" s="586"/>
      <c r="G583" s="243"/>
      <c r="H583" s="148"/>
      <c r="I583" s="251"/>
      <c r="J583" s="243"/>
      <c r="K583" s="148"/>
      <c r="L583" s="277"/>
      <c r="M583" s="252"/>
      <c r="N583" s="250"/>
      <c r="O583" s="253"/>
      <c r="P583" s="240"/>
      <c r="Q583" s="148"/>
      <c r="R583" s="148"/>
      <c r="S583" s="242"/>
      <c r="T583" s="242"/>
      <c r="U583" s="242"/>
      <c r="V583" s="242"/>
      <c r="W583" s="242"/>
      <c r="X583" s="242"/>
      <c r="Y583" s="148"/>
      <c r="Z583" s="148"/>
    </row>
    <row r="584">
      <c r="A584" s="148"/>
      <c r="B584" s="148"/>
      <c r="C584" s="148"/>
      <c r="D584" s="245"/>
      <c r="E584" s="585"/>
      <c r="F584" s="586"/>
      <c r="G584" s="243"/>
      <c r="H584" s="148"/>
      <c r="I584" s="251"/>
      <c r="J584" s="243"/>
      <c r="K584" s="148"/>
      <c r="L584" s="277"/>
      <c r="M584" s="252"/>
      <c r="N584" s="250"/>
      <c r="O584" s="253"/>
      <c r="P584" s="240"/>
      <c r="Q584" s="148"/>
      <c r="R584" s="148"/>
      <c r="S584" s="242"/>
      <c r="T584" s="242"/>
      <c r="U584" s="242"/>
      <c r="V584" s="242"/>
      <c r="W584" s="242"/>
      <c r="X584" s="242"/>
      <c r="Y584" s="148"/>
      <c r="Z584" s="148"/>
    </row>
    <row r="585">
      <c r="A585" s="148"/>
      <c r="B585" s="148"/>
      <c r="C585" s="148"/>
      <c r="D585" s="245"/>
      <c r="E585" s="585"/>
      <c r="F585" s="586"/>
      <c r="G585" s="243"/>
      <c r="H585" s="148"/>
      <c r="I585" s="251"/>
      <c r="J585" s="243"/>
      <c r="K585" s="148"/>
      <c r="L585" s="277"/>
      <c r="M585" s="252"/>
      <c r="N585" s="250"/>
      <c r="O585" s="253"/>
      <c r="P585" s="240"/>
      <c r="Q585" s="148"/>
      <c r="R585" s="148"/>
      <c r="S585" s="242"/>
      <c r="T585" s="242"/>
      <c r="U585" s="242"/>
      <c r="V585" s="242"/>
      <c r="W585" s="242"/>
      <c r="X585" s="242"/>
      <c r="Y585" s="148"/>
      <c r="Z585" s="148"/>
    </row>
    <row r="586">
      <c r="A586" s="148"/>
      <c r="B586" s="148"/>
      <c r="C586" s="148"/>
      <c r="D586" s="245"/>
      <c r="E586" s="585"/>
      <c r="F586" s="586"/>
      <c r="G586" s="243"/>
      <c r="H586" s="148"/>
      <c r="I586" s="251"/>
      <c r="J586" s="243"/>
      <c r="K586" s="148"/>
      <c r="L586" s="277"/>
      <c r="M586" s="252"/>
      <c r="N586" s="250"/>
      <c r="O586" s="253"/>
      <c r="P586" s="240"/>
      <c r="Q586" s="148"/>
      <c r="R586" s="148"/>
      <c r="S586" s="242"/>
      <c r="T586" s="242"/>
      <c r="U586" s="242"/>
      <c r="V586" s="242"/>
      <c r="W586" s="242"/>
      <c r="X586" s="242"/>
      <c r="Y586" s="148"/>
      <c r="Z586" s="148"/>
    </row>
    <row r="587">
      <c r="A587" s="148"/>
      <c r="B587" s="148"/>
      <c r="C587" s="148"/>
      <c r="D587" s="245"/>
      <c r="E587" s="585"/>
      <c r="F587" s="586"/>
      <c r="G587" s="243"/>
      <c r="H587" s="148"/>
      <c r="I587" s="251"/>
      <c r="J587" s="243"/>
      <c r="K587" s="148"/>
      <c r="L587" s="277"/>
      <c r="M587" s="252"/>
      <c r="N587" s="250"/>
      <c r="O587" s="253"/>
      <c r="P587" s="240"/>
      <c r="Q587" s="148"/>
      <c r="R587" s="148"/>
      <c r="S587" s="242"/>
      <c r="T587" s="242"/>
      <c r="U587" s="242"/>
      <c r="V587" s="242"/>
      <c r="W587" s="242"/>
      <c r="X587" s="242"/>
      <c r="Y587" s="148"/>
      <c r="Z587" s="148"/>
    </row>
    <row r="588">
      <c r="A588" s="148"/>
      <c r="B588" s="148"/>
      <c r="C588" s="148"/>
      <c r="D588" s="245"/>
      <c r="E588" s="585"/>
      <c r="F588" s="586"/>
      <c r="G588" s="243"/>
      <c r="H588" s="148"/>
      <c r="I588" s="251"/>
      <c r="J588" s="243"/>
      <c r="K588" s="148"/>
      <c r="L588" s="277"/>
      <c r="M588" s="252"/>
      <c r="N588" s="250"/>
      <c r="O588" s="253"/>
      <c r="P588" s="240"/>
      <c r="Q588" s="148"/>
      <c r="R588" s="148"/>
      <c r="S588" s="242"/>
      <c r="T588" s="242"/>
      <c r="U588" s="242"/>
      <c r="V588" s="242"/>
      <c r="W588" s="242"/>
      <c r="X588" s="242"/>
      <c r="Y588" s="148"/>
      <c r="Z588" s="148"/>
    </row>
    <row r="589">
      <c r="A589" s="148"/>
      <c r="B589" s="148"/>
      <c r="C589" s="148"/>
      <c r="D589" s="245"/>
      <c r="E589" s="585"/>
      <c r="F589" s="586"/>
      <c r="G589" s="243"/>
      <c r="H589" s="148"/>
      <c r="I589" s="251"/>
      <c r="J589" s="243"/>
      <c r="K589" s="148"/>
      <c r="L589" s="277"/>
      <c r="M589" s="252"/>
      <c r="N589" s="250"/>
      <c r="O589" s="253"/>
      <c r="P589" s="240"/>
      <c r="Q589" s="148"/>
      <c r="R589" s="148"/>
      <c r="S589" s="242"/>
      <c r="T589" s="242"/>
      <c r="U589" s="242"/>
      <c r="V589" s="242"/>
      <c r="W589" s="242"/>
      <c r="X589" s="242"/>
      <c r="Y589" s="148"/>
      <c r="Z589" s="148"/>
    </row>
    <row r="590">
      <c r="A590" s="148"/>
      <c r="B590" s="148"/>
      <c r="C590" s="148"/>
      <c r="D590" s="245"/>
      <c r="E590" s="585"/>
      <c r="F590" s="586"/>
      <c r="G590" s="243"/>
      <c r="H590" s="148"/>
      <c r="I590" s="251"/>
      <c r="J590" s="243"/>
      <c r="K590" s="148"/>
      <c r="L590" s="277"/>
      <c r="M590" s="252"/>
      <c r="N590" s="250"/>
      <c r="O590" s="253"/>
      <c r="P590" s="240"/>
      <c r="Q590" s="148"/>
      <c r="R590" s="148"/>
      <c r="S590" s="242"/>
      <c r="T590" s="242"/>
      <c r="U590" s="242"/>
      <c r="V590" s="242"/>
      <c r="W590" s="242"/>
      <c r="X590" s="242"/>
      <c r="Y590" s="148"/>
      <c r="Z590" s="148"/>
    </row>
    <row r="591">
      <c r="A591" s="148"/>
      <c r="B591" s="148"/>
      <c r="C591" s="148"/>
      <c r="D591" s="245"/>
      <c r="E591" s="585"/>
      <c r="F591" s="586"/>
      <c r="G591" s="243"/>
      <c r="H591" s="148"/>
      <c r="I591" s="251"/>
      <c r="J591" s="243"/>
      <c r="K591" s="148"/>
      <c r="L591" s="277"/>
      <c r="M591" s="252"/>
      <c r="N591" s="250"/>
      <c r="O591" s="253"/>
      <c r="P591" s="240"/>
      <c r="Q591" s="148"/>
      <c r="R591" s="148"/>
      <c r="S591" s="242"/>
      <c r="T591" s="242"/>
      <c r="U591" s="242"/>
      <c r="V591" s="242"/>
      <c r="W591" s="242"/>
      <c r="X591" s="242"/>
      <c r="Y591" s="148"/>
      <c r="Z591" s="148"/>
    </row>
    <row r="592">
      <c r="A592" s="148"/>
      <c r="B592" s="148"/>
      <c r="C592" s="148"/>
      <c r="D592" s="245"/>
      <c r="E592" s="585"/>
      <c r="F592" s="586"/>
      <c r="G592" s="243"/>
      <c r="H592" s="148"/>
      <c r="I592" s="251"/>
      <c r="J592" s="243"/>
      <c r="K592" s="148"/>
      <c r="L592" s="277"/>
      <c r="M592" s="252"/>
      <c r="N592" s="250"/>
      <c r="O592" s="253"/>
      <c r="P592" s="240"/>
      <c r="Q592" s="148"/>
      <c r="R592" s="148"/>
      <c r="S592" s="242"/>
      <c r="T592" s="242"/>
      <c r="U592" s="242"/>
      <c r="V592" s="242"/>
      <c r="W592" s="242"/>
      <c r="X592" s="242"/>
      <c r="Y592" s="148"/>
      <c r="Z592" s="148"/>
    </row>
    <row r="593">
      <c r="A593" s="148"/>
      <c r="B593" s="148"/>
      <c r="C593" s="148"/>
      <c r="D593" s="245"/>
      <c r="E593" s="585"/>
      <c r="F593" s="586"/>
      <c r="G593" s="243"/>
      <c r="H593" s="148"/>
      <c r="I593" s="251"/>
      <c r="J593" s="243"/>
      <c r="K593" s="148"/>
      <c r="L593" s="277"/>
      <c r="M593" s="252"/>
      <c r="N593" s="250"/>
      <c r="O593" s="253"/>
      <c r="P593" s="240"/>
      <c r="Q593" s="148"/>
      <c r="R593" s="148"/>
      <c r="S593" s="242"/>
      <c r="T593" s="242"/>
      <c r="U593" s="242"/>
      <c r="V593" s="242"/>
      <c r="W593" s="242"/>
      <c r="X593" s="242"/>
      <c r="Y593" s="148"/>
      <c r="Z593" s="148"/>
    </row>
    <row r="594">
      <c r="A594" s="148"/>
      <c r="B594" s="148"/>
      <c r="C594" s="148"/>
      <c r="D594" s="245"/>
      <c r="E594" s="585"/>
      <c r="F594" s="586"/>
      <c r="G594" s="243"/>
      <c r="H594" s="148"/>
      <c r="I594" s="251"/>
      <c r="J594" s="243"/>
      <c r="K594" s="148"/>
      <c r="L594" s="277"/>
      <c r="M594" s="252"/>
      <c r="N594" s="250"/>
      <c r="O594" s="253"/>
      <c r="P594" s="240"/>
      <c r="Q594" s="148"/>
      <c r="R594" s="148"/>
      <c r="S594" s="242"/>
      <c r="T594" s="242"/>
      <c r="U594" s="242"/>
      <c r="V594" s="242"/>
      <c r="W594" s="242"/>
      <c r="X594" s="242"/>
      <c r="Y594" s="148"/>
      <c r="Z594" s="148"/>
    </row>
    <row r="595">
      <c r="A595" s="148"/>
      <c r="B595" s="148"/>
      <c r="C595" s="148"/>
      <c r="D595" s="245"/>
      <c r="E595" s="585"/>
      <c r="F595" s="586"/>
      <c r="G595" s="243"/>
      <c r="H595" s="148"/>
      <c r="I595" s="251"/>
      <c r="J595" s="243"/>
      <c r="K595" s="148"/>
      <c r="L595" s="277"/>
      <c r="M595" s="252"/>
      <c r="N595" s="250"/>
      <c r="O595" s="253"/>
      <c r="P595" s="240"/>
      <c r="Q595" s="148"/>
      <c r="R595" s="148"/>
      <c r="S595" s="242"/>
      <c r="T595" s="242"/>
      <c r="U595" s="242"/>
      <c r="V595" s="242"/>
      <c r="W595" s="242"/>
      <c r="X595" s="242"/>
      <c r="Y595" s="148"/>
      <c r="Z595" s="148"/>
    </row>
    <row r="596">
      <c r="A596" s="148"/>
      <c r="B596" s="148"/>
      <c r="C596" s="148"/>
      <c r="D596" s="245"/>
      <c r="E596" s="585"/>
      <c r="F596" s="586"/>
      <c r="G596" s="243"/>
      <c r="H596" s="148"/>
      <c r="I596" s="251"/>
      <c r="J596" s="243"/>
      <c r="K596" s="148"/>
      <c r="L596" s="277"/>
      <c r="M596" s="252"/>
      <c r="N596" s="250"/>
      <c r="O596" s="253"/>
      <c r="P596" s="240"/>
      <c r="Q596" s="148"/>
      <c r="R596" s="148"/>
      <c r="S596" s="242"/>
      <c r="T596" s="242"/>
      <c r="U596" s="242"/>
      <c r="V596" s="242"/>
      <c r="W596" s="242"/>
      <c r="X596" s="242"/>
      <c r="Y596" s="148"/>
      <c r="Z596" s="148"/>
    </row>
    <row r="597">
      <c r="A597" s="148"/>
      <c r="B597" s="148"/>
      <c r="C597" s="148"/>
      <c r="D597" s="245"/>
      <c r="E597" s="585"/>
      <c r="F597" s="586"/>
      <c r="G597" s="243"/>
      <c r="H597" s="148"/>
      <c r="I597" s="251"/>
      <c r="J597" s="243"/>
      <c r="K597" s="148"/>
      <c r="L597" s="277"/>
      <c r="M597" s="252"/>
      <c r="N597" s="250"/>
      <c r="O597" s="253"/>
      <c r="P597" s="240"/>
      <c r="Q597" s="148"/>
      <c r="R597" s="148"/>
      <c r="S597" s="242"/>
      <c r="T597" s="242"/>
      <c r="U597" s="242"/>
      <c r="V597" s="242"/>
      <c r="W597" s="242"/>
      <c r="X597" s="242"/>
      <c r="Y597" s="148"/>
      <c r="Z597" s="148"/>
    </row>
    <row r="598">
      <c r="A598" s="148"/>
      <c r="B598" s="148"/>
      <c r="C598" s="148"/>
      <c r="D598" s="245"/>
      <c r="E598" s="585"/>
      <c r="F598" s="586"/>
      <c r="G598" s="243"/>
      <c r="H598" s="148"/>
      <c r="I598" s="251"/>
      <c r="J598" s="243"/>
      <c r="K598" s="148"/>
      <c r="L598" s="277"/>
      <c r="M598" s="252"/>
      <c r="N598" s="250"/>
      <c r="O598" s="253"/>
      <c r="P598" s="240"/>
      <c r="Q598" s="148"/>
      <c r="R598" s="148"/>
      <c r="S598" s="242"/>
      <c r="T598" s="242"/>
      <c r="U598" s="242"/>
      <c r="V598" s="242"/>
      <c r="W598" s="242"/>
      <c r="X598" s="242"/>
      <c r="Y598" s="148"/>
      <c r="Z598" s="148"/>
    </row>
    <row r="599">
      <c r="A599" s="148"/>
      <c r="B599" s="148"/>
      <c r="C599" s="148"/>
      <c r="D599" s="245"/>
      <c r="E599" s="585"/>
      <c r="F599" s="586"/>
      <c r="G599" s="243"/>
      <c r="H599" s="148"/>
      <c r="I599" s="251"/>
      <c r="J599" s="243"/>
      <c r="K599" s="148"/>
      <c r="L599" s="277"/>
      <c r="M599" s="252"/>
      <c r="N599" s="250"/>
      <c r="O599" s="253"/>
      <c r="P599" s="240"/>
      <c r="Q599" s="148"/>
      <c r="R599" s="148"/>
      <c r="S599" s="242"/>
      <c r="T599" s="242"/>
      <c r="U599" s="242"/>
      <c r="V599" s="242"/>
      <c r="W599" s="242"/>
      <c r="X599" s="242"/>
      <c r="Y599" s="148"/>
      <c r="Z599" s="148"/>
    </row>
    <row r="600">
      <c r="A600" s="148"/>
      <c r="B600" s="148"/>
      <c r="C600" s="148"/>
      <c r="D600" s="245"/>
      <c r="E600" s="585"/>
      <c r="F600" s="586"/>
      <c r="G600" s="243"/>
      <c r="H600" s="148"/>
      <c r="I600" s="251"/>
      <c r="J600" s="243"/>
      <c r="K600" s="148"/>
      <c r="L600" s="277"/>
      <c r="M600" s="252"/>
      <c r="N600" s="250"/>
      <c r="O600" s="253"/>
      <c r="P600" s="240"/>
      <c r="Q600" s="148"/>
      <c r="R600" s="148"/>
      <c r="S600" s="242"/>
      <c r="T600" s="242"/>
      <c r="U600" s="242"/>
      <c r="V600" s="242"/>
      <c r="W600" s="242"/>
      <c r="X600" s="242"/>
      <c r="Y600" s="148"/>
      <c r="Z600" s="148"/>
    </row>
    <row r="601">
      <c r="A601" s="148"/>
      <c r="B601" s="148"/>
      <c r="C601" s="148"/>
      <c r="D601" s="245"/>
      <c r="E601" s="585"/>
      <c r="F601" s="586"/>
      <c r="G601" s="243"/>
      <c r="H601" s="148"/>
      <c r="I601" s="251"/>
      <c r="J601" s="243"/>
      <c r="K601" s="148"/>
      <c r="L601" s="277"/>
      <c r="M601" s="252"/>
      <c r="N601" s="250"/>
      <c r="O601" s="253"/>
      <c r="P601" s="240"/>
      <c r="Q601" s="148"/>
      <c r="R601" s="148"/>
      <c r="S601" s="242"/>
      <c r="T601" s="242"/>
      <c r="U601" s="242"/>
      <c r="V601" s="242"/>
      <c r="W601" s="242"/>
      <c r="X601" s="242"/>
      <c r="Y601" s="148"/>
      <c r="Z601" s="148"/>
    </row>
    <row r="602">
      <c r="A602" s="148"/>
      <c r="B602" s="148"/>
      <c r="C602" s="148"/>
      <c r="D602" s="245"/>
      <c r="E602" s="585"/>
      <c r="F602" s="586"/>
      <c r="G602" s="243"/>
      <c r="H602" s="148"/>
      <c r="I602" s="251"/>
      <c r="J602" s="243"/>
      <c r="K602" s="148"/>
      <c r="L602" s="277"/>
      <c r="M602" s="252"/>
      <c r="N602" s="250"/>
      <c r="O602" s="253"/>
      <c r="P602" s="240"/>
      <c r="Q602" s="148"/>
      <c r="R602" s="148"/>
      <c r="S602" s="242"/>
      <c r="T602" s="242"/>
      <c r="U602" s="242"/>
      <c r="V602" s="242"/>
      <c r="W602" s="242"/>
      <c r="X602" s="242"/>
      <c r="Y602" s="148"/>
      <c r="Z602" s="148"/>
    </row>
    <row r="603">
      <c r="A603" s="148"/>
      <c r="B603" s="148"/>
      <c r="C603" s="148"/>
      <c r="D603" s="245"/>
      <c r="E603" s="585"/>
      <c r="F603" s="586"/>
      <c r="G603" s="243"/>
      <c r="H603" s="148"/>
      <c r="I603" s="251"/>
      <c r="J603" s="243"/>
      <c r="K603" s="148"/>
      <c r="L603" s="277"/>
      <c r="M603" s="252"/>
      <c r="N603" s="250"/>
      <c r="O603" s="253"/>
      <c r="P603" s="240"/>
      <c r="Q603" s="148"/>
      <c r="R603" s="148"/>
      <c r="S603" s="242"/>
      <c r="T603" s="242"/>
      <c r="U603" s="242"/>
      <c r="V603" s="242"/>
      <c r="W603" s="242"/>
      <c r="X603" s="242"/>
      <c r="Y603" s="148"/>
      <c r="Z603" s="148"/>
    </row>
    <row r="604">
      <c r="A604" s="148"/>
      <c r="B604" s="148"/>
      <c r="C604" s="148"/>
      <c r="D604" s="245"/>
      <c r="E604" s="585"/>
      <c r="F604" s="586"/>
      <c r="G604" s="243"/>
      <c r="H604" s="148"/>
      <c r="I604" s="251"/>
      <c r="J604" s="243"/>
      <c r="K604" s="148"/>
      <c r="L604" s="277"/>
      <c r="M604" s="252"/>
      <c r="N604" s="250"/>
      <c r="O604" s="253"/>
      <c r="P604" s="240"/>
      <c r="Q604" s="148"/>
      <c r="R604" s="148"/>
      <c r="S604" s="242"/>
      <c r="T604" s="242"/>
      <c r="U604" s="242"/>
      <c r="V604" s="242"/>
      <c r="W604" s="242"/>
      <c r="X604" s="242"/>
      <c r="Y604" s="148"/>
      <c r="Z604" s="148"/>
    </row>
    <row r="605">
      <c r="A605" s="148"/>
      <c r="B605" s="148"/>
      <c r="C605" s="148"/>
      <c r="D605" s="245"/>
      <c r="E605" s="585"/>
      <c r="F605" s="586"/>
      <c r="G605" s="243"/>
      <c r="H605" s="148"/>
      <c r="I605" s="251"/>
      <c r="J605" s="243"/>
      <c r="K605" s="148"/>
      <c r="L605" s="277"/>
      <c r="M605" s="252"/>
      <c r="N605" s="250"/>
      <c r="O605" s="253"/>
      <c r="P605" s="240"/>
      <c r="Q605" s="148"/>
      <c r="R605" s="148"/>
      <c r="S605" s="242"/>
      <c r="T605" s="242"/>
      <c r="U605" s="242"/>
      <c r="V605" s="242"/>
      <c r="W605" s="242"/>
      <c r="X605" s="242"/>
      <c r="Y605" s="148"/>
      <c r="Z605" s="148"/>
    </row>
    <row r="606">
      <c r="A606" s="148"/>
      <c r="B606" s="148"/>
      <c r="C606" s="148"/>
      <c r="D606" s="245"/>
      <c r="E606" s="585"/>
      <c r="F606" s="586"/>
      <c r="G606" s="243"/>
      <c r="H606" s="148"/>
      <c r="I606" s="251"/>
      <c r="J606" s="243"/>
      <c r="K606" s="148"/>
      <c r="L606" s="277"/>
      <c r="M606" s="252"/>
      <c r="N606" s="250"/>
      <c r="O606" s="253"/>
      <c r="P606" s="240"/>
      <c r="Q606" s="148"/>
      <c r="R606" s="148"/>
      <c r="S606" s="242"/>
      <c r="T606" s="242"/>
      <c r="U606" s="242"/>
      <c r="V606" s="242"/>
      <c r="W606" s="242"/>
      <c r="X606" s="242"/>
      <c r="Y606" s="148"/>
      <c r="Z606" s="148"/>
    </row>
    <row r="607">
      <c r="A607" s="148"/>
      <c r="B607" s="148"/>
      <c r="C607" s="148"/>
      <c r="D607" s="245"/>
      <c r="E607" s="585"/>
      <c r="F607" s="586"/>
      <c r="G607" s="243"/>
      <c r="H607" s="148"/>
      <c r="I607" s="251"/>
      <c r="J607" s="243"/>
      <c r="K607" s="148"/>
      <c r="L607" s="277"/>
      <c r="M607" s="252"/>
      <c r="N607" s="250"/>
      <c r="O607" s="253"/>
      <c r="P607" s="240"/>
      <c r="Q607" s="148"/>
      <c r="R607" s="148"/>
      <c r="S607" s="242"/>
      <c r="T607" s="242"/>
      <c r="U607" s="242"/>
      <c r="V607" s="242"/>
      <c r="W607" s="242"/>
      <c r="X607" s="242"/>
      <c r="Y607" s="148"/>
      <c r="Z607" s="148"/>
    </row>
    <row r="608">
      <c r="A608" s="148"/>
      <c r="B608" s="148"/>
      <c r="C608" s="148"/>
      <c r="D608" s="245"/>
      <c r="E608" s="585"/>
      <c r="F608" s="586"/>
      <c r="G608" s="243"/>
      <c r="H608" s="148"/>
      <c r="I608" s="251"/>
      <c r="J608" s="243"/>
      <c r="K608" s="148"/>
      <c r="L608" s="277"/>
      <c r="M608" s="252"/>
      <c r="N608" s="250"/>
      <c r="O608" s="253"/>
      <c r="P608" s="240"/>
      <c r="Q608" s="148"/>
      <c r="R608" s="148"/>
      <c r="S608" s="242"/>
      <c r="T608" s="242"/>
      <c r="U608" s="242"/>
      <c r="V608" s="242"/>
      <c r="W608" s="242"/>
      <c r="X608" s="242"/>
      <c r="Y608" s="148"/>
      <c r="Z608" s="148"/>
    </row>
    <row r="609">
      <c r="A609" s="148"/>
      <c r="B609" s="148"/>
      <c r="C609" s="148"/>
      <c r="D609" s="245"/>
      <c r="E609" s="585"/>
      <c r="F609" s="586"/>
      <c r="G609" s="243"/>
      <c r="H609" s="148"/>
      <c r="I609" s="251"/>
      <c r="J609" s="243"/>
      <c r="K609" s="148"/>
      <c r="L609" s="277"/>
      <c r="M609" s="252"/>
      <c r="N609" s="250"/>
      <c r="O609" s="253"/>
      <c r="P609" s="240"/>
      <c r="Q609" s="148"/>
      <c r="R609" s="148"/>
      <c r="S609" s="242"/>
      <c r="T609" s="242"/>
      <c r="U609" s="242"/>
      <c r="V609" s="242"/>
      <c r="W609" s="242"/>
      <c r="X609" s="242"/>
      <c r="Y609" s="148"/>
      <c r="Z609" s="148"/>
    </row>
    <row r="610">
      <c r="A610" s="148"/>
      <c r="B610" s="148"/>
      <c r="C610" s="148"/>
      <c r="D610" s="245"/>
      <c r="E610" s="585"/>
      <c r="F610" s="586"/>
      <c r="G610" s="243"/>
      <c r="H610" s="148"/>
      <c r="I610" s="251"/>
      <c r="J610" s="243"/>
      <c r="K610" s="148"/>
      <c r="L610" s="277"/>
      <c r="M610" s="252"/>
      <c r="N610" s="250"/>
      <c r="O610" s="253"/>
      <c r="P610" s="240"/>
      <c r="Q610" s="148"/>
      <c r="R610" s="148"/>
      <c r="S610" s="242"/>
      <c r="T610" s="242"/>
      <c r="U610" s="242"/>
      <c r="V610" s="242"/>
      <c r="W610" s="242"/>
      <c r="X610" s="242"/>
      <c r="Y610" s="148"/>
      <c r="Z610" s="148"/>
    </row>
    <row r="611">
      <c r="A611" s="148"/>
      <c r="B611" s="148"/>
      <c r="C611" s="148"/>
      <c r="D611" s="245"/>
      <c r="E611" s="585"/>
      <c r="F611" s="586"/>
      <c r="G611" s="243"/>
      <c r="H611" s="148"/>
      <c r="I611" s="251"/>
      <c r="J611" s="243"/>
      <c r="K611" s="148"/>
      <c r="L611" s="277"/>
      <c r="M611" s="252"/>
      <c r="N611" s="250"/>
      <c r="O611" s="253"/>
      <c r="P611" s="240"/>
      <c r="Q611" s="148"/>
      <c r="R611" s="148"/>
      <c r="S611" s="242"/>
      <c r="T611" s="242"/>
      <c r="U611" s="242"/>
      <c r="V611" s="242"/>
      <c r="W611" s="242"/>
      <c r="X611" s="242"/>
      <c r="Y611" s="148"/>
      <c r="Z611" s="148"/>
    </row>
    <row r="612">
      <c r="A612" s="148"/>
      <c r="B612" s="148"/>
      <c r="C612" s="148"/>
      <c r="D612" s="245"/>
      <c r="E612" s="585"/>
      <c r="F612" s="586"/>
      <c r="G612" s="243"/>
      <c r="H612" s="148"/>
      <c r="I612" s="251"/>
      <c r="J612" s="243"/>
      <c r="K612" s="148"/>
      <c r="L612" s="277"/>
      <c r="M612" s="252"/>
      <c r="N612" s="250"/>
      <c r="O612" s="253"/>
      <c r="P612" s="240"/>
      <c r="Q612" s="148"/>
      <c r="R612" s="148"/>
      <c r="S612" s="242"/>
      <c r="T612" s="242"/>
      <c r="U612" s="242"/>
      <c r="V612" s="242"/>
      <c r="W612" s="242"/>
      <c r="X612" s="242"/>
      <c r="Y612" s="148"/>
      <c r="Z612" s="148"/>
    </row>
    <row r="613">
      <c r="A613" s="148"/>
      <c r="B613" s="148"/>
      <c r="C613" s="148"/>
      <c r="D613" s="245"/>
      <c r="E613" s="585"/>
      <c r="F613" s="586"/>
      <c r="G613" s="243"/>
      <c r="H613" s="148"/>
      <c r="I613" s="251"/>
      <c r="J613" s="243"/>
      <c r="K613" s="148"/>
      <c r="L613" s="277"/>
      <c r="M613" s="252"/>
      <c r="N613" s="250"/>
      <c r="O613" s="253"/>
      <c r="P613" s="240"/>
      <c r="Q613" s="148"/>
      <c r="R613" s="148"/>
      <c r="S613" s="242"/>
      <c r="T613" s="242"/>
      <c r="U613" s="242"/>
      <c r="V613" s="242"/>
      <c r="W613" s="242"/>
      <c r="X613" s="242"/>
      <c r="Y613" s="148"/>
      <c r="Z613" s="148"/>
    </row>
    <row r="614">
      <c r="A614" s="148"/>
      <c r="B614" s="148"/>
      <c r="C614" s="148"/>
      <c r="D614" s="245"/>
      <c r="E614" s="585"/>
      <c r="F614" s="586"/>
      <c r="G614" s="243"/>
      <c r="H614" s="148"/>
      <c r="I614" s="251"/>
      <c r="J614" s="243"/>
      <c r="K614" s="148"/>
      <c r="L614" s="277"/>
      <c r="M614" s="252"/>
      <c r="N614" s="250"/>
      <c r="O614" s="253"/>
      <c r="P614" s="240"/>
      <c r="Q614" s="148"/>
      <c r="R614" s="148"/>
      <c r="S614" s="242"/>
      <c r="T614" s="242"/>
      <c r="U614" s="242"/>
      <c r="V614" s="242"/>
      <c r="W614" s="242"/>
      <c r="X614" s="242"/>
      <c r="Y614" s="148"/>
      <c r="Z614" s="148"/>
    </row>
    <row r="615">
      <c r="A615" s="148"/>
      <c r="B615" s="148"/>
      <c r="C615" s="148"/>
      <c r="D615" s="245"/>
      <c r="E615" s="585"/>
      <c r="F615" s="586"/>
      <c r="G615" s="243"/>
      <c r="H615" s="148"/>
      <c r="I615" s="251"/>
      <c r="J615" s="243"/>
      <c r="K615" s="148"/>
      <c r="L615" s="277"/>
      <c r="M615" s="252"/>
      <c r="N615" s="250"/>
      <c r="O615" s="253"/>
      <c r="P615" s="240"/>
      <c r="Q615" s="148"/>
      <c r="R615" s="148"/>
      <c r="S615" s="242"/>
      <c r="T615" s="242"/>
      <c r="U615" s="242"/>
      <c r="V615" s="242"/>
      <c r="W615" s="242"/>
      <c r="X615" s="242"/>
      <c r="Y615" s="148"/>
      <c r="Z615" s="148"/>
    </row>
    <row r="616">
      <c r="A616" s="148"/>
      <c r="B616" s="148"/>
      <c r="C616" s="148"/>
      <c r="D616" s="245"/>
      <c r="E616" s="585"/>
      <c r="F616" s="586"/>
      <c r="G616" s="243"/>
      <c r="H616" s="148"/>
      <c r="I616" s="251"/>
      <c r="J616" s="243"/>
      <c r="K616" s="148"/>
      <c r="L616" s="277"/>
      <c r="M616" s="252"/>
      <c r="N616" s="250"/>
      <c r="O616" s="253"/>
      <c r="P616" s="240"/>
      <c r="Q616" s="148"/>
      <c r="R616" s="148"/>
      <c r="S616" s="242"/>
      <c r="T616" s="242"/>
      <c r="U616" s="242"/>
      <c r="V616" s="242"/>
      <c r="W616" s="242"/>
      <c r="X616" s="242"/>
      <c r="Y616" s="148"/>
      <c r="Z616" s="148"/>
    </row>
    <row r="617">
      <c r="A617" s="148"/>
      <c r="B617" s="148"/>
      <c r="C617" s="148"/>
      <c r="D617" s="245"/>
      <c r="E617" s="585"/>
      <c r="F617" s="586"/>
      <c r="G617" s="243"/>
      <c r="H617" s="148"/>
      <c r="I617" s="251"/>
      <c r="J617" s="243"/>
      <c r="K617" s="148"/>
      <c r="L617" s="277"/>
      <c r="M617" s="252"/>
      <c r="N617" s="250"/>
      <c r="O617" s="253"/>
      <c r="P617" s="240"/>
      <c r="Q617" s="148"/>
      <c r="R617" s="148"/>
      <c r="S617" s="242"/>
      <c r="T617" s="242"/>
      <c r="U617" s="242"/>
      <c r="V617" s="242"/>
      <c r="W617" s="242"/>
      <c r="X617" s="242"/>
      <c r="Y617" s="148"/>
      <c r="Z617" s="148"/>
    </row>
    <row r="618">
      <c r="A618" s="148"/>
      <c r="B618" s="148"/>
      <c r="C618" s="148"/>
      <c r="D618" s="245"/>
      <c r="E618" s="585"/>
      <c r="F618" s="586"/>
      <c r="G618" s="243"/>
      <c r="H618" s="148"/>
      <c r="I618" s="251"/>
      <c r="J618" s="243"/>
      <c r="K618" s="148"/>
      <c r="L618" s="277"/>
      <c r="M618" s="252"/>
      <c r="N618" s="250"/>
      <c r="O618" s="253"/>
      <c r="P618" s="240"/>
      <c r="Q618" s="148"/>
      <c r="R618" s="148"/>
      <c r="S618" s="242"/>
      <c r="T618" s="242"/>
      <c r="U618" s="242"/>
      <c r="V618" s="242"/>
      <c r="W618" s="242"/>
      <c r="X618" s="242"/>
      <c r="Y618" s="148"/>
      <c r="Z618" s="148"/>
    </row>
    <row r="619">
      <c r="A619" s="148"/>
      <c r="B619" s="148"/>
      <c r="C619" s="148"/>
      <c r="D619" s="245"/>
      <c r="E619" s="585"/>
      <c r="F619" s="586"/>
      <c r="G619" s="243"/>
      <c r="H619" s="148"/>
      <c r="I619" s="251"/>
      <c r="J619" s="243"/>
      <c r="K619" s="148"/>
      <c r="L619" s="277"/>
      <c r="M619" s="252"/>
      <c r="N619" s="250"/>
      <c r="O619" s="253"/>
      <c r="P619" s="240"/>
      <c r="Q619" s="148"/>
      <c r="R619" s="148"/>
      <c r="S619" s="242"/>
      <c r="T619" s="242"/>
      <c r="U619" s="242"/>
      <c r="V619" s="242"/>
      <c r="W619" s="242"/>
      <c r="X619" s="242"/>
      <c r="Y619" s="148"/>
      <c r="Z619" s="148"/>
    </row>
    <row r="620">
      <c r="A620" s="148"/>
      <c r="B620" s="148"/>
      <c r="C620" s="148"/>
      <c r="D620" s="245"/>
      <c r="E620" s="585"/>
      <c r="F620" s="586"/>
      <c r="G620" s="243"/>
      <c r="H620" s="148"/>
      <c r="I620" s="251"/>
      <c r="J620" s="243"/>
      <c r="K620" s="148"/>
      <c r="L620" s="277"/>
      <c r="M620" s="252"/>
      <c r="N620" s="250"/>
      <c r="O620" s="253"/>
      <c r="P620" s="240"/>
      <c r="Q620" s="148"/>
      <c r="R620" s="148"/>
      <c r="S620" s="242"/>
      <c r="T620" s="242"/>
      <c r="U620" s="242"/>
      <c r="V620" s="242"/>
      <c r="W620" s="242"/>
      <c r="X620" s="242"/>
      <c r="Y620" s="148"/>
      <c r="Z620" s="148"/>
    </row>
    <row r="621">
      <c r="A621" s="148"/>
      <c r="B621" s="148"/>
      <c r="C621" s="148"/>
      <c r="D621" s="245"/>
      <c r="E621" s="585"/>
      <c r="F621" s="586"/>
      <c r="G621" s="243"/>
      <c r="H621" s="148"/>
      <c r="I621" s="251"/>
      <c r="J621" s="243"/>
      <c r="K621" s="148"/>
      <c r="L621" s="277"/>
      <c r="M621" s="252"/>
      <c r="N621" s="250"/>
      <c r="O621" s="253"/>
      <c r="P621" s="240"/>
      <c r="Q621" s="148"/>
      <c r="R621" s="148"/>
      <c r="S621" s="242"/>
      <c r="T621" s="242"/>
      <c r="U621" s="242"/>
      <c r="V621" s="242"/>
      <c r="W621" s="242"/>
      <c r="X621" s="242"/>
      <c r="Y621" s="148"/>
      <c r="Z621" s="148"/>
    </row>
    <row r="622">
      <c r="A622" s="148"/>
      <c r="B622" s="148"/>
      <c r="C622" s="148"/>
      <c r="D622" s="245"/>
      <c r="E622" s="585"/>
      <c r="F622" s="586"/>
      <c r="G622" s="243"/>
      <c r="H622" s="148"/>
      <c r="I622" s="251"/>
      <c r="J622" s="243"/>
      <c r="K622" s="148"/>
      <c r="L622" s="277"/>
      <c r="M622" s="252"/>
      <c r="N622" s="250"/>
      <c r="O622" s="253"/>
      <c r="P622" s="240"/>
      <c r="Q622" s="148"/>
      <c r="R622" s="148"/>
      <c r="S622" s="242"/>
      <c r="T622" s="242"/>
      <c r="U622" s="242"/>
      <c r="V622" s="242"/>
      <c r="W622" s="242"/>
      <c r="X622" s="242"/>
      <c r="Y622" s="148"/>
      <c r="Z622" s="148"/>
    </row>
    <row r="623">
      <c r="A623" s="148"/>
      <c r="B623" s="148"/>
      <c r="C623" s="148"/>
      <c r="D623" s="245"/>
      <c r="E623" s="585"/>
      <c r="F623" s="586"/>
      <c r="G623" s="243"/>
      <c r="H623" s="148"/>
      <c r="I623" s="251"/>
      <c r="J623" s="243"/>
      <c r="K623" s="148"/>
      <c r="L623" s="277"/>
      <c r="M623" s="252"/>
      <c r="N623" s="250"/>
      <c r="O623" s="253"/>
      <c r="P623" s="240"/>
      <c r="Q623" s="148"/>
      <c r="R623" s="148"/>
      <c r="S623" s="242"/>
      <c r="T623" s="242"/>
      <c r="U623" s="242"/>
      <c r="V623" s="242"/>
      <c r="W623" s="242"/>
      <c r="X623" s="242"/>
      <c r="Y623" s="148"/>
      <c r="Z623" s="148"/>
    </row>
    <row r="624">
      <c r="A624" s="148"/>
      <c r="B624" s="148"/>
      <c r="C624" s="148"/>
      <c r="D624" s="245"/>
      <c r="E624" s="585"/>
      <c r="F624" s="586"/>
      <c r="G624" s="243"/>
      <c r="H624" s="148"/>
      <c r="I624" s="251"/>
      <c r="J624" s="243"/>
      <c r="K624" s="148"/>
      <c r="L624" s="277"/>
      <c r="M624" s="252"/>
      <c r="N624" s="250"/>
      <c r="O624" s="253"/>
      <c r="P624" s="240"/>
      <c r="Q624" s="148"/>
      <c r="R624" s="148"/>
      <c r="S624" s="242"/>
      <c r="T624" s="242"/>
      <c r="U624" s="242"/>
      <c r="V624" s="242"/>
      <c r="W624" s="242"/>
      <c r="X624" s="242"/>
      <c r="Y624" s="148"/>
      <c r="Z624" s="148"/>
    </row>
    <row r="625">
      <c r="A625" s="148"/>
      <c r="B625" s="148"/>
      <c r="C625" s="148"/>
      <c r="D625" s="245"/>
      <c r="E625" s="585"/>
      <c r="F625" s="586"/>
      <c r="G625" s="243"/>
      <c r="H625" s="148"/>
      <c r="I625" s="251"/>
      <c r="J625" s="243"/>
      <c r="K625" s="148"/>
      <c r="L625" s="277"/>
      <c r="M625" s="252"/>
      <c r="N625" s="250"/>
      <c r="O625" s="253"/>
      <c r="P625" s="240"/>
      <c r="Q625" s="148"/>
      <c r="R625" s="148"/>
      <c r="S625" s="242"/>
      <c r="T625" s="242"/>
      <c r="U625" s="242"/>
      <c r="V625" s="242"/>
      <c r="W625" s="242"/>
      <c r="X625" s="242"/>
      <c r="Y625" s="148"/>
      <c r="Z625" s="148"/>
    </row>
    <row r="626">
      <c r="A626" s="148"/>
      <c r="B626" s="148"/>
      <c r="C626" s="148"/>
      <c r="D626" s="245"/>
      <c r="E626" s="585"/>
      <c r="F626" s="586"/>
      <c r="G626" s="243"/>
      <c r="H626" s="148"/>
      <c r="I626" s="251"/>
      <c r="J626" s="243"/>
      <c r="K626" s="148"/>
      <c r="L626" s="277"/>
      <c r="M626" s="252"/>
      <c r="N626" s="250"/>
      <c r="O626" s="253"/>
      <c r="P626" s="240"/>
      <c r="Q626" s="148"/>
      <c r="R626" s="148"/>
      <c r="S626" s="242"/>
      <c r="T626" s="242"/>
      <c r="U626" s="242"/>
      <c r="V626" s="242"/>
      <c r="W626" s="242"/>
      <c r="X626" s="242"/>
      <c r="Y626" s="148"/>
      <c r="Z626" s="148"/>
    </row>
    <row r="627">
      <c r="A627" s="148"/>
      <c r="B627" s="148"/>
      <c r="C627" s="148"/>
      <c r="D627" s="245"/>
      <c r="E627" s="585"/>
      <c r="F627" s="586"/>
      <c r="G627" s="243"/>
      <c r="H627" s="148"/>
      <c r="I627" s="251"/>
      <c r="J627" s="243"/>
      <c r="K627" s="148"/>
      <c r="L627" s="277"/>
      <c r="M627" s="252"/>
      <c r="N627" s="250"/>
      <c r="O627" s="253"/>
      <c r="P627" s="240"/>
      <c r="Q627" s="148"/>
      <c r="R627" s="148"/>
      <c r="S627" s="242"/>
      <c r="T627" s="242"/>
      <c r="U627" s="242"/>
      <c r="V627" s="242"/>
      <c r="W627" s="242"/>
      <c r="X627" s="242"/>
      <c r="Y627" s="148"/>
      <c r="Z627" s="148"/>
    </row>
    <row r="628">
      <c r="A628" s="148"/>
      <c r="B628" s="148"/>
      <c r="C628" s="148"/>
      <c r="D628" s="245"/>
      <c r="E628" s="585"/>
      <c r="F628" s="586"/>
      <c r="G628" s="243"/>
      <c r="H628" s="148"/>
      <c r="I628" s="251"/>
      <c r="J628" s="243"/>
      <c r="K628" s="148"/>
      <c r="L628" s="277"/>
      <c r="M628" s="252"/>
      <c r="N628" s="250"/>
      <c r="O628" s="253"/>
      <c r="P628" s="240"/>
      <c r="Q628" s="148"/>
      <c r="R628" s="148"/>
      <c r="S628" s="242"/>
      <c r="T628" s="242"/>
      <c r="U628" s="242"/>
      <c r="V628" s="242"/>
      <c r="W628" s="242"/>
      <c r="X628" s="242"/>
      <c r="Y628" s="148"/>
      <c r="Z628" s="148"/>
    </row>
    <row r="629">
      <c r="A629" s="148"/>
      <c r="B629" s="148"/>
      <c r="C629" s="148"/>
      <c r="D629" s="245"/>
      <c r="E629" s="585"/>
      <c r="F629" s="586"/>
      <c r="G629" s="243"/>
      <c r="H629" s="148"/>
      <c r="I629" s="251"/>
      <c r="J629" s="243"/>
      <c r="K629" s="148"/>
      <c r="L629" s="277"/>
      <c r="M629" s="252"/>
      <c r="N629" s="250"/>
      <c r="O629" s="253"/>
      <c r="P629" s="240"/>
      <c r="Q629" s="148"/>
      <c r="R629" s="148"/>
      <c r="S629" s="242"/>
      <c r="T629" s="242"/>
      <c r="U629" s="242"/>
      <c r="V629" s="242"/>
      <c r="W629" s="242"/>
      <c r="X629" s="242"/>
      <c r="Y629" s="148"/>
      <c r="Z629" s="148"/>
    </row>
    <row r="630">
      <c r="A630" s="148"/>
      <c r="B630" s="148"/>
      <c r="C630" s="148"/>
      <c r="D630" s="245"/>
      <c r="E630" s="585"/>
      <c r="F630" s="586"/>
      <c r="G630" s="243"/>
      <c r="H630" s="148"/>
      <c r="I630" s="251"/>
      <c r="J630" s="243"/>
      <c r="K630" s="148"/>
      <c r="L630" s="277"/>
      <c r="M630" s="252"/>
      <c r="N630" s="250"/>
      <c r="O630" s="253"/>
      <c r="P630" s="240"/>
      <c r="Q630" s="148"/>
      <c r="R630" s="148"/>
      <c r="S630" s="242"/>
      <c r="T630" s="242"/>
      <c r="U630" s="242"/>
      <c r="V630" s="242"/>
      <c r="W630" s="242"/>
      <c r="X630" s="242"/>
      <c r="Y630" s="148"/>
      <c r="Z630" s="148"/>
    </row>
    <row r="631">
      <c r="A631" s="148"/>
      <c r="B631" s="148"/>
      <c r="C631" s="148"/>
      <c r="D631" s="245"/>
      <c r="E631" s="585"/>
      <c r="F631" s="586"/>
      <c r="G631" s="243"/>
      <c r="H631" s="148"/>
      <c r="I631" s="251"/>
      <c r="J631" s="243"/>
      <c r="K631" s="148"/>
      <c r="L631" s="277"/>
      <c r="M631" s="252"/>
      <c r="N631" s="250"/>
      <c r="O631" s="253"/>
      <c r="P631" s="240"/>
      <c r="Q631" s="148"/>
      <c r="R631" s="148"/>
      <c r="S631" s="242"/>
      <c r="T631" s="242"/>
      <c r="U631" s="242"/>
      <c r="V631" s="242"/>
      <c r="W631" s="242"/>
      <c r="X631" s="242"/>
      <c r="Y631" s="148"/>
      <c r="Z631" s="148"/>
    </row>
    <row r="632">
      <c r="A632" s="148"/>
      <c r="B632" s="148"/>
      <c r="C632" s="148"/>
      <c r="D632" s="245"/>
      <c r="E632" s="585"/>
      <c r="F632" s="586"/>
      <c r="G632" s="243"/>
      <c r="H632" s="148"/>
      <c r="I632" s="251"/>
      <c r="J632" s="243"/>
      <c r="K632" s="148"/>
      <c r="L632" s="277"/>
      <c r="M632" s="252"/>
      <c r="N632" s="250"/>
      <c r="O632" s="253"/>
      <c r="P632" s="240"/>
      <c r="Q632" s="148"/>
      <c r="R632" s="148"/>
      <c r="S632" s="242"/>
      <c r="T632" s="242"/>
      <c r="U632" s="242"/>
      <c r="V632" s="242"/>
      <c r="W632" s="242"/>
      <c r="X632" s="242"/>
      <c r="Y632" s="148"/>
      <c r="Z632" s="148"/>
    </row>
    <row r="633">
      <c r="A633" s="148"/>
      <c r="B633" s="148"/>
      <c r="C633" s="148"/>
      <c r="D633" s="245"/>
      <c r="E633" s="585"/>
      <c r="F633" s="586"/>
      <c r="G633" s="243"/>
      <c r="H633" s="148"/>
      <c r="I633" s="251"/>
      <c r="J633" s="243"/>
      <c r="K633" s="148"/>
      <c r="L633" s="277"/>
      <c r="M633" s="252"/>
      <c r="N633" s="250"/>
      <c r="O633" s="253"/>
      <c r="P633" s="240"/>
      <c r="Q633" s="148"/>
      <c r="R633" s="148"/>
      <c r="S633" s="242"/>
      <c r="T633" s="242"/>
      <c r="U633" s="242"/>
      <c r="V633" s="242"/>
      <c r="W633" s="242"/>
      <c r="X633" s="242"/>
      <c r="Y633" s="148"/>
      <c r="Z633" s="148"/>
    </row>
    <row r="634">
      <c r="A634" s="148"/>
      <c r="B634" s="148"/>
      <c r="C634" s="148"/>
      <c r="D634" s="245"/>
      <c r="E634" s="585"/>
      <c r="F634" s="586"/>
      <c r="G634" s="243"/>
      <c r="H634" s="148"/>
      <c r="I634" s="251"/>
      <c r="J634" s="243"/>
      <c r="K634" s="148"/>
      <c r="L634" s="277"/>
      <c r="M634" s="252"/>
      <c r="N634" s="250"/>
      <c r="O634" s="253"/>
      <c r="P634" s="240"/>
      <c r="Q634" s="148"/>
      <c r="R634" s="148"/>
      <c r="S634" s="242"/>
      <c r="T634" s="242"/>
      <c r="U634" s="242"/>
      <c r="V634" s="242"/>
      <c r="W634" s="242"/>
      <c r="X634" s="242"/>
      <c r="Y634" s="148"/>
      <c r="Z634" s="148"/>
    </row>
    <row r="635">
      <c r="A635" s="148"/>
      <c r="B635" s="148"/>
      <c r="C635" s="148"/>
      <c r="D635" s="245"/>
      <c r="E635" s="585"/>
      <c r="F635" s="586"/>
      <c r="G635" s="243"/>
      <c r="H635" s="148"/>
      <c r="I635" s="251"/>
      <c r="J635" s="243"/>
      <c r="K635" s="148"/>
      <c r="L635" s="277"/>
      <c r="M635" s="252"/>
      <c r="N635" s="250"/>
      <c r="O635" s="253"/>
      <c r="P635" s="240"/>
      <c r="Q635" s="148"/>
      <c r="R635" s="148"/>
      <c r="S635" s="242"/>
      <c r="T635" s="242"/>
      <c r="U635" s="242"/>
      <c r="V635" s="242"/>
      <c r="W635" s="242"/>
      <c r="X635" s="242"/>
      <c r="Y635" s="148"/>
      <c r="Z635" s="148"/>
    </row>
    <row r="636">
      <c r="A636" s="148"/>
      <c r="B636" s="148"/>
      <c r="C636" s="148"/>
      <c r="D636" s="245"/>
      <c r="E636" s="585"/>
      <c r="F636" s="586"/>
      <c r="G636" s="243"/>
      <c r="H636" s="148"/>
      <c r="I636" s="251"/>
      <c r="J636" s="243"/>
      <c r="K636" s="148"/>
      <c r="L636" s="277"/>
      <c r="M636" s="252"/>
      <c r="N636" s="250"/>
      <c r="O636" s="253"/>
      <c r="P636" s="240"/>
      <c r="Q636" s="148"/>
      <c r="R636" s="148"/>
      <c r="S636" s="242"/>
      <c r="T636" s="242"/>
      <c r="U636" s="242"/>
      <c r="V636" s="242"/>
      <c r="W636" s="242"/>
      <c r="X636" s="242"/>
      <c r="Y636" s="148"/>
      <c r="Z636" s="148"/>
    </row>
    <row r="637">
      <c r="A637" s="148"/>
      <c r="B637" s="148"/>
      <c r="C637" s="148"/>
      <c r="D637" s="245"/>
      <c r="E637" s="585"/>
      <c r="F637" s="586"/>
      <c r="G637" s="243"/>
      <c r="H637" s="148"/>
      <c r="I637" s="251"/>
      <c r="J637" s="243"/>
      <c r="K637" s="148"/>
      <c r="L637" s="277"/>
      <c r="M637" s="252"/>
      <c r="N637" s="250"/>
      <c r="O637" s="253"/>
      <c r="P637" s="240"/>
      <c r="Q637" s="148"/>
      <c r="R637" s="148"/>
      <c r="S637" s="242"/>
      <c r="T637" s="242"/>
      <c r="U637" s="242"/>
      <c r="V637" s="242"/>
      <c r="W637" s="242"/>
      <c r="X637" s="242"/>
      <c r="Y637" s="148"/>
      <c r="Z637" s="148"/>
    </row>
    <row r="638">
      <c r="A638" s="148"/>
      <c r="B638" s="148"/>
      <c r="C638" s="148"/>
      <c r="D638" s="245"/>
      <c r="E638" s="585"/>
      <c r="F638" s="586"/>
      <c r="G638" s="243"/>
      <c r="H638" s="148"/>
      <c r="I638" s="251"/>
      <c r="J638" s="243"/>
      <c r="K638" s="148"/>
      <c r="L638" s="277"/>
      <c r="M638" s="252"/>
      <c r="N638" s="250"/>
      <c r="O638" s="253"/>
      <c r="P638" s="240"/>
      <c r="Q638" s="148"/>
      <c r="R638" s="148"/>
      <c r="S638" s="242"/>
      <c r="T638" s="242"/>
      <c r="U638" s="242"/>
      <c r="V638" s="242"/>
      <c r="W638" s="242"/>
      <c r="X638" s="242"/>
      <c r="Y638" s="148"/>
      <c r="Z638" s="148"/>
    </row>
    <row r="639">
      <c r="A639" s="148"/>
      <c r="B639" s="148"/>
      <c r="C639" s="148"/>
      <c r="D639" s="245"/>
      <c r="E639" s="585"/>
      <c r="F639" s="586"/>
      <c r="G639" s="243"/>
      <c r="H639" s="148"/>
      <c r="I639" s="251"/>
      <c r="J639" s="243"/>
      <c r="K639" s="148"/>
      <c r="L639" s="277"/>
      <c r="M639" s="252"/>
      <c r="N639" s="250"/>
      <c r="O639" s="253"/>
      <c r="P639" s="240"/>
      <c r="Q639" s="148"/>
      <c r="R639" s="148"/>
      <c r="S639" s="242"/>
      <c r="T639" s="242"/>
      <c r="U639" s="242"/>
      <c r="V639" s="242"/>
      <c r="W639" s="242"/>
      <c r="X639" s="242"/>
      <c r="Y639" s="148"/>
      <c r="Z639" s="148"/>
    </row>
    <row r="640">
      <c r="A640" s="148"/>
      <c r="B640" s="148"/>
      <c r="C640" s="148"/>
      <c r="D640" s="245"/>
      <c r="E640" s="585"/>
      <c r="F640" s="586"/>
      <c r="G640" s="243"/>
      <c r="H640" s="148"/>
      <c r="I640" s="251"/>
      <c r="J640" s="243"/>
      <c r="K640" s="148"/>
      <c r="L640" s="277"/>
      <c r="M640" s="252"/>
      <c r="N640" s="250"/>
      <c r="O640" s="253"/>
      <c r="P640" s="240"/>
      <c r="Q640" s="148"/>
      <c r="R640" s="148"/>
      <c r="S640" s="242"/>
      <c r="T640" s="242"/>
      <c r="U640" s="242"/>
      <c r="V640" s="242"/>
      <c r="W640" s="242"/>
      <c r="X640" s="242"/>
      <c r="Y640" s="148"/>
      <c r="Z640" s="148"/>
    </row>
    <row r="641">
      <c r="A641" s="148"/>
      <c r="B641" s="148"/>
      <c r="C641" s="148"/>
      <c r="D641" s="245"/>
      <c r="E641" s="585"/>
      <c r="F641" s="586"/>
      <c r="G641" s="243"/>
      <c r="H641" s="148"/>
      <c r="I641" s="251"/>
      <c r="J641" s="243"/>
      <c r="K641" s="148"/>
      <c r="L641" s="277"/>
      <c r="M641" s="252"/>
      <c r="N641" s="250"/>
      <c r="O641" s="253"/>
      <c r="P641" s="240"/>
      <c r="Q641" s="148"/>
      <c r="R641" s="148"/>
      <c r="S641" s="242"/>
      <c r="T641" s="242"/>
      <c r="U641" s="242"/>
      <c r="V641" s="242"/>
      <c r="W641" s="242"/>
      <c r="X641" s="242"/>
      <c r="Y641" s="148"/>
      <c r="Z641" s="148"/>
    </row>
    <row r="642">
      <c r="A642" s="148"/>
      <c r="B642" s="148"/>
      <c r="C642" s="148"/>
      <c r="D642" s="245"/>
      <c r="E642" s="585"/>
      <c r="F642" s="586"/>
      <c r="G642" s="243"/>
      <c r="H642" s="148"/>
      <c r="I642" s="251"/>
      <c r="J642" s="243"/>
      <c r="K642" s="148"/>
      <c r="L642" s="277"/>
      <c r="M642" s="252"/>
      <c r="N642" s="250"/>
      <c r="O642" s="253"/>
      <c r="P642" s="240"/>
      <c r="Q642" s="148"/>
      <c r="R642" s="148"/>
      <c r="S642" s="242"/>
      <c r="T642" s="242"/>
      <c r="U642" s="242"/>
      <c r="V642" s="242"/>
      <c r="W642" s="242"/>
      <c r="X642" s="242"/>
      <c r="Y642" s="148"/>
      <c r="Z642" s="148"/>
    </row>
    <row r="643">
      <c r="A643" s="148"/>
      <c r="B643" s="148"/>
      <c r="C643" s="148"/>
      <c r="D643" s="245"/>
      <c r="E643" s="585"/>
      <c r="F643" s="586"/>
      <c r="G643" s="243"/>
      <c r="H643" s="148"/>
      <c r="I643" s="251"/>
      <c r="J643" s="243"/>
      <c r="K643" s="148"/>
      <c r="L643" s="277"/>
      <c r="M643" s="252"/>
      <c r="N643" s="250"/>
      <c r="O643" s="253"/>
      <c r="P643" s="240"/>
      <c r="Q643" s="148"/>
      <c r="R643" s="148"/>
      <c r="S643" s="242"/>
      <c r="T643" s="242"/>
      <c r="U643" s="242"/>
      <c r="V643" s="242"/>
      <c r="W643" s="242"/>
      <c r="X643" s="242"/>
      <c r="Y643" s="148"/>
      <c r="Z643" s="148"/>
    </row>
    <row r="644">
      <c r="A644" s="148"/>
      <c r="B644" s="148"/>
      <c r="C644" s="148"/>
      <c r="D644" s="245"/>
      <c r="E644" s="585"/>
      <c r="F644" s="586"/>
      <c r="G644" s="243"/>
      <c r="H644" s="148"/>
      <c r="I644" s="251"/>
      <c r="J644" s="243"/>
      <c r="K644" s="148"/>
      <c r="L644" s="277"/>
      <c r="M644" s="252"/>
      <c r="N644" s="250"/>
      <c r="O644" s="253"/>
      <c r="P644" s="240"/>
      <c r="Q644" s="148"/>
      <c r="R644" s="148"/>
      <c r="S644" s="242"/>
      <c r="T644" s="242"/>
      <c r="U644" s="242"/>
      <c r="V644" s="242"/>
      <c r="W644" s="242"/>
      <c r="X644" s="242"/>
      <c r="Y644" s="148"/>
      <c r="Z644" s="148"/>
    </row>
    <row r="645">
      <c r="A645" s="148"/>
      <c r="B645" s="148"/>
      <c r="C645" s="148"/>
      <c r="D645" s="245"/>
      <c r="E645" s="585"/>
      <c r="F645" s="586"/>
      <c r="G645" s="243"/>
      <c r="H645" s="148"/>
      <c r="I645" s="251"/>
      <c r="J645" s="243"/>
      <c r="K645" s="148"/>
      <c r="L645" s="277"/>
      <c r="M645" s="252"/>
      <c r="N645" s="250"/>
      <c r="O645" s="253"/>
      <c r="P645" s="240"/>
      <c r="Q645" s="148"/>
      <c r="R645" s="148"/>
      <c r="S645" s="242"/>
      <c r="T645" s="242"/>
      <c r="U645" s="242"/>
      <c r="V645" s="242"/>
      <c r="W645" s="242"/>
      <c r="X645" s="242"/>
      <c r="Y645" s="148"/>
      <c r="Z645" s="148"/>
    </row>
    <row r="646">
      <c r="A646" s="148"/>
      <c r="B646" s="148"/>
      <c r="C646" s="148"/>
      <c r="D646" s="245"/>
      <c r="E646" s="585"/>
      <c r="F646" s="586"/>
      <c r="G646" s="243"/>
      <c r="H646" s="148"/>
      <c r="I646" s="251"/>
      <c r="J646" s="243"/>
      <c r="K646" s="148"/>
      <c r="L646" s="277"/>
      <c r="M646" s="252"/>
      <c r="N646" s="250"/>
      <c r="O646" s="253"/>
      <c r="P646" s="240"/>
      <c r="Q646" s="148"/>
      <c r="R646" s="148"/>
      <c r="S646" s="242"/>
      <c r="T646" s="242"/>
      <c r="U646" s="242"/>
      <c r="V646" s="242"/>
      <c r="W646" s="242"/>
      <c r="X646" s="242"/>
      <c r="Y646" s="148"/>
      <c r="Z646" s="148"/>
    </row>
    <row r="647">
      <c r="A647" s="148"/>
      <c r="B647" s="148"/>
      <c r="C647" s="148"/>
      <c r="D647" s="245"/>
      <c r="E647" s="585"/>
      <c r="F647" s="586"/>
      <c r="G647" s="243"/>
      <c r="H647" s="148"/>
      <c r="I647" s="251"/>
      <c r="J647" s="243"/>
      <c r="K647" s="148"/>
      <c r="L647" s="277"/>
      <c r="M647" s="252"/>
      <c r="N647" s="250"/>
      <c r="O647" s="253"/>
      <c r="P647" s="240"/>
      <c r="Q647" s="148"/>
      <c r="R647" s="148"/>
      <c r="S647" s="242"/>
      <c r="T647" s="242"/>
      <c r="U647" s="242"/>
      <c r="V647" s="242"/>
      <c r="W647" s="242"/>
      <c r="X647" s="242"/>
      <c r="Y647" s="148"/>
      <c r="Z647" s="148"/>
    </row>
    <row r="648">
      <c r="A648" s="148"/>
      <c r="B648" s="148"/>
      <c r="C648" s="148"/>
      <c r="D648" s="245"/>
      <c r="E648" s="585"/>
      <c r="F648" s="586"/>
      <c r="G648" s="243"/>
      <c r="H648" s="148"/>
      <c r="I648" s="251"/>
      <c r="J648" s="243"/>
      <c r="K648" s="148"/>
      <c r="L648" s="277"/>
      <c r="M648" s="252"/>
      <c r="N648" s="250"/>
      <c r="O648" s="253"/>
      <c r="P648" s="240"/>
      <c r="Q648" s="148"/>
      <c r="R648" s="148"/>
      <c r="S648" s="242"/>
      <c r="T648" s="242"/>
      <c r="U648" s="242"/>
      <c r="V648" s="242"/>
      <c r="W648" s="242"/>
      <c r="X648" s="242"/>
      <c r="Y648" s="148"/>
      <c r="Z648" s="148"/>
    </row>
    <row r="649">
      <c r="A649" s="148"/>
      <c r="B649" s="148"/>
      <c r="C649" s="148"/>
      <c r="D649" s="245"/>
      <c r="E649" s="585"/>
      <c r="F649" s="586"/>
      <c r="G649" s="243"/>
      <c r="H649" s="148"/>
      <c r="I649" s="251"/>
      <c r="J649" s="243"/>
      <c r="K649" s="148"/>
      <c r="L649" s="277"/>
      <c r="M649" s="252"/>
      <c r="N649" s="250"/>
      <c r="O649" s="253"/>
      <c r="P649" s="240"/>
      <c r="Q649" s="148"/>
      <c r="R649" s="148"/>
      <c r="S649" s="242"/>
      <c r="T649" s="242"/>
      <c r="U649" s="242"/>
      <c r="V649" s="242"/>
      <c r="W649" s="242"/>
      <c r="X649" s="242"/>
      <c r="Y649" s="148"/>
      <c r="Z649" s="148"/>
    </row>
    <row r="650">
      <c r="A650" s="148"/>
      <c r="B650" s="148"/>
      <c r="C650" s="148"/>
      <c r="D650" s="245"/>
      <c r="E650" s="585"/>
      <c r="F650" s="586"/>
      <c r="G650" s="243"/>
      <c r="H650" s="148"/>
      <c r="I650" s="251"/>
      <c r="J650" s="243"/>
      <c r="K650" s="148"/>
      <c r="L650" s="277"/>
      <c r="M650" s="252"/>
      <c r="N650" s="250"/>
      <c r="O650" s="253"/>
      <c r="P650" s="240"/>
      <c r="Q650" s="148"/>
      <c r="R650" s="148"/>
      <c r="S650" s="242"/>
      <c r="T650" s="242"/>
      <c r="U650" s="242"/>
      <c r="V650" s="242"/>
      <c r="W650" s="242"/>
      <c r="X650" s="242"/>
      <c r="Y650" s="148"/>
      <c r="Z650" s="148"/>
    </row>
    <row r="651">
      <c r="A651" s="148"/>
      <c r="B651" s="148"/>
      <c r="C651" s="148"/>
      <c r="D651" s="245"/>
      <c r="E651" s="585"/>
      <c r="F651" s="586"/>
      <c r="G651" s="243"/>
      <c r="H651" s="148"/>
      <c r="I651" s="251"/>
      <c r="J651" s="243"/>
      <c r="K651" s="148"/>
      <c r="L651" s="277"/>
      <c r="M651" s="252"/>
      <c r="N651" s="250"/>
      <c r="O651" s="253"/>
      <c r="P651" s="240"/>
      <c r="Q651" s="148"/>
      <c r="R651" s="148"/>
      <c r="S651" s="242"/>
      <c r="T651" s="242"/>
      <c r="U651" s="242"/>
      <c r="V651" s="242"/>
      <c r="W651" s="242"/>
      <c r="X651" s="242"/>
      <c r="Y651" s="148"/>
      <c r="Z651" s="148"/>
    </row>
    <row r="652">
      <c r="A652" s="148"/>
      <c r="B652" s="148"/>
      <c r="C652" s="148"/>
      <c r="D652" s="245"/>
      <c r="E652" s="585"/>
      <c r="F652" s="586"/>
      <c r="G652" s="243"/>
      <c r="H652" s="148"/>
      <c r="I652" s="251"/>
      <c r="J652" s="243"/>
      <c r="K652" s="148"/>
      <c r="L652" s="277"/>
      <c r="M652" s="252"/>
      <c r="N652" s="250"/>
      <c r="O652" s="253"/>
      <c r="P652" s="240"/>
      <c r="Q652" s="148"/>
      <c r="R652" s="148"/>
      <c r="S652" s="242"/>
      <c r="T652" s="242"/>
      <c r="U652" s="242"/>
      <c r="V652" s="242"/>
      <c r="W652" s="242"/>
      <c r="X652" s="242"/>
      <c r="Y652" s="148"/>
      <c r="Z652" s="148"/>
    </row>
    <row r="653">
      <c r="A653" s="148"/>
      <c r="B653" s="148"/>
      <c r="C653" s="148"/>
      <c r="D653" s="245"/>
      <c r="E653" s="585"/>
      <c r="F653" s="586"/>
      <c r="G653" s="243"/>
      <c r="H653" s="148"/>
      <c r="I653" s="251"/>
      <c r="J653" s="243"/>
      <c r="K653" s="148"/>
      <c r="L653" s="277"/>
      <c r="M653" s="252"/>
      <c r="N653" s="250"/>
      <c r="O653" s="253"/>
      <c r="P653" s="240"/>
      <c r="Q653" s="148"/>
      <c r="R653" s="148"/>
      <c r="S653" s="242"/>
      <c r="T653" s="242"/>
      <c r="U653" s="242"/>
      <c r="V653" s="242"/>
      <c r="W653" s="242"/>
      <c r="X653" s="242"/>
      <c r="Y653" s="148"/>
      <c r="Z653" s="148"/>
    </row>
    <row r="654">
      <c r="A654" s="148"/>
      <c r="B654" s="148"/>
      <c r="C654" s="148"/>
      <c r="D654" s="245"/>
      <c r="E654" s="585"/>
      <c r="F654" s="586"/>
      <c r="G654" s="243"/>
      <c r="H654" s="148"/>
      <c r="I654" s="251"/>
      <c r="J654" s="243"/>
      <c r="K654" s="148"/>
      <c r="L654" s="277"/>
      <c r="M654" s="252"/>
      <c r="N654" s="250"/>
      <c r="O654" s="253"/>
      <c r="P654" s="240"/>
      <c r="Q654" s="148"/>
      <c r="R654" s="148"/>
      <c r="S654" s="242"/>
      <c r="T654" s="242"/>
      <c r="U654" s="242"/>
      <c r="V654" s="242"/>
      <c r="W654" s="242"/>
      <c r="X654" s="242"/>
      <c r="Y654" s="148"/>
      <c r="Z654" s="148"/>
    </row>
    <row r="655">
      <c r="A655" s="148"/>
      <c r="B655" s="148"/>
      <c r="C655" s="148"/>
      <c r="D655" s="245"/>
      <c r="E655" s="585"/>
      <c r="F655" s="586"/>
      <c r="G655" s="243"/>
      <c r="H655" s="148"/>
      <c r="I655" s="251"/>
      <c r="J655" s="243"/>
      <c r="K655" s="148"/>
      <c r="L655" s="277"/>
      <c r="M655" s="252"/>
      <c r="N655" s="250"/>
      <c r="O655" s="253"/>
      <c r="P655" s="240"/>
      <c r="Q655" s="148"/>
      <c r="R655" s="148"/>
      <c r="S655" s="242"/>
      <c r="T655" s="242"/>
      <c r="U655" s="242"/>
      <c r="V655" s="242"/>
      <c r="W655" s="242"/>
      <c r="X655" s="242"/>
      <c r="Y655" s="148"/>
      <c r="Z655" s="148"/>
    </row>
    <row r="656">
      <c r="A656" s="148"/>
      <c r="B656" s="148"/>
      <c r="C656" s="148"/>
      <c r="D656" s="245"/>
      <c r="E656" s="585"/>
      <c r="F656" s="586"/>
      <c r="G656" s="243"/>
      <c r="H656" s="148"/>
      <c r="I656" s="251"/>
      <c r="J656" s="243"/>
      <c r="K656" s="148"/>
      <c r="L656" s="277"/>
      <c r="M656" s="252"/>
      <c r="N656" s="250"/>
      <c r="O656" s="253"/>
      <c r="P656" s="240"/>
      <c r="Q656" s="148"/>
      <c r="R656" s="148"/>
      <c r="S656" s="242"/>
      <c r="T656" s="242"/>
      <c r="U656" s="242"/>
      <c r="V656" s="242"/>
      <c r="W656" s="242"/>
      <c r="X656" s="242"/>
      <c r="Y656" s="148"/>
      <c r="Z656" s="148"/>
    </row>
    <row r="657">
      <c r="A657" s="148"/>
      <c r="B657" s="148"/>
      <c r="C657" s="148"/>
      <c r="D657" s="245"/>
      <c r="E657" s="585"/>
      <c r="F657" s="586"/>
      <c r="G657" s="243"/>
      <c r="H657" s="148"/>
      <c r="I657" s="251"/>
      <c r="J657" s="243"/>
      <c r="K657" s="148"/>
      <c r="L657" s="277"/>
      <c r="M657" s="252"/>
      <c r="N657" s="250"/>
      <c r="O657" s="253"/>
      <c r="P657" s="240"/>
      <c r="Q657" s="148"/>
      <c r="R657" s="148"/>
      <c r="S657" s="242"/>
      <c r="T657" s="242"/>
      <c r="U657" s="242"/>
      <c r="V657" s="242"/>
      <c r="W657" s="242"/>
      <c r="X657" s="242"/>
      <c r="Y657" s="148"/>
      <c r="Z657" s="148"/>
    </row>
    <row r="658">
      <c r="A658" s="148"/>
      <c r="B658" s="148"/>
      <c r="C658" s="148"/>
      <c r="D658" s="245"/>
      <c r="E658" s="585"/>
      <c r="F658" s="586"/>
      <c r="G658" s="243"/>
      <c r="H658" s="148"/>
      <c r="I658" s="251"/>
      <c r="J658" s="243"/>
      <c r="K658" s="148"/>
      <c r="L658" s="277"/>
      <c r="M658" s="252"/>
      <c r="N658" s="250"/>
      <c r="O658" s="253"/>
      <c r="P658" s="240"/>
      <c r="Q658" s="148"/>
      <c r="R658" s="148"/>
      <c r="S658" s="242"/>
      <c r="T658" s="242"/>
      <c r="U658" s="242"/>
      <c r="V658" s="242"/>
      <c r="W658" s="242"/>
      <c r="X658" s="242"/>
      <c r="Y658" s="148"/>
      <c r="Z658" s="148"/>
    </row>
    <row r="659">
      <c r="A659" s="148"/>
      <c r="B659" s="148"/>
      <c r="C659" s="148"/>
      <c r="D659" s="245"/>
      <c r="E659" s="585"/>
      <c r="F659" s="586"/>
      <c r="G659" s="243"/>
      <c r="H659" s="148"/>
      <c r="I659" s="251"/>
      <c r="J659" s="243"/>
      <c r="K659" s="148"/>
      <c r="L659" s="277"/>
      <c r="M659" s="252"/>
      <c r="N659" s="250"/>
      <c r="O659" s="253"/>
      <c r="P659" s="240"/>
      <c r="Q659" s="148"/>
      <c r="R659" s="148"/>
      <c r="S659" s="242"/>
      <c r="T659" s="242"/>
      <c r="U659" s="242"/>
      <c r="V659" s="242"/>
      <c r="W659" s="242"/>
      <c r="X659" s="242"/>
      <c r="Y659" s="148"/>
      <c r="Z659" s="148"/>
    </row>
    <row r="660">
      <c r="A660" s="148"/>
      <c r="B660" s="148"/>
      <c r="C660" s="148"/>
      <c r="D660" s="245"/>
      <c r="E660" s="585"/>
      <c r="F660" s="586"/>
      <c r="G660" s="243"/>
      <c r="H660" s="148"/>
      <c r="I660" s="251"/>
      <c r="J660" s="243"/>
      <c r="K660" s="148"/>
      <c r="L660" s="277"/>
      <c r="M660" s="252"/>
      <c r="N660" s="250"/>
      <c r="O660" s="253"/>
      <c r="P660" s="240"/>
      <c r="Q660" s="148"/>
      <c r="R660" s="148"/>
      <c r="S660" s="242"/>
      <c r="T660" s="242"/>
      <c r="U660" s="242"/>
      <c r="V660" s="242"/>
      <c r="W660" s="242"/>
      <c r="X660" s="242"/>
      <c r="Y660" s="148"/>
      <c r="Z660" s="148"/>
    </row>
  </sheetData>
  <mergeCells count="466">
    <mergeCell ref="M238:N238"/>
    <mergeCell ref="M239:N239"/>
    <mergeCell ref="M240:N240"/>
    <mergeCell ref="M237:N237"/>
    <mergeCell ref="M241:N241"/>
    <mergeCell ref="M242:N242"/>
    <mergeCell ref="M244:N244"/>
    <mergeCell ref="M245:N245"/>
    <mergeCell ref="M248:N248"/>
    <mergeCell ref="M249:N249"/>
    <mergeCell ref="M252:N252"/>
    <mergeCell ref="M253:N253"/>
    <mergeCell ref="M254:N254"/>
    <mergeCell ref="M255:N255"/>
    <mergeCell ref="M256:N256"/>
    <mergeCell ref="M257:N257"/>
    <mergeCell ref="M258:N258"/>
    <mergeCell ref="M259:N259"/>
    <mergeCell ref="M260:N260"/>
    <mergeCell ref="M261:N261"/>
    <mergeCell ref="M262:N262"/>
    <mergeCell ref="M263:N263"/>
    <mergeCell ref="M264:N264"/>
    <mergeCell ref="M265:N265"/>
    <mergeCell ref="A282:B282"/>
    <mergeCell ref="M282:N282"/>
    <mergeCell ref="A285:B286"/>
    <mergeCell ref="M285:N285"/>
    <mergeCell ref="M286:N286"/>
    <mergeCell ref="M266:N266"/>
    <mergeCell ref="G274:H274"/>
    <mergeCell ref="J275:J276"/>
    <mergeCell ref="O275:O276"/>
    <mergeCell ref="A276:B276"/>
    <mergeCell ref="A278:B278"/>
    <mergeCell ref="A280:B280"/>
    <mergeCell ref="M289:N289"/>
    <mergeCell ref="M290:N290"/>
    <mergeCell ref="M277:N277"/>
    <mergeCell ref="M278:N278"/>
    <mergeCell ref="M279:N279"/>
    <mergeCell ref="M276:N276"/>
    <mergeCell ref="M280:N280"/>
    <mergeCell ref="M281:N281"/>
    <mergeCell ref="M283:N283"/>
    <mergeCell ref="M284:N284"/>
    <mergeCell ref="M287:N287"/>
    <mergeCell ref="M288:N288"/>
    <mergeCell ref="M291:N291"/>
    <mergeCell ref="M292:N292"/>
    <mergeCell ref="M293:N293"/>
    <mergeCell ref="M294:N294"/>
    <mergeCell ref="M295:N295"/>
    <mergeCell ref="M296:N296"/>
    <mergeCell ref="M297:N297"/>
    <mergeCell ref="M298:N298"/>
    <mergeCell ref="M299:N299"/>
    <mergeCell ref="M300:N300"/>
    <mergeCell ref="M301:N301"/>
    <mergeCell ref="M302:N302"/>
    <mergeCell ref="M303:N303"/>
    <mergeCell ref="M304:N304"/>
    <mergeCell ref="A321:B321"/>
    <mergeCell ref="M321:N321"/>
    <mergeCell ref="A324:B325"/>
    <mergeCell ref="M324:N324"/>
    <mergeCell ref="M325:N325"/>
    <mergeCell ref="M305:N305"/>
    <mergeCell ref="G313:H313"/>
    <mergeCell ref="J314:J315"/>
    <mergeCell ref="O314:O315"/>
    <mergeCell ref="A315:B315"/>
    <mergeCell ref="A317:B317"/>
    <mergeCell ref="A319:B319"/>
    <mergeCell ref="M328:N328"/>
    <mergeCell ref="M329:N329"/>
    <mergeCell ref="M330:N330"/>
    <mergeCell ref="M331:N331"/>
    <mergeCell ref="M332:N332"/>
    <mergeCell ref="M333:N333"/>
    <mergeCell ref="M334:N334"/>
    <mergeCell ref="M335:N335"/>
    <mergeCell ref="M336:N336"/>
    <mergeCell ref="M337:N337"/>
    <mergeCell ref="M338:N338"/>
    <mergeCell ref="M339:N339"/>
    <mergeCell ref="M340:N340"/>
    <mergeCell ref="M341:N341"/>
    <mergeCell ref="M354:N354"/>
    <mergeCell ref="M355:N355"/>
    <mergeCell ref="A358:B358"/>
    <mergeCell ref="M358:N358"/>
    <mergeCell ref="A360:B360"/>
    <mergeCell ref="M360:N360"/>
    <mergeCell ref="A363:B364"/>
    <mergeCell ref="M363:N363"/>
    <mergeCell ref="M364:N364"/>
    <mergeCell ref="M342:N342"/>
    <mergeCell ref="M343:N343"/>
    <mergeCell ref="M344:N344"/>
    <mergeCell ref="G352:H352"/>
    <mergeCell ref="J353:J354"/>
    <mergeCell ref="A354:B354"/>
    <mergeCell ref="A356:B356"/>
    <mergeCell ref="O353:O354"/>
    <mergeCell ref="M356:N356"/>
    <mergeCell ref="M357:N357"/>
    <mergeCell ref="M359:N359"/>
    <mergeCell ref="M361:N361"/>
    <mergeCell ref="M362:N362"/>
    <mergeCell ref="M365:N365"/>
    <mergeCell ref="M366:N366"/>
    <mergeCell ref="M367:N367"/>
    <mergeCell ref="M368:N368"/>
    <mergeCell ref="M369:N369"/>
    <mergeCell ref="M370:N370"/>
    <mergeCell ref="M371:N371"/>
    <mergeCell ref="M372:N372"/>
    <mergeCell ref="M373:N373"/>
    <mergeCell ref="M374:N374"/>
    <mergeCell ref="M375:N375"/>
    <mergeCell ref="M376:N376"/>
    <mergeCell ref="M377:N377"/>
    <mergeCell ref="M378:N378"/>
    <mergeCell ref="M379:N379"/>
    <mergeCell ref="A434:B434"/>
    <mergeCell ref="A436:B436"/>
    <mergeCell ref="A438:B438"/>
    <mergeCell ref="A441:B442"/>
    <mergeCell ref="A469:B469"/>
    <mergeCell ref="D469:E469"/>
    <mergeCell ref="J431:J432"/>
    <mergeCell ref="O431:O432"/>
    <mergeCell ref="A432:B432"/>
    <mergeCell ref="M432:N432"/>
    <mergeCell ref="M433:N433"/>
    <mergeCell ref="M434:N434"/>
    <mergeCell ref="M435:N435"/>
    <mergeCell ref="M436:N436"/>
    <mergeCell ref="M437:N437"/>
    <mergeCell ref="M438:N438"/>
    <mergeCell ref="M439:N439"/>
    <mergeCell ref="M440:N440"/>
    <mergeCell ref="M441:N441"/>
    <mergeCell ref="M442:N442"/>
    <mergeCell ref="M443:N443"/>
    <mergeCell ref="M444:N444"/>
    <mergeCell ref="M445:N445"/>
    <mergeCell ref="M446:N446"/>
    <mergeCell ref="M447:N447"/>
    <mergeCell ref="M448:N448"/>
    <mergeCell ref="M449:N449"/>
    <mergeCell ref="M450:N450"/>
    <mergeCell ref="M451:N451"/>
    <mergeCell ref="M452:N452"/>
    <mergeCell ref="M453:N453"/>
    <mergeCell ref="M454:N454"/>
    <mergeCell ref="M455:N455"/>
    <mergeCell ref="M456:N456"/>
    <mergeCell ref="G495:I495"/>
    <mergeCell ref="G496:I496"/>
    <mergeCell ref="J496:K496"/>
    <mergeCell ref="A500:E500"/>
    <mergeCell ref="A505:D505"/>
    <mergeCell ref="M457:N457"/>
    <mergeCell ref="M458:N458"/>
    <mergeCell ref="M459:N459"/>
    <mergeCell ref="M460:N460"/>
    <mergeCell ref="M461:N461"/>
    <mergeCell ref="A494:N494"/>
    <mergeCell ref="J495:K495"/>
    <mergeCell ref="O392:O393"/>
    <mergeCell ref="M393:N393"/>
    <mergeCell ref="M394:N394"/>
    <mergeCell ref="M396:N396"/>
    <mergeCell ref="M398:N398"/>
    <mergeCell ref="M400:N400"/>
    <mergeCell ref="M401:N401"/>
    <mergeCell ref="M380:N380"/>
    <mergeCell ref="M381:N381"/>
    <mergeCell ref="M382:N382"/>
    <mergeCell ref="M383:N383"/>
    <mergeCell ref="G391:H391"/>
    <mergeCell ref="J392:J393"/>
    <mergeCell ref="A393:B393"/>
    <mergeCell ref="A406:B406"/>
    <mergeCell ref="M406:N406"/>
    <mergeCell ref="A395:B395"/>
    <mergeCell ref="M395:N395"/>
    <mergeCell ref="A397:B397"/>
    <mergeCell ref="M397:N397"/>
    <mergeCell ref="A399:B399"/>
    <mergeCell ref="M399:N399"/>
    <mergeCell ref="A402:B403"/>
    <mergeCell ref="M402:N402"/>
    <mergeCell ref="M403:N403"/>
    <mergeCell ref="M404:N404"/>
    <mergeCell ref="M405:N405"/>
    <mergeCell ref="M407:N407"/>
    <mergeCell ref="M408:N408"/>
    <mergeCell ref="M409:N409"/>
    <mergeCell ref="M410:N410"/>
    <mergeCell ref="M411:N411"/>
    <mergeCell ref="M412:N412"/>
    <mergeCell ref="M413:N413"/>
    <mergeCell ref="M414:N414"/>
    <mergeCell ref="M415:N415"/>
    <mergeCell ref="M416:N416"/>
    <mergeCell ref="M417:N417"/>
    <mergeCell ref="M418:N418"/>
    <mergeCell ref="M419:N419"/>
    <mergeCell ref="M420:N420"/>
    <mergeCell ref="M421:N421"/>
    <mergeCell ref="M422:N422"/>
    <mergeCell ref="G430:H430"/>
    <mergeCell ref="M5:N5"/>
    <mergeCell ref="M6:N6"/>
    <mergeCell ref="A9:B9"/>
    <mergeCell ref="M9:N9"/>
    <mergeCell ref="A12:B13"/>
    <mergeCell ref="M12:N12"/>
    <mergeCell ref="M13:N13"/>
    <mergeCell ref="G1:H1"/>
    <mergeCell ref="J2:J3"/>
    <mergeCell ref="O2:O3"/>
    <mergeCell ref="A3:B3"/>
    <mergeCell ref="M3:N3"/>
    <mergeCell ref="A5:B5"/>
    <mergeCell ref="A7:B7"/>
    <mergeCell ref="M4:N4"/>
    <mergeCell ref="M7:N7"/>
    <mergeCell ref="M8:N8"/>
    <mergeCell ref="M10:N10"/>
    <mergeCell ref="M11:N11"/>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O41:O42"/>
    <mergeCell ref="M44:N44"/>
    <mergeCell ref="A46:B46"/>
    <mergeCell ref="M46:N46"/>
    <mergeCell ref="A48:B48"/>
    <mergeCell ref="M48:N48"/>
    <mergeCell ref="A51:B52"/>
    <mergeCell ref="M51:N51"/>
    <mergeCell ref="M52:N52"/>
    <mergeCell ref="M30:N30"/>
    <mergeCell ref="M31:N31"/>
    <mergeCell ref="M32:N32"/>
    <mergeCell ref="G40:H40"/>
    <mergeCell ref="J41:J42"/>
    <mergeCell ref="A42:B42"/>
    <mergeCell ref="A44:B44"/>
    <mergeCell ref="M42:N42"/>
    <mergeCell ref="M43:N43"/>
    <mergeCell ref="M45:N45"/>
    <mergeCell ref="M47:N47"/>
    <mergeCell ref="M49:N49"/>
    <mergeCell ref="M50:N50"/>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O80:O81"/>
    <mergeCell ref="M81:N81"/>
    <mergeCell ref="M82:N82"/>
    <mergeCell ref="M84:N84"/>
    <mergeCell ref="M86:N86"/>
    <mergeCell ref="M88:N88"/>
    <mergeCell ref="M89:N89"/>
    <mergeCell ref="M68:N68"/>
    <mergeCell ref="M69:N69"/>
    <mergeCell ref="M70:N70"/>
    <mergeCell ref="M71:N71"/>
    <mergeCell ref="G79:H79"/>
    <mergeCell ref="J80:J81"/>
    <mergeCell ref="A81:B81"/>
    <mergeCell ref="A83:B83"/>
    <mergeCell ref="M83:N83"/>
    <mergeCell ref="A85:B85"/>
    <mergeCell ref="M85:N85"/>
    <mergeCell ref="A87:B87"/>
    <mergeCell ref="M87:N87"/>
    <mergeCell ref="A90:B91"/>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A126:B126"/>
    <mergeCell ref="M126:N126"/>
    <mergeCell ref="A129:B130"/>
    <mergeCell ref="M129:N129"/>
    <mergeCell ref="M130:N130"/>
    <mergeCell ref="G118:H118"/>
    <mergeCell ref="J119:J120"/>
    <mergeCell ref="O119:O120"/>
    <mergeCell ref="A120:B120"/>
    <mergeCell ref="M120:N120"/>
    <mergeCell ref="A122:B122"/>
    <mergeCell ref="A124:B124"/>
    <mergeCell ref="M133:N133"/>
    <mergeCell ref="M134:N134"/>
    <mergeCell ref="M122:N122"/>
    <mergeCell ref="M123:N123"/>
    <mergeCell ref="M121:N121"/>
    <mergeCell ref="M124:N124"/>
    <mergeCell ref="M125:N125"/>
    <mergeCell ref="M127:N127"/>
    <mergeCell ref="M128:N128"/>
    <mergeCell ref="M131:N131"/>
    <mergeCell ref="M132:N132"/>
    <mergeCell ref="M135:N135"/>
    <mergeCell ref="M136:N136"/>
    <mergeCell ref="M137:N137"/>
    <mergeCell ref="M138:N138"/>
    <mergeCell ref="M139:N139"/>
    <mergeCell ref="M140:N140"/>
    <mergeCell ref="M141:N141"/>
    <mergeCell ref="M142:N142"/>
    <mergeCell ref="M143:N143"/>
    <mergeCell ref="M144:N144"/>
    <mergeCell ref="M145:N145"/>
    <mergeCell ref="M146:N146"/>
    <mergeCell ref="M147:N147"/>
    <mergeCell ref="M148:N148"/>
    <mergeCell ref="A165:B165"/>
    <mergeCell ref="M165:N165"/>
    <mergeCell ref="A168:B169"/>
    <mergeCell ref="M168:N168"/>
    <mergeCell ref="M169:N169"/>
    <mergeCell ref="M149:N149"/>
    <mergeCell ref="G157:H157"/>
    <mergeCell ref="J158:J159"/>
    <mergeCell ref="O158:O159"/>
    <mergeCell ref="A159:B159"/>
    <mergeCell ref="A161:B161"/>
    <mergeCell ref="A163:B163"/>
    <mergeCell ref="M172:N172"/>
    <mergeCell ref="M173:N173"/>
    <mergeCell ref="M160:N160"/>
    <mergeCell ref="M161:N161"/>
    <mergeCell ref="M162:N162"/>
    <mergeCell ref="M159:N159"/>
    <mergeCell ref="M163:N163"/>
    <mergeCell ref="M164:N164"/>
    <mergeCell ref="M166:N166"/>
    <mergeCell ref="M167:N167"/>
    <mergeCell ref="M170:N170"/>
    <mergeCell ref="M171:N171"/>
    <mergeCell ref="M174:N174"/>
    <mergeCell ref="M175:N175"/>
    <mergeCell ref="M176:N176"/>
    <mergeCell ref="M177:N177"/>
    <mergeCell ref="M178:N178"/>
    <mergeCell ref="M179:N179"/>
    <mergeCell ref="M180:N180"/>
    <mergeCell ref="M181:N181"/>
    <mergeCell ref="M182:N182"/>
    <mergeCell ref="M183:N183"/>
    <mergeCell ref="M184:N184"/>
    <mergeCell ref="M185:N185"/>
    <mergeCell ref="M186:N186"/>
    <mergeCell ref="M187:N187"/>
    <mergeCell ref="A204:B204"/>
    <mergeCell ref="M204:N204"/>
    <mergeCell ref="A207:B208"/>
    <mergeCell ref="M207:N207"/>
    <mergeCell ref="M208:N208"/>
    <mergeCell ref="M188:N188"/>
    <mergeCell ref="G196:H196"/>
    <mergeCell ref="J197:J198"/>
    <mergeCell ref="O197:O198"/>
    <mergeCell ref="A198:B198"/>
    <mergeCell ref="A200:B200"/>
    <mergeCell ref="A202:B202"/>
    <mergeCell ref="M211:N211"/>
    <mergeCell ref="M212:N212"/>
    <mergeCell ref="M199:N199"/>
    <mergeCell ref="M200:N200"/>
    <mergeCell ref="M201:N201"/>
    <mergeCell ref="M198:N198"/>
    <mergeCell ref="M202:N202"/>
    <mergeCell ref="M203:N203"/>
    <mergeCell ref="M205:N205"/>
    <mergeCell ref="M206:N206"/>
    <mergeCell ref="M209:N209"/>
    <mergeCell ref="M210:N210"/>
    <mergeCell ref="M213:N213"/>
    <mergeCell ref="M214:N214"/>
    <mergeCell ref="M215:N215"/>
    <mergeCell ref="M216:N216"/>
    <mergeCell ref="M217:N217"/>
    <mergeCell ref="M218:N218"/>
    <mergeCell ref="M219:N219"/>
    <mergeCell ref="M220:N220"/>
    <mergeCell ref="M221:N221"/>
    <mergeCell ref="M222:N222"/>
    <mergeCell ref="M223:N223"/>
    <mergeCell ref="M224:N224"/>
    <mergeCell ref="M225:N225"/>
    <mergeCell ref="M226:N226"/>
    <mergeCell ref="A243:B243"/>
    <mergeCell ref="M243:N243"/>
    <mergeCell ref="A246:B247"/>
    <mergeCell ref="M246:N246"/>
    <mergeCell ref="M247:N247"/>
    <mergeCell ref="M227:N227"/>
    <mergeCell ref="G235:H235"/>
    <mergeCell ref="J236:J237"/>
    <mergeCell ref="O236:O237"/>
    <mergeCell ref="A237:B237"/>
    <mergeCell ref="A239:B239"/>
    <mergeCell ref="A241:B241"/>
    <mergeCell ref="M250:N250"/>
    <mergeCell ref="M251:N251"/>
    <mergeCell ref="M316:N316"/>
    <mergeCell ref="M317:N317"/>
    <mergeCell ref="M318:N318"/>
    <mergeCell ref="M315:N315"/>
    <mergeCell ref="M319:N319"/>
    <mergeCell ref="M320:N320"/>
    <mergeCell ref="M322:N322"/>
    <mergeCell ref="M323:N323"/>
    <mergeCell ref="M326:N326"/>
    <mergeCell ref="M327:N327"/>
  </mergeCells>
  <conditionalFormatting sqref="B18:B19 B43 B45 B47 B49:B50 B53:B65 B67:B80 B82 B84 B92:B119 B121 B123 B125 B127:B128 B131:B158 B160 B162 B164 B166:B167 B170:B197 B199 B201 B203 B205:B206 B209:B236 B238 B240 B242 B244:B245 B248:B275 B277 B279 B281 B283:B284 B287:B314 B316 B318 B320 B322:B323 B326:B353 B355 B357 B359 B361:B362 B365:B392 B394 B396 B398 B400:B401 B404:B405 B407:B431 B433 B435 B437 B439:B440 B443:B468 B470:B493 B496:B497 B554:B660">
    <cfRule type="notContainsBlanks" dxfId="0" priority="1">
      <formula>LEN(TRIM(B18))&gt;0</formula>
    </cfRule>
  </conditionalFormatting>
  <conditionalFormatting sqref="P1:P11 P25:P50 P64:P77 P79:P89 P103:P116 P118:P128 P142:P155 P157:P167 P181:P194 P196:P206 P220:P233 P235:P245 P259:P272 P274:P284 P298:P311 P313:P315 P321:P323 P337:P350 P352:P362 P376:P389 P391:P401 P415:P428 P430:P440 P454:P467">
    <cfRule type="notContainsBlanks" dxfId="0" priority="2">
      <formula>LEN(TRIM(P1))&gt;0</formula>
    </cfRule>
  </conditionalFormatting>
  <conditionalFormatting sqref="D1:D468 D488:D493 D496:D497 D554:D660">
    <cfRule type="notContainsBlanks" dxfId="0" priority="3">
      <formula>LEN(TRIM(D1))&gt;0</formula>
    </cfRule>
  </conditionalFormatting>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22.88"/>
    <col customWidth="1" min="2" max="2" width="2.75"/>
    <col customWidth="1" min="3" max="3" width="2.63"/>
    <col customWidth="1" min="4" max="4" width="9.5"/>
    <col customWidth="1" min="5" max="5" width="13.63"/>
    <col customWidth="1" min="6" max="6" width="8.38"/>
    <col customWidth="1" min="7" max="7" width="12.38"/>
    <col customWidth="1" min="8" max="8" width="9.38"/>
    <col customWidth="1" min="9" max="9" width="3.75"/>
    <col customWidth="1" min="10" max="10" width="3.88"/>
    <col customWidth="1" min="11" max="11" width="1.25"/>
    <col customWidth="1" min="12" max="12" width="16.5"/>
    <col customWidth="1" min="13" max="13" width="0.5"/>
    <col customWidth="1" min="14" max="14" width="8.13"/>
    <col customWidth="1" min="15" max="15" width="10.0"/>
    <col customWidth="1" min="16" max="16" width="11.75"/>
    <col customWidth="1" min="17" max="17" width="12.75"/>
    <col customWidth="1" min="18" max="18" width="8.88"/>
    <col customWidth="1" min="19" max="19" width="1.63"/>
    <col customWidth="1" min="20" max="20" width="1.75"/>
    <col customWidth="1" min="21" max="21" width="2.13"/>
    <col customWidth="1" min="22" max="22" width="8.13"/>
    <col customWidth="1" min="23" max="23" width="9.5"/>
    <col customWidth="1" min="24" max="24" width="9.75"/>
    <col customWidth="1" min="25" max="25" width="5.75"/>
    <col customWidth="1" min="26" max="26" width="11.13"/>
    <col customWidth="1" min="27" max="27" width="6.88"/>
    <col customWidth="1" min="28" max="28" width="9.0"/>
  </cols>
  <sheetData>
    <row r="1">
      <c r="A1" s="169" t="s">
        <v>113</v>
      </c>
      <c r="B1" s="705"/>
      <c r="C1" s="705"/>
      <c r="D1" s="539"/>
      <c r="E1" s="540"/>
      <c r="F1" s="405"/>
      <c r="G1" s="541"/>
      <c r="H1" s="542"/>
      <c r="I1" s="467" t="s">
        <v>333</v>
      </c>
      <c r="J1" s="361"/>
      <c r="K1" s="57"/>
      <c r="L1" s="105"/>
      <c r="M1" s="57"/>
      <c r="N1" s="150"/>
      <c r="O1" s="239"/>
      <c r="P1" s="239"/>
      <c r="Q1" s="57"/>
      <c r="R1" s="157"/>
      <c r="S1" s="404"/>
      <c r="T1" s="57"/>
      <c r="U1" s="394"/>
      <c r="V1" s="394"/>
      <c r="W1" s="394"/>
      <c r="X1" s="394"/>
      <c r="Y1" s="394"/>
      <c r="Z1" s="394"/>
      <c r="AA1" s="395"/>
      <c r="AB1" s="395"/>
    </row>
    <row r="2">
      <c r="A2" s="468"/>
      <c r="B2" s="406"/>
      <c r="C2" s="406"/>
      <c r="D2" s="157"/>
      <c r="E2" s="466"/>
      <c r="F2" s="405"/>
      <c r="G2" s="543" t="s">
        <v>335</v>
      </c>
      <c r="H2" s="544" t="s">
        <v>237</v>
      </c>
      <c r="I2" s="412" t="s">
        <v>336</v>
      </c>
      <c r="J2" s="413" t="s">
        <v>337</v>
      </c>
      <c r="K2" s="239"/>
      <c r="L2" s="145" t="s">
        <v>60</v>
      </c>
      <c r="M2" s="57"/>
      <c r="N2" s="150"/>
      <c r="O2" s="414"/>
      <c r="P2" s="414"/>
      <c r="Q2" s="57" t="s">
        <v>334</v>
      </c>
      <c r="R2" s="157"/>
      <c r="S2" s="404"/>
      <c r="T2" s="57"/>
      <c r="U2" s="399"/>
      <c r="V2" s="399"/>
      <c r="W2" s="399"/>
      <c r="X2" s="399"/>
      <c r="Y2" s="399"/>
      <c r="Z2" s="399"/>
      <c r="AA2" s="400"/>
      <c r="AB2" s="400"/>
    </row>
    <row r="3">
      <c r="A3" s="470" t="s">
        <v>179</v>
      </c>
      <c r="E3" s="416">
        <f>SUM(H3:H37)</f>
        <v>5335.2</v>
      </c>
      <c r="F3" s="405"/>
      <c r="G3" s="545"/>
      <c r="H3" s="546"/>
      <c r="I3" s="419"/>
      <c r="J3" s="419"/>
      <c r="K3" s="57"/>
      <c r="M3" s="57"/>
      <c r="N3" s="150"/>
      <c r="O3" s="377" t="s">
        <v>366</v>
      </c>
      <c r="R3" s="157"/>
      <c r="S3" s="404"/>
      <c r="T3" s="57"/>
      <c r="U3" s="399"/>
      <c r="V3" s="399"/>
      <c r="W3" s="399"/>
      <c r="X3" s="399"/>
      <c r="Y3" s="399"/>
      <c r="Z3" s="399"/>
      <c r="AA3" s="400"/>
      <c r="AB3" s="400"/>
    </row>
    <row r="4">
      <c r="A4" s="421" t="s">
        <v>343</v>
      </c>
      <c r="B4" s="105"/>
      <c r="C4" s="105"/>
      <c r="D4" s="422" t="s">
        <v>321</v>
      </c>
      <c r="E4" s="416">
        <f>SUM(R4:R37)</f>
        <v>555.2</v>
      </c>
      <c r="F4" s="157"/>
      <c r="G4" s="545"/>
      <c r="H4" s="546"/>
      <c r="I4" s="419"/>
      <c r="J4" s="419"/>
      <c r="K4" s="239"/>
      <c r="L4" s="471" t="s">
        <v>341</v>
      </c>
      <c r="M4" s="420"/>
      <c r="N4" s="150"/>
      <c r="O4" s="374"/>
      <c r="Q4" s="426" t="s">
        <v>971</v>
      </c>
      <c r="R4" s="423">
        <v>168.4</v>
      </c>
      <c r="S4" s="404"/>
      <c r="T4" s="57"/>
      <c r="U4" s="394"/>
      <c r="V4" s="394"/>
      <c r="W4" s="394"/>
      <c r="X4" s="394"/>
      <c r="Y4" s="394"/>
      <c r="Z4" s="394"/>
      <c r="AA4" s="395"/>
      <c r="AB4" s="395"/>
    </row>
    <row r="5">
      <c r="A5" s="427" t="s">
        <v>201</v>
      </c>
      <c r="E5" s="204">
        <f>SUM(N4:N37)</f>
        <v>2089.72</v>
      </c>
      <c r="F5" s="157"/>
      <c r="G5" s="545" t="s">
        <v>862</v>
      </c>
      <c r="H5" s="546">
        <v>310.0</v>
      </c>
      <c r="I5" s="419"/>
      <c r="J5" s="419"/>
      <c r="K5" s="239"/>
      <c r="L5" s="472" t="s">
        <v>345</v>
      </c>
      <c r="M5" s="420"/>
      <c r="N5" s="150"/>
      <c r="O5" s="374"/>
      <c r="Q5" s="426" t="s">
        <v>1230</v>
      </c>
      <c r="R5" s="423">
        <v>126.8</v>
      </c>
      <c r="S5" s="404"/>
      <c r="T5" s="57"/>
      <c r="U5" s="394"/>
      <c r="V5" s="394"/>
      <c r="W5" s="394"/>
      <c r="X5" s="394"/>
      <c r="Y5" s="394"/>
      <c r="Z5" s="394"/>
      <c r="AA5" s="395"/>
      <c r="AB5" s="395"/>
    </row>
    <row r="6">
      <c r="A6" s="548" t="s">
        <v>761</v>
      </c>
      <c r="B6" s="706"/>
      <c r="C6" s="706"/>
      <c r="D6" s="549">
        <v>0.4</v>
      </c>
      <c r="E6" s="191">
        <v>222.0</v>
      </c>
      <c r="F6" s="157"/>
      <c r="G6" s="550" t="s">
        <v>695</v>
      </c>
      <c r="H6" s="546">
        <v>340.0</v>
      </c>
      <c r="I6" s="419"/>
      <c r="J6" s="419"/>
      <c r="K6" s="239"/>
      <c r="L6" s="433" t="s">
        <v>656</v>
      </c>
      <c r="M6" s="420"/>
      <c r="N6" s="193">
        <v>106.72</v>
      </c>
      <c r="O6" s="377" t="s">
        <v>1231</v>
      </c>
      <c r="Q6" s="426" t="s">
        <v>1232</v>
      </c>
      <c r="R6" s="423">
        <v>260.0</v>
      </c>
      <c r="S6" s="404"/>
      <c r="T6" s="57"/>
      <c r="U6" s="394"/>
      <c r="V6" s="394"/>
      <c r="W6" s="394"/>
      <c r="X6" s="394"/>
      <c r="Y6" s="394"/>
      <c r="Z6" s="394"/>
      <c r="AA6" s="395"/>
      <c r="AB6" s="395"/>
    </row>
    <row r="7">
      <c r="A7" s="434" t="s">
        <v>350</v>
      </c>
      <c r="E7" s="551">
        <f>E3-E5-E6</f>
        <v>3023.48</v>
      </c>
      <c r="F7" s="157"/>
      <c r="G7" s="655" t="s">
        <v>1233</v>
      </c>
      <c r="H7" s="656">
        <v>1000.0</v>
      </c>
      <c r="I7" s="455"/>
      <c r="J7" s="419"/>
      <c r="K7" s="57"/>
      <c r="L7" s="444" t="s">
        <v>658</v>
      </c>
      <c r="M7" s="420"/>
      <c r="N7" s="193">
        <v>52.0</v>
      </c>
      <c r="O7" s="377"/>
      <c r="Q7" s="426"/>
      <c r="R7" s="423"/>
      <c r="S7" s="404"/>
      <c r="T7" s="57"/>
      <c r="U7" s="394"/>
      <c r="V7" s="394"/>
      <c r="W7" s="394"/>
      <c r="X7" s="394"/>
      <c r="Y7" s="394"/>
      <c r="Z7" s="394"/>
      <c r="AA7" s="395"/>
      <c r="AB7" s="395"/>
    </row>
    <row r="8">
      <c r="A8" s="554"/>
      <c r="B8" s="555"/>
      <c r="C8" s="555"/>
      <c r="D8" s="555"/>
      <c r="E8" s="447"/>
      <c r="F8" s="157"/>
      <c r="G8" s="655" t="s">
        <v>1234</v>
      </c>
      <c r="H8" s="656">
        <v>50.0</v>
      </c>
      <c r="I8" s="419"/>
      <c r="J8" s="419"/>
      <c r="K8" s="57"/>
      <c r="L8" s="444" t="s">
        <v>660</v>
      </c>
      <c r="M8" s="420"/>
      <c r="N8" s="193">
        <v>180.0</v>
      </c>
      <c r="O8" s="377"/>
      <c r="Q8" s="431"/>
      <c r="R8" s="157"/>
      <c r="S8" s="404"/>
      <c r="T8" s="57"/>
      <c r="U8" s="394"/>
      <c r="V8" s="394"/>
      <c r="W8" s="394"/>
      <c r="X8" s="394"/>
      <c r="Y8" s="394"/>
      <c r="Z8" s="394"/>
      <c r="AA8" s="395"/>
      <c r="AB8" s="395"/>
    </row>
    <row r="9">
      <c r="A9" s="556"/>
      <c r="E9" s="395"/>
      <c r="F9" s="157"/>
      <c r="G9" s="192" t="s">
        <v>1235</v>
      </c>
      <c r="H9" s="546">
        <v>160.0</v>
      </c>
      <c r="I9" s="455"/>
      <c r="J9" s="419"/>
      <c r="K9" s="239"/>
      <c r="L9" s="370" t="s">
        <v>662</v>
      </c>
      <c r="M9" s="420"/>
      <c r="N9" s="193">
        <v>177.0</v>
      </c>
      <c r="O9" s="377" t="s">
        <v>1236</v>
      </c>
      <c r="Q9" s="431"/>
      <c r="R9" s="157"/>
      <c r="S9" s="404"/>
      <c r="T9" s="57"/>
      <c r="U9" s="394"/>
      <c r="V9" s="394"/>
      <c r="W9" s="394"/>
      <c r="X9" s="394"/>
      <c r="Y9" s="394"/>
      <c r="Z9" s="394"/>
      <c r="AA9" s="395"/>
      <c r="AB9" s="395"/>
    </row>
    <row r="10">
      <c r="A10" s="557"/>
      <c r="B10" s="557"/>
      <c r="C10" s="557"/>
      <c r="D10" s="109"/>
      <c r="E10" s="395"/>
      <c r="F10" s="373"/>
      <c r="G10" s="192" t="s">
        <v>971</v>
      </c>
      <c r="H10" s="546">
        <v>168.4</v>
      </c>
      <c r="I10" s="558" t="s">
        <v>426</v>
      </c>
      <c r="J10" s="419"/>
      <c r="K10" s="239"/>
      <c r="L10" s="433" t="s">
        <v>666</v>
      </c>
      <c r="M10" s="420"/>
      <c r="N10" s="150"/>
      <c r="O10" s="374"/>
      <c r="Q10" s="431"/>
      <c r="R10" s="157"/>
      <c r="S10" s="404"/>
      <c r="T10" s="57"/>
      <c r="U10" s="394"/>
      <c r="V10" s="394"/>
      <c r="W10" s="394"/>
      <c r="X10" s="394"/>
      <c r="Y10" s="394"/>
      <c r="Z10" s="394"/>
      <c r="AA10" s="395"/>
      <c r="AB10" s="395"/>
    </row>
    <row r="11">
      <c r="A11" s="559" t="s">
        <v>765</v>
      </c>
      <c r="B11" s="559"/>
      <c r="C11" s="559"/>
      <c r="D11" s="560">
        <f>SUM(F11:F37)</f>
        <v>1414.79</v>
      </c>
      <c r="E11" s="477" t="s">
        <v>366</v>
      </c>
      <c r="F11" s="157"/>
      <c r="G11" s="192" t="s">
        <v>1237</v>
      </c>
      <c r="H11" s="546">
        <v>500.0</v>
      </c>
      <c r="I11" s="562"/>
      <c r="J11" s="419"/>
      <c r="K11" s="239"/>
      <c r="L11" s="433" t="s">
        <v>668</v>
      </c>
      <c r="M11" s="420"/>
      <c r="N11" s="150"/>
      <c r="O11" s="377"/>
      <c r="Q11" s="431"/>
      <c r="R11" s="157"/>
      <c r="S11" s="404"/>
      <c r="T11" s="57"/>
      <c r="U11" s="394"/>
      <c r="V11" s="394"/>
      <c r="W11" s="394"/>
      <c r="X11" s="394"/>
      <c r="Y11" s="394"/>
      <c r="Z11" s="394"/>
      <c r="AA11" s="395"/>
      <c r="AB11" s="395"/>
    </row>
    <row r="12">
      <c r="A12" s="453" t="s">
        <v>369</v>
      </c>
      <c r="E12" s="561"/>
      <c r="F12" s="423"/>
      <c r="G12" s="192" t="s">
        <v>886</v>
      </c>
      <c r="H12" s="546">
        <v>300.0</v>
      </c>
      <c r="I12" s="562"/>
      <c r="J12" s="419"/>
      <c r="K12" s="239"/>
      <c r="L12" s="433" t="s">
        <v>670</v>
      </c>
      <c r="M12" s="458"/>
      <c r="N12" s="193">
        <v>1250.0</v>
      </c>
      <c r="O12" s="377"/>
      <c r="Q12" s="431"/>
      <c r="R12" s="157"/>
      <c r="S12" s="404"/>
      <c r="T12" s="57"/>
      <c r="U12" s="394"/>
      <c r="V12" s="394"/>
      <c r="W12" s="394"/>
      <c r="X12" s="394"/>
      <c r="Y12" s="394"/>
      <c r="Z12" s="394"/>
      <c r="AA12" s="395"/>
      <c r="AB12" s="395"/>
    </row>
    <row r="13">
      <c r="E13" s="561" t="s">
        <v>1238</v>
      </c>
      <c r="F13" s="423">
        <v>59.79</v>
      </c>
      <c r="G13" s="192" t="s">
        <v>1235</v>
      </c>
      <c r="H13" s="546">
        <v>126.8</v>
      </c>
      <c r="I13" s="419"/>
      <c r="J13" s="419"/>
      <c r="K13" s="239"/>
      <c r="L13" s="433" t="s">
        <v>217</v>
      </c>
      <c r="M13" s="458"/>
      <c r="N13" s="150"/>
      <c r="O13" s="377"/>
      <c r="Q13" s="431"/>
      <c r="R13" s="157"/>
      <c r="S13" s="404"/>
      <c r="T13" s="57"/>
      <c r="U13" s="394"/>
      <c r="V13" s="394"/>
      <c r="W13" s="394"/>
      <c r="X13" s="394"/>
      <c r="Y13" s="394"/>
      <c r="Z13" s="394"/>
      <c r="AA13" s="395"/>
      <c r="AB13" s="395"/>
    </row>
    <row r="14">
      <c r="A14" s="57"/>
      <c r="B14" s="57"/>
      <c r="C14" s="57"/>
      <c r="D14" s="57"/>
      <c r="E14" s="561" t="s">
        <v>768</v>
      </c>
      <c r="F14" s="423"/>
      <c r="G14" s="192" t="s">
        <v>340</v>
      </c>
      <c r="H14" s="546">
        <v>2000.0</v>
      </c>
      <c r="I14" s="419"/>
      <c r="J14" s="419"/>
      <c r="K14" s="239"/>
      <c r="L14" s="109"/>
      <c r="M14" s="420"/>
      <c r="N14" s="193"/>
      <c r="O14" s="374"/>
      <c r="Q14" s="431"/>
      <c r="R14" s="157"/>
      <c r="S14" s="404"/>
      <c r="T14" s="57"/>
      <c r="U14" s="394"/>
      <c r="V14" s="394"/>
      <c r="W14" s="394"/>
      <c r="X14" s="394"/>
      <c r="Y14" s="394"/>
      <c r="Z14" s="394"/>
      <c r="AA14" s="395"/>
      <c r="AB14" s="395"/>
    </row>
    <row r="15">
      <c r="A15" s="57"/>
      <c r="B15" s="57"/>
      <c r="C15" s="57"/>
      <c r="D15" s="57"/>
      <c r="E15" s="561" t="s">
        <v>769</v>
      </c>
      <c r="F15" s="157"/>
      <c r="G15" s="192" t="s">
        <v>1003</v>
      </c>
      <c r="H15" s="546">
        <v>120.0</v>
      </c>
      <c r="I15" s="419"/>
      <c r="J15" s="419"/>
      <c r="K15" s="239"/>
      <c r="L15" s="456" t="s">
        <v>672</v>
      </c>
      <c r="M15" s="420"/>
      <c r="N15" s="150"/>
      <c r="O15" s="377"/>
      <c r="Q15" s="431"/>
      <c r="R15" s="157"/>
      <c r="S15" s="404"/>
      <c r="T15" s="57"/>
      <c r="U15" s="394"/>
      <c r="V15" s="394"/>
      <c r="W15" s="394"/>
      <c r="X15" s="394"/>
      <c r="Y15" s="394"/>
      <c r="Z15" s="394"/>
      <c r="AA15" s="395"/>
      <c r="AB15" s="395"/>
    </row>
    <row r="16">
      <c r="A16" s="57"/>
      <c r="B16" s="57"/>
      <c r="C16" s="57"/>
      <c r="D16" s="57"/>
      <c r="E16" s="561" t="s">
        <v>770</v>
      </c>
      <c r="F16" s="423"/>
      <c r="G16" s="192" t="s">
        <v>873</v>
      </c>
      <c r="H16" s="546">
        <v>260.0</v>
      </c>
      <c r="I16" s="707" t="s">
        <v>426</v>
      </c>
      <c r="J16" s="419"/>
      <c r="K16" s="57"/>
      <c r="L16" s="456" t="s">
        <v>675</v>
      </c>
      <c r="M16" s="420"/>
      <c r="N16" s="150"/>
      <c r="O16" s="382"/>
      <c r="Q16" s="431"/>
      <c r="R16" s="157"/>
      <c r="S16" s="404"/>
      <c r="T16" s="57"/>
      <c r="U16" s="394"/>
      <c r="V16" s="394"/>
      <c r="W16" s="394"/>
      <c r="X16" s="394"/>
      <c r="Y16" s="394"/>
      <c r="Z16" s="394"/>
      <c r="AA16" s="395"/>
      <c r="AB16" s="395"/>
    </row>
    <row r="17">
      <c r="A17" s="57"/>
      <c r="B17" s="57"/>
      <c r="C17" s="57"/>
      <c r="D17" s="57"/>
      <c r="E17" s="563" t="s">
        <v>771</v>
      </c>
      <c r="F17" s="423">
        <v>240.0</v>
      </c>
      <c r="I17" s="455"/>
      <c r="J17" s="419"/>
      <c r="K17" s="57"/>
      <c r="L17" s="456"/>
      <c r="M17" s="420"/>
      <c r="N17" s="150"/>
      <c r="O17" s="425"/>
      <c r="Q17" s="431"/>
      <c r="R17" s="157"/>
      <c r="S17" s="404"/>
      <c r="T17" s="57"/>
      <c r="U17" s="394"/>
      <c r="V17" s="394"/>
      <c r="W17" s="394"/>
      <c r="X17" s="394"/>
      <c r="Y17" s="394"/>
      <c r="Z17" s="394"/>
      <c r="AA17" s="395"/>
      <c r="AB17" s="395"/>
    </row>
    <row r="18">
      <c r="A18" s="239"/>
      <c r="B18" s="239"/>
      <c r="C18" s="239"/>
      <c r="D18" s="57"/>
      <c r="E18" s="563" t="s">
        <v>772</v>
      </c>
      <c r="F18" s="157"/>
      <c r="G18" s="228"/>
      <c r="H18" s="547"/>
      <c r="I18" s="419"/>
      <c r="J18" s="419"/>
      <c r="K18" s="57"/>
      <c r="L18" s="375"/>
      <c r="M18" s="420"/>
      <c r="N18" s="150"/>
      <c r="O18" s="425"/>
      <c r="Q18" s="431"/>
      <c r="R18" s="157"/>
      <c r="S18" s="404"/>
      <c r="T18" s="57"/>
      <c r="U18" s="394"/>
      <c r="V18" s="394"/>
      <c r="W18" s="394"/>
      <c r="X18" s="394"/>
      <c r="Y18" s="394"/>
      <c r="Z18" s="394"/>
      <c r="AA18" s="395"/>
      <c r="AB18" s="395"/>
    </row>
    <row r="19">
      <c r="A19" s="209" t="s">
        <v>1239</v>
      </c>
      <c r="B19" s="209"/>
      <c r="C19" s="209"/>
      <c r="D19" s="57"/>
      <c r="E19" s="561" t="s">
        <v>18</v>
      </c>
      <c r="F19" s="423">
        <v>165.0</v>
      </c>
      <c r="G19" s="228"/>
      <c r="H19" s="547"/>
      <c r="I19" s="419"/>
      <c r="J19" s="419"/>
      <c r="K19" s="57"/>
      <c r="L19" s="375"/>
      <c r="M19" s="420"/>
      <c r="N19" s="193"/>
      <c r="O19" s="382"/>
      <c r="Q19" s="431"/>
      <c r="R19" s="157"/>
      <c r="S19" s="404"/>
      <c r="T19" s="57"/>
      <c r="U19" s="394"/>
      <c r="V19" s="394"/>
      <c r="W19" s="394"/>
      <c r="X19" s="394"/>
      <c r="Y19" s="394"/>
      <c r="Z19" s="394"/>
      <c r="AA19" s="395"/>
      <c r="AB19" s="395"/>
    </row>
    <row r="20">
      <c r="A20" s="239"/>
      <c r="B20" s="239"/>
      <c r="C20" s="239"/>
      <c r="D20" s="57"/>
      <c r="E20" s="563" t="s">
        <v>1115</v>
      </c>
      <c r="F20" s="157"/>
      <c r="G20" s="228"/>
      <c r="H20" s="547"/>
      <c r="I20" s="455"/>
      <c r="J20" s="419"/>
      <c r="K20" s="57"/>
      <c r="L20" s="452"/>
      <c r="M20" s="420"/>
      <c r="N20" s="150"/>
      <c r="O20" s="425"/>
      <c r="Q20" s="431"/>
      <c r="R20" s="157"/>
      <c r="S20" s="404"/>
      <c r="T20" s="57"/>
      <c r="U20" s="394"/>
      <c r="V20" s="394"/>
      <c r="W20" s="394"/>
      <c r="X20" s="394"/>
      <c r="Y20" s="394"/>
      <c r="Z20" s="394"/>
      <c r="AA20" s="395"/>
      <c r="AB20" s="395"/>
    </row>
    <row r="21">
      <c r="A21" s="209" t="s">
        <v>1240</v>
      </c>
      <c r="B21" s="209"/>
      <c r="C21" s="209"/>
      <c r="D21" s="57"/>
      <c r="E21" s="561" t="s">
        <v>774</v>
      </c>
      <c r="F21" s="423">
        <v>130.0</v>
      </c>
      <c r="G21" s="228"/>
      <c r="H21" s="547"/>
      <c r="I21" s="419"/>
      <c r="J21" s="419"/>
      <c r="K21" s="57"/>
      <c r="L21" s="105"/>
      <c r="M21" s="420"/>
      <c r="N21" s="150"/>
      <c r="O21" s="425"/>
      <c r="Q21" s="431"/>
      <c r="R21" s="157"/>
      <c r="S21" s="404"/>
      <c r="T21" s="57"/>
      <c r="U21" s="394"/>
      <c r="V21" s="394"/>
      <c r="W21" s="394"/>
      <c r="X21" s="394"/>
      <c r="Y21" s="394"/>
      <c r="Z21" s="394"/>
      <c r="AA21" s="395"/>
      <c r="AB21" s="395"/>
    </row>
    <row r="22">
      <c r="A22" s="663" t="s">
        <v>1241</v>
      </c>
      <c r="B22" s="663"/>
      <c r="C22" s="663"/>
      <c r="D22" s="239"/>
      <c r="E22" s="561" t="s">
        <v>775</v>
      </c>
      <c r="F22" s="423">
        <v>220.0</v>
      </c>
      <c r="G22" s="228"/>
      <c r="H22" s="547"/>
      <c r="I22" s="419"/>
      <c r="J22" s="419"/>
      <c r="K22" s="57"/>
      <c r="L22" s="378" t="s">
        <v>682</v>
      </c>
      <c r="M22" s="420"/>
      <c r="N22" s="193">
        <v>34.0</v>
      </c>
      <c r="O22" s="377" t="s">
        <v>1242</v>
      </c>
      <c r="Q22" s="431"/>
      <c r="R22" s="157"/>
      <c r="S22" s="404"/>
      <c r="T22" s="57"/>
      <c r="U22" s="394"/>
      <c r="V22" s="394"/>
      <c r="W22" s="394"/>
      <c r="X22" s="394"/>
      <c r="Y22" s="394"/>
      <c r="Z22" s="394"/>
      <c r="AA22" s="395"/>
      <c r="AB22" s="395"/>
    </row>
    <row r="23">
      <c r="A23" s="239"/>
      <c r="B23" s="239"/>
      <c r="C23" s="239"/>
      <c r="D23" s="239"/>
      <c r="E23" s="561" t="s">
        <v>10</v>
      </c>
      <c r="F23" s="423">
        <v>500.0</v>
      </c>
      <c r="G23" s="206"/>
      <c r="H23" s="564"/>
      <c r="I23" s="478"/>
      <c r="J23" s="419"/>
      <c r="K23" s="57"/>
      <c r="L23" s="461" t="s">
        <v>684</v>
      </c>
      <c r="M23" s="420"/>
      <c r="N23" s="567"/>
      <c r="O23" s="658"/>
      <c r="Q23" s="431"/>
      <c r="R23" s="157"/>
      <c r="S23" s="404"/>
      <c r="T23" s="57"/>
      <c r="U23" s="394"/>
      <c r="V23" s="394"/>
      <c r="W23" s="394"/>
      <c r="X23" s="394"/>
      <c r="Y23" s="394"/>
      <c r="Z23" s="394"/>
      <c r="AA23" s="395"/>
      <c r="AB23" s="395"/>
    </row>
    <row r="24">
      <c r="A24" s="209" t="s">
        <v>1243</v>
      </c>
      <c r="B24" s="209"/>
      <c r="C24" s="209"/>
      <c r="D24" s="239"/>
      <c r="E24" s="561" t="s">
        <v>6</v>
      </c>
      <c r="F24" s="423"/>
      <c r="G24" s="206"/>
      <c r="H24" s="547"/>
      <c r="I24" s="455"/>
      <c r="J24" s="455"/>
      <c r="K24" s="57"/>
      <c r="L24" s="461" t="s">
        <v>686</v>
      </c>
      <c r="M24" s="420"/>
      <c r="N24" s="193"/>
      <c r="O24" s="377"/>
      <c r="Q24" s="463"/>
      <c r="R24" s="157"/>
      <c r="S24" s="404"/>
      <c r="T24" s="57"/>
      <c r="U24" s="394"/>
      <c r="V24" s="394"/>
      <c r="W24" s="394"/>
      <c r="X24" s="394"/>
      <c r="Y24" s="394"/>
      <c r="Z24" s="394"/>
      <c r="AA24" s="395"/>
      <c r="AB24" s="395"/>
    </row>
    <row r="25">
      <c r="A25" s="57"/>
      <c r="B25" s="57"/>
      <c r="C25" s="57"/>
      <c r="D25" s="57"/>
      <c r="E25" s="561" t="s">
        <v>779</v>
      </c>
      <c r="F25" s="157"/>
      <c r="G25" s="228"/>
      <c r="H25" s="547"/>
      <c r="I25" s="455"/>
      <c r="J25" s="455"/>
      <c r="K25" s="239"/>
      <c r="L25" s="460"/>
      <c r="M25" s="420"/>
      <c r="N25" s="567"/>
      <c r="O25" s="377"/>
      <c r="Q25" s="463"/>
      <c r="R25" s="157"/>
      <c r="S25" s="404"/>
      <c r="T25" s="57"/>
      <c r="U25" s="394"/>
      <c r="V25" s="394"/>
      <c r="W25" s="394"/>
      <c r="X25" s="394"/>
      <c r="Y25" s="394"/>
      <c r="Z25" s="394"/>
      <c r="AA25" s="395"/>
      <c r="AB25" s="395"/>
    </row>
    <row r="26">
      <c r="A26" s="239"/>
      <c r="B26" s="239"/>
      <c r="C26" s="239"/>
      <c r="D26" s="239"/>
      <c r="E26" s="561" t="s">
        <v>780</v>
      </c>
      <c r="F26" s="423">
        <v>100.0</v>
      </c>
      <c r="G26" s="228"/>
      <c r="H26" s="547"/>
      <c r="I26" s="455"/>
      <c r="J26" s="455"/>
      <c r="K26" s="57"/>
      <c r="L26" s="460" t="s">
        <v>274</v>
      </c>
      <c r="M26" s="420"/>
      <c r="N26" s="193"/>
      <c r="O26" s="374"/>
      <c r="Q26" s="463"/>
      <c r="R26" s="157"/>
      <c r="S26" s="404"/>
      <c r="T26" s="57"/>
      <c r="U26" s="394"/>
      <c r="V26" s="394"/>
      <c r="W26" s="394"/>
      <c r="X26" s="394"/>
      <c r="Y26" s="394"/>
      <c r="Z26" s="394"/>
      <c r="AA26" s="395"/>
      <c r="AB26" s="395"/>
    </row>
    <row r="27">
      <c r="A27" s="239"/>
      <c r="B27" s="239"/>
      <c r="C27" s="239"/>
      <c r="D27" s="239"/>
      <c r="E27" s="561" t="s">
        <v>781</v>
      </c>
      <c r="F27" s="423"/>
      <c r="G27" s="228"/>
      <c r="H27" s="547"/>
      <c r="I27" s="455"/>
      <c r="J27" s="419"/>
      <c r="K27" s="239"/>
      <c r="L27" s="568"/>
      <c r="M27" s="420"/>
      <c r="N27" s="150"/>
      <c r="O27" s="374"/>
      <c r="Q27" s="431"/>
      <c r="R27" s="157"/>
      <c r="S27" s="404"/>
      <c r="T27" s="57"/>
      <c r="U27" s="394"/>
      <c r="V27" s="394"/>
      <c r="W27" s="394"/>
      <c r="X27" s="394"/>
      <c r="Y27" s="394"/>
      <c r="Z27" s="394"/>
      <c r="AA27" s="395"/>
      <c r="AB27" s="395"/>
    </row>
    <row r="28">
      <c r="A28" s="239"/>
      <c r="B28" s="239"/>
      <c r="C28" s="239"/>
      <c r="D28" s="157"/>
      <c r="E28" s="561" t="s">
        <v>1118</v>
      </c>
      <c r="F28" s="157"/>
      <c r="G28" s="569"/>
      <c r="H28" s="547"/>
      <c r="I28" s="419"/>
      <c r="J28" s="419"/>
      <c r="K28" s="57"/>
      <c r="L28" s="374"/>
      <c r="M28" s="420"/>
      <c r="N28" s="193"/>
      <c r="O28" s="377"/>
      <c r="Q28" s="431"/>
      <c r="R28" s="157"/>
      <c r="S28" s="404"/>
      <c r="T28" s="57"/>
      <c r="U28" s="394"/>
      <c r="V28" s="394"/>
      <c r="W28" s="394"/>
      <c r="X28" s="394"/>
      <c r="Y28" s="394"/>
      <c r="Z28" s="394"/>
      <c r="AA28" s="395"/>
      <c r="AB28" s="395"/>
    </row>
    <row r="29">
      <c r="A29" s="239"/>
      <c r="B29" s="239"/>
      <c r="C29" s="239"/>
      <c r="D29" s="157"/>
      <c r="E29" s="561"/>
      <c r="F29" s="157"/>
      <c r="G29" s="228"/>
      <c r="H29" s="547"/>
      <c r="I29" s="419"/>
      <c r="J29" s="419"/>
      <c r="K29" s="239"/>
      <c r="L29" s="596" t="s">
        <v>955</v>
      </c>
      <c r="M29" s="420"/>
      <c r="N29" s="193">
        <v>290.0</v>
      </c>
      <c r="O29" s="377" t="s">
        <v>1244</v>
      </c>
      <c r="Q29" s="431"/>
      <c r="R29" s="157"/>
      <c r="S29" s="404"/>
      <c r="T29" s="57"/>
      <c r="U29" s="394"/>
      <c r="V29" s="394"/>
      <c r="W29" s="394"/>
      <c r="X29" s="394"/>
      <c r="Y29" s="394"/>
      <c r="Z29" s="394"/>
      <c r="AA29" s="395"/>
      <c r="AB29" s="395"/>
    </row>
    <row r="30">
      <c r="A30" s="239"/>
      <c r="B30" s="239"/>
      <c r="C30" s="239"/>
      <c r="D30" s="157"/>
      <c r="E30" s="561"/>
      <c r="F30" s="157"/>
      <c r="G30" s="570"/>
      <c r="H30" s="547"/>
      <c r="I30" s="419"/>
      <c r="J30" s="419"/>
      <c r="K30" s="239"/>
      <c r="L30" s="568"/>
      <c r="M30" s="420"/>
      <c r="N30" s="193"/>
      <c r="O30" s="374"/>
      <c r="Q30" s="431"/>
      <c r="R30" s="157"/>
      <c r="S30" s="404"/>
      <c r="T30" s="57"/>
      <c r="U30" s="394"/>
      <c r="V30" s="394"/>
      <c r="W30" s="394"/>
      <c r="X30" s="394"/>
      <c r="Y30" s="394"/>
      <c r="Z30" s="394"/>
      <c r="AA30" s="395"/>
      <c r="AB30" s="395"/>
    </row>
    <row r="31">
      <c r="E31" s="571"/>
      <c r="F31" s="157"/>
      <c r="G31" s="570"/>
      <c r="H31" s="547"/>
      <c r="I31" s="419"/>
      <c r="J31" s="419"/>
      <c r="K31" s="239"/>
      <c r="L31" s="464" t="s">
        <v>692</v>
      </c>
      <c r="M31" s="420"/>
      <c r="N31" s="150"/>
      <c r="O31" s="377"/>
      <c r="Q31" s="431"/>
      <c r="R31" s="157"/>
      <c r="S31" s="404"/>
      <c r="T31" s="57"/>
      <c r="U31" s="399"/>
      <c r="V31" s="399"/>
      <c r="W31" s="399"/>
      <c r="X31" s="399"/>
      <c r="Y31" s="399"/>
      <c r="Z31" s="399"/>
      <c r="AA31" s="400"/>
      <c r="AB31" s="400"/>
    </row>
    <row r="32">
      <c r="E32" s="571"/>
      <c r="F32" s="157"/>
      <c r="G32" s="570"/>
      <c r="H32" s="547"/>
      <c r="I32" s="419"/>
      <c r="J32" s="419"/>
      <c r="K32" s="239"/>
      <c r="L32" s="464" t="s">
        <v>694</v>
      </c>
      <c r="M32" s="420"/>
      <c r="N32" s="150"/>
      <c r="O32" s="374"/>
      <c r="Q32" s="431"/>
      <c r="R32" s="157"/>
      <c r="S32" s="404"/>
      <c r="T32" s="57"/>
      <c r="U32" s="399"/>
      <c r="V32" s="399"/>
      <c r="W32" s="399"/>
      <c r="X32" s="399"/>
      <c r="Y32" s="399"/>
      <c r="Z32" s="399"/>
      <c r="AA32" s="400"/>
      <c r="AB32" s="400"/>
    </row>
    <row r="33">
      <c r="E33" s="571"/>
      <c r="F33" s="423"/>
      <c r="G33" s="570"/>
      <c r="H33" s="546"/>
      <c r="I33" s="419"/>
      <c r="J33" s="419"/>
      <c r="K33" s="57"/>
      <c r="L33" s="105"/>
      <c r="M33" s="57"/>
      <c r="N33" s="150"/>
      <c r="O33" s="57"/>
      <c r="P33" s="57"/>
      <c r="Q33" s="57"/>
      <c r="R33" s="157"/>
      <c r="S33" s="404"/>
      <c r="T33" s="57"/>
      <c r="U33" s="394"/>
      <c r="V33" s="394"/>
      <c r="W33" s="394"/>
      <c r="X33" s="394"/>
      <c r="Y33" s="394"/>
      <c r="Z33" s="394"/>
      <c r="AA33" s="395"/>
      <c r="AB33" s="395"/>
    </row>
    <row r="34">
      <c r="A34" s="125" t="s">
        <v>782</v>
      </c>
      <c r="B34" s="125"/>
      <c r="C34" s="125"/>
      <c r="D34" s="572">
        <f>E7-D11</f>
        <v>1608.69</v>
      </c>
      <c r="F34" s="157"/>
      <c r="G34" s="570"/>
      <c r="H34" s="573"/>
      <c r="I34" s="478"/>
      <c r="J34" s="419"/>
      <c r="K34" s="239"/>
      <c r="L34" s="568"/>
      <c r="M34" s="57"/>
      <c r="N34" s="150"/>
      <c r="O34" s="57"/>
      <c r="P34" s="57"/>
      <c r="Q34" s="57"/>
      <c r="R34" s="157"/>
      <c r="S34" s="404"/>
      <c r="T34" s="57"/>
      <c r="U34" s="394"/>
      <c r="V34" s="394"/>
      <c r="W34" s="394"/>
      <c r="X34" s="394"/>
      <c r="Y34" s="394"/>
      <c r="Z34" s="394"/>
      <c r="AA34" s="395"/>
      <c r="AB34" s="395"/>
    </row>
    <row r="35">
      <c r="A35" s="274" t="s">
        <v>783</v>
      </c>
      <c r="B35" s="274"/>
      <c r="C35" s="274"/>
      <c r="D35" s="109">
        <v>260.0</v>
      </c>
      <c r="E35" s="395"/>
      <c r="F35" s="157"/>
      <c r="G35" s="570"/>
      <c r="H35" s="573"/>
      <c r="I35" s="478"/>
      <c r="J35" s="419"/>
      <c r="K35" s="239"/>
      <c r="L35" s="568"/>
      <c r="M35" s="57"/>
      <c r="N35" s="150"/>
      <c r="O35" s="57"/>
      <c r="P35" s="57"/>
      <c r="Q35" s="57"/>
      <c r="R35" s="157"/>
      <c r="S35" s="404"/>
      <c r="T35" s="57"/>
      <c r="U35" s="394"/>
      <c r="V35" s="394"/>
      <c r="W35" s="394"/>
      <c r="X35" s="394"/>
      <c r="Y35" s="394"/>
      <c r="Z35" s="394"/>
      <c r="AA35" s="395"/>
      <c r="AB35" s="395"/>
    </row>
    <row r="36">
      <c r="A36" s="274" t="s">
        <v>784</v>
      </c>
      <c r="B36" s="274"/>
      <c r="C36" s="274"/>
      <c r="D36" s="109">
        <v>3350.0</v>
      </c>
      <c r="E36" s="395"/>
      <c r="F36" s="157"/>
      <c r="G36" s="570"/>
      <c r="H36" s="573"/>
      <c r="I36" s="478"/>
      <c r="J36" s="419"/>
      <c r="K36" s="239"/>
      <c r="L36" s="568"/>
      <c r="M36" s="57"/>
      <c r="N36" s="150"/>
      <c r="O36" s="57"/>
      <c r="P36" s="57"/>
      <c r="Q36" s="57"/>
      <c r="R36" s="157"/>
      <c r="S36" s="404"/>
      <c r="T36" s="57"/>
      <c r="U36" s="394"/>
      <c r="V36" s="394"/>
      <c r="W36" s="394"/>
      <c r="X36" s="394"/>
      <c r="Y36" s="394"/>
      <c r="Z36" s="394"/>
      <c r="AA36" s="395"/>
      <c r="AB36" s="395"/>
    </row>
    <row r="37">
      <c r="A37" s="274" t="s">
        <v>785</v>
      </c>
      <c r="B37" s="274"/>
      <c r="C37" s="274"/>
      <c r="D37" s="109"/>
      <c r="E37" s="395"/>
      <c r="F37" s="157"/>
      <c r="G37" s="570"/>
      <c r="H37" s="573"/>
      <c r="I37" s="478"/>
      <c r="J37" s="419"/>
      <c r="K37" s="239"/>
      <c r="L37" s="568"/>
      <c r="M37" s="57"/>
      <c r="N37" s="150"/>
      <c r="O37" s="57"/>
      <c r="P37" s="57"/>
      <c r="Q37" s="57"/>
      <c r="R37" s="157"/>
      <c r="S37" s="404"/>
      <c r="T37" s="57"/>
      <c r="U37" s="394"/>
      <c r="V37" s="394"/>
      <c r="W37" s="394"/>
      <c r="X37" s="394"/>
      <c r="Y37" s="394"/>
      <c r="Z37" s="394"/>
      <c r="AA37" s="395"/>
      <c r="AB37" s="395"/>
    </row>
    <row r="38">
      <c r="A38" s="402"/>
      <c r="B38" s="402"/>
      <c r="C38" s="402"/>
      <c r="D38" s="403"/>
      <c r="E38" s="403"/>
      <c r="F38" s="403"/>
      <c r="G38" s="574"/>
      <c r="H38" s="575"/>
      <c r="I38" s="159"/>
      <c r="J38" s="159"/>
      <c r="K38" s="159"/>
      <c r="L38" s="576"/>
      <c r="M38" s="159"/>
      <c r="N38" s="162"/>
      <c r="O38" s="402"/>
      <c r="P38" s="402"/>
      <c r="Q38" s="159"/>
      <c r="R38" s="403"/>
      <c r="S38" s="577"/>
      <c r="T38" s="57"/>
      <c r="U38" s="394"/>
      <c r="V38" s="394"/>
      <c r="W38" s="394"/>
      <c r="X38" s="394"/>
      <c r="Y38" s="394"/>
      <c r="Z38" s="394"/>
      <c r="AA38" s="395"/>
      <c r="AB38" s="395"/>
    </row>
    <row r="39">
      <c r="A39" s="57"/>
      <c r="B39" s="57"/>
      <c r="C39" s="57"/>
      <c r="D39" s="57"/>
      <c r="E39" s="57"/>
      <c r="F39" s="157"/>
      <c r="G39" s="228"/>
      <c r="H39" s="573"/>
      <c r="I39" s="57"/>
      <c r="J39" s="57"/>
      <c r="K39" s="239"/>
      <c r="L39" s="568"/>
      <c r="M39" s="57"/>
      <c r="N39" s="150"/>
      <c r="O39" s="57"/>
      <c r="P39" s="57"/>
      <c r="Q39" s="57"/>
      <c r="R39" s="157"/>
      <c r="S39" s="57"/>
      <c r="T39" s="57"/>
      <c r="U39" s="394"/>
      <c r="V39" s="394"/>
      <c r="W39" s="394"/>
      <c r="X39" s="394"/>
      <c r="Y39" s="394"/>
      <c r="Z39" s="394"/>
      <c r="AA39" s="395"/>
      <c r="AB39" s="395"/>
    </row>
    <row r="40">
      <c r="A40" s="169" t="s">
        <v>117</v>
      </c>
      <c r="B40" s="705"/>
      <c r="C40" s="705"/>
      <c r="D40" s="539"/>
      <c r="E40" s="540"/>
      <c r="F40" s="405"/>
      <c r="G40" s="541"/>
      <c r="H40" s="542"/>
      <c r="I40" s="467" t="s">
        <v>333</v>
      </c>
      <c r="J40" s="361"/>
      <c r="K40" s="57"/>
      <c r="L40" s="105"/>
      <c r="M40" s="57"/>
      <c r="N40" s="150"/>
      <c r="O40" s="239"/>
      <c r="P40" s="239"/>
      <c r="Q40" s="57"/>
      <c r="R40" s="157"/>
      <c r="S40" s="404"/>
      <c r="T40" s="57"/>
      <c r="U40" s="394"/>
      <c r="V40" s="394"/>
      <c r="W40" s="394"/>
      <c r="X40" s="394"/>
      <c r="Y40" s="394"/>
      <c r="Z40" s="394"/>
      <c r="AA40" s="395"/>
      <c r="AB40" s="395"/>
    </row>
    <row r="41">
      <c r="A41" s="468"/>
      <c r="B41" s="406"/>
      <c r="C41" s="406"/>
      <c r="D41" s="157"/>
      <c r="E41" s="466"/>
      <c r="F41" s="405"/>
      <c r="G41" s="543" t="s">
        <v>335</v>
      </c>
      <c r="H41" s="544" t="s">
        <v>237</v>
      </c>
      <c r="I41" s="412" t="s">
        <v>336</v>
      </c>
      <c r="J41" s="413" t="s">
        <v>337</v>
      </c>
      <c r="K41" s="239"/>
      <c r="L41" s="145" t="s">
        <v>60</v>
      </c>
      <c r="M41" s="57"/>
      <c r="N41" s="150"/>
      <c r="O41" s="414"/>
      <c r="P41" s="414"/>
      <c r="Q41" s="57" t="s">
        <v>334</v>
      </c>
      <c r="R41" s="157"/>
      <c r="S41" s="404"/>
      <c r="T41" s="57"/>
      <c r="U41" s="394"/>
      <c r="V41" s="394"/>
      <c r="W41" s="394"/>
      <c r="X41" s="394"/>
      <c r="Y41" s="394"/>
      <c r="Z41" s="394"/>
      <c r="AA41" s="395"/>
      <c r="AB41" s="395"/>
    </row>
    <row r="42">
      <c r="A42" s="470" t="s">
        <v>179</v>
      </c>
      <c r="E42" s="416">
        <f>SUM(H42:H76)</f>
        <v>5725</v>
      </c>
      <c r="F42" s="405"/>
      <c r="G42" s="545"/>
      <c r="H42" s="546"/>
      <c r="I42" s="578"/>
      <c r="J42" s="419"/>
      <c r="K42" s="57"/>
      <c r="M42" s="57"/>
      <c r="N42" s="150"/>
      <c r="O42" s="377" t="s">
        <v>366</v>
      </c>
      <c r="R42" s="157"/>
      <c r="S42" s="404"/>
      <c r="T42" s="57"/>
      <c r="U42" s="394"/>
      <c r="V42" s="394"/>
      <c r="W42" s="394"/>
      <c r="X42" s="394"/>
      <c r="Y42" s="394"/>
      <c r="Z42" s="394"/>
      <c r="AA42" s="395"/>
      <c r="AB42" s="395"/>
    </row>
    <row r="43">
      <c r="A43" s="421" t="s">
        <v>343</v>
      </c>
      <c r="B43" s="105"/>
      <c r="C43" s="105"/>
      <c r="D43" s="422" t="s">
        <v>321</v>
      </c>
      <c r="E43" s="416">
        <f>SUM(R43:R76)</f>
        <v>85</v>
      </c>
      <c r="F43" s="157"/>
      <c r="G43" s="545"/>
      <c r="H43" s="546"/>
      <c r="I43" s="578"/>
      <c r="J43" s="419"/>
      <c r="K43" s="239"/>
      <c r="L43" s="471" t="s">
        <v>341</v>
      </c>
      <c r="M43" s="420"/>
      <c r="N43" s="193"/>
      <c r="O43" s="374"/>
      <c r="Q43" s="426" t="s">
        <v>1245</v>
      </c>
      <c r="R43" s="423">
        <v>85.0</v>
      </c>
      <c r="S43" s="404"/>
      <c r="T43" s="57"/>
      <c r="U43" s="242"/>
      <c r="V43" s="242"/>
      <c r="W43" s="242"/>
      <c r="X43" s="242"/>
      <c r="Y43" s="242"/>
      <c r="Z43" s="242"/>
      <c r="AA43" s="148"/>
      <c r="AB43" s="148"/>
    </row>
    <row r="44">
      <c r="A44" s="427" t="s">
        <v>201</v>
      </c>
      <c r="E44" s="204">
        <f>SUM(N43:N76)</f>
        <v>2710.18</v>
      </c>
      <c r="F44" s="157"/>
      <c r="G44" s="545"/>
      <c r="H44" s="546"/>
      <c r="I44" s="578"/>
      <c r="J44" s="419"/>
      <c r="K44" s="239"/>
      <c r="L44" s="472" t="s">
        <v>345</v>
      </c>
      <c r="M44" s="420"/>
      <c r="N44" s="193">
        <v>180.53</v>
      </c>
      <c r="O44" s="377" t="s">
        <v>1246</v>
      </c>
      <c r="Q44" s="431"/>
      <c r="R44" s="423"/>
      <c r="S44" s="404"/>
      <c r="T44" s="105"/>
      <c r="U44" s="317"/>
      <c r="V44" s="317"/>
      <c r="W44" s="317"/>
      <c r="X44" s="317"/>
      <c r="Y44" s="317"/>
      <c r="Z44" s="317"/>
      <c r="AA44" s="243"/>
      <c r="AB44" s="243"/>
    </row>
    <row r="45">
      <c r="A45" s="548" t="s">
        <v>761</v>
      </c>
      <c r="B45" s="706"/>
      <c r="C45" s="706"/>
      <c r="D45" s="549">
        <v>0.4</v>
      </c>
      <c r="E45" s="191">
        <v>34.0</v>
      </c>
      <c r="F45" s="157"/>
      <c r="G45" s="550" t="s">
        <v>695</v>
      </c>
      <c r="H45" s="546">
        <v>535.0</v>
      </c>
      <c r="I45" s="562"/>
      <c r="J45" s="419"/>
      <c r="K45" s="239"/>
      <c r="L45" s="433" t="s">
        <v>656</v>
      </c>
      <c r="M45" s="420"/>
      <c r="N45" s="193">
        <v>119.71</v>
      </c>
      <c r="O45" s="377" t="s">
        <v>1247</v>
      </c>
      <c r="Q45" s="431"/>
      <c r="R45" s="423"/>
      <c r="S45" s="404"/>
      <c r="T45" s="148"/>
      <c r="U45" s="242"/>
      <c r="V45" s="242"/>
      <c r="W45" s="242"/>
      <c r="X45" s="242"/>
      <c r="Y45" s="242"/>
      <c r="Z45" s="242"/>
      <c r="AA45" s="148"/>
      <c r="AB45" s="148"/>
    </row>
    <row r="46">
      <c r="A46" s="434" t="s">
        <v>350</v>
      </c>
      <c r="E46" s="551">
        <f>E42-E44-E45+E47</f>
        <v>3252.82</v>
      </c>
      <c r="F46" s="157"/>
      <c r="G46" s="192" t="s">
        <v>1248</v>
      </c>
      <c r="H46" s="546">
        <v>65.0</v>
      </c>
      <c r="I46" s="579"/>
      <c r="J46" s="419"/>
      <c r="K46" s="57"/>
      <c r="L46" s="444" t="s">
        <v>658</v>
      </c>
      <c r="M46" s="420"/>
      <c r="N46" s="193">
        <v>50.0</v>
      </c>
      <c r="O46" s="377"/>
      <c r="Q46" s="431"/>
      <c r="R46" s="157"/>
      <c r="S46" s="404"/>
      <c r="T46" s="148"/>
      <c r="U46" s="242"/>
      <c r="V46" s="242"/>
      <c r="W46" s="242"/>
      <c r="X46" s="242"/>
      <c r="Y46" s="242"/>
      <c r="Z46" s="242"/>
      <c r="AA46" s="148"/>
      <c r="AB46" s="148"/>
    </row>
    <row r="47">
      <c r="A47" s="708" t="s">
        <v>1249</v>
      </c>
      <c r="B47" s="709"/>
      <c r="C47" s="709"/>
      <c r="D47" s="710"/>
      <c r="E47" s="711">
        <v>272.0</v>
      </c>
      <c r="F47" s="157"/>
      <c r="G47" s="192" t="s">
        <v>1028</v>
      </c>
      <c r="H47" s="546">
        <v>1000.0</v>
      </c>
      <c r="I47" s="578"/>
      <c r="J47" s="419"/>
      <c r="K47" s="57"/>
      <c r="L47" s="444" t="s">
        <v>660</v>
      </c>
      <c r="M47" s="420"/>
      <c r="N47" s="193">
        <v>130.0</v>
      </c>
      <c r="O47" s="377"/>
      <c r="Q47" s="431"/>
      <c r="R47" s="157"/>
      <c r="S47" s="404"/>
      <c r="T47" s="148"/>
      <c r="U47" s="242"/>
      <c r="V47" s="242"/>
      <c r="W47" s="242"/>
      <c r="X47" s="242"/>
      <c r="Y47" s="242"/>
      <c r="Z47" s="242"/>
      <c r="AA47" s="148"/>
      <c r="AB47" s="148"/>
    </row>
    <row r="48">
      <c r="A48" s="556"/>
      <c r="E48" s="395"/>
      <c r="F48" s="157"/>
      <c r="G48" s="192" t="s">
        <v>1237</v>
      </c>
      <c r="H48" s="546">
        <v>450.0</v>
      </c>
      <c r="I48" s="579"/>
      <c r="J48" s="419"/>
      <c r="K48" s="239"/>
      <c r="L48" s="370" t="s">
        <v>662</v>
      </c>
      <c r="M48" s="420"/>
      <c r="N48" s="193">
        <v>15.0</v>
      </c>
      <c r="O48" s="374"/>
      <c r="Q48" s="431"/>
      <c r="R48" s="157"/>
      <c r="S48" s="404"/>
      <c r="T48" s="148"/>
      <c r="U48" s="242"/>
      <c r="V48" s="242"/>
      <c r="W48" s="242"/>
      <c r="X48" s="242"/>
      <c r="Y48" s="242"/>
      <c r="Z48" s="242"/>
      <c r="AA48" s="148"/>
      <c r="AB48" s="148"/>
    </row>
    <row r="49">
      <c r="A49" s="557"/>
      <c r="B49" s="557"/>
      <c r="C49" s="557"/>
      <c r="D49" s="109"/>
      <c r="E49" s="395"/>
      <c r="F49" s="373"/>
      <c r="G49" s="192" t="s">
        <v>402</v>
      </c>
      <c r="H49" s="546">
        <v>500.0</v>
      </c>
      <c r="I49" s="578"/>
      <c r="J49" s="419"/>
      <c r="K49" s="239"/>
      <c r="L49" s="433" t="s">
        <v>666</v>
      </c>
      <c r="M49" s="420"/>
      <c r="N49" s="150"/>
      <c r="O49" s="374"/>
      <c r="Q49" s="431"/>
      <c r="R49" s="157"/>
      <c r="S49" s="404"/>
      <c r="T49" s="148"/>
      <c r="U49" s="242"/>
      <c r="V49" s="242"/>
      <c r="W49" s="242"/>
      <c r="X49" s="242"/>
      <c r="Y49" s="242"/>
      <c r="Z49" s="242"/>
      <c r="AA49" s="148"/>
      <c r="AB49" s="148"/>
    </row>
    <row r="50">
      <c r="A50" s="559" t="s">
        <v>765</v>
      </c>
      <c r="B50" s="559"/>
      <c r="C50" s="559"/>
      <c r="D50" s="560">
        <f>SUM(F50:F76)</f>
        <v>1679</v>
      </c>
      <c r="E50" s="477" t="s">
        <v>366</v>
      </c>
      <c r="F50" s="157"/>
      <c r="G50" s="192" t="s">
        <v>1105</v>
      </c>
      <c r="H50" s="546">
        <v>850.0</v>
      </c>
      <c r="I50" s="578"/>
      <c r="J50" s="419"/>
      <c r="K50" s="239"/>
      <c r="L50" s="433" t="s">
        <v>668</v>
      </c>
      <c r="M50" s="420"/>
      <c r="N50" s="150"/>
      <c r="O50" s="377"/>
      <c r="Q50" s="431"/>
      <c r="R50" s="157"/>
      <c r="S50" s="404"/>
      <c r="T50" s="148"/>
      <c r="U50" s="242"/>
      <c r="V50" s="242"/>
      <c r="W50" s="242"/>
      <c r="X50" s="242"/>
      <c r="Y50" s="242"/>
      <c r="Z50" s="242"/>
      <c r="AA50" s="148"/>
      <c r="AB50" s="148"/>
    </row>
    <row r="51">
      <c r="A51" s="453" t="s">
        <v>369</v>
      </c>
      <c r="E51" s="561" t="s">
        <v>766</v>
      </c>
      <c r="F51" s="423"/>
      <c r="G51" s="192" t="s">
        <v>1250</v>
      </c>
      <c r="H51" s="546">
        <v>85.0</v>
      </c>
      <c r="I51" s="558" t="s">
        <v>426</v>
      </c>
      <c r="J51" s="419"/>
      <c r="K51" s="239"/>
      <c r="L51" s="433" t="s">
        <v>670</v>
      </c>
      <c r="M51" s="458"/>
      <c r="N51" s="193">
        <v>1250.0</v>
      </c>
      <c r="O51" s="377"/>
      <c r="Q51" s="431"/>
      <c r="R51" s="157"/>
      <c r="S51" s="404"/>
      <c r="T51" s="148"/>
      <c r="U51" s="242"/>
      <c r="V51" s="242"/>
      <c r="W51" s="242"/>
      <c r="X51" s="242"/>
      <c r="Y51" s="242"/>
      <c r="Z51" s="242"/>
      <c r="AA51" s="148"/>
      <c r="AB51" s="148"/>
    </row>
    <row r="52">
      <c r="E52" s="561" t="s">
        <v>767</v>
      </c>
      <c r="F52" s="157"/>
      <c r="G52" s="192" t="s">
        <v>562</v>
      </c>
      <c r="H52" s="546">
        <v>1000.0</v>
      </c>
      <c r="I52" s="562"/>
      <c r="J52" s="419"/>
      <c r="K52" s="239"/>
      <c r="L52" s="433" t="s">
        <v>217</v>
      </c>
      <c r="M52" s="458"/>
      <c r="N52" s="150"/>
      <c r="O52" s="377"/>
      <c r="Q52" s="431"/>
      <c r="R52" s="157"/>
      <c r="S52" s="404"/>
      <c r="T52" s="148"/>
      <c r="U52" s="242"/>
      <c r="V52" s="242"/>
      <c r="W52" s="242"/>
      <c r="X52" s="242"/>
      <c r="Y52" s="242"/>
      <c r="Z52" s="242"/>
      <c r="AA52" s="148"/>
      <c r="AB52" s="148"/>
    </row>
    <row r="53">
      <c r="A53" s="57"/>
      <c r="B53" s="57"/>
      <c r="C53" s="57"/>
      <c r="D53" s="57"/>
      <c r="E53" s="561" t="s">
        <v>768</v>
      </c>
      <c r="F53" s="423"/>
      <c r="G53" s="192" t="s">
        <v>402</v>
      </c>
      <c r="H53" s="546">
        <v>250.0</v>
      </c>
      <c r="I53" s="578"/>
      <c r="J53" s="419"/>
      <c r="K53" s="239"/>
      <c r="L53" s="109"/>
      <c r="M53" s="420"/>
      <c r="N53" s="193"/>
      <c r="O53" s="374"/>
      <c r="Q53" s="431"/>
      <c r="R53" s="157"/>
      <c r="S53" s="404"/>
      <c r="T53" s="148"/>
      <c r="U53" s="242"/>
      <c r="V53" s="242"/>
      <c r="W53" s="242"/>
      <c r="X53" s="242"/>
      <c r="Y53" s="242"/>
      <c r="Z53" s="242"/>
      <c r="AA53" s="148"/>
      <c r="AB53" s="148"/>
    </row>
    <row r="54">
      <c r="A54" s="57"/>
      <c r="B54" s="57"/>
      <c r="C54" s="57"/>
      <c r="D54" s="57"/>
      <c r="E54" s="561" t="s">
        <v>769</v>
      </c>
      <c r="F54" s="157"/>
      <c r="G54" s="712" t="s">
        <v>1251</v>
      </c>
      <c r="H54" s="671">
        <v>700.0</v>
      </c>
      <c r="I54" s="578"/>
      <c r="J54" s="419"/>
      <c r="K54" s="239"/>
      <c r="L54" s="456" t="s">
        <v>672</v>
      </c>
      <c r="M54" s="420"/>
      <c r="N54" s="150"/>
      <c r="O54" s="377"/>
      <c r="Q54" s="431"/>
      <c r="R54" s="157"/>
      <c r="S54" s="404"/>
      <c r="T54" s="148"/>
      <c r="U54" s="242"/>
      <c r="V54" s="242"/>
      <c r="W54" s="242"/>
      <c r="X54" s="242"/>
      <c r="Y54" s="242"/>
      <c r="Z54" s="242"/>
      <c r="AA54" s="148"/>
      <c r="AB54" s="148"/>
    </row>
    <row r="55">
      <c r="A55" s="57"/>
      <c r="B55" s="57"/>
      <c r="C55" s="57"/>
      <c r="D55" s="57"/>
      <c r="E55" s="561" t="s">
        <v>770</v>
      </c>
      <c r="F55" s="423"/>
      <c r="G55" s="192" t="s">
        <v>1021</v>
      </c>
      <c r="H55" s="546">
        <v>140.0</v>
      </c>
      <c r="I55" s="578"/>
      <c r="J55" s="419"/>
      <c r="K55" s="57"/>
      <c r="L55" s="456" t="s">
        <v>675</v>
      </c>
      <c r="M55" s="420"/>
      <c r="N55" s="193">
        <v>10.0</v>
      </c>
      <c r="O55" s="382" t="s">
        <v>1252</v>
      </c>
      <c r="Q55" s="431"/>
      <c r="R55" s="157"/>
      <c r="S55" s="404"/>
      <c r="T55" s="148"/>
      <c r="U55" s="242"/>
      <c r="V55" s="242"/>
      <c r="W55" s="242"/>
      <c r="X55" s="242"/>
      <c r="Y55" s="242"/>
      <c r="Z55" s="242"/>
      <c r="AA55" s="148"/>
      <c r="AB55" s="148"/>
    </row>
    <row r="56">
      <c r="A56" s="57"/>
      <c r="B56" s="57"/>
      <c r="C56" s="57"/>
      <c r="D56" s="57"/>
      <c r="E56" s="561" t="s">
        <v>793</v>
      </c>
      <c r="F56" s="423">
        <v>250.0</v>
      </c>
      <c r="G56" s="192" t="s">
        <v>862</v>
      </c>
      <c r="H56" s="546">
        <v>150.0</v>
      </c>
      <c r="I56" s="579"/>
      <c r="J56" s="419"/>
      <c r="K56" s="57"/>
      <c r="L56" s="456"/>
      <c r="M56" s="420"/>
      <c r="N56" s="150"/>
      <c r="O56" s="425"/>
      <c r="Q56" s="431"/>
      <c r="R56" s="157"/>
      <c r="S56" s="404"/>
      <c r="T56" s="148"/>
      <c r="U56" s="242"/>
      <c r="V56" s="242"/>
      <c r="W56" s="242"/>
      <c r="X56" s="242"/>
      <c r="Y56" s="242"/>
      <c r="Z56" s="242"/>
      <c r="AA56" s="148"/>
      <c r="AB56" s="148"/>
    </row>
    <row r="57">
      <c r="A57" s="239"/>
      <c r="B57" s="239"/>
      <c r="C57" s="239"/>
      <c r="D57" s="57"/>
      <c r="E57" s="561" t="s">
        <v>794</v>
      </c>
      <c r="F57" s="423"/>
      <c r="G57" s="192"/>
      <c r="H57" s="546"/>
      <c r="I57" s="562"/>
      <c r="J57" s="419"/>
      <c r="K57" s="57"/>
      <c r="L57" s="375"/>
      <c r="M57" s="420"/>
      <c r="N57" s="150"/>
      <c r="O57" s="425"/>
      <c r="Q57" s="431"/>
      <c r="R57" s="157"/>
      <c r="S57" s="404"/>
      <c r="T57" s="148"/>
      <c r="U57" s="242"/>
      <c r="V57" s="242"/>
      <c r="W57" s="242"/>
      <c r="X57" s="242"/>
      <c r="Y57" s="242"/>
      <c r="Z57" s="242"/>
      <c r="AA57" s="148"/>
      <c r="AB57" s="148"/>
    </row>
    <row r="58">
      <c r="A58" s="239"/>
      <c r="B58" s="239"/>
      <c r="C58" s="239"/>
      <c r="D58" s="57"/>
      <c r="E58" s="561" t="s">
        <v>18</v>
      </c>
      <c r="F58" s="423"/>
      <c r="G58" s="192"/>
      <c r="H58" s="546"/>
      <c r="I58" s="562"/>
      <c r="J58" s="419"/>
      <c r="K58" s="57"/>
      <c r="L58" s="375"/>
      <c r="M58" s="420"/>
      <c r="N58" s="193"/>
      <c r="O58" s="382"/>
      <c r="Q58" s="431"/>
      <c r="R58" s="157"/>
      <c r="S58" s="404"/>
      <c r="T58" s="148"/>
      <c r="U58" s="242"/>
      <c r="V58" s="242"/>
      <c r="W58" s="242"/>
      <c r="X58" s="242"/>
      <c r="Y58" s="242"/>
      <c r="Z58" s="242"/>
      <c r="AA58" s="148"/>
      <c r="AB58" s="148"/>
    </row>
    <row r="59">
      <c r="A59" s="239"/>
      <c r="B59" s="239"/>
      <c r="C59" s="239"/>
      <c r="D59" s="57"/>
      <c r="E59" s="563" t="s">
        <v>1115</v>
      </c>
      <c r="F59" s="157"/>
      <c r="G59" s="192"/>
      <c r="H59" s="546"/>
      <c r="I59" s="579"/>
      <c r="J59" s="419"/>
      <c r="K59" s="57"/>
      <c r="L59" s="452"/>
      <c r="M59" s="420"/>
      <c r="N59" s="150"/>
      <c r="O59" s="425"/>
      <c r="Q59" s="431"/>
      <c r="R59" s="157"/>
      <c r="S59" s="404"/>
      <c r="T59" s="148"/>
      <c r="U59" s="242"/>
      <c r="V59" s="242"/>
      <c r="W59" s="242"/>
      <c r="X59" s="242"/>
      <c r="Y59" s="242"/>
      <c r="Z59" s="242"/>
      <c r="AA59" s="148"/>
      <c r="AB59" s="148"/>
    </row>
    <row r="60">
      <c r="A60" s="662" t="s">
        <v>1253</v>
      </c>
      <c r="B60" s="662"/>
      <c r="C60" s="662"/>
      <c r="D60" s="57"/>
      <c r="E60" s="561" t="s">
        <v>774</v>
      </c>
      <c r="F60" s="423">
        <v>133.0</v>
      </c>
      <c r="G60" s="192"/>
      <c r="H60" s="546"/>
      <c r="I60" s="578"/>
      <c r="J60" s="419"/>
      <c r="K60" s="57"/>
      <c r="L60" s="105"/>
      <c r="M60" s="420"/>
      <c r="N60" s="150"/>
      <c r="O60" s="425"/>
      <c r="Q60" s="431"/>
      <c r="R60" s="157"/>
      <c r="S60" s="404"/>
      <c r="T60" s="148"/>
      <c r="U60" s="242"/>
      <c r="V60" s="242"/>
      <c r="W60" s="242"/>
      <c r="X60" s="242"/>
      <c r="Y60" s="242"/>
      <c r="Z60" s="242"/>
      <c r="AA60" s="148"/>
      <c r="AB60" s="148"/>
    </row>
    <row r="61">
      <c r="A61" s="662" t="s">
        <v>1254</v>
      </c>
      <c r="B61" s="662"/>
      <c r="C61" s="662"/>
      <c r="D61" s="239"/>
      <c r="E61" s="561" t="s">
        <v>775</v>
      </c>
      <c r="F61" s="423">
        <v>320.0</v>
      </c>
      <c r="G61" s="192"/>
      <c r="H61" s="546"/>
      <c r="I61" s="578"/>
      <c r="J61" s="419"/>
      <c r="K61" s="57"/>
      <c r="L61" s="378" t="s">
        <v>682</v>
      </c>
      <c r="M61" s="420"/>
      <c r="N61" s="193">
        <v>586.0</v>
      </c>
      <c r="O61" s="377" t="s">
        <v>1255</v>
      </c>
      <c r="Q61" s="431"/>
      <c r="R61" s="157"/>
      <c r="S61" s="404"/>
      <c r="T61" s="148"/>
      <c r="U61" s="242"/>
      <c r="V61" s="242"/>
      <c r="W61" s="242"/>
      <c r="X61" s="242"/>
      <c r="Y61" s="242"/>
      <c r="Z61" s="242"/>
      <c r="AA61" s="148"/>
      <c r="AB61" s="148"/>
    </row>
    <row r="62">
      <c r="A62" s="239"/>
      <c r="B62" s="239"/>
      <c r="C62" s="239"/>
      <c r="D62" s="239"/>
      <c r="E62" s="561" t="s">
        <v>10</v>
      </c>
      <c r="F62" s="423">
        <v>167.0</v>
      </c>
      <c r="G62" s="192"/>
      <c r="H62" s="580"/>
      <c r="I62" s="581"/>
      <c r="J62" s="419"/>
      <c r="K62" s="57"/>
      <c r="L62" s="461" t="s">
        <v>684</v>
      </c>
      <c r="M62" s="420"/>
      <c r="N62" s="193"/>
      <c r="O62" s="377"/>
      <c r="Q62" s="431"/>
      <c r="R62" s="157"/>
      <c r="S62" s="404"/>
      <c r="T62" s="148"/>
      <c r="U62" s="242"/>
      <c r="V62" s="242"/>
      <c r="W62" s="242"/>
      <c r="X62" s="242"/>
      <c r="Y62" s="242"/>
      <c r="Z62" s="242"/>
      <c r="AA62" s="148"/>
      <c r="AB62" s="148"/>
    </row>
    <row r="63">
      <c r="A63" s="662" t="s">
        <v>1256</v>
      </c>
      <c r="B63" s="662"/>
      <c r="C63" s="662"/>
      <c r="D63" s="239"/>
      <c r="E63" s="561" t="s">
        <v>6</v>
      </c>
      <c r="F63" s="423">
        <v>570.0</v>
      </c>
      <c r="G63" s="206"/>
      <c r="H63" s="547"/>
      <c r="I63" s="579"/>
      <c r="J63" s="455"/>
      <c r="K63" s="57"/>
      <c r="L63" s="461" t="s">
        <v>686</v>
      </c>
      <c r="M63" s="420"/>
      <c r="N63" s="193"/>
      <c r="O63" s="374"/>
      <c r="Q63" s="463"/>
      <c r="R63" s="157"/>
      <c r="S63" s="404"/>
      <c r="T63" s="148"/>
      <c r="U63" s="242"/>
      <c r="V63" s="242"/>
      <c r="W63" s="242"/>
      <c r="X63" s="242"/>
      <c r="Y63" s="242"/>
      <c r="Z63" s="242"/>
      <c r="AA63" s="148"/>
      <c r="AB63" s="148"/>
    </row>
    <row r="64">
      <c r="A64" s="57"/>
      <c r="B64" s="57"/>
      <c r="C64" s="57"/>
      <c r="D64" s="57"/>
      <c r="E64" s="561" t="s">
        <v>779</v>
      </c>
      <c r="F64" s="157"/>
      <c r="G64" s="228"/>
      <c r="H64" s="547"/>
      <c r="I64" s="579"/>
      <c r="J64" s="455"/>
      <c r="K64" s="239"/>
      <c r="L64" s="460" t="s">
        <v>202</v>
      </c>
      <c r="M64" s="420"/>
      <c r="N64" s="193"/>
      <c r="O64" s="377"/>
      <c r="Q64" s="463"/>
      <c r="R64" s="157"/>
      <c r="S64" s="404"/>
      <c r="T64" s="148"/>
      <c r="U64" s="242"/>
      <c r="V64" s="242"/>
      <c r="W64" s="242"/>
      <c r="X64" s="242"/>
      <c r="Y64" s="242"/>
      <c r="Z64" s="242"/>
      <c r="AA64" s="148"/>
      <c r="AB64" s="148"/>
    </row>
    <row r="65">
      <c r="A65" s="239"/>
      <c r="B65" s="239"/>
      <c r="C65" s="239"/>
      <c r="D65" s="239"/>
      <c r="E65" s="561" t="s">
        <v>780</v>
      </c>
      <c r="F65" s="423">
        <v>150.0</v>
      </c>
      <c r="G65" s="228"/>
      <c r="H65" s="547"/>
      <c r="I65" s="579"/>
      <c r="J65" s="455"/>
      <c r="K65" s="57"/>
      <c r="L65" s="460" t="s">
        <v>274</v>
      </c>
      <c r="M65" s="420"/>
      <c r="N65" s="193"/>
      <c r="O65" s="374"/>
      <c r="Q65" s="463"/>
      <c r="R65" s="157"/>
      <c r="S65" s="404"/>
      <c r="T65" s="148"/>
      <c r="U65" s="242"/>
      <c r="V65" s="242"/>
      <c r="W65" s="242"/>
      <c r="X65" s="242"/>
      <c r="Y65" s="242"/>
      <c r="Z65" s="242"/>
      <c r="AA65" s="148"/>
      <c r="AB65" s="148"/>
    </row>
    <row r="66">
      <c r="A66" s="238" t="s">
        <v>1257</v>
      </c>
      <c r="B66" s="238"/>
      <c r="C66" s="238"/>
      <c r="D66" s="239"/>
      <c r="E66" s="561" t="s">
        <v>797</v>
      </c>
      <c r="F66" s="423">
        <v>61.0</v>
      </c>
      <c r="G66" s="228"/>
      <c r="H66" s="547"/>
      <c r="I66" s="579"/>
      <c r="J66" s="419"/>
      <c r="K66" s="239"/>
      <c r="L66" s="568"/>
      <c r="M66" s="420"/>
      <c r="N66" s="150"/>
      <c r="O66" s="374"/>
      <c r="Q66" s="431"/>
      <c r="R66" s="157"/>
      <c r="S66" s="404"/>
      <c r="T66" s="243"/>
      <c r="U66" s="317"/>
      <c r="V66" s="317"/>
      <c r="W66" s="317"/>
      <c r="X66" s="317"/>
      <c r="Y66" s="317"/>
      <c r="Z66" s="317"/>
      <c r="AA66" s="243"/>
      <c r="AB66" s="243"/>
    </row>
    <row r="67">
      <c r="A67" s="239"/>
      <c r="B67" s="239"/>
      <c r="C67" s="239"/>
      <c r="D67" s="157"/>
      <c r="E67" s="561" t="s">
        <v>1118</v>
      </c>
      <c r="F67" s="423">
        <v>28.0</v>
      </c>
      <c r="G67" s="569"/>
      <c r="H67" s="547"/>
      <c r="I67" s="578"/>
      <c r="J67" s="419"/>
      <c r="K67" s="57"/>
      <c r="L67" s="374"/>
      <c r="M67" s="420"/>
      <c r="N67" s="193"/>
      <c r="O67" s="377"/>
      <c r="Q67" s="431"/>
      <c r="R67" s="157"/>
      <c r="S67" s="404"/>
      <c r="T67" s="582"/>
      <c r="U67" s="583"/>
      <c r="V67" s="583"/>
      <c r="W67" s="583"/>
      <c r="X67" s="583"/>
      <c r="Y67" s="583"/>
      <c r="Z67" s="583"/>
      <c r="AA67" s="582"/>
      <c r="AB67" s="582"/>
    </row>
    <row r="68">
      <c r="A68" s="239"/>
      <c r="B68" s="239"/>
      <c r="C68" s="239"/>
      <c r="D68" s="157"/>
      <c r="E68" s="561"/>
      <c r="F68" s="157"/>
      <c r="G68" s="228"/>
      <c r="H68" s="547"/>
      <c r="I68" s="578"/>
      <c r="J68" s="419"/>
      <c r="K68" s="239"/>
      <c r="L68" s="596" t="s">
        <v>955</v>
      </c>
      <c r="M68" s="420"/>
      <c r="N68" s="193">
        <v>310.0</v>
      </c>
      <c r="O68" s="377"/>
      <c r="Q68" s="431"/>
      <c r="R68" s="157"/>
      <c r="S68" s="404"/>
      <c r="T68" s="148"/>
      <c r="U68" s="242"/>
      <c r="V68" s="242"/>
      <c r="W68" s="242"/>
      <c r="X68" s="242"/>
      <c r="Y68" s="242"/>
      <c r="Z68" s="242"/>
      <c r="AA68" s="148"/>
      <c r="AB68" s="148"/>
    </row>
    <row r="69">
      <c r="A69" s="239"/>
      <c r="B69" s="239"/>
      <c r="C69" s="239"/>
      <c r="D69" s="157"/>
      <c r="E69" s="561"/>
      <c r="F69" s="157"/>
      <c r="G69" s="570"/>
      <c r="H69" s="547"/>
      <c r="I69" s="578"/>
      <c r="J69" s="419"/>
      <c r="K69" s="239"/>
      <c r="L69" s="568"/>
      <c r="M69" s="420"/>
      <c r="N69" s="193"/>
      <c r="O69" s="374"/>
      <c r="Q69" s="431"/>
      <c r="R69" s="157"/>
      <c r="S69" s="404"/>
      <c r="T69" s="148"/>
      <c r="U69" s="242"/>
      <c r="V69" s="242"/>
      <c r="W69" s="242"/>
      <c r="X69" s="242"/>
      <c r="Y69" s="242"/>
      <c r="Z69" s="242"/>
      <c r="AA69" s="148"/>
      <c r="AB69" s="148"/>
    </row>
    <row r="70">
      <c r="E70" s="571"/>
      <c r="F70" s="157"/>
      <c r="G70" s="570"/>
      <c r="H70" s="547"/>
      <c r="I70" s="578"/>
      <c r="J70" s="419"/>
      <c r="K70" s="239"/>
      <c r="L70" s="464" t="s">
        <v>692</v>
      </c>
      <c r="M70" s="420"/>
      <c r="N70" s="193"/>
      <c r="O70" s="377"/>
      <c r="Q70" s="431"/>
      <c r="R70" s="157"/>
      <c r="S70" s="404"/>
      <c r="T70" s="148"/>
      <c r="U70" s="242"/>
      <c r="V70" s="242"/>
      <c r="W70" s="242"/>
      <c r="X70" s="242"/>
      <c r="Y70" s="242"/>
      <c r="Z70" s="242"/>
      <c r="AA70" s="148"/>
      <c r="AB70" s="148"/>
    </row>
    <row r="71">
      <c r="E71" s="571"/>
      <c r="F71" s="157"/>
      <c r="G71" s="570"/>
      <c r="H71" s="547"/>
      <c r="I71" s="578"/>
      <c r="J71" s="419"/>
      <c r="K71" s="239"/>
      <c r="L71" s="464" t="s">
        <v>694</v>
      </c>
      <c r="M71" s="420"/>
      <c r="N71" s="193">
        <v>58.94</v>
      </c>
      <c r="O71" s="377" t="s">
        <v>1258</v>
      </c>
      <c r="Q71" s="431"/>
      <c r="R71" s="157"/>
      <c r="S71" s="404"/>
      <c r="T71" s="148"/>
      <c r="U71" s="242"/>
      <c r="V71" s="242"/>
      <c r="W71" s="242"/>
      <c r="X71" s="242"/>
      <c r="Y71" s="242"/>
      <c r="Z71" s="242"/>
      <c r="AA71" s="148"/>
      <c r="AB71" s="148"/>
    </row>
    <row r="72">
      <c r="E72" s="571"/>
      <c r="F72" s="423"/>
      <c r="G72" s="570"/>
      <c r="H72" s="546"/>
      <c r="I72" s="578"/>
      <c r="J72" s="419"/>
      <c r="K72" s="57"/>
      <c r="L72" s="105"/>
      <c r="M72" s="57"/>
      <c r="N72" s="150"/>
      <c r="O72" s="57"/>
      <c r="P72" s="57"/>
      <c r="Q72" s="57"/>
      <c r="R72" s="157"/>
      <c r="S72" s="404"/>
      <c r="T72" s="148"/>
      <c r="U72" s="242"/>
      <c r="V72" s="242"/>
      <c r="W72" s="242"/>
      <c r="X72" s="242"/>
      <c r="Y72" s="242"/>
      <c r="Z72" s="242"/>
      <c r="AA72" s="148"/>
      <c r="AB72" s="148"/>
    </row>
    <row r="73">
      <c r="A73" s="125" t="s">
        <v>798</v>
      </c>
      <c r="B73" s="125"/>
      <c r="C73" s="125"/>
      <c r="D73" s="572">
        <f>E46-D50</f>
        <v>1573.82</v>
      </c>
      <c r="F73" s="157"/>
      <c r="G73" s="570"/>
      <c r="H73" s="573"/>
      <c r="I73" s="581"/>
      <c r="J73" s="419"/>
      <c r="K73" s="239"/>
      <c r="L73" s="568"/>
      <c r="M73" s="57"/>
      <c r="N73" s="150"/>
      <c r="O73" s="57"/>
      <c r="P73" s="57"/>
      <c r="Q73" s="57"/>
      <c r="R73" s="157"/>
      <c r="S73" s="404"/>
      <c r="T73" s="148"/>
      <c r="U73" s="242"/>
      <c r="V73" s="242"/>
      <c r="W73" s="242"/>
      <c r="X73" s="242"/>
      <c r="Y73" s="242"/>
      <c r="Z73" s="242"/>
      <c r="AA73" s="148"/>
      <c r="AB73" s="148"/>
    </row>
    <row r="74">
      <c r="A74" s="274" t="s">
        <v>783</v>
      </c>
      <c r="B74" s="274"/>
      <c r="C74" s="274"/>
      <c r="D74" s="109">
        <v>1284.0</v>
      </c>
      <c r="E74" s="395"/>
      <c r="F74" s="157"/>
      <c r="G74" s="570"/>
      <c r="H74" s="573"/>
      <c r="I74" s="581"/>
      <c r="J74" s="419"/>
      <c r="K74" s="239"/>
      <c r="L74" s="568"/>
      <c r="M74" s="57"/>
      <c r="N74" s="150"/>
      <c r="O74" s="57"/>
      <c r="P74" s="57"/>
      <c r="Q74" s="57"/>
      <c r="R74" s="157"/>
      <c r="S74" s="404"/>
      <c r="T74" s="148"/>
      <c r="U74" s="242"/>
      <c r="V74" s="242"/>
      <c r="W74" s="242"/>
      <c r="X74" s="242"/>
      <c r="Y74" s="242"/>
      <c r="Z74" s="242"/>
      <c r="AA74" s="148"/>
      <c r="AB74" s="148"/>
    </row>
    <row r="75">
      <c r="A75" s="274" t="s">
        <v>784</v>
      </c>
      <c r="B75" s="274"/>
      <c r="C75" s="274"/>
      <c r="D75" s="109">
        <v>3240.0</v>
      </c>
      <c r="E75" s="395"/>
      <c r="F75" s="157"/>
      <c r="G75" s="570"/>
      <c r="H75" s="573"/>
      <c r="I75" s="581"/>
      <c r="J75" s="419"/>
      <c r="K75" s="239"/>
      <c r="L75" s="568"/>
      <c r="M75" s="57"/>
      <c r="N75" s="150"/>
      <c r="O75" s="57"/>
      <c r="P75" s="57"/>
      <c r="Q75" s="57"/>
      <c r="R75" s="157"/>
      <c r="S75" s="404"/>
      <c r="T75" s="148"/>
      <c r="U75" s="242"/>
      <c r="V75" s="242"/>
      <c r="W75" s="242"/>
      <c r="X75" s="242"/>
      <c r="Y75" s="242"/>
      <c r="Z75" s="242"/>
      <c r="AA75" s="148"/>
      <c r="AB75" s="148"/>
    </row>
    <row r="76">
      <c r="A76" s="274" t="s">
        <v>785</v>
      </c>
      <c r="B76" s="274"/>
      <c r="C76" s="274"/>
      <c r="D76" s="109"/>
      <c r="E76" s="395"/>
      <c r="F76" s="157"/>
      <c r="G76" s="570"/>
      <c r="H76" s="573"/>
      <c r="I76" s="581"/>
      <c r="J76" s="419"/>
      <c r="K76" s="239"/>
      <c r="L76" s="568"/>
      <c r="M76" s="57"/>
      <c r="N76" s="150"/>
      <c r="O76" s="57"/>
      <c r="P76" s="57"/>
      <c r="Q76" s="57"/>
      <c r="R76" s="157"/>
      <c r="S76" s="404"/>
      <c r="T76" s="148"/>
      <c r="U76" s="242"/>
      <c r="V76" s="242"/>
      <c r="W76" s="242"/>
      <c r="X76" s="242"/>
      <c r="Y76" s="242"/>
      <c r="Z76" s="242"/>
      <c r="AA76" s="148"/>
      <c r="AB76" s="148"/>
    </row>
    <row r="77">
      <c r="A77" s="402"/>
      <c r="B77" s="402"/>
      <c r="C77" s="402"/>
      <c r="D77" s="403"/>
      <c r="E77" s="403"/>
      <c r="F77" s="403"/>
      <c r="G77" s="574"/>
      <c r="H77" s="575"/>
      <c r="I77" s="159"/>
      <c r="J77" s="159"/>
      <c r="K77" s="159"/>
      <c r="L77" s="576"/>
      <c r="M77" s="159"/>
      <c r="N77" s="162"/>
      <c r="O77" s="402"/>
      <c r="P77" s="402"/>
      <c r="Q77" s="159"/>
      <c r="R77" s="403"/>
      <c r="S77" s="577"/>
      <c r="T77" s="148"/>
      <c r="U77" s="242"/>
      <c r="V77" s="242"/>
      <c r="W77" s="242"/>
      <c r="X77" s="242"/>
      <c r="Y77" s="242"/>
      <c r="Z77" s="242"/>
      <c r="AA77" s="148"/>
      <c r="AB77" s="148"/>
    </row>
    <row r="78" ht="9.75" customHeight="1">
      <c r="A78" s="338"/>
      <c r="B78" s="338"/>
      <c r="C78" s="338"/>
      <c r="D78" s="584"/>
      <c r="E78" s="148"/>
      <c r="F78" s="245"/>
      <c r="G78" s="585"/>
      <c r="H78" s="586"/>
      <c r="I78" s="148"/>
      <c r="J78" s="148"/>
      <c r="K78" s="251"/>
      <c r="L78" s="243"/>
      <c r="M78" s="148"/>
      <c r="N78" s="277"/>
      <c r="O78" s="252"/>
      <c r="P78" s="250"/>
      <c r="Q78" s="253"/>
      <c r="R78" s="240"/>
      <c r="S78" s="148"/>
      <c r="T78" s="148"/>
      <c r="U78" s="242"/>
      <c r="V78" s="242"/>
      <c r="W78" s="242"/>
      <c r="X78" s="242"/>
      <c r="Y78" s="242"/>
      <c r="Z78" s="242"/>
      <c r="AA78" s="148"/>
      <c r="AB78" s="148"/>
    </row>
    <row r="79">
      <c r="A79" s="169" t="s">
        <v>127</v>
      </c>
      <c r="B79" s="705"/>
      <c r="C79" s="705"/>
      <c r="D79" s="539"/>
      <c r="E79" s="540"/>
      <c r="F79" s="405"/>
      <c r="G79" s="541"/>
      <c r="H79" s="542"/>
      <c r="I79" s="467" t="s">
        <v>333</v>
      </c>
      <c r="J79" s="361"/>
      <c r="K79" s="57"/>
      <c r="L79" s="105"/>
      <c r="M79" s="57"/>
      <c r="N79" s="150"/>
      <c r="O79" s="239"/>
      <c r="P79" s="239"/>
      <c r="Q79" s="57"/>
      <c r="R79" s="157"/>
      <c r="S79" s="404"/>
      <c r="T79" s="148"/>
      <c r="U79" s="242"/>
      <c r="V79" s="242"/>
      <c r="W79" s="242"/>
      <c r="X79" s="242"/>
      <c r="Y79" s="242"/>
      <c r="Z79" s="242"/>
      <c r="AA79" s="148"/>
      <c r="AB79" s="148"/>
    </row>
    <row r="80">
      <c r="A80" s="468"/>
      <c r="B80" s="406"/>
      <c r="C80" s="406"/>
      <c r="D80" s="157"/>
      <c r="E80" s="466"/>
      <c r="F80" s="405"/>
      <c r="G80" s="543" t="s">
        <v>335</v>
      </c>
      <c r="H80" s="544" t="s">
        <v>237</v>
      </c>
      <c r="I80" s="412" t="s">
        <v>336</v>
      </c>
      <c r="J80" s="413" t="s">
        <v>337</v>
      </c>
      <c r="K80" s="239"/>
      <c r="L80" s="145" t="s">
        <v>60</v>
      </c>
      <c r="M80" s="57"/>
      <c r="N80" s="150"/>
      <c r="O80" s="414"/>
      <c r="P80" s="414"/>
      <c r="Q80" s="57" t="s">
        <v>334</v>
      </c>
      <c r="R80" s="157"/>
      <c r="S80" s="404"/>
      <c r="T80" s="148"/>
      <c r="U80" s="242"/>
      <c r="V80" s="242"/>
      <c r="W80" s="242"/>
      <c r="X80" s="242"/>
      <c r="Y80" s="242"/>
      <c r="Z80" s="242"/>
      <c r="AA80" s="148"/>
      <c r="AB80" s="148"/>
    </row>
    <row r="81">
      <c r="A81" s="470" t="s">
        <v>179</v>
      </c>
      <c r="E81" s="416">
        <f>SUM(H81:H115)</f>
        <v>4609</v>
      </c>
      <c r="F81" s="405"/>
      <c r="G81" s="545"/>
      <c r="H81" s="546"/>
      <c r="I81" s="419"/>
      <c r="J81" s="419"/>
      <c r="K81" s="57"/>
      <c r="M81" s="57"/>
      <c r="N81" s="150"/>
      <c r="O81" s="377" t="s">
        <v>366</v>
      </c>
      <c r="R81" s="157"/>
      <c r="S81" s="404"/>
      <c r="T81" s="148"/>
      <c r="U81" s="242"/>
      <c r="V81" s="242"/>
      <c r="W81" s="242"/>
      <c r="X81" s="242"/>
      <c r="Y81" s="242"/>
      <c r="Z81" s="242"/>
      <c r="AA81" s="148"/>
      <c r="AB81" s="148"/>
    </row>
    <row r="82">
      <c r="A82" s="421" t="s">
        <v>343</v>
      </c>
      <c r="B82" s="105"/>
      <c r="C82" s="105"/>
      <c r="D82" s="422" t="s">
        <v>321</v>
      </c>
      <c r="E82" s="416">
        <f>SUM(R82:R115)</f>
        <v>373</v>
      </c>
      <c r="F82" s="157"/>
      <c r="G82" s="545"/>
      <c r="H82" s="546"/>
      <c r="I82" s="419"/>
      <c r="J82" s="419"/>
      <c r="K82" s="239"/>
      <c r="L82" s="471" t="s">
        <v>341</v>
      </c>
      <c r="M82" s="420"/>
      <c r="N82" s="150"/>
      <c r="O82" s="374"/>
      <c r="Q82" s="426" t="s">
        <v>1259</v>
      </c>
      <c r="R82" s="423">
        <v>126.0</v>
      </c>
      <c r="S82" s="404"/>
      <c r="T82" s="148"/>
      <c r="U82" s="242"/>
      <c r="V82" s="242"/>
      <c r="W82" s="242"/>
      <c r="X82" s="242"/>
      <c r="Y82" s="242"/>
      <c r="Z82" s="242"/>
      <c r="AA82" s="148"/>
      <c r="AB82" s="148"/>
    </row>
    <row r="83">
      <c r="A83" s="427" t="s">
        <v>201</v>
      </c>
      <c r="E83" s="204">
        <f>SUM(N82:N115)</f>
        <v>2074</v>
      </c>
      <c r="F83" s="157"/>
      <c r="G83" s="545"/>
      <c r="H83" s="546"/>
      <c r="I83" s="419"/>
      <c r="J83" s="419"/>
      <c r="K83" s="239"/>
      <c r="L83" s="472" t="s">
        <v>345</v>
      </c>
      <c r="M83" s="420"/>
      <c r="N83" s="150"/>
      <c r="O83" s="374"/>
      <c r="Q83" s="426" t="s">
        <v>1260</v>
      </c>
      <c r="R83" s="423">
        <v>167.0</v>
      </c>
      <c r="S83" s="404"/>
      <c r="T83" s="148"/>
      <c r="U83" s="242"/>
      <c r="V83" s="242"/>
      <c r="W83" s="242"/>
      <c r="X83" s="242"/>
      <c r="Y83" s="242"/>
      <c r="Z83" s="242"/>
      <c r="AA83" s="148"/>
      <c r="AB83" s="148"/>
    </row>
    <row r="84">
      <c r="A84" s="548" t="s">
        <v>761</v>
      </c>
      <c r="B84" s="706"/>
      <c r="C84" s="706"/>
      <c r="D84" s="549">
        <v>0.4</v>
      </c>
      <c r="E84" s="191">
        <v>149.0</v>
      </c>
      <c r="F84" s="157"/>
      <c r="G84" s="550" t="s">
        <v>695</v>
      </c>
      <c r="H84" s="546">
        <v>415.0</v>
      </c>
      <c r="I84" s="587"/>
      <c r="J84" s="419"/>
      <c r="K84" s="239"/>
      <c r="L84" s="433" t="s">
        <v>656</v>
      </c>
      <c r="M84" s="420"/>
      <c r="N84" s="193">
        <v>139.0</v>
      </c>
      <c r="O84" s="377" t="s">
        <v>1261</v>
      </c>
      <c r="Q84" s="426"/>
      <c r="R84" s="423"/>
      <c r="S84" s="404"/>
      <c r="T84" s="148"/>
      <c r="U84" s="242"/>
      <c r="V84" s="242"/>
      <c r="W84" s="242"/>
      <c r="X84" s="242"/>
      <c r="Y84" s="242"/>
      <c r="Z84" s="242"/>
      <c r="AA84" s="148"/>
      <c r="AB84" s="148"/>
    </row>
    <row r="85">
      <c r="A85" s="434" t="s">
        <v>350</v>
      </c>
      <c r="E85" s="551">
        <f>E81-E83-E84+E86</f>
        <v>3113.46</v>
      </c>
      <c r="F85" s="157"/>
      <c r="G85" s="192" t="s">
        <v>1262</v>
      </c>
      <c r="H85" s="546">
        <v>200.0</v>
      </c>
      <c r="I85" s="562"/>
      <c r="J85" s="419"/>
      <c r="K85" s="57"/>
      <c r="L85" s="444" t="s">
        <v>658</v>
      </c>
      <c r="M85" s="420"/>
      <c r="N85" s="193">
        <v>51.0</v>
      </c>
      <c r="O85" s="377"/>
      <c r="Q85" s="426" t="s">
        <v>1142</v>
      </c>
      <c r="R85" s="423">
        <v>80.0</v>
      </c>
      <c r="S85" s="404"/>
      <c r="T85" s="148"/>
      <c r="U85" s="242"/>
      <c r="V85" s="242"/>
      <c r="W85" s="242"/>
      <c r="X85" s="242"/>
      <c r="Y85" s="242"/>
      <c r="Z85" s="242"/>
      <c r="AA85" s="148"/>
      <c r="AB85" s="148"/>
    </row>
    <row r="86">
      <c r="A86" s="713" t="s">
        <v>1263</v>
      </c>
      <c r="B86" s="714"/>
      <c r="C86" s="714"/>
      <c r="D86" s="555"/>
      <c r="E86" s="711">
        <v>727.46</v>
      </c>
      <c r="F86" s="157"/>
      <c r="G86" s="192" t="s">
        <v>575</v>
      </c>
      <c r="H86" s="546">
        <v>65.0</v>
      </c>
      <c r="I86" s="419"/>
      <c r="J86" s="419"/>
      <c r="K86" s="57"/>
      <c r="L86" s="444" t="s">
        <v>660</v>
      </c>
      <c r="M86" s="420"/>
      <c r="N86" s="193">
        <v>170.0</v>
      </c>
      <c r="O86" s="377"/>
      <c r="Q86" s="431"/>
      <c r="R86" s="157"/>
      <c r="S86" s="404"/>
      <c r="T86" s="148"/>
      <c r="U86" s="242"/>
      <c r="V86" s="242"/>
      <c r="W86" s="242"/>
      <c r="X86" s="242"/>
      <c r="Y86" s="242"/>
      <c r="Z86" s="242"/>
      <c r="AA86" s="148"/>
      <c r="AB86" s="148"/>
    </row>
    <row r="87">
      <c r="A87" s="556"/>
      <c r="E87" s="109"/>
      <c r="F87" s="157"/>
      <c r="G87" s="192" t="s">
        <v>1264</v>
      </c>
      <c r="H87" s="546">
        <v>1000.0</v>
      </c>
      <c r="I87" s="455"/>
      <c r="J87" s="419"/>
      <c r="K87" s="239"/>
      <c r="L87" s="370" t="s">
        <v>662</v>
      </c>
      <c r="M87" s="420"/>
      <c r="N87" s="193">
        <v>30.0</v>
      </c>
      <c r="O87" s="377"/>
      <c r="Q87" s="431"/>
      <c r="R87" s="157"/>
      <c r="S87" s="404"/>
      <c r="T87" s="148"/>
      <c r="U87" s="242"/>
      <c r="V87" s="242"/>
      <c r="W87" s="242"/>
      <c r="X87" s="242"/>
      <c r="Y87" s="242"/>
      <c r="Z87" s="242"/>
      <c r="AA87" s="148"/>
      <c r="AB87" s="148"/>
    </row>
    <row r="88" ht="21.75" customHeight="1">
      <c r="A88" s="557"/>
      <c r="B88" s="557"/>
      <c r="C88" s="557"/>
      <c r="D88" s="109"/>
      <c r="E88" s="395"/>
      <c r="F88" s="373"/>
      <c r="G88" s="192" t="s">
        <v>433</v>
      </c>
      <c r="H88" s="546">
        <v>70.0</v>
      </c>
      <c r="I88" s="419"/>
      <c r="J88" s="419"/>
      <c r="K88" s="239"/>
      <c r="L88" s="433" t="s">
        <v>666</v>
      </c>
      <c r="M88" s="420"/>
      <c r="N88" s="193">
        <v>129.0</v>
      </c>
      <c r="O88" s="377"/>
      <c r="Q88" s="431"/>
      <c r="R88" s="157"/>
      <c r="S88" s="404"/>
      <c r="T88" s="148"/>
      <c r="U88" s="242"/>
      <c r="V88" s="242"/>
      <c r="W88" s="242"/>
      <c r="X88" s="242"/>
      <c r="Y88" s="242"/>
      <c r="Z88" s="242"/>
      <c r="AA88" s="148"/>
      <c r="AB88" s="148"/>
    </row>
    <row r="89" ht="17.25" customHeight="1">
      <c r="A89" s="559" t="s">
        <v>765</v>
      </c>
      <c r="B89" s="559"/>
      <c r="C89" s="559"/>
      <c r="D89" s="560">
        <f>SUM(F89:F115)</f>
        <v>2172</v>
      </c>
      <c r="E89" s="477" t="s">
        <v>366</v>
      </c>
      <c r="F89" s="157"/>
      <c r="G89" s="192" t="s">
        <v>1265</v>
      </c>
      <c r="H89" s="546">
        <v>250.0</v>
      </c>
      <c r="I89" s="419"/>
      <c r="J89" s="419"/>
      <c r="K89" s="239"/>
      <c r="L89" s="433" t="s">
        <v>668</v>
      </c>
      <c r="M89" s="420"/>
      <c r="N89" s="193"/>
      <c r="O89" s="377"/>
      <c r="Q89" s="431"/>
      <c r="R89" s="157"/>
      <c r="S89" s="404"/>
      <c r="T89" s="148"/>
      <c r="U89" s="242"/>
      <c r="V89" s="242"/>
      <c r="W89" s="242"/>
      <c r="X89" s="242"/>
      <c r="Y89" s="242"/>
      <c r="Z89" s="242"/>
      <c r="AA89" s="148"/>
      <c r="AB89" s="148"/>
    </row>
    <row r="90">
      <c r="A90" s="453" t="s">
        <v>369</v>
      </c>
      <c r="E90" s="561" t="s">
        <v>766</v>
      </c>
      <c r="F90" s="423"/>
      <c r="G90" s="192" t="s">
        <v>873</v>
      </c>
      <c r="H90" s="546">
        <v>260.0</v>
      </c>
      <c r="I90" s="715" t="s">
        <v>426</v>
      </c>
      <c r="J90" s="419"/>
      <c r="K90" s="239"/>
      <c r="L90" s="433" t="s">
        <v>670</v>
      </c>
      <c r="M90" s="458"/>
      <c r="N90" s="193">
        <v>1250.0</v>
      </c>
      <c r="O90" s="377"/>
      <c r="Q90" s="431"/>
      <c r="R90" s="157"/>
      <c r="S90" s="404"/>
      <c r="T90" s="148"/>
      <c r="U90" s="242"/>
      <c r="V90" s="242"/>
      <c r="W90" s="242"/>
      <c r="X90" s="242"/>
      <c r="Y90" s="242"/>
      <c r="Z90" s="242"/>
      <c r="AA90" s="148"/>
      <c r="AB90" s="148"/>
    </row>
    <row r="91" ht="14.25" customHeight="1">
      <c r="E91" s="561" t="s">
        <v>767</v>
      </c>
      <c r="F91" s="423"/>
      <c r="G91" s="192" t="s">
        <v>1237</v>
      </c>
      <c r="H91" s="546">
        <v>400.0</v>
      </c>
      <c r="I91" s="419"/>
      <c r="J91" s="419"/>
      <c r="K91" s="239"/>
      <c r="L91" s="433" t="s">
        <v>217</v>
      </c>
      <c r="M91" s="458"/>
      <c r="N91" s="150"/>
      <c r="O91" s="377"/>
      <c r="Q91" s="431"/>
      <c r="R91" s="157"/>
      <c r="S91" s="404"/>
      <c r="T91" s="148"/>
      <c r="U91" s="242"/>
      <c r="V91" s="242"/>
      <c r="W91" s="242"/>
      <c r="X91" s="242"/>
      <c r="Y91" s="242"/>
      <c r="Z91" s="242"/>
      <c r="AA91" s="148"/>
      <c r="AB91" s="148"/>
    </row>
    <row r="92">
      <c r="A92" s="57"/>
      <c r="B92" s="57"/>
      <c r="C92" s="57"/>
      <c r="D92" s="57"/>
      <c r="E92" s="561" t="s">
        <v>768</v>
      </c>
      <c r="F92" s="423"/>
      <c r="G92" s="192" t="s">
        <v>1266</v>
      </c>
      <c r="H92" s="546">
        <v>126.0</v>
      </c>
      <c r="I92" s="558" t="s">
        <v>426</v>
      </c>
      <c r="J92" s="419"/>
      <c r="K92" s="239"/>
      <c r="L92" s="109"/>
      <c r="M92" s="420"/>
      <c r="N92" s="193"/>
      <c r="O92" s="374"/>
      <c r="Q92" s="431"/>
      <c r="R92" s="157"/>
      <c r="S92" s="404"/>
      <c r="T92" s="148"/>
      <c r="U92" s="242"/>
      <c r="V92" s="242"/>
      <c r="W92" s="242"/>
      <c r="X92" s="242"/>
      <c r="Y92" s="242"/>
      <c r="Z92" s="242"/>
      <c r="AA92" s="148"/>
      <c r="AB92" s="148"/>
    </row>
    <row r="93">
      <c r="A93" s="57"/>
      <c r="B93" s="57"/>
      <c r="C93" s="57"/>
      <c r="D93" s="57"/>
      <c r="E93" s="561" t="s">
        <v>769</v>
      </c>
      <c r="F93" s="157"/>
      <c r="G93" s="192" t="s">
        <v>1235</v>
      </c>
      <c r="H93" s="546">
        <v>173.0</v>
      </c>
      <c r="I93" s="558" t="s">
        <v>426</v>
      </c>
      <c r="J93" s="419"/>
      <c r="K93" s="239"/>
      <c r="L93" s="456" t="s">
        <v>672</v>
      </c>
      <c r="M93" s="420"/>
      <c r="N93" s="150"/>
      <c r="O93" s="377"/>
      <c r="Q93" s="431"/>
      <c r="R93" s="157"/>
      <c r="S93" s="404"/>
      <c r="T93" s="148"/>
      <c r="U93" s="242"/>
      <c r="V93" s="242"/>
      <c r="W93" s="242"/>
      <c r="X93" s="242"/>
      <c r="Y93" s="242"/>
      <c r="Z93" s="242"/>
      <c r="AA93" s="148"/>
      <c r="AB93" s="148"/>
    </row>
    <row r="94">
      <c r="A94" s="57"/>
      <c r="B94" s="57"/>
      <c r="C94" s="57"/>
      <c r="D94" s="57"/>
      <c r="E94" s="561" t="s">
        <v>770</v>
      </c>
      <c r="F94" s="423"/>
      <c r="G94" s="192" t="s">
        <v>862</v>
      </c>
      <c r="H94" s="546">
        <v>150.0</v>
      </c>
      <c r="I94" s="419"/>
      <c r="J94" s="419"/>
      <c r="K94" s="57"/>
      <c r="L94" s="456" t="s">
        <v>675</v>
      </c>
      <c r="M94" s="420"/>
      <c r="N94" s="150"/>
      <c r="O94" s="382"/>
      <c r="Q94" s="431"/>
      <c r="R94" s="157"/>
      <c r="S94" s="404"/>
      <c r="T94" s="148"/>
      <c r="U94" s="242"/>
      <c r="V94" s="242"/>
      <c r="W94" s="242"/>
      <c r="X94" s="242"/>
      <c r="Y94" s="242"/>
      <c r="Z94" s="242"/>
      <c r="AA94" s="148"/>
      <c r="AB94" s="148"/>
    </row>
    <row r="95">
      <c r="A95" s="57"/>
      <c r="B95" s="57"/>
      <c r="C95" s="57"/>
      <c r="D95" s="57"/>
      <c r="E95" s="561" t="s">
        <v>793</v>
      </c>
      <c r="F95" s="423">
        <v>230.0</v>
      </c>
      <c r="G95" s="192"/>
      <c r="H95" s="546"/>
      <c r="I95" s="455"/>
      <c r="J95" s="419"/>
      <c r="K95" s="57"/>
      <c r="L95" s="456"/>
      <c r="M95" s="420"/>
      <c r="N95" s="150"/>
      <c r="O95" s="425"/>
      <c r="Q95" s="431"/>
      <c r="R95" s="157"/>
      <c r="S95" s="404"/>
      <c r="T95" s="148"/>
      <c r="U95" s="242"/>
      <c r="V95" s="242"/>
      <c r="W95" s="242"/>
      <c r="X95" s="242"/>
      <c r="Y95" s="242"/>
      <c r="Z95" s="242"/>
      <c r="AA95" s="148"/>
      <c r="AB95" s="148"/>
    </row>
    <row r="96">
      <c r="A96" s="239"/>
      <c r="B96" s="239"/>
      <c r="C96" s="239"/>
      <c r="D96" s="57"/>
      <c r="E96" s="561" t="s">
        <v>794</v>
      </c>
      <c r="F96" s="423"/>
      <c r="G96" s="192" t="s">
        <v>417</v>
      </c>
      <c r="H96" s="546">
        <v>500.0</v>
      </c>
      <c r="I96" s="587"/>
      <c r="J96" s="419"/>
      <c r="K96" s="57"/>
      <c r="L96" s="375"/>
      <c r="M96" s="420"/>
      <c r="N96" s="150"/>
      <c r="O96" s="425"/>
      <c r="Q96" s="431"/>
      <c r="R96" s="157"/>
      <c r="S96" s="404"/>
      <c r="T96" s="148"/>
      <c r="U96" s="242"/>
      <c r="V96" s="242"/>
      <c r="W96" s="242"/>
      <c r="X96" s="242"/>
      <c r="Y96" s="242"/>
      <c r="Z96" s="242"/>
      <c r="AA96" s="148"/>
      <c r="AB96" s="148"/>
    </row>
    <row r="97">
      <c r="A97" s="662" t="s">
        <v>1267</v>
      </c>
      <c r="B97" s="662"/>
      <c r="C97" s="662"/>
      <c r="D97" s="57"/>
      <c r="E97" s="561" t="s">
        <v>18</v>
      </c>
      <c r="F97" s="423">
        <v>605.0</v>
      </c>
      <c r="G97" s="192" t="s">
        <v>1028</v>
      </c>
      <c r="H97" s="546">
        <v>1000.0</v>
      </c>
      <c r="I97" s="419"/>
      <c r="J97" s="419"/>
      <c r="K97" s="57"/>
      <c r="L97" s="375"/>
      <c r="M97" s="420"/>
      <c r="N97" s="193"/>
      <c r="O97" s="382"/>
      <c r="Q97" s="431"/>
      <c r="R97" s="157"/>
      <c r="S97" s="404"/>
      <c r="T97" s="148"/>
      <c r="U97" s="242"/>
      <c r="V97" s="242"/>
      <c r="W97" s="242"/>
      <c r="X97" s="242"/>
      <c r="Y97" s="242"/>
      <c r="Z97" s="242"/>
      <c r="AA97" s="148"/>
      <c r="AB97" s="148"/>
    </row>
    <row r="98">
      <c r="A98" s="239"/>
      <c r="B98" s="239"/>
      <c r="C98" s="239"/>
      <c r="D98" s="57"/>
      <c r="E98" s="563" t="s">
        <v>1115</v>
      </c>
      <c r="F98" s="423"/>
      <c r="G98" s="192"/>
      <c r="H98" s="546"/>
      <c r="I98" s="455"/>
      <c r="J98" s="419"/>
      <c r="K98" s="57"/>
      <c r="L98" s="452"/>
      <c r="M98" s="420"/>
      <c r="N98" s="150"/>
      <c r="O98" s="425"/>
      <c r="Q98" s="431"/>
      <c r="R98" s="157"/>
      <c r="S98" s="404"/>
      <c r="T98" s="148"/>
      <c r="U98" s="242"/>
      <c r="V98" s="242"/>
      <c r="W98" s="242"/>
      <c r="X98" s="242"/>
      <c r="Y98" s="242"/>
      <c r="Z98" s="242"/>
      <c r="AA98" s="148"/>
      <c r="AB98" s="148"/>
    </row>
    <row r="99">
      <c r="A99" s="238" t="s">
        <v>1268</v>
      </c>
      <c r="B99" s="238"/>
      <c r="C99" s="238"/>
      <c r="D99" s="57"/>
      <c r="E99" s="561" t="s">
        <v>1116</v>
      </c>
      <c r="F99" s="423">
        <v>112.0</v>
      </c>
      <c r="G99" s="192"/>
      <c r="H99" s="546"/>
      <c r="I99" s="419"/>
      <c r="J99" s="419"/>
      <c r="K99" s="57"/>
      <c r="L99" s="105"/>
      <c r="M99" s="420"/>
      <c r="N99" s="150"/>
      <c r="O99" s="425"/>
      <c r="Q99" s="431"/>
      <c r="R99" s="157"/>
      <c r="S99" s="404"/>
      <c r="T99" s="148"/>
      <c r="U99" s="242"/>
      <c r="V99" s="242"/>
      <c r="W99" s="242"/>
      <c r="X99" s="242"/>
      <c r="Y99" s="242"/>
      <c r="Z99" s="242"/>
      <c r="AA99" s="148"/>
      <c r="AB99" s="148"/>
    </row>
    <row r="100">
      <c r="A100" s="238" t="s">
        <v>1269</v>
      </c>
      <c r="B100" s="238"/>
      <c r="C100" s="238"/>
      <c r="D100" s="239"/>
      <c r="E100" s="561" t="s">
        <v>775</v>
      </c>
      <c r="F100" s="423">
        <v>274.0</v>
      </c>
      <c r="G100" s="192"/>
      <c r="H100" s="546"/>
      <c r="I100" s="419"/>
      <c r="J100" s="419"/>
      <c r="K100" s="57"/>
      <c r="L100" s="378" t="s">
        <v>682</v>
      </c>
      <c r="M100" s="420"/>
      <c r="N100" s="193">
        <v>25.0</v>
      </c>
      <c r="O100" s="377" t="s">
        <v>1270</v>
      </c>
      <c r="Q100" s="431"/>
      <c r="R100" s="157"/>
      <c r="S100" s="404"/>
      <c r="T100" s="148"/>
      <c r="U100" s="242"/>
      <c r="V100" s="242"/>
      <c r="W100" s="242"/>
      <c r="X100" s="242"/>
      <c r="Y100" s="242"/>
      <c r="Z100" s="242"/>
      <c r="AA100" s="148"/>
      <c r="AB100" s="148"/>
    </row>
    <row r="101">
      <c r="A101" s="239"/>
      <c r="B101" s="239"/>
      <c r="C101" s="239"/>
      <c r="D101" s="239"/>
      <c r="E101" s="561" t="s">
        <v>10</v>
      </c>
      <c r="F101" s="157"/>
      <c r="G101" s="192"/>
      <c r="H101" s="580"/>
      <c r="I101" s="478"/>
      <c r="J101" s="419"/>
      <c r="K101" s="57"/>
      <c r="L101" s="461" t="s">
        <v>684</v>
      </c>
      <c r="M101" s="420"/>
      <c r="N101" s="193"/>
      <c r="O101" s="377"/>
      <c r="Q101" s="431"/>
      <c r="R101" s="157"/>
      <c r="S101" s="404"/>
      <c r="T101" s="148"/>
      <c r="U101" s="242"/>
      <c r="V101" s="242"/>
      <c r="W101" s="242"/>
      <c r="X101" s="242"/>
      <c r="Y101" s="242"/>
      <c r="Z101" s="242"/>
      <c r="AA101" s="148"/>
      <c r="AB101" s="148"/>
    </row>
    <row r="102">
      <c r="A102" s="662" t="s">
        <v>1271</v>
      </c>
      <c r="B102" s="662"/>
      <c r="C102" s="662"/>
      <c r="D102" s="239"/>
      <c r="E102" s="561" t="s">
        <v>6</v>
      </c>
      <c r="F102" s="423">
        <v>275.0</v>
      </c>
      <c r="G102" s="192"/>
      <c r="H102" s="546"/>
      <c r="I102" s="587"/>
      <c r="J102" s="455"/>
      <c r="K102" s="57"/>
      <c r="L102" s="461" t="s">
        <v>686</v>
      </c>
      <c r="M102" s="420"/>
      <c r="N102" s="193"/>
      <c r="O102" s="374"/>
      <c r="Q102" s="463"/>
      <c r="R102" s="157"/>
      <c r="S102" s="404"/>
      <c r="T102" s="148"/>
      <c r="U102" s="242"/>
      <c r="V102" s="242"/>
      <c r="W102" s="242"/>
      <c r="X102" s="242"/>
      <c r="Y102" s="242"/>
      <c r="Z102" s="242"/>
      <c r="AA102" s="148"/>
      <c r="AB102" s="148"/>
    </row>
    <row r="103">
      <c r="A103" s="57"/>
      <c r="B103" s="57"/>
      <c r="C103" s="57"/>
      <c r="D103" s="57"/>
      <c r="E103" s="561" t="s">
        <v>779</v>
      </c>
      <c r="F103" s="157"/>
      <c r="G103" s="228"/>
      <c r="H103" s="547"/>
      <c r="I103" s="455"/>
      <c r="J103" s="455"/>
      <c r="K103" s="239"/>
      <c r="L103" s="460" t="s">
        <v>202</v>
      </c>
      <c r="M103" s="420"/>
      <c r="N103" s="193"/>
      <c r="O103" s="377"/>
      <c r="Q103" s="463"/>
      <c r="R103" s="157"/>
      <c r="S103" s="404"/>
      <c r="T103" s="148"/>
      <c r="U103" s="242"/>
      <c r="V103" s="242"/>
      <c r="W103" s="242"/>
      <c r="X103" s="242"/>
      <c r="Y103" s="242"/>
      <c r="Z103" s="242"/>
      <c r="AA103" s="148"/>
      <c r="AB103" s="148"/>
    </row>
    <row r="104">
      <c r="A104" s="239"/>
      <c r="B104" s="239"/>
      <c r="C104" s="239"/>
      <c r="D104" s="239"/>
      <c r="E104" s="561" t="s">
        <v>780</v>
      </c>
      <c r="F104" s="423">
        <v>140.0</v>
      </c>
      <c r="G104" s="228"/>
      <c r="H104" s="547"/>
      <c r="I104" s="455"/>
      <c r="J104" s="455"/>
      <c r="K104" s="57"/>
      <c r="L104" s="460" t="s">
        <v>274</v>
      </c>
      <c r="M104" s="420"/>
      <c r="N104" s="193"/>
      <c r="O104" s="374"/>
      <c r="Q104" s="463"/>
      <c r="R104" s="157"/>
      <c r="S104" s="404"/>
      <c r="T104" s="148"/>
      <c r="U104" s="242"/>
      <c r="V104" s="242"/>
      <c r="W104" s="242"/>
      <c r="X104" s="242"/>
      <c r="Y104" s="242"/>
      <c r="Z104" s="242"/>
      <c r="AA104" s="148"/>
      <c r="AB104" s="148"/>
    </row>
    <row r="105">
      <c r="A105" s="238" t="s">
        <v>1272</v>
      </c>
      <c r="B105" s="238"/>
      <c r="C105" s="238"/>
      <c r="D105" s="239"/>
      <c r="E105" s="561" t="s">
        <v>781</v>
      </c>
      <c r="F105" s="423">
        <v>42.0</v>
      </c>
      <c r="G105" s="228"/>
      <c r="H105" s="547"/>
      <c r="I105" s="455"/>
      <c r="J105" s="419"/>
      <c r="K105" s="239"/>
      <c r="L105" s="568"/>
      <c r="M105" s="420"/>
      <c r="N105" s="150"/>
      <c r="O105" s="374"/>
      <c r="Q105" s="431"/>
      <c r="R105" s="157"/>
      <c r="S105" s="404"/>
      <c r="T105" s="148"/>
      <c r="U105" s="242"/>
      <c r="V105" s="242"/>
      <c r="W105" s="242"/>
      <c r="X105" s="242"/>
      <c r="Y105" s="242"/>
      <c r="Z105" s="242"/>
      <c r="AA105" s="148"/>
      <c r="AB105" s="148"/>
    </row>
    <row r="106">
      <c r="A106" s="238" t="s">
        <v>1273</v>
      </c>
      <c r="B106" s="238"/>
      <c r="C106" s="238"/>
      <c r="D106" s="157"/>
      <c r="E106" s="561" t="s">
        <v>1118</v>
      </c>
      <c r="F106" s="423">
        <v>494.0</v>
      </c>
      <c r="G106" s="569"/>
      <c r="H106" s="547"/>
      <c r="I106" s="419"/>
      <c r="J106" s="419"/>
      <c r="K106" s="57"/>
      <c r="L106" s="374"/>
      <c r="M106" s="420"/>
      <c r="N106" s="193"/>
      <c r="O106" s="377"/>
      <c r="Q106" s="431"/>
      <c r="R106" s="157"/>
      <c r="S106" s="404"/>
      <c r="T106" s="148"/>
      <c r="U106" s="242"/>
      <c r="V106" s="242"/>
      <c r="W106" s="242"/>
      <c r="X106" s="242"/>
      <c r="Y106" s="242"/>
      <c r="Z106" s="242"/>
      <c r="AA106" s="148"/>
      <c r="AB106" s="148"/>
    </row>
    <row r="107">
      <c r="A107" s="239"/>
      <c r="B107" s="239"/>
      <c r="C107" s="239"/>
      <c r="D107" s="157"/>
      <c r="E107" s="561"/>
      <c r="F107" s="423"/>
      <c r="G107" s="228"/>
      <c r="H107" s="547"/>
      <c r="I107" s="419"/>
      <c r="J107" s="419"/>
      <c r="K107" s="239"/>
      <c r="L107" s="596" t="s">
        <v>955</v>
      </c>
      <c r="M107" s="420"/>
      <c r="N107" s="193">
        <v>280.0</v>
      </c>
      <c r="O107" s="377"/>
      <c r="Q107" s="431"/>
      <c r="R107" s="157"/>
      <c r="S107" s="404"/>
      <c r="T107" s="148"/>
      <c r="U107" s="242"/>
      <c r="V107" s="242"/>
      <c r="W107" s="242"/>
      <c r="X107" s="242"/>
      <c r="Y107" s="242"/>
      <c r="Z107" s="242"/>
      <c r="AA107" s="148"/>
      <c r="AB107" s="148"/>
    </row>
    <row r="108">
      <c r="A108" s="239"/>
      <c r="B108" s="239"/>
      <c r="C108" s="239"/>
      <c r="D108" s="157"/>
      <c r="E108" s="561"/>
      <c r="F108" s="157"/>
      <c r="G108" s="570"/>
      <c r="H108" s="547"/>
      <c r="I108" s="419"/>
      <c r="J108" s="419"/>
      <c r="K108" s="239"/>
      <c r="L108" s="568"/>
      <c r="M108" s="420"/>
      <c r="N108" s="193"/>
      <c r="O108" s="374"/>
      <c r="Q108" s="431"/>
      <c r="R108" s="157"/>
      <c r="S108" s="404"/>
      <c r="T108" s="148"/>
      <c r="U108" s="242"/>
      <c r="V108" s="242"/>
      <c r="W108" s="242"/>
      <c r="X108" s="242"/>
      <c r="Y108" s="242"/>
      <c r="Z108" s="242"/>
      <c r="AA108" s="148"/>
      <c r="AB108" s="148"/>
    </row>
    <row r="109">
      <c r="E109" s="571"/>
      <c r="F109" s="157"/>
      <c r="G109" s="570"/>
      <c r="H109" s="547"/>
      <c r="I109" s="419"/>
      <c r="J109" s="419"/>
      <c r="K109" s="239"/>
      <c r="L109" s="464" t="s">
        <v>692</v>
      </c>
      <c r="M109" s="420"/>
      <c r="N109" s="150"/>
      <c r="O109" s="377"/>
      <c r="Q109" s="431"/>
      <c r="R109" s="157"/>
      <c r="S109" s="404"/>
      <c r="T109" s="148"/>
      <c r="U109" s="242"/>
      <c r="V109" s="242"/>
      <c r="W109" s="242"/>
      <c r="X109" s="242"/>
      <c r="Y109" s="242"/>
      <c r="Z109" s="242"/>
      <c r="AA109" s="148"/>
      <c r="AB109" s="148"/>
    </row>
    <row r="110">
      <c r="E110" s="571"/>
      <c r="F110" s="157"/>
      <c r="G110" s="570"/>
      <c r="H110" s="547"/>
      <c r="I110" s="419"/>
      <c r="J110" s="419"/>
      <c r="K110" s="239"/>
      <c r="L110" s="464" t="s">
        <v>694</v>
      </c>
      <c r="M110" s="420"/>
      <c r="N110" s="193"/>
      <c r="O110" s="374"/>
      <c r="Q110" s="431"/>
      <c r="R110" s="157"/>
      <c r="S110" s="404"/>
      <c r="T110" s="148"/>
      <c r="U110" s="242"/>
      <c r="V110" s="242"/>
      <c r="W110" s="242"/>
      <c r="X110" s="242"/>
      <c r="Y110" s="242"/>
      <c r="Z110" s="242"/>
      <c r="AA110" s="148"/>
      <c r="AB110" s="148"/>
    </row>
    <row r="111">
      <c r="E111" s="571"/>
      <c r="F111" s="423"/>
      <c r="G111" s="570"/>
      <c r="H111" s="546"/>
      <c r="I111" s="419"/>
      <c r="J111" s="419"/>
      <c r="K111" s="57"/>
      <c r="L111" s="105"/>
      <c r="M111" s="57"/>
      <c r="N111" s="193"/>
      <c r="O111" s="57"/>
      <c r="P111" s="57"/>
      <c r="Q111" s="57"/>
      <c r="R111" s="157"/>
      <c r="S111" s="404"/>
      <c r="T111" s="148"/>
      <c r="U111" s="242"/>
      <c r="V111" s="242"/>
      <c r="W111" s="242"/>
      <c r="X111" s="242"/>
      <c r="Y111" s="242"/>
      <c r="Z111" s="242"/>
      <c r="AA111" s="148"/>
      <c r="AB111" s="148"/>
    </row>
    <row r="112">
      <c r="A112" s="125" t="s">
        <v>798</v>
      </c>
      <c r="B112" s="125"/>
      <c r="C112" s="125"/>
      <c r="D112" s="572">
        <f>E85-D89</f>
        <v>941.46</v>
      </c>
      <c r="F112" s="157"/>
      <c r="G112" s="570"/>
      <c r="H112" s="573"/>
      <c r="I112" s="478"/>
      <c r="J112" s="419"/>
      <c r="K112" s="239"/>
      <c r="L112" s="568"/>
      <c r="M112" s="57"/>
      <c r="N112" s="150"/>
      <c r="O112" s="57"/>
      <c r="P112" s="57"/>
      <c r="Q112" s="57"/>
      <c r="R112" s="157"/>
      <c r="S112" s="404"/>
      <c r="T112" s="148"/>
      <c r="U112" s="242"/>
      <c r="V112" s="242"/>
      <c r="W112" s="242"/>
      <c r="X112" s="242"/>
      <c r="Y112" s="242"/>
      <c r="Z112" s="242"/>
      <c r="AA112" s="148"/>
      <c r="AB112" s="148"/>
    </row>
    <row r="113">
      <c r="A113" s="274" t="s">
        <v>783</v>
      </c>
      <c r="B113" s="274"/>
      <c r="C113" s="274"/>
      <c r="D113" s="109">
        <v>580.0</v>
      </c>
      <c r="E113" s="395"/>
      <c r="F113" s="157"/>
      <c r="G113" s="570"/>
      <c r="H113" s="573"/>
      <c r="I113" s="478"/>
      <c r="J113" s="419"/>
      <c r="K113" s="239"/>
      <c r="L113" s="568"/>
      <c r="M113" s="57"/>
      <c r="N113" s="150"/>
      <c r="O113" s="57"/>
      <c r="P113" s="57"/>
      <c r="Q113" s="57"/>
      <c r="R113" s="157"/>
      <c r="S113" s="404"/>
      <c r="T113" s="148"/>
      <c r="U113" s="242"/>
      <c r="V113" s="242"/>
      <c r="W113" s="242"/>
      <c r="X113" s="242"/>
      <c r="Y113" s="242"/>
      <c r="Z113" s="242"/>
      <c r="AA113" s="148"/>
      <c r="AB113" s="148"/>
    </row>
    <row r="114">
      <c r="A114" s="274" t="s">
        <v>784</v>
      </c>
      <c r="B114" s="274"/>
      <c r="C114" s="274"/>
      <c r="D114" s="109">
        <v>5600.0</v>
      </c>
      <c r="E114" s="395"/>
      <c r="F114" s="157"/>
      <c r="G114" s="570"/>
      <c r="H114" s="573"/>
      <c r="I114" s="478"/>
      <c r="J114" s="419"/>
      <c r="K114" s="239"/>
      <c r="L114" s="568"/>
      <c r="M114" s="57"/>
      <c r="N114" s="150"/>
      <c r="O114" s="57"/>
      <c r="P114" s="57"/>
      <c r="Q114" s="57"/>
      <c r="R114" s="157"/>
      <c r="S114" s="404"/>
      <c r="T114" s="148"/>
      <c r="U114" s="242"/>
      <c r="V114" s="242"/>
      <c r="W114" s="242"/>
      <c r="X114" s="242"/>
      <c r="Y114" s="242"/>
      <c r="Z114" s="242"/>
      <c r="AA114" s="148"/>
      <c r="AB114" s="148"/>
    </row>
    <row r="115">
      <c r="A115" s="274" t="s">
        <v>785</v>
      </c>
      <c r="B115" s="274"/>
      <c r="C115" s="274"/>
      <c r="D115" s="109"/>
      <c r="E115" s="395"/>
      <c r="F115" s="157"/>
      <c r="G115" s="570"/>
      <c r="H115" s="573"/>
      <c r="I115" s="478"/>
      <c r="J115" s="419"/>
      <c r="K115" s="239"/>
      <c r="L115" s="568"/>
      <c r="M115" s="57"/>
      <c r="N115" s="150"/>
      <c r="O115" s="57"/>
      <c r="P115" s="57"/>
      <c r="Q115" s="57"/>
      <c r="R115" s="157"/>
      <c r="S115" s="404"/>
      <c r="T115" s="148"/>
      <c r="U115" s="242"/>
      <c r="V115" s="242"/>
      <c r="W115" s="242"/>
      <c r="X115" s="242"/>
      <c r="Y115" s="242"/>
      <c r="Z115" s="242"/>
      <c r="AA115" s="148"/>
      <c r="AB115" s="148"/>
    </row>
    <row r="116">
      <c r="A116" s="402"/>
      <c r="B116" s="402"/>
      <c r="C116" s="402"/>
      <c r="D116" s="403"/>
      <c r="E116" s="403"/>
      <c r="F116" s="403"/>
      <c r="G116" s="574"/>
      <c r="H116" s="575"/>
      <c r="I116" s="159"/>
      <c r="J116" s="159"/>
      <c r="K116" s="159"/>
      <c r="L116" s="576"/>
      <c r="M116" s="159"/>
      <c r="N116" s="162"/>
      <c r="O116" s="402"/>
      <c r="P116" s="402"/>
      <c r="Q116" s="159"/>
      <c r="R116" s="403"/>
      <c r="S116" s="577"/>
      <c r="T116" s="148"/>
      <c r="U116" s="242"/>
      <c r="V116" s="242"/>
      <c r="W116" s="242"/>
      <c r="X116" s="242"/>
      <c r="Y116" s="242"/>
      <c r="Z116" s="242"/>
      <c r="AA116" s="148"/>
      <c r="AB116" s="148"/>
    </row>
    <row r="117">
      <c r="A117" s="400"/>
      <c r="B117" s="400"/>
      <c r="C117" s="400"/>
      <c r="D117" s="148"/>
      <c r="E117" s="148"/>
      <c r="F117" s="245"/>
      <c r="G117" s="585"/>
      <c r="H117" s="586"/>
      <c r="I117" s="148"/>
      <c r="J117" s="148"/>
      <c r="K117" s="251"/>
      <c r="L117" s="243"/>
      <c r="M117" s="148"/>
      <c r="N117" s="277"/>
      <c r="O117" s="252"/>
      <c r="P117" s="250"/>
      <c r="Q117" s="253"/>
      <c r="R117" s="240"/>
      <c r="S117" s="148"/>
      <c r="T117" s="148"/>
      <c r="U117" s="242"/>
      <c r="V117" s="242"/>
      <c r="W117" s="242"/>
      <c r="X117" s="242"/>
      <c r="Y117" s="242"/>
      <c r="Z117" s="242"/>
      <c r="AA117" s="148"/>
      <c r="AB117" s="148"/>
    </row>
    <row r="118">
      <c r="A118" s="169" t="s">
        <v>71</v>
      </c>
      <c r="B118" s="705"/>
      <c r="C118" s="705"/>
      <c r="D118" s="539"/>
      <c r="E118" s="540"/>
      <c r="F118" s="405"/>
      <c r="G118" s="541"/>
      <c r="H118" s="542"/>
      <c r="I118" s="467" t="s">
        <v>333</v>
      </c>
      <c r="J118" s="361"/>
      <c r="K118" s="57"/>
      <c r="L118" s="105"/>
      <c r="M118" s="57"/>
      <c r="N118" s="150"/>
      <c r="O118" s="239"/>
      <c r="P118" s="239"/>
      <c r="Q118" s="57"/>
      <c r="R118" s="157"/>
      <c r="S118" s="404"/>
      <c r="T118" s="148"/>
      <c r="U118" s="242"/>
      <c r="V118" s="242"/>
      <c r="W118" s="242"/>
      <c r="X118" s="242"/>
      <c r="Y118" s="242"/>
      <c r="Z118" s="242"/>
      <c r="AA118" s="148"/>
      <c r="AB118" s="148"/>
    </row>
    <row r="119">
      <c r="A119" s="468"/>
      <c r="B119" s="406"/>
      <c r="C119" s="406"/>
      <c r="D119" s="157"/>
      <c r="E119" s="716"/>
      <c r="F119" s="405"/>
      <c r="G119" s="543" t="s">
        <v>335</v>
      </c>
      <c r="H119" s="544" t="s">
        <v>237</v>
      </c>
      <c r="I119" s="412" t="s">
        <v>336</v>
      </c>
      <c r="J119" s="413" t="s">
        <v>337</v>
      </c>
      <c r="K119" s="239"/>
      <c r="L119" s="145" t="s">
        <v>60</v>
      </c>
      <c r="M119" s="57"/>
      <c r="N119" s="150"/>
      <c r="O119" s="414"/>
      <c r="P119" s="414"/>
      <c r="Q119" s="57" t="s">
        <v>334</v>
      </c>
      <c r="R119" s="157"/>
      <c r="S119" s="404"/>
      <c r="T119" s="148"/>
      <c r="U119" s="242"/>
      <c r="V119" s="242"/>
      <c r="W119" s="242"/>
      <c r="X119" s="242"/>
      <c r="Y119" s="242"/>
      <c r="Z119" s="242"/>
      <c r="AA119" s="148"/>
      <c r="AB119" s="148"/>
    </row>
    <row r="120">
      <c r="A120" s="470" t="s">
        <v>179</v>
      </c>
      <c r="E120" s="416">
        <f>SUM(H120:H154)</f>
        <v>7531</v>
      </c>
      <c r="F120" s="405"/>
      <c r="G120" s="545"/>
      <c r="H120" s="546"/>
      <c r="I120" s="419"/>
      <c r="J120" s="419"/>
      <c r="K120" s="57"/>
      <c r="M120" s="57"/>
      <c r="N120" s="150"/>
      <c r="O120" s="377" t="s">
        <v>366</v>
      </c>
      <c r="R120" s="157"/>
      <c r="S120" s="404"/>
      <c r="T120" s="148"/>
      <c r="U120" s="242"/>
      <c r="V120" s="242"/>
      <c r="W120" s="242"/>
      <c r="X120" s="242"/>
      <c r="Y120" s="242"/>
      <c r="Z120" s="242"/>
      <c r="AA120" s="148"/>
      <c r="AB120" s="148"/>
    </row>
    <row r="121">
      <c r="A121" s="421" t="s">
        <v>343</v>
      </c>
      <c r="B121" s="105"/>
      <c r="C121" s="105"/>
      <c r="D121" s="422" t="s">
        <v>321</v>
      </c>
      <c r="E121" s="416">
        <f>SUM(R121:R154)</f>
        <v>295</v>
      </c>
      <c r="F121" s="423"/>
      <c r="G121" s="545"/>
      <c r="H121" s="546"/>
      <c r="I121" s="419"/>
      <c r="J121" s="419"/>
      <c r="K121" s="239"/>
      <c r="L121" s="471" t="s">
        <v>341</v>
      </c>
      <c r="M121" s="420"/>
      <c r="N121" s="150"/>
      <c r="O121" s="374"/>
      <c r="Q121" s="426" t="s">
        <v>1274</v>
      </c>
      <c r="R121" s="423">
        <v>160.0</v>
      </c>
      <c r="S121" s="404"/>
      <c r="T121" s="148"/>
      <c r="U121" s="242"/>
      <c r="V121" s="242"/>
      <c r="W121" s="242"/>
      <c r="X121" s="242"/>
      <c r="Y121" s="242"/>
      <c r="Z121" s="242"/>
      <c r="AA121" s="148"/>
      <c r="AB121" s="148"/>
    </row>
    <row r="122">
      <c r="A122" s="427" t="s">
        <v>201</v>
      </c>
      <c r="E122" s="204">
        <f>SUM(N121:N154)</f>
        <v>2375.77</v>
      </c>
      <c r="F122" s="157"/>
      <c r="G122" s="545"/>
      <c r="H122" s="546"/>
      <c r="I122" s="419"/>
      <c r="J122" s="419"/>
      <c r="K122" s="239"/>
      <c r="L122" s="472" t="s">
        <v>345</v>
      </c>
      <c r="M122" s="420"/>
      <c r="N122" s="193">
        <v>274.0</v>
      </c>
      <c r="O122" s="377" t="s">
        <v>1275</v>
      </c>
      <c r="Q122" s="426" t="s">
        <v>696</v>
      </c>
      <c r="R122" s="423">
        <v>135.0</v>
      </c>
      <c r="S122" s="404"/>
      <c r="T122" s="148"/>
      <c r="U122" s="242"/>
      <c r="V122" s="242"/>
      <c r="W122" s="242"/>
      <c r="X122" s="242"/>
      <c r="Y122" s="242"/>
      <c r="Z122" s="242"/>
      <c r="AA122" s="148"/>
      <c r="AB122" s="148"/>
    </row>
    <row r="123">
      <c r="A123" s="548" t="s">
        <v>761</v>
      </c>
      <c r="B123" s="706"/>
      <c r="C123" s="706"/>
      <c r="D123" s="549">
        <v>0.4</v>
      </c>
      <c r="E123" s="191">
        <v>118.0</v>
      </c>
      <c r="F123" s="423"/>
      <c r="G123" s="550" t="s">
        <v>695</v>
      </c>
      <c r="H123" s="546">
        <v>706.0</v>
      </c>
      <c r="I123" s="587"/>
      <c r="J123" s="419"/>
      <c r="K123" s="239"/>
      <c r="L123" s="433" t="s">
        <v>656</v>
      </c>
      <c r="M123" s="420"/>
      <c r="N123" s="193">
        <v>129.77</v>
      </c>
      <c r="O123" s="377" t="s">
        <v>1276</v>
      </c>
      <c r="Q123" s="426"/>
      <c r="R123" s="423"/>
      <c r="S123" s="404"/>
      <c r="T123" s="148"/>
      <c r="U123" s="242"/>
      <c r="V123" s="242"/>
      <c r="W123" s="242"/>
      <c r="X123" s="242"/>
      <c r="Y123" s="242"/>
      <c r="Z123" s="242"/>
      <c r="AA123" s="148"/>
      <c r="AB123" s="148"/>
    </row>
    <row r="124">
      <c r="A124" s="434" t="s">
        <v>350</v>
      </c>
      <c r="E124" s="551">
        <f>E120-E122-E123+E125</f>
        <v>5037.23</v>
      </c>
      <c r="F124" s="423"/>
      <c r="G124" s="192" t="s">
        <v>1142</v>
      </c>
      <c r="H124" s="546">
        <v>170.0</v>
      </c>
      <c r="I124" s="593" t="s">
        <v>426</v>
      </c>
      <c r="J124" s="419"/>
      <c r="K124" s="57"/>
      <c r="L124" s="444" t="s">
        <v>658</v>
      </c>
      <c r="M124" s="420"/>
      <c r="N124" s="193">
        <v>51.0</v>
      </c>
      <c r="O124" s="377"/>
      <c r="Q124" s="431"/>
      <c r="R124" s="157"/>
      <c r="S124" s="404"/>
      <c r="T124" s="148"/>
      <c r="U124" s="242"/>
      <c r="V124" s="242"/>
      <c r="W124" s="242"/>
      <c r="X124" s="242"/>
      <c r="Y124" s="242"/>
      <c r="Z124" s="242"/>
      <c r="AA124" s="148"/>
      <c r="AB124" s="148"/>
    </row>
    <row r="125">
      <c r="A125" s="717" t="s">
        <v>1277</v>
      </c>
      <c r="B125" s="718"/>
      <c r="C125" s="718"/>
      <c r="D125" s="719"/>
      <c r="E125" s="720"/>
      <c r="F125" s="423"/>
      <c r="G125" s="192" t="s">
        <v>1278</v>
      </c>
      <c r="H125" s="546">
        <v>190.0</v>
      </c>
      <c r="I125" s="562" t="s">
        <v>426</v>
      </c>
      <c r="J125" s="419"/>
      <c r="K125" s="57"/>
      <c r="L125" s="444" t="s">
        <v>660</v>
      </c>
      <c r="M125" s="420"/>
      <c r="N125" s="193">
        <v>120.0</v>
      </c>
      <c r="O125" s="377" t="s">
        <v>1279</v>
      </c>
      <c r="Q125" s="431"/>
      <c r="R125" s="157"/>
      <c r="S125" s="404"/>
      <c r="T125" s="148"/>
      <c r="U125" s="242"/>
      <c r="V125" s="242"/>
      <c r="W125" s="242"/>
      <c r="X125" s="242"/>
      <c r="Y125" s="242"/>
      <c r="Z125" s="242"/>
      <c r="AA125" s="148"/>
      <c r="AB125" s="148"/>
    </row>
    <row r="126">
      <c r="A126" s="556"/>
      <c r="E126" s="395"/>
      <c r="F126" s="423"/>
      <c r="G126" s="192" t="s">
        <v>340</v>
      </c>
      <c r="H126" s="546">
        <v>2000.0</v>
      </c>
      <c r="I126" s="562"/>
      <c r="J126" s="419"/>
      <c r="K126" s="239"/>
      <c r="L126" s="370" t="s">
        <v>662</v>
      </c>
      <c r="M126" s="420"/>
      <c r="N126" s="193">
        <v>30.0</v>
      </c>
      <c r="O126" s="377" t="s">
        <v>1280</v>
      </c>
      <c r="Q126" s="431"/>
      <c r="R126" s="157"/>
      <c r="S126" s="404"/>
      <c r="T126" s="148"/>
      <c r="U126" s="242"/>
      <c r="V126" s="242"/>
      <c r="W126" s="242"/>
      <c r="X126" s="242"/>
      <c r="Y126" s="242"/>
      <c r="Z126" s="242"/>
      <c r="AA126" s="148"/>
      <c r="AB126" s="148"/>
    </row>
    <row r="127">
      <c r="A127" s="557"/>
      <c r="B127" s="557"/>
      <c r="C127" s="557"/>
      <c r="D127" s="109"/>
      <c r="E127" s="395"/>
      <c r="F127" s="373"/>
      <c r="G127" s="192" t="s">
        <v>1281</v>
      </c>
      <c r="H127" s="546">
        <v>135.0</v>
      </c>
      <c r="I127" s="593" t="s">
        <v>426</v>
      </c>
      <c r="J127" s="419"/>
      <c r="K127" s="239"/>
      <c r="L127" s="433" t="s">
        <v>666</v>
      </c>
      <c r="M127" s="420"/>
      <c r="N127" s="150"/>
      <c r="O127" s="374"/>
      <c r="Q127" s="431"/>
      <c r="R127" s="157"/>
      <c r="S127" s="404"/>
      <c r="T127" s="148"/>
      <c r="U127" s="242"/>
      <c r="V127" s="242"/>
      <c r="W127" s="242"/>
      <c r="X127" s="242"/>
      <c r="Y127" s="242"/>
      <c r="Z127" s="242"/>
      <c r="AA127" s="148"/>
      <c r="AB127" s="148"/>
    </row>
    <row r="128">
      <c r="A128" s="559" t="s">
        <v>765</v>
      </c>
      <c r="B128" s="559"/>
      <c r="C128" s="559"/>
      <c r="D128" s="560">
        <f>SUM(F128:F154)</f>
        <v>1410</v>
      </c>
      <c r="E128" s="477" t="s">
        <v>366</v>
      </c>
      <c r="F128" s="157"/>
      <c r="G128" s="192" t="s">
        <v>567</v>
      </c>
      <c r="H128" s="546">
        <v>600.0</v>
      </c>
      <c r="I128" s="419"/>
      <c r="J128" s="419"/>
      <c r="K128" s="239"/>
      <c r="L128" s="433" t="s">
        <v>668</v>
      </c>
      <c r="M128" s="420"/>
      <c r="N128" s="150"/>
      <c r="O128" s="377"/>
      <c r="Q128" s="431"/>
      <c r="R128" s="157"/>
      <c r="S128" s="404"/>
      <c r="T128" s="148"/>
      <c r="U128" s="242"/>
      <c r="V128" s="242"/>
      <c r="W128" s="242"/>
      <c r="X128" s="242"/>
      <c r="Y128" s="242"/>
      <c r="Z128" s="242"/>
      <c r="AA128" s="148"/>
      <c r="AB128" s="148"/>
    </row>
    <row r="129">
      <c r="A129" s="453" t="s">
        <v>369</v>
      </c>
      <c r="E129" s="561" t="s">
        <v>766</v>
      </c>
      <c r="F129" s="423"/>
      <c r="G129" s="192" t="s">
        <v>1282</v>
      </c>
      <c r="H129" s="546">
        <v>1040.0</v>
      </c>
      <c r="I129" s="721" t="s">
        <v>426</v>
      </c>
      <c r="J129" s="419"/>
      <c r="K129" s="239"/>
      <c r="L129" s="433" t="s">
        <v>670</v>
      </c>
      <c r="M129" s="458"/>
      <c r="N129" s="193">
        <v>1250.0</v>
      </c>
      <c r="O129" s="377"/>
      <c r="Q129" s="431"/>
      <c r="R129" s="157"/>
      <c r="S129" s="404"/>
      <c r="T129" s="148"/>
      <c r="U129" s="242"/>
      <c r="V129" s="242"/>
      <c r="W129" s="242"/>
      <c r="X129" s="242"/>
      <c r="Y129" s="242"/>
      <c r="Z129" s="242"/>
      <c r="AA129" s="148"/>
      <c r="AB129" s="148"/>
    </row>
    <row r="130">
      <c r="E130" s="561" t="s">
        <v>767</v>
      </c>
      <c r="F130" s="157"/>
      <c r="G130" s="192" t="s">
        <v>1237</v>
      </c>
      <c r="H130" s="546">
        <v>450.0</v>
      </c>
      <c r="I130" s="562"/>
      <c r="J130" s="419"/>
      <c r="K130" s="239"/>
      <c r="L130" s="433" t="s">
        <v>217</v>
      </c>
      <c r="M130" s="458"/>
      <c r="N130" s="150"/>
      <c r="O130" s="377"/>
      <c r="Q130" s="431"/>
      <c r="R130" s="157"/>
      <c r="S130" s="404"/>
      <c r="T130" s="148"/>
      <c r="U130" s="242"/>
      <c r="V130" s="242"/>
      <c r="W130" s="242"/>
      <c r="X130" s="242"/>
      <c r="Y130" s="242"/>
      <c r="Z130" s="242"/>
      <c r="AA130" s="148"/>
      <c r="AB130" s="148"/>
    </row>
    <row r="131">
      <c r="A131" s="659"/>
      <c r="B131" s="659"/>
      <c r="C131" s="659"/>
      <c r="D131" s="57"/>
      <c r="E131" s="561" t="s">
        <v>768</v>
      </c>
      <c r="F131" s="423"/>
      <c r="G131" s="192" t="s">
        <v>1248</v>
      </c>
      <c r="H131" s="546">
        <v>130.0</v>
      </c>
      <c r="I131" s="419"/>
      <c r="J131" s="419"/>
      <c r="K131" s="239"/>
      <c r="L131" s="109"/>
      <c r="M131" s="420"/>
      <c r="N131" s="193"/>
      <c r="O131" s="374"/>
      <c r="Q131" s="431"/>
      <c r="R131" s="157"/>
      <c r="S131" s="404"/>
      <c r="T131" s="148"/>
      <c r="U131" s="242"/>
      <c r="V131" s="242"/>
      <c r="W131" s="242"/>
      <c r="X131" s="242"/>
      <c r="Y131" s="242"/>
      <c r="Z131" s="242"/>
      <c r="AA131" s="148"/>
      <c r="AB131" s="148"/>
    </row>
    <row r="132">
      <c r="A132" s="659"/>
      <c r="B132" s="659"/>
      <c r="C132" s="659"/>
      <c r="D132" s="57"/>
      <c r="E132" s="561" t="s">
        <v>769</v>
      </c>
      <c r="F132" s="157"/>
      <c r="G132" s="192" t="s">
        <v>873</v>
      </c>
      <c r="H132" s="546">
        <v>260.0</v>
      </c>
      <c r="I132" s="587" t="s">
        <v>426</v>
      </c>
      <c r="J132" s="419"/>
      <c r="K132" s="239"/>
      <c r="L132" s="456" t="s">
        <v>672</v>
      </c>
      <c r="M132" s="420"/>
      <c r="N132" s="193"/>
      <c r="O132" s="377"/>
      <c r="Q132" s="431"/>
      <c r="R132" s="157"/>
      <c r="S132" s="404"/>
      <c r="T132" s="148"/>
      <c r="U132" s="242"/>
      <c r="V132" s="242"/>
      <c r="W132" s="242"/>
      <c r="X132" s="242"/>
      <c r="Y132" s="242"/>
      <c r="Z132" s="242"/>
      <c r="AA132" s="148"/>
      <c r="AB132" s="148"/>
    </row>
    <row r="133">
      <c r="A133" s="659"/>
      <c r="B133" s="659"/>
      <c r="C133" s="659"/>
      <c r="D133" s="57"/>
      <c r="E133" s="561" t="s">
        <v>770</v>
      </c>
      <c r="F133" s="423"/>
      <c r="G133" s="192" t="s">
        <v>898</v>
      </c>
      <c r="H133" s="546">
        <v>1500.0</v>
      </c>
      <c r="I133" s="419"/>
      <c r="J133" s="419"/>
      <c r="K133" s="57"/>
      <c r="L133" s="456" t="s">
        <v>675</v>
      </c>
      <c r="M133" s="420"/>
      <c r="N133" s="193">
        <v>137.0</v>
      </c>
      <c r="O133" s="382" t="s">
        <v>1283</v>
      </c>
      <c r="Q133" s="431"/>
      <c r="R133" s="157"/>
      <c r="S133" s="404"/>
      <c r="T133" s="148"/>
      <c r="U133" s="242"/>
      <c r="V133" s="242"/>
      <c r="W133" s="242"/>
      <c r="X133" s="242"/>
      <c r="Y133" s="242"/>
      <c r="Z133" s="242"/>
      <c r="AA133" s="148"/>
      <c r="AB133" s="148"/>
    </row>
    <row r="134">
      <c r="A134" s="659"/>
      <c r="B134" s="659"/>
      <c r="C134" s="659"/>
      <c r="D134" s="57"/>
      <c r="E134" s="561" t="s">
        <v>793</v>
      </c>
      <c r="F134" s="423">
        <v>260.0</v>
      </c>
      <c r="G134" s="192" t="s">
        <v>862</v>
      </c>
      <c r="H134" s="546">
        <v>350.0</v>
      </c>
      <c r="I134" s="587"/>
      <c r="J134" s="419"/>
      <c r="K134" s="57"/>
      <c r="L134" s="456"/>
      <c r="M134" s="420"/>
      <c r="N134" s="193"/>
      <c r="O134" s="425"/>
      <c r="Q134" s="431"/>
      <c r="R134" s="157"/>
      <c r="S134" s="404"/>
      <c r="T134" s="148"/>
      <c r="U134" s="242"/>
      <c r="V134" s="242"/>
      <c r="W134" s="242"/>
      <c r="X134" s="242"/>
      <c r="Y134" s="242"/>
      <c r="Z134" s="242"/>
      <c r="AA134" s="148"/>
      <c r="AB134" s="148"/>
    </row>
    <row r="135">
      <c r="A135" s="660"/>
      <c r="B135" s="660"/>
      <c r="C135" s="660"/>
      <c r="D135" s="57"/>
      <c r="E135" s="561" t="s">
        <v>794</v>
      </c>
      <c r="F135" s="423"/>
      <c r="G135" s="192"/>
      <c r="H135" s="546"/>
      <c r="I135" s="419"/>
      <c r="J135" s="419"/>
      <c r="K135" s="57"/>
      <c r="L135" s="375"/>
      <c r="M135" s="420"/>
      <c r="N135" s="150"/>
      <c r="O135" s="425"/>
      <c r="Q135" s="431"/>
      <c r="R135" s="157"/>
      <c r="S135" s="404"/>
      <c r="T135" s="148"/>
      <c r="U135" s="242"/>
      <c r="V135" s="242"/>
      <c r="W135" s="242"/>
      <c r="X135" s="242"/>
      <c r="Y135" s="242"/>
      <c r="Z135" s="242"/>
      <c r="AA135" s="148"/>
      <c r="AB135" s="148"/>
    </row>
    <row r="136">
      <c r="A136" s="660"/>
      <c r="B136" s="660"/>
      <c r="C136" s="660"/>
      <c r="D136" s="57"/>
      <c r="E136" s="561" t="s">
        <v>18</v>
      </c>
      <c r="F136" s="423"/>
      <c r="G136" s="228"/>
      <c r="H136" s="547"/>
      <c r="I136" s="419"/>
      <c r="J136" s="419"/>
      <c r="K136" s="57"/>
      <c r="L136" s="375"/>
      <c r="M136" s="420"/>
      <c r="N136" s="193"/>
      <c r="O136" s="382"/>
      <c r="Q136" s="431"/>
      <c r="R136" s="157"/>
      <c r="S136" s="404"/>
      <c r="T136" s="148"/>
      <c r="U136" s="242"/>
      <c r="V136" s="242"/>
      <c r="W136" s="242"/>
      <c r="X136" s="242"/>
      <c r="Y136" s="242"/>
      <c r="Z136" s="242"/>
      <c r="AA136" s="148"/>
      <c r="AB136" s="148"/>
    </row>
    <row r="137">
      <c r="A137" s="660"/>
      <c r="B137" s="660"/>
      <c r="C137" s="660"/>
      <c r="D137" s="57"/>
      <c r="E137" s="563" t="s">
        <v>1115</v>
      </c>
      <c r="F137" s="423"/>
      <c r="G137" s="228"/>
      <c r="H137" s="547"/>
      <c r="I137" s="455"/>
      <c r="J137" s="419"/>
      <c r="K137" s="57"/>
      <c r="L137" s="452"/>
      <c r="M137" s="420"/>
      <c r="N137" s="150"/>
      <c r="O137" s="425"/>
      <c r="Q137" s="431"/>
      <c r="R137" s="157"/>
      <c r="S137" s="404"/>
      <c r="T137" s="148"/>
      <c r="U137" s="242"/>
      <c r="V137" s="242"/>
      <c r="W137" s="242"/>
      <c r="X137" s="242"/>
      <c r="Y137" s="242"/>
      <c r="Z137" s="242"/>
      <c r="AA137" s="148"/>
      <c r="AB137" s="148"/>
    </row>
    <row r="138">
      <c r="A138" s="662" t="s">
        <v>1284</v>
      </c>
      <c r="B138" s="662"/>
      <c r="C138" s="662"/>
      <c r="D138" s="57"/>
      <c r="E138" s="561" t="s">
        <v>774</v>
      </c>
      <c r="F138" s="423">
        <v>30.0</v>
      </c>
      <c r="G138" s="228"/>
      <c r="H138" s="547"/>
      <c r="I138" s="419"/>
      <c r="J138" s="419"/>
      <c r="K138" s="57"/>
      <c r="L138" s="105"/>
      <c r="M138" s="420"/>
      <c r="N138" s="150"/>
      <c r="O138" s="425"/>
      <c r="Q138" s="431"/>
      <c r="R138" s="157"/>
      <c r="S138" s="404"/>
      <c r="T138" s="148"/>
      <c r="U138" s="242"/>
      <c r="V138" s="242"/>
      <c r="W138" s="242"/>
      <c r="X138" s="242"/>
      <c r="Y138" s="242"/>
      <c r="Z138" s="242"/>
      <c r="AA138" s="148"/>
      <c r="AB138" s="148"/>
    </row>
    <row r="139">
      <c r="A139" s="209" t="s">
        <v>1285</v>
      </c>
      <c r="B139" s="209"/>
      <c r="C139" s="209"/>
      <c r="D139" s="239"/>
      <c r="E139" s="561" t="s">
        <v>775</v>
      </c>
      <c r="F139" s="423">
        <v>770.0</v>
      </c>
      <c r="G139" s="192"/>
      <c r="H139" s="547"/>
      <c r="I139" s="419"/>
      <c r="J139" s="419"/>
      <c r="K139" s="57"/>
      <c r="L139" s="378" t="s">
        <v>682</v>
      </c>
      <c r="M139" s="420"/>
      <c r="N139" s="193">
        <v>94.0</v>
      </c>
      <c r="O139" s="377" t="s">
        <v>1286</v>
      </c>
      <c r="Q139" s="431"/>
      <c r="R139" s="157"/>
      <c r="S139" s="404"/>
      <c r="T139" s="148"/>
      <c r="U139" s="242"/>
      <c r="V139" s="242"/>
      <c r="W139" s="242"/>
      <c r="X139" s="242"/>
      <c r="Y139" s="242"/>
      <c r="Z139" s="242"/>
      <c r="AA139" s="148"/>
      <c r="AB139" s="148"/>
    </row>
    <row r="140">
      <c r="A140" s="660"/>
      <c r="B140" s="660"/>
      <c r="C140" s="660"/>
      <c r="D140" s="239"/>
      <c r="E140" s="561" t="s">
        <v>10</v>
      </c>
      <c r="F140" s="423">
        <v>260.0</v>
      </c>
      <c r="G140" s="206"/>
      <c r="H140" s="564"/>
      <c r="I140" s="478"/>
      <c r="J140" s="419"/>
      <c r="K140" s="57"/>
      <c r="L140" s="461" t="s">
        <v>684</v>
      </c>
      <c r="M140" s="420"/>
      <c r="N140" s="193"/>
      <c r="O140" s="377"/>
      <c r="Q140" s="431"/>
      <c r="R140" s="157"/>
      <c r="S140" s="404"/>
      <c r="T140" s="148"/>
      <c r="U140" s="242"/>
      <c r="V140" s="242"/>
      <c r="W140" s="242"/>
      <c r="X140" s="242"/>
      <c r="Y140" s="242"/>
      <c r="Z140" s="242"/>
      <c r="AA140" s="148"/>
      <c r="AB140" s="148"/>
    </row>
    <row r="141">
      <c r="A141" s="660"/>
      <c r="B141" s="660"/>
      <c r="C141" s="660"/>
      <c r="D141" s="239"/>
      <c r="E141" s="561" t="s">
        <v>6</v>
      </c>
      <c r="F141" s="423"/>
      <c r="G141" s="206"/>
      <c r="H141" s="547"/>
      <c r="I141" s="455"/>
      <c r="J141" s="455"/>
      <c r="K141" s="57"/>
      <c r="L141" s="461" t="s">
        <v>686</v>
      </c>
      <c r="M141" s="420"/>
      <c r="N141" s="150"/>
      <c r="O141" s="374"/>
      <c r="Q141" s="463"/>
      <c r="R141" s="157"/>
      <c r="S141" s="404"/>
      <c r="T141" s="148"/>
      <c r="U141" s="242"/>
      <c r="V141" s="242"/>
      <c r="W141" s="242"/>
      <c r="X141" s="242"/>
      <c r="Y141" s="242"/>
      <c r="Z141" s="242"/>
      <c r="AA141" s="148"/>
      <c r="AB141" s="148"/>
    </row>
    <row r="142">
      <c r="A142" s="659"/>
      <c r="B142" s="659"/>
      <c r="C142" s="659"/>
      <c r="D142" s="57"/>
      <c r="E142" s="561" t="s">
        <v>779</v>
      </c>
      <c r="F142" s="157"/>
      <c r="G142" s="228"/>
      <c r="H142" s="547"/>
      <c r="I142" s="455"/>
      <c r="J142" s="455"/>
      <c r="K142" s="239"/>
      <c r="L142" s="460" t="s">
        <v>202</v>
      </c>
      <c r="M142" s="420"/>
      <c r="N142" s="193"/>
      <c r="O142" s="377"/>
      <c r="Q142" s="463"/>
      <c r="R142" s="157"/>
      <c r="S142" s="404"/>
      <c r="T142" s="148"/>
      <c r="U142" s="242"/>
      <c r="V142" s="242"/>
      <c r="W142" s="242"/>
      <c r="X142" s="242"/>
      <c r="Y142" s="242"/>
      <c r="Z142" s="242"/>
      <c r="AA142" s="148"/>
      <c r="AB142" s="148"/>
    </row>
    <row r="143">
      <c r="A143" s="660"/>
      <c r="B143" s="660"/>
      <c r="C143" s="660"/>
      <c r="D143" s="239"/>
      <c r="E143" s="561" t="s">
        <v>780</v>
      </c>
      <c r="F143" s="423">
        <v>40.0</v>
      </c>
      <c r="G143" s="228"/>
      <c r="H143" s="547"/>
      <c r="I143" s="455"/>
      <c r="J143" s="455"/>
      <c r="K143" s="57"/>
      <c r="L143" s="460" t="s">
        <v>274</v>
      </c>
      <c r="M143" s="420"/>
      <c r="N143" s="150"/>
      <c r="O143" s="374"/>
      <c r="Q143" s="463"/>
      <c r="R143" s="157"/>
      <c r="S143" s="404"/>
      <c r="T143" s="148"/>
      <c r="U143" s="242"/>
      <c r="V143" s="242"/>
      <c r="W143" s="242"/>
      <c r="X143" s="242"/>
      <c r="Y143" s="242"/>
      <c r="Z143" s="242"/>
      <c r="AA143" s="148"/>
      <c r="AB143" s="148"/>
    </row>
    <row r="144">
      <c r="A144" s="662" t="s">
        <v>1287</v>
      </c>
      <c r="B144" s="662"/>
      <c r="C144" s="662"/>
      <c r="D144" s="239"/>
      <c r="E144" s="561" t="s">
        <v>781</v>
      </c>
      <c r="F144" s="423">
        <v>50.0</v>
      </c>
      <c r="G144" s="228"/>
      <c r="H144" s="547"/>
      <c r="I144" s="455"/>
      <c r="J144" s="419"/>
      <c r="K144" s="239"/>
      <c r="L144" s="568"/>
      <c r="M144" s="420"/>
      <c r="N144" s="150"/>
      <c r="O144" s="374"/>
      <c r="Q144" s="431"/>
      <c r="R144" s="157"/>
      <c r="S144" s="404"/>
      <c r="T144" s="148"/>
      <c r="U144" s="242"/>
      <c r="V144" s="242"/>
      <c r="W144" s="242"/>
      <c r="X144" s="242"/>
      <c r="Y144" s="242"/>
      <c r="Z144" s="242"/>
      <c r="AA144" s="148"/>
      <c r="AB144" s="148"/>
    </row>
    <row r="145">
      <c r="A145" s="660"/>
      <c r="B145" s="660"/>
      <c r="C145" s="660"/>
      <c r="D145" s="157"/>
      <c r="E145" s="561" t="s">
        <v>1118</v>
      </c>
      <c r="F145" s="157"/>
      <c r="G145" s="569"/>
      <c r="H145" s="547"/>
      <c r="I145" s="419"/>
      <c r="J145" s="419"/>
      <c r="K145" s="57"/>
      <c r="L145" s="374"/>
      <c r="M145" s="420"/>
      <c r="N145" s="193"/>
      <c r="O145" s="377"/>
      <c r="Q145" s="431"/>
      <c r="R145" s="157"/>
      <c r="S145" s="404"/>
      <c r="T145" s="148"/>
      <c r="U145" s="242"/>
      <c r="V145" s="242"/>
      <c r="W145" s="242"/>
      <c r="X145" s="242"/>
      <c r="Y145" s="242"/>
      <c r="Z145" s="242"/>
      <c r="AA145" s="148"/>
      <c r="AB145" s="148"/>
    </row>
    <row r="146">
      <c r="A146" s="660"/>
      <c r="B146" s="660"/>
      <c r="C146" s="660"/>
      <c r="D146" s="157"/>
      <c r="E146" s="561"/>
      <c r="F146" s="157"/>
      <c r="G146" s="228"/>
      <c r="H146" s="547"/>
      <c r="I146" s="419"/>
      <c r="J146" s="419"/>
      <c r="K146" s="239"/>
      <c r="L146" s="596" t="s">
        <v>1001</v>
      </c>
      <c r="M146" s="420"/>
      <c r="N146" s="193">
        <v>270.0</v>
      </c>
      <c r="O146" s="377"/>
      <c r="Q146" s="431"/>
      <c r="R146" s="157"/>
      <c r="S146" s="404"/>
      <c r="T146" s="148"/>
      <c r="U146" s="242"/>
      <c r="V146" s="242"/>
      <c r="W146" s="242"/>
      <c r="X146" s="242"/>
      <c r="Y146" s="242"/>
      <c r="Z146" s="242"/>
      <c r="AA146" s="148"/>
      <c r="AB146" s="148"/>
    </row>
    <row r="147">
      <c r="A147" s="660"/>
      <c r="B147" s="660"/>
      <c r="C147" s="660"/>
      <c r="D147" s="157"/>
      <c r="E147" s="561"/>
      <c r="F147" s="157"/>
      <c r="G147" s="570"/>
      <c r="H147" s="547"/>
      <c r="I147" s="419"/>
      <c r="J147" s="419"/>
      <c r="K147" s="239"/>
      <c r="L147" s="568"/>
      <c r="M147" s="420"/>
      <c r="N147" s="193"/>
      <c r="O147" s="374"/>
      <c r="Q147" s="431"/>
      <c r="R147" s="157"/>
      <c r="S147" s="404"/>
      <c r="T147" s="148"/>
      <c r="U147" s="242"/>
      <c r="V147" s="242"/>
      <c r="W147" s="242"/>
      <c r="X147" s="242"/>
      <c r="Y147" s="242"/>
      <c r="Z147" s="242"/>
      <c r="AA147" s="148"/>
      <c r="AB147" s="148"/>
    </row>
    <row r="148">
      <c r="A148" s="665"/>
      <c r="B148" s="665"/>
      <c r="C148" s="665"/>
      <c r="E148" s="571"/>
      <c r="F148" s="157"/>
      <c r="G148" s="570"/>
      <c r="H148" s="547"/>
      <c r="I148" s="419"/>
      <c r="J148" s="419"/>
      <c r="K148" s="239"/>
      <c r="L148" s="464" t="s">
        <v>692</v>
      </c>
      <c r="M148" s="420"/>
      <c r="N148" s="150"/>
      <c r="O148" s="377"/>
      <c r="Q148" s="431"/>
      <c r="R148" s="157"/>
      <c r="S148" s="404"/>
      <c r="T148" s="148"/>
      <c r="U148" s="242"/>
      <c r="V148" s="242"/>
      <c r="W148" s="242"/>
      <c r="X148" s="242"/>
      <c r="Y148" s="242"/>
      <c r="Z148" s="242"/>
      <c r="AA148" s="148"/>
      <c r="AB148" s="148"/>
    </row>
    <row r="149">
      <c r="A149" s="665"/>
      <c r="B149" s="665"/>
      <c r="C149" s="665"/>
      <c r="E149" s="571"/>
      <c r="F149" s="157"/>
      <c r="G149" s="570"/>
      <c r="H149" s="547"/>
      <c r="I149" s="419"/>
      <c r="J149" s="419"/>
      <c r="K149" s="239"/>
      <c r="L149" s="464" t="s">
        <v>694</v>
      </c>
      <c r="M149" s="420"/>
      <c r="N149" s="193">
        <v>20.0</v>
      </c>
      <c r="O149" s="377" t="s">
        <v>1288</v>
      </c>
      <c r="Q149" s="431"/>
      <c r="R149" s="157"/>
      <c r="S149" s="404"/>
      <c r="T149" s="148"/>
      <c r="U149" s="242"/>
      <c r="V149" s="242"/>
      <c r="W149" s="242"/>
      <c r="X149" s="242"/>
      <c r="Y149" s="242"/>
      <c r="Z149" s="242"/>
      <c r="AA149" s="148"/>
      <c r="AB149" s="148"/>
    </row>
    <row r="150">
      <c r="A150" s="665"/>
      <c r="B150" s="665"/>
      <c r="C150" s="665"/>
      <c r="E150" s="571"/>
      <c r="F150" s="423"/>
      <c r="G150" s="570"/>
      <c r="H150" s="546"/>
      <c r="I150" s="419"/>
      <c r="J150" s="419"/>
      <c r="K150" s="57"/>
      <c r="L150" s="105"/>
      <c r="M150" s="57"/>
      <c r="N150" s="150"/>
      <c r="O150" s="57"/>
      <c r="P150" s="57"/>
      <c r="Q150" s="57"/>
      <c r="R150" s="157"/>
      <c r="S150" s="404"/>
      <c r="T150" s="148"/>
      <c r="U150" s="242"/>
      <c r="V150" s="242"/>
      <c r="W150" s="242"/>
      <c r="X150" s="242"/>
      <c r="Y150" s="242"/>
      <c r="Z150" s="242"/>
      <c r="AA150" s="148"/>
      <c r="AB150" s="148"/>
    </row>
    <row r="151">
      <c r="A151" s="125" t="s">
        <v>798</v>
      </c>
      <c r="B151" s="125"/>
      <c r="C151" s="125"/>
      <c r="D151" s="588">
        <f>E124-D128</f>
        <v>3627.23</v>
      </c>
      <c r="F151" s="157"/>
      <c r="G151" s="570"/>
      <c r="H151" s="573"/>
      <c r="I151" s="478"/>
      <c r="J151" s="419"/>
      <c r="K151" s="239"/>
      <c r="L151" s="568"/>
      <c r="M151" s="57"/>
      <c r="N151" s="150"/>
      <c r="O151" s="57"/>
      <c r="P151" s="57"/>
      <c r="Q151" s="57"/>
      <c r="R151" s="157"/>
      <c r="S151" s="404"/>
      <c r="T151" s="148"/>
      <c r="U151" s="242"/>
      <c r="V151" s="242"/>
      <c r="W151" s="242"/>
      <c r="X151" s="242"/>
      <c r="Y151" s="242"/>
      <c r="Z151" s="242"/>
      <c r="AA151" s="148"/>
      <c r="AB151" s="148"/>
    </row>
    <row r="152">
      <c r="A152" s="274" t="s">
        <v>783</v>
      </c>
      <c r="B152" s="274"/>
      <c r="C152" s="274"/>
      <c r="D152" s="109">
        <v>100.0</v>
      </c>
      <c r="E152" s="395"/>
      <c r="F152" s="157"/>
      <c r="G152" s="570"/>
      <c r="H152" s="573"/>
      <c r="I152" s="478"/>
      <c r="J152" s="419"/>
      <c r="K152" s="239"/>
      <c r="L152" s="568"/>
      <c r="M152" s="57"/>
      <c r="N152" s="150"/>
      <c r="O152" s="57"/>
      <c r="P152" s="57"/>
      <c r="Q152" s="57"/>
      <c r="R152" s="157"/>
      <c r="S152" s="404"/>
      <c r="T152" s="148"/>
      <c r="U152" s="242"/>
      <c r="V152" s="242"/>
      <c r="W152" s="242"/>
      <c r="X152" s="242"/>
      <c r="Y152" s="242"/>
      <c r="Z152" s="242"/>
      <c r="AA152" s="148"/>
      <c r="AB152" s="148"/>
    </row>
    <row r="153">
      <c r="A153" s="274" t="s">
        <v>784</v>
      </c>
      <c r="B153" s="274"/>
      <c r="C153" s="274"/>
      <c r="D153" s="109">
        <v>9900.0</v>
      </c>
      <c r="E153" s="395"/>
      <c r="F153" s="157"/>
      <c r="G153" s="570"/>
      <c r="H153" s="573"/>
      <c r="I153" s="478"/>
      <c r="J153" s="419"/>
      <c r="K153" s="239"/>
      <c r="L153" s="568"/>
      <c r="M153" s="57"/>
      <c r="N153" s="150"/>
      <c r="O153" s="57"/>
      <c r="P153" s="57"/>
      <c r="Q153" s="57"/>
      <c r="R153" s="157"/>
      <c r="S153" s="404"/>
      <c r="T153" s="148"/>
      <c r="U153" s="242"/>
      <c r="V153" s="242"/>
      <c r="W153" s="242"/>
      <c r="X153" s="242"/>
      <c r="Y153" s="242"/>
      <c r="Z153" s="242"/>
      <c r="AA153" s="148"/>
      <c r="AB153" s="148"/>
    </row>
    <row r="154">
      <c r="A154" s="274" t="s">
        <v>785</v>
      </c>
      <c r="B154" s="274"/>
      <c r="C154" s="274"/>
      <c r="D154" s="109"/>
      <c r="E154" s="395"/>
      <c r="F154" s="157"/>
      <c r="G154" s="570"/>
      <c r="H154" s="573"/>
      <c r="I154" s="478"/>
      <c r="J154" s="419"/>
      <c r="K154" s="239"/>
      <c r="L154" s="568"/>
      <c r="M154" s="57"/>
      <c r="N154" s="150"/>
      <c r="O154" s="57"/>
      <c r="P154" s="57"/>
      <c r="Q154" s="57"/>
      <c r="R154" s="157"/>
      <c r="S154" s="404"/>
      <c r="T154" s="148"/>
      <c r="U154" s="242"/>
      <c r="V154" s="242"/>
      <c r="W154" s="242"/>
      <c r="X154" s="242"/>
      <c r="Y154" s="242"/>
      <c r="Z154" s="242"/>
      <c r="AA154" s="148"/>
      <c r="AB154" s="148"/>
    </row>
    <row r="155">
      <c r="A155" s="402"/>
      <c r="B155" s="402"/>
      <c r="C155" s="402"/>
      <c r="D155" s="403"/>
      <c r="E155" s="403"/>
      <c r="F155" s="403"/>
      <c r="G155" s="574"/>
      <c r="H155" s="575"/>
      <c r="I155" s="159"/>
      <c r="J155" s="159"/>
      <c r="K155" s="159"/>
      <c r="L155" s="576"/>
      <c r="M155" s="159"/>
      <c r="N155" s="162"/>
      <c r="O155" s="402"/>
      <c r="P155" s="402"/>
      <c r="Q155" s="159"/>
      <c r="R155" s="403"/>
      <c r="S155" s="577"/>
      <c r="T155" s="148"/>
      <c r="U155" s="242"/>
      <c r="V155" s="242"/>
      <c r="W155" s="242"/>
      <c r="X155" s="242"/>
      <c r="Y155" s="242"/>
      <c r="Z155" s="242"/>
      <c r="AA155" s="148"/>
      <c r="AB155" s="148"/>
    </row>
    <row r="156">
      <c r="A156" s="148"/>
      <c r="B156" s="148"/>
      <c r="C156" s="148"/>
      <c r="D156" s="148"/>
      <c r="E156" s="148"/>
      <c r="F156" s="245"/>
      <c r="G156" s="585"/>
      <c r="H156" s="586"/>
      <c r="I156" s="148"/>
      <c r="J156" s="148"/>
      <c r="K156" s="251"/>
      <c r="L156" s="243"/>
      <c r="M156" s="148"/>
      <c r="N156" s="277"/>
      <c r="O156" s="252"/>
      <c r="P156" s="250"/>
      <c r="Q156" s="253"/>
      <c r="R156" s="240"/>
      <c r="S156" s="148"/>
      <c r="T156" s="148"/>
      <c r="U156" s="242"/>
      <c r="V156" s="242"/>
      <c r="W156" s="242"/>
      <c r="X156" s="242"/>
      <c r="Y156" s="242"/>
      <c r="Z156" s="242"/>
      <c r="AA156" s="148"/>
      <c r="AB156" s="148"/>
    </row>
    <row r="157">
      <c r="A157" s="169" t="s">
        <v>75</v>
      </c>
      <c r="B157" s="705"/>
      <c r="C157" s="705"/>
      <c r="D157" s="539"/>
      <c r="E157" s="540"/>
      <c r="F157" s="405"/>
      <c r="G157" s="541"/>
      <c r="H157" s="542"/>
      <c r="I157" s="467" t="s">
        <v>333</v>
      </c>
      <c r="J157" s="361"/>
      <c r="K157" s="57"/>
      <c r="L157" s="105"/>
      <c r="M157" s="57"/>
      <c r="N157" s="150"/>
      <c r="O157" s="239"/>
      <c r="P157" s="239"/>
      <c r="Q157" s="57"/>
      <c r="R157" s="157"/>
      <c r="S157" s="404"/>
      <c r="T157" s="148"/>
      <c r="U157" s="242"/>
      <c r="V157" s="242"/>
      <c r="W157" s="242"/>
      <c r="X157" s="242"/>
      <c r="Y157" s="242"/>
      <c r="Z157" s="242"/>
      <c r="AA157" s="148"/>
      <c r="AB157" s="148"/>
    </row>
    <row r="158">
      <c r="A158" s="468"/>
      <c r="B158" s="406"/>
      <c r="C158" s="406"/>
      <c r="D158" s="157"/>
      <c r="E158" s="466"/>
      <c r="F158" s="405"/>
      <c r="G158" s="543" t="s">
        <v>335</v>
      </c>
      <c r="H158" s="544" t="s">
        <v>237</v>
      </c>
      <c r="I158" s="412" t="s">
        <v>336</v>
      </c>
      <c r="J158" s="413" t="s">
        <v>337</v>
      </c>
      <c r="K158" s="239"/>
      <c r="L158" s="145" t="s">
        <v>60</v>
      </c>
      <c r="M158" s="57"/>
      <c r="N158" s="150"/>
      <c r="O158" s="414"/>
      <c r="P158" s="414"/>
      <c r="Q158" s="57" t="s">
        <v>334</v>
      </c>
      <c r="R158" s="157"/>
      <c r="S158" s="404"/>
      <c r="T158" s="148"/>
      <c r="U158" s="242"/>
      <c r="V158" s="242"/>
      <c r="W158" s="242"/>
      <c r="X158" s="242"/>
      <c r="Y158" s="242"/>
      <c r="Z158" s="242"/>
      <c r="AA158" s="148"/>
      <c r="AB158" s="148"/>
    </row>
    <row r="159">
      <c r="A159" s="470" t="s">
        <v>179</v>
      </c>
      <c r="E159" s="416">
        <f>SUM(H159:H193)</f>
        <v>2490</v>
      </c>
      <c r="F159" s="405"/>
      <c r="G159" s="545"/>
      <c r="H159" s="546"/>
      <c r="I159" s="419"/>
      <c r="J159" s="419"/>
      <c r="K159" s="57"/>
      <c r="M159" s="57"/>
      <c r="N159" s="150"/>
      <c r="O159" s="377" t="s">
        <v>366</v>
      </c>
      <c r="R159" s="157"/>
      <c r="S159" s="404"/>
      <c r="T159" s="148"/>
      <c r="U159" s="242"/>
      <c r="V159" s="242"/>
      <c r="W159" s="242"/>
      <c r="X159" s="242"/>
      <c r="Y159" s="242"/>
      <c r="Z159" s="242"/>
      <c r="AA159" s="148"/>
      <c r="AB159" s="148"/>
    </row>
    <row r="160">
      <c r="A160" s="421" t="s">
        <v>343</v>
      </c>
      <c r="B160" s="105"/>
      <c r="C160" s="105"/>
      <c r="D160" s="422" t="s">
        <v>321</v>
      </c>
      <c r="E160" s="416">
        <f>SUM(R160:R193)</f>
        <v>1365.6</v>
      </c>
      <c r="F160" s="157"/>
      <c r="G160" s="545"/>
      <c r="H160" s="546"/>
      <c r="I160" s="419"/>
      <c r="J160" s="419"/>
      <c r="K160" s="239"/>
      <c r="L160" s="471" t="s">
        <v>341</v>
      </c>
      <c r="M160" s="420"/>
      <c r="N160" s="150"/>
      <c r="O160" s="374"/>
      <c r="Q160" s="426" t="s">
        <v>1088</v>
      </c>
      <c r="R160" s="423">
        <v>500.0</v>
      </c>
      <c r="S160" s="404"/>
      <c r="T160" s="148"/>
      <c r="U160" s="242"/>
      <c r="V160" s="242"/>
      <c r="W160" s="242"/>
      <c r="X160" s="242"/>
      <c r="Y160" s="242"/>
      <c r="Z160" s="242"/>
      <c r="AA160" s="148"/>
      <c r="AB160" s="148"/>
    </row>
    <row r="161">
      <c r="A161" s="427" t="s">
        <v>201</v>
      </c>
      <c r="E161" s="204">
        <f>SUM(N160:N193)</f>
        <v>2323.9</v>
      </c>
      <c r="F161" s="157"/>
      <c r="G161" s="545"/>
      <c r="H161" s="546"/>
      <c r="I161" s="419"/>
      <c r="J161" s="419"/>
      <c r="K161" s="239"/>
      <c r="L161" s="472" t="s">
        <v>345</v>
      </c>
      <c r="M161" s="420"/>
      <c r="N161" s="193"/>
      <c r="O161" s="374"/>
      <c r="Q161" s="426" t="s">
        <v>657</v>
      </c>
      <c r="R161" s="423">
        <v>368.0</v>
      </c>
      <c r="S161" s="404"/>
      <c r="T161" s="148"/>
      <c r="U161" s="242"/>
      <c r="V161" s="242"/>
      <c r="W161" s="242"/>
      <c r="X161" s="242"/>
      <c r="Y161" s="242"/>
      <c r="Z161" s="242"/>
      <c r="AA161" s="148"/>
      <c r="AB161" s="148"/>
    </row>
    <row r="162">
      <c r="A162" s="548" t="s">
        <v>761</v>
      </c>
      <c r="B162" s="706"/>
      <c r="C162" s="706"/>
      <c r="D162" s="549">
        <v>0.4</v>
      </c>
      <c r="E162" s="191">
        <v>550.0</v>
      </c>
      <c r="F162" s="157"/>
      <c r="G162" s="550" t="s">
        <v>695</v>
      </c>
      <c r="H162" s="546">
        <v>535.0</v>
      </c>
      <c r="I162" s="587"/>
      <c r="J162" s="419"/>
      <c r="K162" s="239"/>
      <c r="L162" s="433" t="s">
        <v>656</v>
      </c>
      <c r="M162" s="420"/>
      <c r="N162" s="193">
        <v>135.0</v>
      </c>
      <c r="O162" s="374"/>
      <c r="Q162" s="722" t="s">
        <v>1289</v>
      </c>
      <c r="R162" s="423">
        <v>85.0</v>
      </c>
      <c r="S162" s="404"/>
      <c r="T162" s="148"/>
      <c r="U162" s="242"/>
      <c r="V162" s="242"/>
      <c r="W162" s="242"/>
      <c r="X162" s="242"/>
      <c r="Y162" s="242"/>
      <c r="Z162" s="242"/>
      <c r="AA162" s="148"/>
      <c r="AB162" s="148"/>
    </row>
    <row r="163">
      <c r="A163" s="434" t="s">
        <v>350</v>
      </c>
      <c r="E163" s="551">
        <f>E159-E161-E162</f>
        <v>-383.9</v>
      </c>
      <c r="F163" s="157"/>
      <c r="G163" s="192" t="s">
        <v>1088</v>
      </c>
      <c r="H163" s="546">
        <v>522.0</v>
      </c>
      <c r="I163" s="558" t="s">
        <v>426</v>
      </c>
      <c r="J163" s="419"/>
      <c r="K163" s="57"/>
      <c r="L163" s="444" t="s">
        <v>658</v>
      </c>
      <c r="M163" s="420"/>
      <c r="N163" s="193">
        <v>27.9</v>
      </c>
      <c r="O163" s="377"/>
      <c r="Q163" s="426" t="s">
        <v>1259</v>
      </c>
      <c r="R163" s="423">
        <v>85.0</v>
      </c>
      <c r="S163" s="404"/>
      <c r="T163" s="148"/>
      <c r="U163" s="242"/>
      <c r="V163" s="242"/>
      <c r="W163" s="242"/>
      <c r="X163" s="242"/>
      <c r="Y163" s="242"/>
      <c r="Z163" s="242"/>
      <c r="AA163" s="148"/>
      <c r="AB163" s="148"/>
    </row>
    <row r="164">
      <c r="A164" s="554"/>
      <c r="B164" s="555"/>
      <c r="C164" s="555"/>
      <c r="D164" s="555"/>
      <c r="E164" s="447"/>
      <c r="F164" s="157"/>
      <c r="G164" s="192" t="s">
        <v>1262</v>
      </c>
      <c r="H164" s="546">
        <v>250.0</v>
      </c>
      <c r="I164" s="562"/>
      <c r="J164" s="419"/>
      <c r="K164" s="57"/>
      <c r="L164" s="444" t="s">
        <v>660</v>
      </c>
      <c r="M164" s="420"/>
      <c r="N164" s="193">
        <v>170.0</v>
      </c>
      <c r="O164" s="595"/>
      <c r="Q164" s="426" t="s">
        <v>873</v>
      </c>
      <c r="R164" s="423">
        <v>260.0</v>
      </c>
      <c r="S164" s="404"/>
      <c r="T164" s="148"/>
      <c r="U164" s="242"/>
      <c r="V164" s="242"/>
      <c r="W164" s="242"/>
      <c r="X164" s="242"/>
      <c r="Y164" s="242"/>
      <c r="Z164" s="242"/>
      <c r="AA164" s="148"/>
      <c r="AB164" s="148"/>
    </row>
    <row r="165">
      <c r="A165" s="556"/>
      <c r="E165" s="395"/>
      <c r="F165" s="157"/>
      <c r="G165" s="192" t="s">
        <v>657</v>
      </c>
      <c r="H165" s="546">
        <v>368.0</v>
      </c>
      <c r="I165" s="593" t="s">
        <v>426</v>
      </c>
      <c r="J165" s="419"/>
      <c r="K165" s="239"/>
      <c r="L165" s="370" t="s">
        <v>662</v>
      </c>
      <c r="M165" s="420"/>
      <c r="N165" s="193">
        <v>40.0</v>
      </c>
      <c r="O165" s="377"/>
      <c r="Q165" s="426" t="s">
        <v>1290</v>
      </c>
      <c r="R165" s="423">
        <v>67.6</v>
      </c>
      <c r="S165" s="404"/>
      <c r="T165" s="148"/>
      <c r="U165" s="242"/>
      <c r="V165" s="242"/>
      <c r="W165" s="242"/>
      <c r="X165" s="242"/>
      <c r="Y165" s="242"/>
      <c r="Z165" s="242"/>
      <c r="AA165" s="148"/>
      <c r="AB165" s="148"/>
    </row>
    <row r="166">
      <c r="A166" s="557"/>
      <c r="B166" s="557"/>
      <c r="C166" s="557"/>
      <c r="D166" s="109"/>
      <c r="E166" s="395"/>
      <c r="F166" s="373" t="s">
        <v>267</v>
      </c>
      <c r="G166" s="192" t="s">
        <v>1142</v>
      </c>
      <c r="H166" s="546">
        <v>85.0</v>
      </c>
      <c r="I166" s="419"/>
      <c r="J166" s="419"/>
      <c r="K166" s="239"/>
      <c r="L166" s="433" t="s">
        <v>666</v>
      </c>
      <c r="M166" s="420"/>
      <c r="N166" s="150"/>
      <c r="O166" s="374"/>
      <c r="Q166" s="431"/>
      <c r="R166" s="157"/>
      <c r="S166" s="404"/>
      <c r="T166" s="148"/>
      <c r="U166" s="242"/>
      <c r="V166" s="242"/>
      <c r="W166" s="242"/>
      <c r="X166" s="242"/>
      <c r="Y166" s="242"/>
      <c r="Z166" s="242"/>
      <c r="AA166" s="148"/>
      <c r="AB166" s="148"/>
    </row>
    <row r="167">
      <c r="A167" s="559" t="s">
        <v>765</v>
      </c>
      <c r="B167" s="559"/>
      <c r="C167" s="559"/>
      <c r="D167" s="560">
        <f>SUM(F167:F193)</f>
        <v>948</v>
      </c>
      <c r="E167" s="477" t="s">
        <v>366</v>
      </c>
      <c r="F167" s="157"/>
      <c r="G167" s="192" t="s">
        <v>1291</v>
      </c>
      <c r="H167" s="546">
        <v>75.0</v>
      </c>
      <c r="I167" s="419"/>
      <c r="J167" s="419"/>
      <c r="K167" s="239"/>
      <c r="L167" s="433" t="s">
        <v>668</v>
      </c>
      <c r="M167" s="420"/>
      <c r="N167" s="150"/>
      <c r="O167" s="377"/>
      <c r="Q167" s="431"/>
      <c r="R167" s="157"/>
      <c r="S167" s="404"/>
      <c r="T167" s="148"/>
      <c r="U167" s="242"/>
      <c r="V167" s="242"/>
      <c r="W167" s="242"/>
      <c r="X167" s="242"/>
      <c r="Y167" s="242"/>
      <c r="Z167" s="242"/>
      <c r="AA167" s="148"/>
      <c r="AB167" s="148"/>
    </row>
    <row r="168">
      <c r="A168" s="453" t="s">
        <v>369</v>
      </c>
      <c r="E168" s="561" t="s">
        <v>766</v>
      </c>
      <c r="F168" s="423"/>
      <c r="G168" s="192" t="s">
        <v>1292</v>
      </c>
      <c r="H168" s="546">
        <v>60.0</v>
      </c>
      <c r="I168" s="419"/>
      <c r="J168" s="419"/>
      <c r="K168" s="239"/>
      <c r="L168" s="433" t="s">
        <v>670</v>
      </c>
      <c r="M168" s="458"/>
      <c r="N168" s="193">
        <v>1250.0</v>
      </c>
      <c r="O168" s="377"/>
      <c r="Q168" s="431"/>
      <c r="R168" s="157"/>
      <c r="S168" s="404"/>
      <c r="T168" s="148"/>
      <c r="U168" s="242"/>
      <c r="V168" s="242"/>
      <c r="W168" s="242"/>
      <c r="X168" s="242"/>
      <c r="Y168" s="242"/>
      <c r="Z168" s="242"/>
      <c r="AA168" s="148"/>
      <c r="AB168" s="148"/>
    </row>
    <row r="169">
      <c r="E169" s="561" t="s">
        <v>767</v>
      </c>
      <c r="F169" s="423"/>
      <c r="G169" s="192" t="s">
        <v>657</v>
      </c>
      <c r="H169" s="546">
        <v>260.0</v>
      </c>
      <c r="I169" s="593" t="s">
        <v>426</v>
      </c>
      <c r="J169" s="419"/>
      <c r="K169" s="239"/>
      <c r="L169" s="433" t="s">
        <v>217</v>
      </c>
      <c r="M169" s="458"/>
      <c r="N169" s="150"/>
      <c r="O169" s="377"/>
      <c r="Q169" s="431"/>
      <c r="R169" s="157"/>
      <c r="S169" s="404"/>
      <c r="T169" s="148"/>
      <c r="U169" s="242"/>
      <c r="V169" s="242"/>
      <c r="W169" s="242"/>
      <c r="X169" s="242"/>
      <c r="Y169" s="242"/>
      <c r="Z169" s="242"/>
      <c r="AA169" s="148"/>
      <c r="AB169" s="148"/>
    </row>
    <row r="170">
      <c r="A170" s="57"/>
      <c r="B170" s="57"/>
      <c r="C170" s="57"/>
      <c r="D170" s="57"/>
      <c r="E170" s="561" t="s">
        <v>768</v>
      </c>
      <c r="F170" s="423"/>
      <c r="G170" s="192" t="s">
        <v>957</v>
      </c>
      <c r="H170" s="546">
        <v>85.0</v>
      </c>
      <c r="I170" s="593" t="s">
        <v>426</v>
      </c>
      <c r="J170" s="419"/>
      <c r="K170" s="239"/>
      <c r="L170" s="109"/>
      <c r="M170" s="420"/>
      <c r="N170" s="193"/>
      <c r="O170" s="374"/>
      <c r="Q170" s="431"/>
      <c r="R170" s="157"/>
      <c r="S170" s="404"/>
      <c r="T170" s="148"/>
      <c r="U170" s="242"/>
      <c r="V170" s="242"/>
      <c r="W170" s="242"/>
      <c r="X170" s="242"/>
      <c r="Y170" s="242"/>
      <c r="Z170" s="242"/>
      <c r="AA170" s="148"/>
      <c r="AB170" s="148"/>
    </row>
    <row r="171">
      <c r="A171" s="57"/>
      <c r="B171" s="57"/>
      <c r="C171" s="57"/>
      <c r="D171" s="57"/>
      <c r="E171" s="561" t="s">
        <v>769</v>
      </c>
      <c r="F171" s="157"/>
      <c r="G171" s="192" t="s">
        <v>862</v>
      </c>
      <c r="H171" s="546">
        <v>250.0</v>
      </c>
      <c r="I171" s="419"/>
      <c r="J171" s="419"/>
      <c r="K171" s="239"/>
      <c r="L171" s="456" t="s">
        <v>672</v>
      </c>
      <c r="M171" s="420"/>
      <c r="N171" s="150"/>
      <c r="O171" s="377"/>
      <c r="Q171" s="431"/>
      <c r="R171" s="157"/>
      <c r="S171" s="404"/>
      <c r="T171" s="148"/>
      <c r="U171" s="242"/>
      <c r="V171" s="242"/>
      <c r="W171" s="242"/>
      <c r="X171" s="242"/>
      <c r="Y171" s="242"/>
      <c r="Z171" s="242"/>
      <c r="AA171" s="148"/>
      <c r="AB171" s="148"/>
    </row>
    <row r="172">
      <c r="A172" s="57"/>
      <c r="B172" s="57"/>
      <c r="C172" s="57"/>
      <c r="D172" s="57"/>
      <c r="E172" s="561" t="s">
        <v>770</v>
      </c>
      <c r="F172" s="423"/>
      <c r="G172" s="192"/>
      <c r="H172" s="546"/>
      <c r="I172" s="419"/>
      <c r="J172" s="419"/>
      <c r="K172" s="57"/>
      <c r="L172" s="456" t="s">
        <v>675</v>
      </c>
      <c r="M172" s="420"/>
      <c r="N172" s="150"/>
      <c r="O172" s="382"/>
      <c r="Q172" s="431"/>
      <c r="R172" s="157"/>
      <c r="S172" s="404"/>
      <c r="T172" s="148"/>
      <c r="U172" s="242"/>
      <c r="V172" s="242"/>
      <c r="W172" s="242"/>
      <c r="X172" s="242"/>
      <c r="Y172" s="242"/>
      <c r="Z172" s="242"/>
      <c r="AA172" s="148"/>
      <c r="AB172" s="148"/>
    </row>
    <row r="173">
      <c r="A173" s="57"/>
      <c r="B173" s="57"/>
      <c r="C173" s="57"/>
      <c r="D173" s="57"/>
      <c r="E173" s="561" t="s">
        <v>793</v>
      </c>
      <c r="F173" s="423">
        <v>160.0</v>
      </c>
      <c r="G173" s="192"/>
      <c r="H173" s="546"/>
      <c r="I173" s="455"/>
      <c r="J173" s="419"/>
      <c r="K173" s="57"/>
      <c r="L173" s="456"/>
      <c r="M173" s="420"/>
      <c r="N173" s="150"/>
      <c r="O173" s="425"/>
      <c r="Q173" s="431"/>
      <c r="R173" s="157"/>
      <c r="S173" s="404"/>
      <c r="T173" s="148"/>
      <c r="U173" s="242"/>
      <c r="V173" s="242"/>
      <c r="W173" s="242"/>
      <c r="X173" s="242"/>
      <c r="Y173" s="242"/>
      <c r="Z173" s="242"/>
      <c r="AA173" s="148"/>
      <c r="AB173" s="148"/>
    </row>
    <row r="174">
      <c r="A174" s="239"/>
      <c r="B174" s="239"/>
      <c r="C174" s="239"/>
      <c r="D174" s="57"/>
      <c r="E174" s="561" t="s">
        <v>794</v>
      </c>
      <c r="F174" s="423"/>
      <c r="G174" s="192"/>
      <c r="H174" s="546"/>
      <c r="I174" s="419"/>
      <c r="J174" s="419"/>
      <c r="K174" s="57"/>
      <c r="L174" s="375"/>
      <c r="M174" s="420"/>
      <c r="N174" s="150"/>
      <c r="O174" s="425"/>
      <c r="Q174" s="431"/>
      <c r="R174" s="157"/>
      <c r="S174" s="404"/>
      <c r="T174" s="148"/>
      <c r="U174" s="242"/>
      <c r="V174" s="242"/>
      <c r="W174" s="242"/>
      <c r="X174" s="242"/>
      <c r="Y174" s="242"/>
      <c r="Z174" s="242"/>
      <c r="AA174" s="148"/>
      <c r="AB174" s="148"/>
    </row>
    <row r="175">
      <c r="A175" s="239"/>
      <c r="B175" s="239"/>
      <c r="C175" s="239"/>
      <c r="D175" s="57"/>
      <c r="E175" s="561" t="s">
        <v>18</v>
      </c>
      <c r="F175" s="423"/>
      <c r="G175" s="192"/>
      <c r="H175" s="546"/>
      <c r="I175" s="419"/>
      <c r="J175" s="419"/>
      <c r="K175" s="57"/>
      <c r="L175" s="375"/>
      <c r="M175" s="420"/>
      <c r="N175" s="193"/>
      <c r="O175" s="382"/>
      <c r="Q175" s="431"/>
      <c r="R175" s="157"/>
      <c r="S175" s="404"/>
      <c r="T175" s="148"/>
      <c r="U175" s="242"/>
      <c r="V175" s="242"/>
      <c r="W175" s="242"/>
      <c r="X175" s="242"/>
      <c r="Y175" s="242"/>
      <c r="Z175" s="242"/>
      <c r="AA175" s="148"/>
      <c r="AB175" s="148"/>
    </row>
    <row r="176">
      <c r="A176" s="239"/>
      <c r="B176" s="239"/>
      <c r="C176" s="239"/>
      <c r="D176" s="57"/>
      <c r="E176" s="563" t="s">
        <v>1115</v>
      </c>
      <c r="F176" s="423"/>
      <c r="G176" s="192"/>
      <c r="H176" s="546"/>
      <c r="I176" s="455"/>
      <c r="J176" s="419"/>
      <c r="K176" s="57"/>
      <c r="L176" s="452"/>
      <c r="M176" s="420"/>
      <c r="N176" s="150"/>
      <c r="O176" s="425"/>
      <c r="Q176" s="431"/>
      <c r="R176" s="157"/>
      <c r="S176" s="404"/>
      <c r="T176" s="148"/>
      <c r="U176" s="242"/>
      <c r="V176" s="242"/>
      <c r="W176" s="242"/>
      <c r="X176" s="242"/>
      <c r="Y176" s="242"/>
      <c r="Z176" s="242"/>
      <c r="AA176" s="148"/>
      <c r="AB176" s="148"/>
    </row>
    <row r="177">
      <c r="A177" s="662" t="s">
        <v>1293</v>
      </c>
      <c r="B177" s="662"/>
      <c r="C177" s="662"/>
      <c r="D177" s="57"/>
      <c r="E177" s="561" t="s">
        <v>774</v>
      </c>
      <c r="F177" s="423">
        <v>44.0</v>
      </c>
      <c r="G177" s="192"/>
      <c r="H177" s="546"/>
      <c r="I177" s="419"/>
      <c r="J177" s="419"/>
      <c r="K177" s="57"/>
      <c r="L177" s="105"/>
      <c r="M177" s="420"/>
      <c r="N177" s="150"/>
      <c r="O177" s="425"/>
      <c r="Q177" s="431"/>
      <c r="R177" s="157"/>
      <c r="S177" s="404"/>
      <c r="T177" s="148"/>
      <c r="U177" s="242"/>
      <c r="V177" s="242"/>
      <c r="W177" s="242"/>
      <c r="X177" s="242"/>
      <c r="Y177" s="242"/>
      <c r="Z177" s="242"/>
      <c r="AA177" s="148"/>
      <c r="AB177" s="148"/>
    </row>
    <row r="178">
      <c r="A178" s="723" t="s">
        <v>1294</v>
      </c>
      <c r="B178" s="723"/>
      <c r="C178" s="723"/>
      <c r="D178" s="239"/>
      <c r="E178" s="561" t="s">
        <v>775</v>
      </c>
      <c r="F178" s="423">
        <v>270.0</v>
      </c>
      <c r="G178" s="192"/>
      <c r="H178" s="546"/>
      <c r="I178" s="419"/>
      <c r="J178" s="419"/>
      <c r="K178" s="57"/>
      <c r="L178" s="378" t="s">
        <v>682</v>
      </c>
      <c r="M178" s="420"/>
      <c r="N178" s="193">
        <v>56.0</v>
      </c>
      <c r="O178" s="377" t="s">
        <v>1295</v>
      </c>
      <c r="Q178" s="431"/>
      <c r="R178" s="157"/>
      <c r="S178" s="404"/>
      <c r="T178" s="148"/>
      <c r="U178" s="242"/>
      <c r="V178" s="242"/>
      <c r="W178" s="242"/>
      <c r="X178" s="242"/>
      <c r="Y178" s="242"/>
      <c r="Z178" s="242"/>
      <c r="AA178" s="148"/>
      <c r="AB178" s="148"/>
    </row>
    <row r="179">
      <c r="A179" s="239"/>
      <c r="B179" s="239"/>
      <c r="C179" s="239"/>
      <c r="D179" s="239"/>
      <c r="E179" s="561" t="s">
        <v>10</v>
      </c>
      <c r="F179" s="157"/>
      <c r="G179" s="192"/>
      <c r="H179" s="580"/>
      <c r="I179" s="589"/>
      <c r="J179" s="419"/>
      <c r="K179" s="57"/>
      <c r="L179" s="461" t="s">
        <v>684</v>
      </c>
      <c r="M179" s="420"/>
      <c r="N179" s="193"/>
      <c r="O179" s="377"/>
      <c r="Q179" s="431"/>
      <c r="R179" s="157"/>
      <c r="S179" s="404"/>
      <c r="T179" s="148"/>
      <c r="U179" s="242"/>
      <c r="V179" s="242"/>
      <c r="W179" s="242"/>
      <c r="X179" s="242"/>
      <c r="Y179" s="242"/>
      <c r="Z179" s="242"/>
      <c r="AA179" s="148"/>
      <c r="AB179" s="148"/>
    </row>
    <row r="180">
      <c r="A180" s="238" t="s">
        <v>1296</v>
      </c>
      <c r="B180" s="238"/>
      <c r="C180" s="238"/>
      <c r="D180" s="239"/>
      <c r="E180" s="561" t="s">
        <v>6</v>
      </c>
      <c r="F180" s="423">
        <v>270.0</v>
      </c>
      <c r="G180" s="192"/>
      <c r="H180" s="546"/>
      <c r="I180" s="455"/>
      <c r="J180" s="455"/>
      <c r="K180" s="57"/>
      <c r="L180" s="461" t="s">
        <v>686</v>
      </c>
      <c r="M180" s="420"/>
      <c r="N180" s="150"/>
      <c r="O180" s="374"/>
      <c r="Q180" s="463"/>
      <c r="R180" s="157"/>
      <c r="S180" s="404"/>
      <c r="T180" s="148"/>
      <c r="U180" s="242"/>
      <c r="V180" s="242"/>
      <c r="W180" s="242"/>
      <c r="X180" s="242"/>
      <c r="Y180" s="242"/>
      <c r="Z180" s="242"/>
      <c r="AA180" s="148"/>
      <c r="AB180" s="148"/>
    </row>
    <row r="181">
      <c r="A181" s="57"/>
      <c r="B181" s="57"/>
      <c r="C181" s="57"/>
      <c r="D181" s="57"/>
      <c r="E181" s="561" t="s">
        <v>779</v>
      </c>
      <c r="F181" s="157"/>
      <c r="G181" s="192"/>
      <c r="H181" s="546"/>
      <c r="I181" s="455"/>
      <c r="J181" s="455"/>
      <c r="K181" s="239"/>
      <c r="L181" s="460" t="s">
        <v>202</v>
      </c>
      <c r="M181" s="420"/>
      <c r="N181" s="193"/>
      <c r="O181" s="377"/>
      <c r="Q181" s="463"/>
      <c r="R181" s="157"/>
      <c r="S181" s="404"/>
      <c r="T181" s="148"/>
      <c r="U181" s="242"/>
      <c r="V181" s="242"/>
      <c r="W181" s="242"/>
      <c r="X181" s="242"/>
      <c r="Y181" s="242"/>
      <c r="Z181" s="242"/>
      <c r="AA181" s="148"/>
      <c r="AB181" s="148"/>
    </row>
    <row r="182">
      <c r="A182" s="239"/>
      <c r="B182" s="239"/>
      <c r="C182" s="239"/>
      <c r="D182" s="239"/>
      <c r="E182" s="561" t="s">
        <v>780</v>
      </c>
      <c r="F182" s="423">
        <v>40.0</v>
      </c>
      <c r="G182" s="228"/>
      <c r="H182" s="547"/>
      <c r="I182" s="455"/>
      <c r="J182" s="455"/>
      <c r="K182" s="57"/>
      <c r="L182" s="460" t="s">
        <v>274</v>
      </c>
      <c r="M182" s="420"/>
      <c r="N182" s="193"/>
      <c r="O182" s="374"/>
      <c r="Q182" s="463"/>
      <c r="R182" s="157"/>
      <c r="S182" s="404"/>
      <c r="T182" s="148"/>
      <c r="U182" s="242"/>
      <c r="V182" s="242"/>
      <c r="W182" s="242"/>
      <c r="X182" s="242"/>
      <c r="Y182" s="242"/>
      <c r="Z182" s="242"/>
      <c r="AA182" s="148"/>
      <c r="AB182" s="148"/>
    </row>
    <row r="183">
      <c r="A183" s="209" t="s">
        <v>1297</v>
      </c>
      <c r="B183" s="209"/>
      <c r="C183" s="209"/>
      <c r="D183" s="239"/>
      <c r="E183" s="561" t="s">
        <v>781</v>
      </c>
      <c r="F183" s="423">
        <v>164.0</v>
      </c>
      <c r="G183" s="228"/>
      <c r="H183" s="547"/>
      <c r="I183" s="455"/>
      <c r="J183" s="419"/>
      <c r="K183" s="239"/>
      <c r="L183" s="685" t="s">
        <v>1121</v>
      </c>
      <c r="M183" s="420"/>
      <c r="N183" s="193">
        <v>200.0</v>
      </c>
      <c r="O183" s="377" t="s">
        <v>1298</v>
      </c>
      <c r="Q183" s="431"/>
      <c r="R183" s="157"/>
      <c r="S183" s="404"/>
      <c r="T183" s="148"/>
      <c r="U183" s="242"/>
      <c r="V183" s="242"/>
      <c r="W183" s="242"/>
      <c r="X183" s="242"/>
      <c r="Y183" s="242"/>
      <c r="Z183" s="242"/>
      <c r="AA183" s="148"/>
      <c r="AB183" s="148"/>
    </row>
    <row r="184">
      <c r="A184" s="239"/>
      <c r="B184" s="239"/>
      <c r="C184" s="239"/>
      <c r="D184" s="157"/>
      <c r="E184" s="561" t="s">
        <v>1118</v>
      </c>
      <c r="F184" s="157"/>
      <c r="G184" s="569"/>
      <c r="H184" s="547"/>
      <c r="I184" s="419"/>
      <c r="J184" s="419"/>
      <c r="K184" s="57"/>
      <c r="L184" s="374"/>
      <c r="M184" s="420"/>
      <c r="N184" s="193"/>
      <c r="O184" s="377"/>
      <c r="Q184" s="431"/>
      <c r="R184" s="157"/>
      <c r="S184" s="404"/>
      <c r="T184" s="148"/>
      <c r="U184" s="242"/>
      <c r="V184" s="242"/>
      <c r="W184" s="242"/>
      <c r="X184" s="242"/>
      <c r="Y184" s="242"/>
      <c r="Z184" s="242"/>
      <c r="AA184" s="148"/>
      <c r="AB184" s="148"/>
    </row>
    <row r="185">
      <c r="A185" s="239"/>
      <c r="B185" s="239"/>
      <c r="C185" s="239"/>
      <c r="D185" s="157"/>
      <c r="E185" s="561"/>
      <c r="F185" s="157"/>
      <c r="G185" s="228"/>
      <c r="H185" s="547"/>
      <c r="I185" s="419"/>
      <c r="J185" s="419"/>
      <c r="K185" s="239"/>
      <c r="L185" s="596" t="s">
        <v>1001</v>
      </c>
      <c r="M185" s="420"/>
      <c r="N185" s="193">
        <v>445.0</v>
      </c>
      <c r="O185" s="377"/>
      <c r="Q185" s="431"/>
      <c r="R185" s="157"/>
      <c r="S185" s="404"/>
      <c r="T185" s="148"/>
      <c r="U185" s="242"/>
      <c r="V185" s="242"/>
      <c r="W185" s="242"/>
      <c r="X185" s="242"/>
      <c r="Y185" s="242"/>
      <c r="Z185" s="242"/>
      <c r="AA185" s="148"/>
      <c r="AB185" s="148"/>
    </row>
    <row r="186">
      <c r="A186" s="239"/>
      <c r="B186" s="239"/>
      <c r="C186" s="239"/>
      <c r="D186" s="157"/>
      <c r="E186" s="561"/>
      <c r="F186" s="157"/>
      <c r="G186" s="570"/>
      <c r="H186" s="547"/>
      <c r="I186" s="419"/>
      <c r="J186" s="419"/>
      <c r="K186" s="239"/>
      <c r="L186" s="568"/>
      <c r="M186" s="420"/>
      <c r="N186" s="193"/>
      <c r="O186" s="374"/>
      <c r="Q186" s="431"/>
      <c r="R186" s="157"/>
      <c r="S186" s="404"/>
      <c r="T186" s="148"/>
      <c r="U186" s="242"/>
      <c r="V186" s="242"/>
      <c r="W186" s="242"/>
      <c r="X186" s="242"/>
      <c r="Y186" s="242"/>
      <c r="Z186" s="242"/>
      <c r="AA186" s="148"/>
      <c r="AB186" s="148"/>
    </row>
    <row r="187">
      <c r="E187" s="571"/>
      <c r="F187" s="157"/>
      <c r="G187" s="570"/>
      <c r="H187" s="547"/>
      <c r="I187" s="419"/>
      <c r="J187" s="419"/>
      <c r="K187" s="239"/>
      <c r="L187" s="464" t="s">
        <v>692</v>
      </c>
      <c r="M187" s="420"/>
      <c r="N187" s="150"/>
      <c r="O187" s="377"/>
      <c r="Q187" s="431"/>
      <c r="R187" s="157"/>
      <c r="S187" s="404"/>
      <c r="T187" s="148"/>
      <c r="U187" s="242"/>
      <c r="V187" s="242"/>
      <c r="W187" s="242"/>
      <c r="X187" s="242"/>
      <c r="Y187" s="242"/>
      <c r="Z187" s="242"/>
      <c r="AA187" s="148"/>
      <c r="AB187" s="148"/>
    </row>
    <row r="188">
      <c r="E188" s="571"/>
      <c r="F188" s="157"/>
      <c r="G188" s="570"/>
      <c r="H188" s="547"/>
      <c r="I188" s="419"/>
      <c r="J188" s="419"/>
      <c r="K188" s="239"/>
      <c r="L188" s="464" t="s">
        <v>694</v>
      </c>
      <c r="M188" s="420"/>
      <c r="N188" s="193"/>
      <c r="O188" s="377" t="s">
        <v>1299</v>
      </c>
      <c r="Q188" s="431"/>
      <c r="R188" s="157"/>
      <c r="S188" s="404"/>
      <c r="T188" s="148"/>
      <c r="U188" s="242"/>
      <c r="V188" s="242"/>
      <c r="W188" s="242"/>
      <c r="X188" s="242"/>
      <c r="Y188" s="242"/>
      <c r="Z188" s="242"/>
      <c r="AA188" s="148"/>
      <c r="AB188" s="148"/>
    </row>
    <row r="189">
      <c r="E189" s="571"/>
      <c r="F189" s="423"/>
      <c r="G189" s="570"/>
      <c r="H189" s="546"/>
      <c r="I189" s="419"/>
      <c r="J189" s="419"/>
      <c r="K189" s="57"/>
      <c r="L189" s="105"/>
      <c r="M189" s="57"/>
      <c r="N189" s="193"/>
      <c r="O189" s="57"/>
      <c r="P189" s="57"/>
      <c r="Q189" s="57"/>
      <c r="R189" s="157"/>
      <c r="S189" s="404"/>
      <c r="T189" s="148"/>
      <c r="U189" s="242"/>
      <c r="V189" s="242"/>
      <c r="W189" s="242"/>
      <c r="X189" s="242"/>
      <c r="Y189" s="242"/>
      <c r="Z189" s="242"/>
      <c r="AA189" s="148"/>
      <c r="AB189" s="148"/>
    </row>
    <row r="190">
      <c r="A190" s="125" t="s">
        <v>798</v>
      </c>
      <c r="B190" s="125"/>
      <c r="C190" s="125"/>
      <c r="D190" s="572">
        <f>E163-D167</f>
        <v>-1331.9</v>
      </c>
      <c r="F190" s="157"/>
      <c r="G190" s="570"/>
      <c r="H190" s="573"/>
      <c r="I190" s="478"/>
      <c r="J190" s="419"/>
      <c r="K190" s="239"/>
      <c r="L190" s="568"/>
      <c r="M190" s="57"/>
      <c r="N190" s="150"/>
      <c r="O190" s="57"/>
      <c r="P190" s="57"/>
      <c r="Q190" s="57"/>
      <c r="R190" s="157"/>
      <c r="S190" s="404"/>
      <c r="T190" s="148"/>
      <c r="U190" s="242"/>
      <c r="V190" s="242"/>
      <c r="W190" s="242"/>
      <c r="X190" s="242"/>
      <c r="Y190" s="242"/>
      <c r="Z190" s="242"/>
      <c r="AA190" s="148"/>
      <c r="AB190" s="148"/>
    </row>
    <row r="191">
      <c r="A191" s="274" t="s">
        <v>783</v>
      </c>
      <c r="B191" s="274"/>
      <c r="C191" s="274"/>
      <c r="D191" s="109">
        <v>1469.0</v>
      </c>
      <c r="E191" s="395"/>
      <c r="F191" s="157"/>
      <c r="G191" s="570"/>
      <c r="H191" s="573"/>
      <c r="I191" s="478"/>
      <c r="J191" s="419"/>
      <c r="K191" s="239"/>
      <c r="L191" s="568"/>
      <c r="M191" s="57"/>
      <c r="N191" s="150"/>
      <c r="O191" s="57"/>
      <c r="P191" s="57"/>
      <c r="Q191" s="57"/>
      <c r="R191" s="157"/>
      <c r="S191" s="404"/>
      <c r="T191" s="148"/>
      <c r="U191" s="242"/>
      <c r="V191" s="242"/>
      <c r="W191" s="242"/>
      <c r="X191" s="242"/>
      <c r="Y191" s="242"/>
      <c r="Z191" s="242"/>
      <c r="AA191" s="148"/>
      <c r="AB191" s="148"/>
    </row>
    <row r="192">
      <c r="A192" s="274" t="s">
        <v>784</v>
      </c>
      <c r="B192" s="274"/>
      <c r="C192" s="274"/>
      <c r="D192" s="109">
        <v>7500.0</v>
      </c>
      <c r="E192" s="395"/>
      <c r="F192" s="157"/>
      <c r="G192" s="570"/>
      <c r="H192" s="573"/>
      <c r="I192" s="478"/>
      <c r="J192" s="419"/>
      <c r="K192" s="239"/>
      <c r="L192" s="568"/>
      <c r="M192" s="57"/>
      <c r="N192" s="150"/>
      <c r="O192" s="57"/>
      <c r="P192" s="57"/>
      <c r="Q192" s="57"/>
      <c r="R192" s="157"/>
      <c r="S192" s="404"/>
      <c r="T192" s="148"/>
      <c r="U192" s="242"/>
      <c r="V192" s="242"/>
      <c r="W192" s="242"/>
      <c r="X192" s="242"/>
      <c r="Y192" s="242"/>
      <c r="Z192" s="242"/>
      <c r="AA192" s="148"/>
      <c r="AB192" s="148"/>
    </row>
    <row r="193">
      <c r="A193" s="274" t="s">
        <v>785</v>
      </c>
      <c r="B193" s="274"/>
      <c r="C193" s="274"/>
      <c r="D193" s="109"/>
      <c r="E193" s="395"/>
      <c r="F193" s="157"/>
      <c r="G193" s="570"/>
      <c r="H193" s="573"/>
      <c r="I193" s="478"/>
      <c r="J193" s="419"/>
      <c r="K193" s="239"/>
      <c r="L193" s="568"/>
      <c r="M193" s="57"/>
      <c r="N193" s="150"/>
      <c r="O193" s="57"/>
      <c r="P193" s="57"/>
      <c r="Q193" s="57"/>
      <c r="R193" s="157"/>
      <c r="S193" s="404"/>
      <c r="T193" s="148"/>
      <c r="U193" s="242"/>
      <c r="V193" s="242"/>
      <c r="W193" s="242"/>
      <c r="X193" s="242"/>
      <c r="Y193" s="242"/>
      <c r="Z193" s="242"/>
      <c r="AA193" s="148"/>
      <c r="AB193" s="148"/>
    </row>
    <row r="194">
      <c r="A194" s="402"/>
      <c r="B194" s="402"/>
      <c r="C194" s="402"/>
      <c r="D194" s="403"/>
      <c r="E194" s="403"/>
      <c r="F194" s="403"/>
      <c r="G194" s="574"/>
      <c r="H194" s="575"/>
      <c r="I194" s="159"/>
      <c r="J194" s="159"/>
      <c r="K194" s="159"/>
      <c r="L194" s="576"/>
      <c r="M194" s="159"/>
      <c r="N194" s="162"/>
      <c r="O194" s="402"/>
      <c r="P194" s="402"/>
      <c r="Q194" s="159"/>
      <c r="R194" s="403"/>
      <c r="S194" s="577"/>
      <c r="T194" s="148"/>
      <c r="U194" s="242"/>
      <c r="V194" s="242"/>
      <c r="W194" s="242"/>
      <c r="X194" s="242"/>
      <c r="Y194" s="242"/>
      <c r="Z194" s="242"/>
      <c r="AA194" s="148"/>
      <c r="AB194" s="148"/>
    </row>
    <row r="195">
      <c r="A195" s="148"/>
      <c r="B195" s="148"/>
      <c r="C195" s="148"/>
      <c r="D195" s="148"/>
      <c r="E195" s="148"/>
      <c r="F195" s="245"/>
      <c r="G195" s="585"/>
      <c r="H195" s="586"/>
      <c r="I195" s="148"/>
      <c r="J195" s="148"/>
      <c r="K195" s="251"/>
      <c r="L195" s="243"/>
      <c r="M195" s="148"/>
      <c r="N195" s="277"/>
      <c r="O195" s="252"/>
      <c r="P195" s="250"/>
      <c r="Q195" s="253"/>
      <c r="R195" s="240"/>
      <c r="S195" s="148"/>
      <c r="T195" s="148"/>
      <c r="U195" s="242"/>
      <c r="V195" s="242"/>
      <c r="W195" s="242"/>
      <c r="X195" s="242"/>
      <c r="Y195" s="242"/>
      <c r="Z195" s="242"/>
      <c r="AA195" s="148"/>
      <c r="AB195" s="148"/>
    </row>
    <row r="196">
      <c r="A196" s="169" t="s">
        <v>79</v>
      </c>
      <c r="B196" s="705"/>
      <c r="C196" s="705"/>
      <c r="D196" s="539"/>
      <c r="E196" s="540"/>
      <c r="F196" s="405"/>
      <c r="G196" s="541"/>
      <c r="H196" s="542"/>
      <c r="I196" s="467" t="s">
        <v>333</v>
      </c>
      <c r="J196" s="361"/>
      <c r="K196" s="57"/>
      <c r="L196" s="105"/>
      <c r="M196" s="57"/>
      <c r="N196" s="150"/>
      <c r="O196" s="239"/>
      <c r="P196" s="239"/>
      <c r="Q196" s="57"/>
      <c r="R196" s="157"/>
      <c r="S196" s="404"/>
      <c r="T196" s="148"/>
      <c r="U196" s="242"/>
      <c r="V196" s="242"/>
      <c r="W196" s="242"/>
      <c r="X196" s="242"/>
      <c r="Y196" s="242"/>
      <c r="Z196" s="242"/>
      <c r="AA196" s="148"/>
      <c r="AB196" s="148"/>
    </row>
    <row r="197">
      <c r="A197" s="468"/>
      <c r="B197" s="406"/>
      <c r="C197" s="406"/>
      <c r="D197" s="157"/>
      <c r="E197" s="466"/>
      <c r="F197" s="405"/>
      <c r="G197" s="543" t="s">
        <v>335</v>
      </c>
      <c r="H197" s="544" t="s">
        <v>237</v>
      </c>
      <c r="I197" s="412" t="s">
        <v>336</v>
      </c>
      <c r="J197" s="413" t="s">
        <v>337</v>
      </c>
      <c r="K197" s="239"/>
      <c r="L197" s="145" t="s">
        <v>60</v>
      </c>
      <c r="M197" s="57"/>
      <c r="N197" s="150"/>
      <c r="O197" s="414"/>
      <c r="P197" s="414"/>
      <c r="Q197" s="57" t="s">
        <v>334</v>
      </c>
      <c r="R197" s="157"/>
      <c r="S197" s="404"/>
      <c r="T197" s="148"/>
      <c r="U197" s="242"/>
      <c r="V197" s="242"/>
      <c r="W197" s="242"/>
      <c r="X197" s="242"/>
      <c r="Y197" s="242"/>
      <c r="Z197" s="242"/>
      <c r="AA197" s="148"/>
      <c r="AB197" s="148"/>
    </row>
    <row r="198">
      <c r="A198" s="470" t="s">
        <v>179</v>
      </c>
      <c r="E198" s="416">
        <f>SUM(H198:H232)</f>
        <v>7147</v>
      </c>
      <c r="F198" s="405"/>
      <c r="G198" s="545"/>
      <c r="H198" s="546"/>
      <c r="I198" s="419"/>
      <c r="J198" s="419"/>
      <c r="K198" s="57"/>
      <c r="M198" s="57"/>
      <c r="N198" s="150"/>
      <c r="O198" s="377" t="s">
        <v>366</v>
      </c>
      <c r="R198" s="157"/>
      <c r="S198" s="404"/>
      <c r="T198" s="148"/>
      <c r="U198" s="242"/>
      <c r="V198" s="242"/>
      <c r="W198" s="242"/>
      <c r="X198" s="242"/>
      <c r="Y198" s="242"/>
      <c r="Z198" s="242"/>
      <c r="AA198" s="148"/>
      <c r="AB198" s="148"/>
    </row>
    <row r="199">
      <c r="A199" s="421" t="s">
        <v>343</v>
      </c>
      <c r="B199" s="105"/>
      <c r="C199" s="105"/>
      <c r="D199" s="422" t="s">
        <v>321</v>
      </c>
      <c r="E199" s="416">
        <f>SUM(R199:R232)</f>
        <v>2080</v>
      </c>
      <c r="F199" s="157"/>
      <c r="G199" s="545"/>
      <c r="H199" s="546"/>
      <c r="I199" s="419"/>
      <c r="J199" s="419"/>
      <c r="K199" s="239"/>
      <c r="L199" s="471" t="s">
        <v>341</v>
      </c>
      <c r="M199" s="420"/>
      <c r="N199" s="150"/>
      <c r="O199" s="374"/>
      <c r="Q199" s="591" t="s">
        <v>1282</v>
      </c>
      <c r="R199" s="423">
        <v>2080.0</v>
      </c>
      <c r="S199" s="404"/>
      <c r="T199" s="148"/>
      <c r="U199" s="242"/>
      <c r="V199" s="242"/>
      <c r="W199" s="242"/>
      <c r="X199" s="242"/>
      <c r="Y199" s="242"/>
      <c r="Z199" s="242"/>
      <c r="AA199" s="148"/>
      <c r="AB199" s="148"/>
    </row>
    <row r="200">
      <c r="A200" s="427" t="s">
        <v>201</v>
      </c>
      <c r="E200" s="204">
        <f>SUM(N199:N232)</f>
        <v>4716.84</v>
      </c>
      <c r="F200" s="157"/>
      <c r="G200" s="545"/>
      <c r="H200" s="546"/>
      <c r="I200" s="419"/>
      <c r="J200" s="419"/>
      <c r="K200" s="239"/>
      <c r="L200" s="472" t="s">
        <v>345</v>
      </c>
      <c r="M200" s="420"/>
      <c r="N200" s="193">
        <v>95.84</v>
      </c>
      <c r="O200" s="724" t="s">
        <v>1300</v>
      </c>
      <c r="Q200" s="591"/>
      <c r="R200" s="423"/>
      <c r="S200" s="404"/>
      <c r="T200" s="148"/>
      <c r="U200" s="242"/>
      <c r="V200" s="242"/>
      <c r="W200" s="242"/>
      <c r="X200" s="242"/>
      <c r="Y200" s="242"/>
      <c r="Z200" s="242"/>
      <c r="AA200" s="148"/>
      <c r="AB200" s="148"/>
    </row>
    <row r="201">
      <c r="A201" s="548" t="s">
        <v>761</v>
      </c>
      <c r="B201" s="706"/>
      <c r="C201" s="706"/>
      <c r="D201" s="549">
        <v>0.4</v>
      </c>
      <c r="E201" s="191">
        <v>832.0</v>
      </c>
      <c r="F201" s="157"/>
      <c r="G201" s="550" t="s">
        <v>695</v>
      </c>
      <c r="H201" s="546">
        <v>455.0</v>
      </c>
      <c r="I201" s="587"/>
      <c r="J201" s="419"/>
      <c r="K201" s="239"/>
      <c r="L201" s="433" t="s">
        <v>656</v>
      </c>
      <c r="M201" s="420"/>
      <c r="N201" s="193">
        <v>223.0</v>
      </c>
      <c r="O201" s="377"/>
      <c r="Q201" s="426"/>
      <c r="R201" s="423"/>
      <c r="S201" s="404"/>
      <c r="T201" s="148"/>
      <c r="U201" s="242"/>
      <c r="V201" s="242"/>
      <c r="W201" s="242"/>
      <c r="X201" s="242"/>
      <c r="Y201" s="242"/>
      <c r="Z201" s="242"/>
      <c r="AA201" s="148"/>
      <c r="AB201" s="148"/>
    </row>
    <row r="202">
      <c r="A202" s="434" t="s">
        <v>350</v>
      </c>
      <c r="E202" s="551">
        <f>E198-E200-E201</f>
        <v>1598.16</v>
      </c>
      <c r="F202" s="157"/>
      <c r="G202" s="655" t="s">
        <v>1301</v>
      </c>
      <c r="H202" s="671">
        <v>1042.0</v>
      </c>
      <c r="I202" s="593" t="s">
        <v>426</v>
      </c>
      <c r="J202" s="419"/>
      <c r="K202" s="57"/>
      <c r="L202" s="444" t="s">
        <v>658</v>
      </c>
      <c r="M202" s="420"/>
      <c r="N202" s="193">
        <v>25.0</v>
      </c>
      <c r="O202" s="377"/>
      <c r="Q202" s="426"/>
      <c r="R202" s="423"/>
      <c r="S202" s="404"/>
      <c r="T202" s="148"/>
      <c r="U202" s="242"/>
      <c r="V202" s="242"/>
      <c r="W202" s="242"/>
      <c r="X202" s="242"/>
      <c r="Y202" s="242"/>
      <c r="Z202" s="242"/>
      <c r="AA202" s="148"/>
      <c r="AB202" s="148"/>
    </row>
    <row r="203">
      <c r="A203" s="554"/>
      <c r="B203" s="555"/>
      <c r="C203" s="555"/>
      <c r="D203" s="555"/>
      <c r="E203" s="447"/>
      <c r="F203" s="157"/>
      <c r="G203" s="192" t="s">
        <v>886</v>
      </c>
      <c r="H203" s="546">
        <v>350.0</v>
      </c>
      <c r="I203" s="562"/>
      <c r="J203" s="419"/>
      <c r="K203" s="57"/>
      <c r="L203" s="444" t="s">
        <v>660</v>
      </c>
      <c r="M203" s="420"/>
      <c r="N203" s="193">
        <v>160.0</v>
      </c>
      <c r="O203" s="377"/>
      <c r="Q203" s="431"/>
      <c r="R203" s="157"/>
      <c r="S203" s="404"/>
      <c r="T203" s="148"/>
      <c r="U203" s="242"/>
      <c r="V203" s="242"/>
      <c r="W203" s="242"/>
      <c r="X203" s="242"/>
      <c r="Y203" s="242"/>
      <c r="Z203" s="242"/>
      <c r="AA203" s="148"/>
      <c r="AB203" s="148"/>
    </row>
    <row r="204">
      <c r="A204" s="556"/>
      <c r="E204" s="395"/>
      <c r="F204" s="157"/>
      <c r="G204" s="192" t="s">
        <v>1302</v>
      </c>
      <c r="H204" s="546">
        <v>300.0</v>
      </c>
      <c r="I204" s="455"/>
      <c r="J204" s="419"/>
      <c r="K204" s="239"/>
      <c r="L204" s="370" t="s">
        <v>662</v>
      </c>
      <c r="M204" s="420"/>
      <c r="N204" s="193">
        <v>22.0</v>
      </c>
      <c r="O204" s="377"/>
      <c r="Q204" s="431"/>
      <c r="R204" s="157"/>
      <c r="S204" s="404"/>
      <c r="T204" s="148"/>
      <c r="U204" s="242"/>
      <c r="V204" s="242"/>
      <c r="W204" s="242"/>
      <c r="X204" s="242"/>
      <c r="Y204" s="242"/>
      <c r="Z204" s="242"/>
      <c r="AA204" s="148"/>
      <c r="AB204" s="148"/>
    </row>
    <row r="205">
      <c r="A205" s="557"/>
      <c r="B205" s="557"/>
      <c r="C205" s="557"/>
      <c r="D205" s="109"/>
      <c r="E205" s="395"/>
      <c r="F205" s="373"/>
      <c r="G205" s="192" t="s">
        <v>1303</v>
      </c>
      <c r="H205" s="546">
        <v>100.0</v>
      </c>
      <c r="I205" s="419"/>
      <c r="J205" s="419"/>
      <c r="K205" s="239"/>
      <c r="L205" s="433" t="s">
        <v>666</v>
      </c>
      <c r="M205" s="420"/>
      <c r="N205" s="150"/>
      <c r="O205" s="374"/>
      <c r="Q205" s="431"/>
      <c r="R205" s="157"/>
      <c r="S205" s="404"/>
      <c r="T205" s="148"/>
      <c r="U205" s="242"/>
      <c r="V205" s="242"/>
      <c r="W205" s="242"/>
      <c r="X205" s="242"/>
      <c r="Y205" s="242"/>
      <c r="Z205" s="242"/>
      <c r="AA205" s="148"/>
      <c r="AB205" s="148"/>
    </row>
    <row r="206">
      <c r="A206" s="559" t="s">
        <v>765</v>
      </c>
      <c r="B206" s="559"/>
      <c r="C206" s="559"/>
      <c r="D206" s="560">
        <f>SUM(F206:F232)</f>
        <v>750</v>
      </c>
      <c r="E206" s="477" t="s">
        <v>366</v>
      </c>
      <c r="F206" s="157"/>
      <c r="G206" s="192" t="s">
        <v>1304</v>
      </c>
      <c r="H206" s="546">
        <v>65.0</v>
      </c>
      <c r="I206" s="419"/>
      <c r="J206" s="419"/>
      <c r="K206" s="239"/>
      <c r="L206" s="433" t="s">
        <v>668</v>
      </c>
      <c r="M206" s="420"/>
      <c r="N206" s="150"/>
      <c r="O206" s="377"/>
      <c r="Q206" s="431"/>
      <c r="R206" s="157"/>
      <c r="S206" s="404"/>
      <c r="T206" s="148"/>
      <c r="U206" s="242"/>
      <c r="V206" s="242"/>
      <c r="W206" s="242"/>
      <c r="X206" s="242"/>
      <c r="Y206" s="242"/>
      <c r="Z206" s="242"/>
      <c r="AA206" s="148"/>
      <c r="AB206" s="148"/>
    </row>
    <row r="207">
      <c r="A207" s="453" t="s">
        <v>369</v>
      </c>
      <c r="E207" s="561" t="s">
        <v>766</v>
      </c>
      <c r="F207" s="423"/>
      <c r="G207" s="192" t="s">
        <v>1305</v>
      </c>
      <c r="H207" s="546">
        <v>65.0</v>
      </c>
      <c r="I207" s="593" t="s">
        <v>426</v>
      </c>
      <c r="J207" s="419"/>
      <c r="K207" s="239"/>
      <c r="L207" s="433" t="s">
        <v>670</v>
      </c>
      <c r="M207" s="458"/>
      <c r="N207" s="193">
        <v>1250.0</v>
      </c>
      <c r="O207" s="377"/>
      <c r="Q207" s="431"/>
      <c r="R207" s="157"/>
      <c r="S207" s="404"/>
      <c r="T207" s="148"/>
      <c r="U207" s="242"/>
      <c r="V207" s="242"/>
      <c r="W207" s="242"/>
      <c r="X207" s="242"/>
      <c r="Y207" s="242"/>
      <c r="Z207" s="242"/>
      <c r="AA207" s="148"/>
      <c r="AB207" s="148"/>
    </row>
    <row r="208">
      <c r="E208" s="561" t="s">
        <v>767</v>
      </c>
      <c r="F208" s="157"/>
      <c r="G208" s="192" t="s">
        <v>567</v>
      </c>
      <c r="H208" s="546">
        <v>600.0</v>
      </c>
      <c r="I208" s="419"/>
      <c r="J208" s="419"/>
      <c r="K208" s="239"/>
      <c r="L208" s="433" t="s">
        <v>217</v>
      </c>
      <c r="M208" s="458"/>
      <c r="N208" s="193">
        <v>152.0</v>
      </c>
      <c r="O208" s="377" t="s">
        <v>1306</v>
      </c>
      <c r="Q208" s="431"/>
      <c r="R208" s="157"/>
      <c r="S208" s="404"/>
      <c r="T208" s="148"/>
      <c r="U208" s="242"/>
      <c r="V208" s="242"/>
      <c r="W208" s="242"/>
      <c r="X208" s="242"/>
      <c r="Y208" s="242"/>
      <c r="Z208" s="242"/>
      <c r="AA208" s="148"/>
      <c r="AB208" s="148"/>
    </row>
    <row r="209">
      <c r="A209" s="57"/>
      <c r="B209" s="57"/>
      <c r="C209" s="57"/>
      <c r="D209" s="57"/>
      <c r="E209" s="561" t="s">
        <v>768</v>
      </c>
      <c r="F209" s="423"/>
      <c r="G209" s="192" t="s">
        <v>1105</v>
      </c>
      <c r="H209" s="546">
        <v>650.0</v>
      </c>
      <c r="I209" s="419"/>
      <c r="J209" s="419"/>
      <c r="K209" s="239"/>
      <c r="L209" s="109"/>
      <c r="M209" s="420"/>
      <c r="N209" s="193"/>
      <c r="O209" s="374"/>
      <c r="Q209" s="431"/>
      <c r="R209" s="157"/>
      <c r="S209" s="404"/>
      <c r="T209" s="148"/>
      <c r="U209" s="242"/>
      <c r="V209" s="242"/>
      <c r="W209" s="242"/>
      <c r="X209" s="242"/>
      <c r="Y209" s="242"/>
      <c r="Z209" s="242"/>
      <c r="AA209" s="148"/>
      <c r="AB209" s="148"/>
    </row>
    <row r="210">
      <c r="A210" s="57"/>
      <c r="B210" s="57"/>
      <c r="C210" s="57"/>
      <c r="D210" s="57"/>
      <c r="E210" s="561" t="s">
        <v>769</v>
      </c>
      <c r="F210" s="157"/>
      <c r="G210" s="192" t="s">
        <v>1307</v>
      </c>
      <c r="H210" s="546">
        <v>450.0</v>
      </c>
      <c r="I210" s="562"/>
      <c r="J210" s="419"/>
      <c r="K210" s="239"/>
      <c r="L210" s="456" t="s">
        <v>672</v>
      </c>
      <c r="M210" s="420"/>
      <c r="N210" s="150"/>
      <c r="O210" s="377"/>
      <c r="Q210" s="431"/>
      <c r="R210" s="157"/>
      <c r="S210" s="404"/>
      <c r="T210" s="148"/>
      <c r="U210" s="242"/>
      <c r="V210" s="242"/>
      <c r="W210" s="242"/>
      <c r="X210" s="242"/>
      <c r="Y210" s="242"/>
      <c r="Z210" s="242"/>
      <c r="AA210" s="148"/>
      <c r="AB210" s="148"/>
    </row>
    <row r="211">
      <c r="A211" s="57"/>
      <c r="B211" s="57"/>
      <c r="C211" s="57"/>
      <c r="D211" s="57"/>
      <c r="E211" s="561" t="s">
        <v>770</v>
      </c>
      <c r="F211" s="423"/>
      <c r="G211" s="192" t="s">
        <v>1308</v>
      </c>
      <c r="H211" s="546">
        <v>250.0</v>
      </c>
      <c r="I211" s="562"/>
      <c r="J211" s="419"/>
      <c r="K211" s="57"/>
      <c r="L211" s="456" t="s">
        <v>675</v>
      </c>
      <c r="M211" s="420"/>
      <c r="N211" s="150"/>
      <c r="O211" s="382"/>
      <c r="Q211" s="431"/>
      <c r="R211" s="157"/>
      <c r="S211" s="404"/>
      <c r="T211" s="148"/>
      <c r="U211" s="242"/>
      <c r="V211" s="242"/>
      <c r="W211" s="242"/>
      <c r="X211" s="242"/>
      <c r="Y211" s="242"/>
      <c r="Z211" s="242"/>
      <c r="AA211" s="148"/>
      <c r="AB211" s="148"/>
    </row>
    <row r="212">
      <c r="A212" s="57"/>
      <c r="B212" s="57"/>
      <c r="C212" s="57"/>
      <c r="D212" s="57"/>
      <c r="E212" s="561" t="s">
        <v>793</v>
      </c>
      <c r="F212" s="423">
        <v>220.0</v>
      </c>
      <c r="G212" s="192" t="s">
        <v>1173</v>
      </c>
      <c r="H212" s="546">
        <v>470.0</v>
      </c>
      <c r="I212" s="558" t="s">
        <v>426</v>
      </c>
      <c r="J212" s="419"/>
      <c r="K212" s="57"/>
      <c r="L212" s="456"/>
      <c r="M212" s="420"/>
      <c r="N212" s="150"/>
      <c r="O212" s="425"/>
      <c r="Q212" s="431"/>
      <c r="R212" s="157"/>
      <c r="S212" s="404"/>
      <c r="T212" s="148"/>
      <c r="U212" s="242"/>
      <c r="V212" s="242"/>
      <c r="W212" s="242"/>
      <c r="X212" s="242"/>
      <c r="Y212" s="242"/>
      <c r="Z212" s="242"/>
      <c r="AA212" s="148"/>
      <c r="AB212" s="148"/>
    </row>
    <row r="213">
      <c r="A213" s="239"/>
      <c r="B213" s="239"/>
      <c r="C213" s="239"/>
      <c r="D213" s="57"/>
      <c r="E213" s="561" t="s">
        <v>794</v>
      </c>
      <c r="F213" s="423"/>
      <c r="G213" s="192" t="s">
        <v>340</v>
      </c>
      <c r="H213" s="546">
        <v>2000.0</v>
      </c>
      <c r="I213" s="419"/>
      <c r="J213" s="419"/>
      <c r="K213" s="57"/>
      <c r="L213" s="375"/>
      <c r="M213" s="420"/>
      <c r="N213" s="150"/>
      <c r="O213" s="425"/>
      <c r="Q213" s="431"/>
      <c r="R213" s="157"/>
      <c r="S213" s="404"/>
      <c r="T213" s="148"/>
      <c r="U213" s="242"/>
      <c r="V213" s="242"/>
      <c r="W213" s="242"/>
      <c r="X213" s="242"/>
      <c r="Y213" s="242"/>
      <c r="Z213" s="242"/>
      <c r="AA213" s="148"/>
      <c r="AB213" s="148"/>
    </row>
    <row r="214">
      <c r="A214" s="239"/>
      <c r="B214" s="239"/>
      <c r="C214" s="239"/>
      <c r="D214" s="57"/>
      <c r="E214" s="561" t="s">
        <v>18</v>
      </c>
      <c r="F214" s="157"/>
      <c r="G214" s="192" t="s">
        <v>862</v>
      </c>
      <c r="H214" s="546">
        <v>350.0</v>
      </c>
      <c r="I214" s="419"/>
      <c r="J214" s="419"/>
      <c r="K214" s="57"/>
      <c r="L214" s="375"/>
      <c r="M214" s="420"/>
      <c r="N214" s="193"/>
      <c r="O214" s="382"/>
      <c r="Q214" s="431"/>
      <c r="R214" s="157"/>
      <c r="S214" s="404"/>
      <c r="T214" s="148"/>
      <c r="U214" s="242"/>
      <c r="V214" s="242"/>
      <c r="W214" s="242"/>
      <c r="X214" s="242"/>
      <c r="Y214" s="242"/>
      <c r="Z214" s="242"/>
      <c r="AA214" s="148"/>
      <c r="AB214" s="148"/>
    </row>
    <row r="215">
      <c r="A215" s="239"/>
      <c r="B215" s="239"/>
      <c r="C215" s="239"/>
      <c r="D215" s="57"/>
      <c r="E215" s="563" t="s">
        <v>1115</v>
      </c>
      <c r="F215" s="423"/>
      <c r="G215" s="192"/>
      <c r="H215" s="546"/>
      <c r="I215" s="455"/>
      <c r="J215" s="419"/>
      <c r="K215" s="57"/>
      <c r="L215" s="452"/>
      <c r="M215" s="420"/>
      <c r="N215" s="150"/>
      <c r="O215" s="425"/>
      <c r="Q215" s="431"/>
      <c r="R215" s="157"/>
      <c r="S215" s="404"/>
      <c r="T215" s="148"/>
      <c r="U215" s="242"/>
      <c r="V215" s="242"/>
      <c r="W215" s="242"/>
      <c r="X215" s="242"/>
      <c r="Y215" s="242"/>
      <c r="Z215" s="242"/>
      <c r="AA215" s="148"/>
      <c r="AB215" s="148"/>
    </row>
    <row r="216">
      <c r="A216" s="238" t="s">
        <v>1309</v>
      </c>
      <c r="B216" s="238"/>
      <c r="C216" s="238"/>
      <c r="D216" s="57"/>
      <c r="E216" s="561" t="s">
        <v>774</v>
      </c>
      <c r="F216" s="423">
        <v>90.0</v>
      </c>
      <c r="G216" s="192"/>
      <c r="H216" s="546"/>
      <c r="I216" s="419"/>
      <c r="J216" s="419"/>
      <c r="K216" s="57"/>
      <c r="L216" s="105"/>
      <c r="M216" s="420"/>
      <c r="N216" s="150"/>
      <c r="O216" s="425"/>
      <c r="Q216" s="431"/>
      <c r="R216" s="157"/>
      <c r="S216" s="404"/>
      <c r="T216" s="148"/>
      <c r="U216" s="242"/>
      <c r="V216" s="242"/>
      <c r="W216" s="242"/>
      <c r="X216" s="242"/>
      <c r="Y216" s="242"/>
      <c r="Z216" s="242"/>
      <c r="AA216" s="148"/>
      <c r="AB216" s="148"/>
    </row>
    <row r="217">
      <c r="A217" s="238" t="s">
        <v>1310</v>
      </c>
      <c r="B217" s="238"/>
      <c r="C217" s="238"/>
      <c r="D217" s="239"/>
      <c r="E217" s="561" t="s">
        <v>775</v>
      </c>
      <c r="F217" s="423">
        <v>180.0</v>
      </c>
      <c r="G217" s="192"/>
      <c r="H217" s="546"/>
      <c r="I217" s="419"/>
      <c r="J217" s="419"/>
      <c r="K217" s="57"/>
      <c r="L217" s="378" t="s">
        <v>682</v>
      </c>
      <c r="M217" s="420"/>
      <c r="N217" s="193">
        <v>21.0</v>
      </c>
      <c r="O217" s="377" t="s">
        <v>1311</v>
      </c>
      <c r="Q217" s="431"/>
      <c r="R217" s="157"/>
      <c r="S217" s="404"/>
      <c r="T217" s="148"/>
      <c r="U217" s="242"/>
      <c r="V217" s="242"/>
      <c r="W217" s="242"/>
      <c r="X217" s="242"/>
      <c r="Y217" s="242"/>
      <c r="Z217" s="242"/>
      <c r="AA217" s="148"/>
      <c r="AB217" s="148"/>
    </row>
    <row r="218">
      <c r="A218" s="239"/>
      <c r="B218" s="239"/>
      <c r="C218" s="239"/>
      <c r="D218" s="239"/>
      <c r="E218" s="561" t="s">
        <v>10</v>
      </c>
      <c r="F218" s="157"/>
      <c r="G218" s="192"/>
      <c r="H218" s="580"/>
      <c r="I218" s="478"/>
      <c r="J218" s="419"/>
      <c r="K218" s="57"/>
      <c r="L218" s="461" t="s">
        <v>684</v>
      </c>
      <c r="M218" s="420"/>
      <c r="N218" s="193"/>
      <c r="O218" s="377"/>
      <c r="Q218" s="431"/>
      <c r="R218" s="157"/>
      <c r="S218" s="404"/>
      <c r="T218" s="148"/>
      <c r="U218" s="242"/>
      <c r="V218" s="242"/>
      <c r="W218" s="242"/>
      <c r="X218" s="242"/>
      <c r="Y218" s="242"/>
      <c r="Z218" s="242"/>
      <c r="AA218" s="148"/>
      <c r="AB218" s="148"/>
    </row>
    <row r="219">
      <c r="A219" s="725" t="s">
        <v>1312</v>
      </c>
      <c r="B219" s="725"/>
      <c r="C219" s="725"/>
      <c r="D219" s="239"/>
      <c r="E219" s="561" t="s">
        <v>6</v>
      </c>
      <c r="F219" s="423">
        <v>170.0</v>
      </c>
      <c r="G219" s="206"/>
      <c r="H219" s="546"/>
      <c r="I219" s="455"/>
      <c r="J219" s="455"/>
      <c r="K219" s="57"/>
      <c r="L219" s="461" t="s">
        <v>686</v>
      </c>
      <c r="M219" s="420"/>
      <c r="N219" s="193"/>
      <c r="O219" s="374"/>
      <c r="Q219" s="463"/>
      <c r="R219" s="157"/>
      <c r="S219" s="404"/>
      <c r="T219" s="148"/>
      <c r="U219" s="242"/>
      <c r="V219" s="242"/>
      <c r="W219" s="242"/>
      <c r="X219" s="242"/>
      <c r="Y219" s="242"/>
      <c r="Z219" s="242"/>
      <c r="AA219" s="148"/>
      <c r="AB219" s="148"/>
    </row>
    <row r="220">
      <c r="A220" s="57"/>
      <c r="B220" s="57"/>
      <c r="C220" s="57"/>
      <c r="D220" s="57"/>
      <c r="E220" s="561" t="s">
        <v>779</v>
      </c>
      <c r="F220" s="423"/>
      <c r="G220" s="228"/>
      <c r="H220" s="546"/>
      <c r="I220" s="455"/>
      <c r="J220" s="455"/>
      <c r="K220" s="239"/>
      <c r="L220" s="460" t="s">
        <v>202</v>
      </c>
      <c r="M220" s="420"/>
      <c r="N220" s="193"/>
      <c r="O220" s="377"/>
      <c r="Q220" s="463"/>
      <c r="R220" s="157"/>
      <c r="S220" s="404"/>
      <c r="T220" s="148"/>
      <c r="U220" s="242"/>
      <c r="V220" s="242"/>
      <c r="W220" s="242"/>
      <c r="X220" s="242"/>
      <c r="Y220" s="242"/>
      <c r="Z220" s="242"/>
      <c r="AA220" s="148"/>
      <c r="AB220" s="148"/>
    </row>
    <row r="221">
      <c r="A221" s="239"/>
      <c r="B221" s="239"/>
      <c r="C221" s="239"/>
      <c r="D221" s="239"/>
      <c r="E221" s="561" t="s">
        <v>780</v>
      </c>
      <c r="F221" s="423">
        <v>50.0</v>
      </c>
      <c r="G221" s="228"/>
      <c r="H221" s="546"/>
      <c r="I221" s="455"/>
      <c r="J221" s="455"/>
      <c r="K221" s="57"/>
      <c r="L221" s="460" t="s">
        <v>274</v>
      </c>
      <c r="M221" s="420"/>
      <c r="N221" s="193"/>
      <c r="O221" s="374"/>
      <c r="Q221" s="463"/>
      <c r="R221" s="157"/>
      <c r="S221" s="404"/>
      <c r="T221" s="148"/>
      <c r="U221" s="242"/>
      <c r="V221" s="242"/>
      <c r="W221" s="242"/>
      <c r="X221" s="242"/>
      <c r="Y221" s="242"/>
      <c r="Z221" s="242"/>
      <c r="AA221" s="148"/>
      <c r="AB221" s="148"/>
    </row>
    <row r="222">
      <c r="A222" s="238" t="s">
        <v>1313</v>
      </c>
      <c r="B222" s="238"/>
      <c r="C222" s="238"/>
      <c r="D222" s="239"/>
      <c r="E222" s="561" t="s">
        <v>781</v>
      </c>
      <c r="F222" s="423">
        <v>40.0</v>
      </c>
      <c r="G222" s="228"/>
      <c r="H222" s="547"/>
      <c r="I222" s="455"/>
      <c r="J222" s="419"/>
      <c r="K222" s="239"/>
      <c r="L222" s="685" t="s">
        <v>1121</v>
      </c>
      <c r="M222" s="420"/>
      <c r="N222" s="726">
        <v>1126.0</v>
      </c>
      <c r="O222" s="724" t="s">
        <v>1314</v>
      </c>
      <c r="Q222" s="431"/>
      <c r="R222" s="157"/>
      <c r="S222" s="404"/>
      <c r="T222" s="148"/>
      <c r="U222" s="242"/>
      <c r="V222" s="242"/>
      <c r="W222" s="242"/>
      <c r="X222" s="242"/>
      <c r="Y222" s="242"/>
      <c r="Z222" s="242"/>
      <c r="AA222" s="148"/>
      <c r="AB222" s="148"/>
    </row>
    <row r="223">
      <c r="A223" s="239"/>
      <c r="B223" s="239"/>
      <c r="C223" s="239"/>
      <c r="D223" s="157"/>
      <c r="E223" s="561" t="s">
        <v>1118</v>
      </c>
      <c r="F223" s="157"/>
      <c r="G223" s="569"/>
      <c r="H223" s="547"/>
      <c r="I223" s="419"/>
      <c r="J223" s="419"/>
      <c r="K223" s="57"/>
      <c r="L223" s="727"/>
      <c r="M223" s="420"/>
      <c r="N223" s="728">
        <v>230.0</v>
      </c>
      <c r="Q223" s="431"/>
      <c r="R223" s="157"/>
      <c r="S223" s="404"/>
      <c r="T223" s="148"/>
      <c r="U223" s="242"/>
      <c r="V223" s="242"/>
      <c r="W223" s="242"/>
      <c r="X223" s="242"/>
      <c r="Y223" s="242"/>
      <c r="Z223" s="242"/>
      <c r="AA223" s="148"/>
      <c r="AB223" s="148"/>
    </row>
    <row r="224">
      <c r="A224" s="239"/>
      <c r="B224" s="239"/>
      <c r="C224" s="239"/>
      <c r="D224" s="157"/>
      <c r="E224" s="561"/>
      <c r="F224" s="157"/>
      <c r="G224" s="228"/>
      <c r="H224" s="547"/>
      <c r="I224" s="419"/>
      <c r="J224" s="419"/>
      <c r="K224" s="239"/>
      <c r="L224" s="596" t="s">
        <v>1001</v>
      </c>
      <c r="M224" s="420"/>
      <c r="N224" s="193">
        <v>402.0</v>
      </c>
      <c r="O224" s="377" t="s">
        <v>1315</v>
      </c>
      <c r="Q224" s="431"/>
      <c r="R224" s="157"/>
      <c r="S224" s="404"/>
      <c r="T224" s="148"/>
      <c r="U224" s="242"/>
      <c r="V224" s="242"/>
      <c r="W224" s="242"/>
      <c r="X224" s="242"/>
      <c r="Y224" s="242"/>
      <c r="Z224" s="242"/>
      <c r="AA224" s="148"/>
      <c r="AB224" s="148"/>
    </row>
    <row r="225">
      <c r="A225" s="239"/>
      <c r="B225" s="239"/>
      <c r="C225" s="239"/>
      <c r="D225" s="157"/>
      <c r="E225" s="561"/>
      <c r="F225" s="157"/>
      <c r="G225" s="570"/>
      <c r="H225" s="547"/>
      <c r="I225" s="419"/>
      <c r="J225" s="419"/>
      <c r="K225" s="239"/>
      <c r="L225" s="568"/>
      <c r="M225" s="420"/>
      <c r="N225" s="193"/>
      <c r="O225" s="374"/>
      <c r="Q225" s="431"/>
      <c r="R225" s="157"/>
      <c r="S225" s="404"/>
      <c r="T225" s="148"/>
      <c r="U225" s="242"/>
      <c r="V225" s="242"/>
      <c r="W225" s="242"/>
      <c r="X225" s="242"/>
      <c r="Y225" s="242"/>
      <c r="Z225" s="242"/>
      <c r="AA225" s="148"/>
      <c r="AB225" s="148"/>
    </row>
    <row r="226">
      <c r="E226" s="571"/>
      <c r="F226" s="157"/>
      <c r="G226" s="570"/>
      <c r="H226" s="547"/>
      <c r="I226" s="419"/>
      <c r="J226" s="419"/>
      <c r="K226" s="239"/>
      <c r="L226" s="464" t="s">
        <v>692</v>
      </c>
      <c r="M226" s="420"/>
      <c r="N226" s="193"/>
      <c r="O226" s="377"/>
      <c r="Q226" s="431"/>
      <c r="R226" s="157"/>
      <c r="S226" s="404"/>
      <c r="T226" s="148"/>
      <c r="U226" s="242"/>
      <c r="V226" s="242"/>
      <c r="W226" s="242"/>
      <c r="X226" s="242"/>
      <c r="Y226" s="242"/>
      <c r="Z226" s="242"/>
      <c r="AA226" s="148"/>
      <c r="AB226" s="148"/>
    </row>
    <row r="227">
      <c r="E227" s="571"/>
      <c r="F227" s="157"/>
      <c r="G227" s="570"/>
      <c r="H227" s="547"/>
      <c r="I227" s="419"/>
      <c r="J227" s="419"/>
      <c r="K227" s="239"/>
      <c r="L227" s="464" t="s">
        <v>694</v>
      </c>
      <c r="M227" s="420"/>
      <c r="N227" s="193">
        <v>1010.0</v>
      </c>
      <c r="O227" s="729" t="s">
        <v>1316</v>
      </c>
      <c r="P227" s="377"/>
      <c r="Q227" s="431"/>
      <c r="R227" s="157"/>
      <c r="S227" s="404"/>
      <c r="T227" s="148"/>
      <c r="U227" s="242"/>
      <c r="V227" s="242"/>
      <c r="W227" s="242"/>
      <c r="X227" s="242"/>
      <c r="Y227" s="242"/>
      <c r="Z227" s="242"/>
      <c r="AA227" s="148"/>
      <c r="AB227" s="148"/>
    </row>
    <row r="228">
      <c r="E228" s="571"/>
      <c r="F228" s="423"/>
      <c r="G228" s="570"/>
      <c r="H228" s="546"/>
      <c r="I228" s="419"/>
      <c r="J228" s="419"/>
      <c r="K228" s="57"/>
      <c r="L228" s="105"/>
      <c r="M228" s="57"/>
      <c r="N228" s="193"/>
      <c r="O228" s="57"/>
      <c r="P228" s="57"/>
      <c r="Q228" s="57"/>
      <c r="R228" s="157"/>
      <c r="S228" s="404"/>
      <c r="T228" s="148"/>
      <c r="U228" s="242"/>
      <c r="V228" s="242"/>
      <c r="W228" s="242"/>
      <c r="X228" s="242"/>
      <c r="Y228" s="242"/>
      <c r="Z228" s="242"/>
      <c r="AA228" s="148"/>
      <c r="AB228" s="148"/>
    </row>
    <row r="229">
      <c r="A229" s="125" t="s">
        <v>798</v>
      </c>
      <c r="B229" s="125"/>
      <c r="C229" s="125"/>
      <c r="D229" s="572">
        <f>E202-D206</f>
        <v>848.16</v>
      </c>
      <c r="F229" s="157"/>
      <c r="G229" s="570"/>
      <c r="H229" s="573"/>
      <c r="I229" s="478"/>
      <c r="J229" s="419"/>
      <c r="K229" s="239"/>
      <c r="L229" s="568"/>
      <c r="M229" s="57"/>
      <c r="N229" s="150"/>
      <c r="O229" s="57"/>
      <c r="P229" s="57"/>
      <c r="Q229" s="57"/>
      <c r="R229" s="157"/>
      <c r="S229" s="404"/>
      <c r="T229" s="148"/>
      <c r="U229" s="242"/>
      <c r="V229" s="242"/>
      <c r="W229" s="242"/>
      <c r="X229" s="242"/>
      <c r="Y229" s="242"/>
      <c r="Z229" s="242"/>
      <c r="AA229" s="148"/>
      <c r="AB229" s="148"/>
    </row>
    <row r="230">
      <c r="A230" s="274" t="s">
        <v>783</v>
      </c>
      <c r="B230" s="274"/>
      <c r="C230" s="274"/>
      <c r="D230" s="109">
        <v>90.0</v>
      </c>
      <c r="E230" s="395"/>
      <c r="F230" s="157"/>
      <c r="G230" s="570"/>
      <c r="H230" s="573"/>
      <c r="I230" s="478"/>
      <c r="J230" s="419"/>
      <c r="K230" s="239"/>
      <c r="L230" s="568"/>
      <c r="M230" s="57"/>
      <c r="N230" s="150"/>
      <c r="O230" s="57"/>
      <c r="P230" s="57"/>
      <c r="Q230" s="57"/>
      <c r="R230" s="157"/>
      <c r="S230" s="404"/>
      <c r="T230" s="148"/>
      <c r="U230" s="242"/>
      <c r="V230" s="242"/>
      <c r="W230" s="242"/>
      <c r="X230" s="242"/>
      <c r="Y230" s="242"/>
      <c r="Z230" s="242"/>
      <c r="AA230" s="148"/>
      <c r="AB230" s="148"/>
    </row>
    <row r="231">
      <c r="A231" s="274" t="s">
        <v>784</v>
      </c>
      <c r="B231" s="274"/>
      <c r="C231" s="274"/>
      <c r="D231" s="109">
        <v>9850.0</v>
      </c>
      <c r="E231" s="109"/>
      <c r="F231" s="157"/>
      <c r="G231" s="570"/>
      <c r="H231" s="573"/>
      <c r="I231" s="478"/>
      <c r="J231" s="419"/>
      <c r="K231" s="239"/>
      <c r="L231" s="568"/>
      <c r="M231" s="57"/>
      <c r="N231" s="150"/>
      <c r="O231" s="57"/>
      <c r="P231" s="57"/>
      <c r="Q231" s="57"/>
      <c r="R231" s="157"/>
      <c r="S231" s="404"/>
      <c r="T231" s="148"/>
      <c r="U231" s="242"/>
      <c r="V231" s="242"/>
      <c r="W231" s="242"/>
      <c r="X231" s="242"/>
      <c r="Y231" s="242"/>
      <c r="Z231" s="242"/>
      <c r="AA231" s="148"/>
      <c r="AB231" s="148"/>
    </row>
    <row r="232">
      <c r="A232" s="274" t="s">
        <v>785</v>
      </c>
      <c r="B232" s="274"/>
      <c r="C232" s="274"/>
      <c r="D232" s="109"/>
      <c r="E232" s="395"/>
      <c r="F232" s="157"/>
      <c r="G232" s="570"/>
      <c r="H232" s="573"/>
      <c r="I232" s="478"/>
      <c r="J232" s="419"/>
      <c r="K232" s="239"/>
      <c r="L232" s="568"/>
      <c r="M232" s="57"/>
      <c r="N232" s="150"/>
      <c r="O232" s="57"/>
      <c r="P232" s="57"/>
      <c r="Q232" s="57"/>
      <c r="R232" s="157"/>
      <c r="S232" s="404"/>
      <c r="T232" s="148"/>
      <c r="U232" s="242"/>
      <c r="V232" s="242"/>
      <c r="W232" s="242"/>
      <c r="X232" s="242"/>
      <c r="Y232" s="242"/>
      <c r="Z232" s="242"/>
      <c r="AA232" s="148"/>
      <c r="AB232" s="148"/>
    </row>
    <row r="233">
      <c r="A233" s="402"/>
      <c r="B233" s="402"/>
      <c r="C233" s="402"/>
      <c r="D233" s="403"/>
      <c r="E233" s="403"/>
      <c r="F233" s="403"/>
      <c r="G233" s="574"/>
      <c r="H233" s="575"/>
      <c r="I233" s="159"/>
      <c r="J233" s="159"/>
      <c r="K233" s="159"/>
      <c r="L233" s="576"/>
      <c r="M233" s="159"/>
      <c r="N233" s="162"/>
      <c r="O233" s="402"/>
      <c r="P233" s="402"/>
      <c r="Q233" s="159"/>
      <c r="R233" s="403"/>
      <c r="S233" s="577"/>
      <c r="T233" s="148"/>
      <c r="U233" s="242"/>
      <c r="V233" s="242"/>
      <c r="W233" s="242"/>
      <c r="X233" s="242"/>
      <c r="Y233" s="242"/>
      <c r="Z233" s="242"/>
      <c r="AA233" s="148"/>
      <c r="AB233" s="148"/>
    </row>
    <row r="234">
      <c r="A234" s="148"/>
      <c r="B234" s="148"/>
      <c r="C234" s="148"/>
      <c r="D234" s="148"/>
      <c r="E234" s="148"/>
      <c r="F234" s="245"/>
      <c r="G234" s="585"/>
      <c r="H234" s="586"/>
      <c r="I234" s="148"/>
      <c r="J234" s="148"/>
      <c r="K234" s="251"/>
      <c r="L234" s="243"/>
      <c r="M234" s="148"/>
      <c r="N234" s="277"/>
      <c r="O234" s="252"/>
      <c r="P234" s="250"/>
      <c r="Q234" s="253"/>
      <c r="R234" s="240"/>
      <c r="S234" s="148"/>
      <c r="T234" s="148"/>
      <c r="U234" s="242"/>
      <c r="V234" s="242"/>
      <c r="W234" s="242"/>
      <c r="X234" s="242"/>
      <c r="Y234" s="242"/>
      <c r="Z234" s="242"/>
      <c r="AA234" s="148"/>
      <c r="AB234" s="148"/>
    </row>
    <row r="235">
      <c r="A235" s="169" t="s">
        <v>85</v>
      </c>
      <c r="B235" s="705"/>
      <c r="C235" s="705"/>
      <c r="D235" s="539"/>
      <c r="E235" s="540"/>
      <c r="F235" s="405"/>
      <c r="G235" s="541"/>
      <c r="H235" s="542"/>
      <c r="I235" s="467" t="s">
        <v>333</v>
      </c>
      <c r="J235" s="361"/>
      <c r="K235" s="57"/>
      <c r="L235" s="105"/>
      <c r="M235" s="57"/>
      <c r="N235" s="150"/>
      <c r="O235" s="239"/>
      <c r="P235" s="239"/>
      <c r="Q235" s="57"/>
      <c r="R235" s="157"/>
      <c r="S235" s="404"/>
      <c r="T235" s="148"/>
      <c r="U235" s="242"/>
      <c r="V235" s="242"/>
      <c r="W235" s="242"/>
      <c r="X235" s="242"/>
      <c r="Y235" s="242"/>
      <c r="Z235" s="242"/>
      <c r="AA235" s="148"/>
      <c r="AB235" s="148"/>
    </row>
    <row r="236">
      <c r="A236" s="468"/>
      <c r="B236" s="406"/>
      <c r="C236" s="406"/>
      <c r="D236" s="157"/>
      <c r="E236" s="466"/>
      <c r="F236" s="405"/>
      <c r="G236" s="543" t="s">
        <v>335</v>
      </c>
      <c r="H236" s="544" t="s">
        <v>237</v>
      </c>
      <c r="I236" s="412" t="s">
        <v>336</v>
      </c>
      <c r="J236" s="413" t="s">
        <v>337</v>
      </c>
      <c r="K236" s="239"/>
      <c r="L236" s="145" t="s">
        <v>60</v>
      </c>
      <c r="M236" s="57"/>
      <c r="N236" s="150"/>
      <c r="O236" s="414"/>
      <c r="P236" s="414"/>
      <c r="Q236" s="57" t="s">
        <v>334</v>
      </c>
      <c r="R236" s="157"/>
      <c r="S236" s="404"/>
      <c r="T236" s="148"/>
      <c r="U236" s="242"/>
      <c r="V236" s="242"/>
      <c r="W236" s="242"/>
      <c r="X236" s="242"/>
      <c r="Y236" s="242"/>
      <c r="Z236" s="242"/>
      <c r="AA236" s="148"/>
      <c r="AB236" s="148"/>
    </row>
    <row r="237">
      <c r="A237" s="470" t="s">
        <v>179</v>
      </c>
      <c r="E237" s="416">
        <f>SUM(H237:H271)</f>
        <v>4045</v>
      </c>
      <c r="F237" s="405"/>
      <c r="G237" s="545"/>
      <c r="H237" s="546"/>
      <c r="I237" s="578"/>
      <c r="J237" s="419"/>
      <c r="K237" s="57"/>
      <c r="M237" s="57"/>
      <c r="N237" s="150"/>
      <c r="O237" s="377" t="s">
        <v>366</v>
      </c>
      <c r="R237" s="157"/>
      <c r="S237" s="404"/>
      <c r="T237" s="148"/>
      <c r="U237" s="242"/>
      <c r="V237" s="242"/>
      <c r="W237" s="242"/>
      <c r="X237" s="242"/>
      <c r="Y237" s="242"/>
      <c r="Z237" s="242"/>
      <c r="AA237" s="148"/>
      <c r="AB237" s="148"/>
    </row>
    <row r="238">
      <c r="A238" s="421" t="s">
        <v>343</v>
      </c>
      <c r="B238" s="105"/>
      <c r="C238" s="105"/>
      <c r="D238" s="422" t="s">
        <v>321</v>
      </c>
      <c r="E238" s="416">
        <f>SUM(R238:R271)</f>
        <v>85</v>
      </c>
      <c r="F238" s="157"/>
      <c r="G238" s="545"/>
      <c r="H238" s="546"/>
      <c r="I238" s="578"/>
      <c r="J238" s="419"/>
      <c r="K238" s="239"/>
      <c r="L238" s="471" t="s">
        <v>341</v>
      </c>
      <c r="M238" s="420"/>
      <c r="N238" s="150"/>
      <c r="O238" s="374"/>
      <c r="Q238" s="426" t="s">
        <v>1274</v>
      </c>
      <c r="R238" s="423">
        <v>85.0</v>
      </c>
      <c r="S238" s="404"/>
      <c r="T238" s="148"/>
      <c r="U238" s="242"/>
      <c r="V238" s="242"/>
      <c r="W238" s="242"/>
      <c r="X238" s="242"/>
      <c r="Y238" s="242"/>
      <c r="Z238" s="242"/>
      <c r="AA238" s="148"/>
      <c r="AB238" s="148"/>
    </row>
    <row r="239">
      <c r="A239" s="427" t="s">
        <v>201</v>
      </c>
      <c r="E239" s="204">
        <f>SUM(N238:N271)</f>
        <v>4219</v>
      </c>
      <c r="F239" s="157"/>
      <c r="G239" s="545"/>
      <c r="H239" s="546"/>
      <c r="I239" s="578"/>
      <c r="J239" s="419"/>
      <c r="K239" s="239"/>
      <c r="L239" s="472" t="s">
        <v>345</v>
      </c>
      <c r="M239" s="420"/>
      <c r="N239" s="150"/>
      <c r="O239" s="374"/>
      <c r="Q239" s="426"/>
      <c r="R239" s="423"/>
      <c r="S239" s="404"/>
      <c r="T239" s="148"/>
      <c r="U239" s="242"/>
      <c r="V239" s="242"/>
      <c r="W239" s="242"/>
      <c r="X239" s="242"/>
      <c r="Y239" s="242"/>
      <c r="Z239" s="242"/>
      <c r="AA239" s="148"/>
      <c r="AB239" s="148"/>
    </row>
    <row r="240">
      <c r="A240" s="548" t="s">
        <v>761</v>
      </c>
      <c r="B240" s="706"/>
      <c r="C240" s="706"/>
      <c r="D240" s="549">
        <v>0.4</v>
      </c>
      <c r="E240" s="191"/>
      <c r="F240" s="157"/>
      <c r="G240" s="550" t="s">
        <v>695</v>
      </c>
      <c r="H240" s="546">
        <v>475.0</v>
      </c>
      <c r="I240" s="562"/>
      <c r="J240" s="419"/>
      <c r="K240" s="239"/>
      <c r="L240" s="433" t="s">
        <v>656</v>
      </c>
      <c r="M240" s="420"/>
      <c r="N240" s="193">
        <v>119.0</v>
      </c>
      <c r="O240" s="377" t="s">
        <v>443</v>
      </c>
      <c r="Q240" s="426"/>
      <c r="R240" s="423"/>
      <c r="S240" s="404"/>
      <c r="T240" s="148"/>
      <c r="U240" s="242"/>
      <c r="V240" s="242"/>
      <c r="W240" s="242"/>
      <c r="X240" s="242"/>
      <c r="Y240" s="242"/>
      <c r="Z240" s="242"/>
      <c r="AA240" s="148"/>
      <c r="AB240" s="148"/>
    </row>
    <row r="241">
      <c r="A241" s="434" t="s">
        <v>350</v>
      </c>
      <c r="E241" s="551">
        <f>E237-E239-E240</f>
        <v>-174</v>
      </c>
      <c r="F241" s="157"/>
      <c r="G241" s="552" t="s">
        <v>1317</v>
      </c>
      <c r="H241" s="590">
        <v>65.0</v>
      </c>
      <c r="I241" s="579"/>
      <c r="J241" s="419"/>
      <c r="K241" s="57"/>
      <c r="L241" s="444" t="s">
        <v>658</v>
      </c>
      <c r="M241" s="420"/>
      <c r="N241" s="193">
        <v>53.0</v>
      </c>
      <c r="O241" s="377"/>
      <c r="Q241" s="431"/>
      <c r="R241" s="423"/>
      <c r="S241" s="404"/>
      <c r="T241" s="148"/>
      <c r="U241" s="242"/>
      <c r="V241" s="242"/>
      <c r="W241" s="242"/>
      <c r="X241" s="242"/>
      <c r="Y241" s="242"/>
      <c r="Z241" s="242"/>
      <c r="AA241" s="148"/>
      <c r="AB241" s="148"/>
    </row>
    <row r="242">
      <c r="A242" s="554"/>
      <c r="B242" s="555"/>
      <c r="C242" s="555"/>
      <c r="D242" s="555"/>
      <c r="E242" s="447"/>
      <c r="F242" s="157"/>
      <c r="G242" s="552" t="s">
        <v>1318</v>
      </c>
      <c r="H242" s="590">
        <v>460.0</v>
      </c>
      <c r="I242" s="562"/>
      <c r="J242" s="419"/>
      <c r="K242" s="57"/>
      <c r="L242" s="444" t="s">
        <v>660</v>
      </c>
      <c r="M242" s="420"/>
      <c r="N242" s="193">
        <v>170.0</v>
      </c>
      <c r="O242" s="377"/>
      <c r="Q242" s="431"/>
      <c r="R242" s="423"/>
      <c r="S242" s="404"/>
      <c r="T242" s="148"/>
      <c r="U242" s="242"/>
      <c r="V242" s="242"/>
      <c r="W242" s="242"/>
      <c r="X242" s="242"/>
      <c r="Y242" s="242"/>
      <c r="Z242" s="242"/>
      <c r="AA242" s="148"/>
      <c r="AB242" s="148"/>
    </row>
    <row r="243">
      <c r="A243" s="556"/>
      <c r="E243" s="395"/>
      <c r="F243" s="157"/>
      <c r="G243" s="192" t="s">
        <v>1319</v>
      </c>
      <c r="H243" s="546">
        <v>700.0</v>
      </c>
      <c r="I243" s="562"/>
      <c r="J243" s="419"/>
      <c r="K243" s="239"/>
      <c r="L243" s="370" t="s">
        <v>662</v>
      </c>
      <c r="M243" s="420"/>
      <c r="N243" s="193">
        <v>15.0</v>
      </c>
      <c r="O243" s="374"/>
      <c r="Q243" s="431"/>
      <c r="R243" s="423"/>
      <c r="S243" s="404"/>
      <c r="T243" s="148"/>
      <c r="U243" s="242"/>
      <c r="V243" s="242"/>
      <c r="W243" s="242"/>
      <c r="X243" s="242"/>
      <c r="Y243" s="242"/>
      <c r="Z243" s="242"/>
      <c r="AA243" s="148"/>
      <c r="AB243" s="148"/>
    </row>
    <row r="244">
      <c r="A244" s="557"/>
      <c r="B244" s="557"/>
      <c r="C244" s="557"/>
      <c r="D244" s="109"/>
      <c r="E244" s="395"/>
      <c r="F244" s="373"/>
      <c r="G244" s="552" t="s">
        <v>417</v>
      </c>
      <c r="H244" s="590">
        <v>500.0</v>
      </c>
      <c r="I244" s="578"/>
      <c r="J244" s="419"/>
      <c r="K244" s="239"/>
      <c r="L244" s="433" t="s">
        <v>666</v>
      </c>
      <c r="M244" s="420"/>
      <c r="N244" s="193"/>
      <c r="O244" s="377"/>
      <c r="Q244" s="431"/>
      <c r="R244" s="423"/>
      <c r="S244" s="404"/>
      <c r="T244" s="148"/>
      <c r="U244" s="242"/>
      <c r="V244" s="242"/>
      <c r="W244" s="242"/>
      <c r="X244" s="242"/>
      <c r="Y244" s="242"/>
      <c r="Z244" s="242"/>
      <c r="AA244" s="148"/>
      <c r="AB244" s="148"/>
    </row>
    <row r="245">
      <c r="A245" s="559" t="s">
        <v>765</v>
      </c>
      <c r="B245" s="559"/>
      <c r="C245" s="559"/>
      <c r="D245" s="560">
        <f>SUM(F245:F271)</f>
        <v>1174.07</v>
      </c>
      <c r="E245" s="477" t="s">
        <v>366</v>
      </c>
      <c r="F245" s="157"/>
      <c r="G245" s="192" t="s">
        <v>1320</v>
      </c>
      <c r="H245" s="546">
        <v>450.0</v>
      </c>
      <c r="I245" s="562"/>
      <c r="J245" s="419"/>
      <c r="K245" s="239"/>
      <c r="L245" s="433" t="s">
        <v>668</v>
      </c>
      <c r="M245" s="420"/>
      <c r="N245" s="193"/>
      <c r="O245" s="377"/>
      <c r="Q245" s="431"/>
      <c r="R245" s="423"/>
      <c r="S245" s="404"/>
      <c r="T245" s="148"/>
      <c r="U245" s="242"/>
      <c r="V245" s="242"/>
      <c r="W245" s="242"/>
      <c r="X245" s="242"/>
      <c r="Y245" s="242"/>
      <c r="Z245" s="242"/>
      <c r="AA245" s="148"/>
      <c r="AB245" s="148"/>
    </row>
    <row r="246">
      <c r="A246" s="453" t="s">
        <v>369</v>
      </c>
      <c r="E246" s="561" t="s">
        <v>766</v>
      </c>
      <c r="F246" s="423"/>
      <c r="G246" s="192" t="s">
        <v>873</v>
      </c>
      <c r="H246" s="546">
        <v>260.0</v>
      </c>
      <c r="I246" s="562"/>
      <c r="J246" s="419"/>
      <c r="K246" s="239"/>
      <c r="L246" s="433" t="s">
        <v>670</v>
      </c>
      <c r="M246" s="458"/>
      <c r="N246" s="193">
        <v>1250.0</v>
      </c>
      <c r="O246" s="377"/>
      <c r="Q246" s="431"/>
      <c r="R246" s="423"/>
      <c r="S246" s="404"/>
      <c r="T246" s="148"/>
      <c r="U246" s="242"/>
      <c r="V246" s="242"/>
      <c r="W246" s="242"/>
      <c r="X246" s="242"/>
      <c r="Y246" s="242"/>
      <c r="Z246" s="242"/>
      <c r="AA246" s="148"/>
      <c r="AB246" s="148"/>
    </row>
    <row r="247">
      <c r="E247" s="561" t="s">
        <v>767</v>
      </c>
      <c r="F247" s="423"/>
      <c r="G247" s="730" t="s">
        <v>1142</v>
      </c>
      <c r="H247" s="546">
        <v>85.0</v>
      </c>
      <c r="I247" s="562" t="s">
        <v>426</v>
      </c>
      <c r="J247" s="419"/>
      <c r="K247" s="239"/>
      <c r="L247" s="433" t="s">
        <v>217</v>
      </c>
      <c r="M247" s="458"/>
      <c r="N247" s="150"/>
      <c r="O247" s="377"/>
      <c r="Q247" s="431"/>
      <c r="R247" s="157"/>
      <c r="S247" s="404"/>
      <c r="T247" s="148"/>
      <c r="U247" s="242"/>
      <c r="V247" s="242"/>
      <c r="W247" s="242"/>
      <c r="X247" s="242"/>
      <c r="Y247" s="242"/>
      <c r="Z247" s="242"/>
      <c r="AA247" s="148"/>
      <c r="AB247" s="148"/>
    </row>
    <row r="248">
      <c r="A248" s="659"/>
      <c r="B248" s="659"/>
      <c r="C248" s="659"/>
      <c r="D248" s="57"/>
      <c r="E248" s="561" t="s">
        <v>768</v>
      </c>
      <c r="F248" s="423"/>
      <c r="G248" s="192" t="s">
        <v>1321</v>
      </c>
      <c r="H248" s="546">
        <v>700.0</v>
      </c>
      <c r="I248" s="562"/>
      <c r="J248" s="419"/>
      <c r="K248" s="239"/>
      <c r="L248" s="109"/>
      <c r="M248" s="420"/>
      <c r="N248" s="193"/>
      <c r="O248" s="374"/>
      <c r="Q248" s="431"/>
      <c r="R248" s="157"/>
      <c r="S248" s="404"/>
      <c r="T248" s="148"/>
      <c r="U248" s="242"/>
      <c r="V248" s="242"/>
      <c r="W248" s="242"/>
      <c r="X248" s="242"/>
      <c r="Y248" s="242"/>
      <c r="Z248" s="242"/>
      <c r="AA248" s="148"/>
      <c r="AB248" s="148"/>
    </row>
    <row r="249">
      <c r="A249" s="659"/>
      <c r="B249" s="659"/>
      <c r="C249" s="659"/>
      <c r="D249" s="57"/>
      <c r="E249" s="561" t="s">
        <v>769</v>
      </c>
      <c r="F249" s="157"/>
      <c r="G249" s="192" t="s">
        <v>1148</v>
      </c>
      <c r="H249" s="546">
        <v>350.0</v>
      </c>
      <c r="I249" s="562"/>
      <c r="J249" s="419"/>
      <c r="K249" s="239"/>
      <c r="L249" s="456" t="s">
        <v>672</v>
      </c>
      <c r="M249" s="420"/>
      <c r="N249" s="150"/>
      <c r="O249" s="377"/>
      <c r="Q249" s="431"/>
      <c r="R249" s="157"/>
      <c r="S249" s="404"/>
      <c r="T249" s="148"/>
      <c r="U249" s="242"/>
      <c r="V249" s="242"/>
      <c r="W249" s="242"/>
      <c r="X249" s="242"/>
      <c r="Y249" s="242"/>
      <c r="Z249" s="242"/>
      <c r="AA249" s="148"/>
      <c r="AB249" s="148"/>
    </row>
    <row r="250">
      <c r="A250" s="659"/>
      <c r="B250" s="659"/>
      <c r="C250" s="659"/>
      <c r="D250" s="57"/>
      <c r="E250" s="561" t="s">
        <v>770</v>
      </c>
      <c r="F250" s="423"/>
      <c r="G250" s="192"/>
      <c r="H250" s="546"/>
      <c r="I250" s="578"/>
      <c r="J250" s="419"/>
      <c r="K250" s="57"/>
      <c r="L250" s="456" t="s">
        <v>675</v>
      </c>
      <c r="M250" s="420"/>
      <c r="N250" s="150"/>
      <c r="O250" s="382"/>
      <c r="Q250" s="431"/>
      <c r="R250" s="157"/>
      <c r="S250" s="404"/>
      <c r="T250" s="148"/>
      <c r="U250" s="242"/>
      <c r="V250" s="242"/>
      <c r="W250" s="242"/>
      <c r="X250" s="242"/>
      <c r="Y250" s="242"/>
      <c r="Z250" s="242"/>
      <c r="AA250" s="148"/>
      <c r="AB250" s="148"/>
    </row>
    <row r="251">
      <c r="A251" s="659"/>
      <c r="B251" s="659"/>
      <c r="C251" s="659"/>
      <c r="D251" s="57"/>
      <c r="E251" s="561" t="s">
        <v>793</v>
      </c>
      <c r="F251" s="423">
        <v>200.0</v>
      </c>
      <c r="G251" s="192"/>
      <c r="H251" s="546"/>
      <c r="I251" s="562"/>
      <c r="J251" s="419"/>
      <c r="K251" s="57"/>
      <c r="L251" s="456"/>
      <c r="M251" s="420"/>
      <c r="N251" s="150"/>
      <c r="O251" s="425"/>
      <c r="Q251" s="431"/>
      <c r="R251" s="157"/>
      <c r="S251" s="404"/>
      <c r="T251" s="148"/>
      <c r="U251" s="242"/>
      <c r="V251" s="242"/>
      <c r="W251" s="242"/>
      <c r="X251" s="242"/>
      <c r="Y251" s="242"/>
      <c r="Z251" s="242"/>
      <c r="AA251" s="148"/>
      <c r="AB251" s="148"/>
    </row>
    <row r="252">
      <c r="A252" s="660"/>
      <c r="B252" s="660"/>
      <c r="C252" s="660"/>
      <c r="D252" s="57"/>
      <c r="E252" s="561" t="s">
        <v>794</v>
      </c>
      <c r="F252" s="423"/>
      <c r="G252" s="192"/>
      <c r="H252" s="546"/>
      <c r="I252" s="562"/>
      <c r="J252" s="419"/>
      <c r="K252" s="57"/>
      <c r="L252" s="375"/>
      <c r="M252" s="420"/>
      <c r="N252" s="150"/>
      <c r="O252" s="425"/>
      <c r="Q252" s="431"/>
      <c r="R252" s="157"/>
      <c r="S252" s="404"/>
      <c r="T252" s="148"/>
      <c r="U252" s="242"/>
      <c r="V252" s="242"/>
      <c r="W252" s="242"/>
      <c r="X252" s="242"/>
      <c r="Y252" s="242"/>
      <c r="Z252" s="242"/>
      <c r="AA252" s="148"/>
      <c r="AB252" s="148"/>
    </row>
    <row r="253">
      <c r="A253" s="731" t="s">
        <v>1322</v>
      </c>
      <c r="B253" s="731"/>
      <c r="C253" s="731"/>
      <c r="D253" s="57"/>
      <c r="E253" s="561" t="s">
        <v>18</v>
      </c>
      <c r="F253" s="732">
        <v>47.07</v>
      </c>
      <c r="G253" s="192"/>
      <c r="H253" s="546"/>
      <c r="I253" s="562"/>
      <c r="J253" s="419"/>
      <c r="K253" s="57"/>
      <c r="L253" s="375"/>
      <c r="M253" s="420"/>
      <c r="N253" s="193"/>
      <c r="O253" s="382"/>
      <c r="Q253" s="431"/>
      <c r="R253" s="157"/>
      <c r="S253" s="404"/>
      <c r="T253" s="148"/>
      <c r="U253" s="242"/>
      <c r="V253" s="242"/>
      <c r="W253" s="242"/>
      <c r="X253" s="242"/>
      <c r="Y253" s="242"/>
      <c r="Z253" s="242"/>
      <c r="AA253" s="148"/>
      <c r="AB253" s="148"/>
    </row>
    <row r="254">
      <c r="A254" s="662"/>
      <c r="B254" s="662"/>
      <c r="C254" s="662"/>
      <c r="D254" s="57"/>
      <c r="E254" s="563" t="s">
        <v>1115</v>
      </c>
      <c r="F254" s="157"/>
      <c r="G254" s="192"/>
      <c r="H254" s="546"/>
      <c r="I254" s="579"/>
      <c r="J254" s="419"/>
      <c r="K254" s="57"/>
      <c r="L254" s="452"/>
      <c r="M254" s="420"/>
      <c r="N254" s="150"/>
      <c r="O254" s="425"/>
      <c r="Q254" s="431"/>
      <c r="R254" s="157"/>
      <c r="S254" s="404"/>
      <c r="T254" s="148"/>
      <c r="U254" s="242"/>
      <c r="V254" s="242"/>
      <c r="W254" s="242"/>
      <c r="X254" s="242"/>
      <c r="Y254" s="242"/>
      <c r="Z254" s="242"/>
      <c r="AA254" s="148"/>
      <c r="AB254" s="148"/>
    </row>
    <row r="255">
      <c r="A255" s="209" t="s">
        <v>1323</v>
      </c>
      <c r="B255" s="209"/>
      <c r="C255" s="209"/>
      <c r="D255" s="57"/>
      <c r="E255" s="561" t="s">
        <v>774</v>
      </c>
      <c r="F255" s="423">
        <v>425.0</v>
      </c>
      <c r="G255" s="192"/>
      <c r="H255" s="546"/>
      <c r="I255" s="578"/>
      <c r="J255" s="419"/>
      <c r="K255" s="57"/>
      <c r="L255" s="105"/>
      <c r="M255" s="420"/>
      <c r="N255" s="150"/>
      <c r="O255" s="425"/>
      <c r="Q255" s="431"/>
      <c r="R255" s="157"/>
      <c r="S255" s="404"/>
      <c r="T255" s="148"/>
      <c r="U255" s="242"/>
      <c r="V255" s="242"/>
      <c r="W255" s="242"/>
      <c r="X255" s="242"/>
      <c r="Y255" s="242"/>
      <c r="Z255" s="242"/>
      <c r="AA255" s="148"/>
      <c r="AB255" s="148"/>
    </row>
    <row r="256">
      <c r="A256" s="660"/>
      <c r="B256" s="660"/>
      <c r="C256" s="660"/>
      <c r="D256" s="239"/>
      <c r="E256" s="561" t="s">
        <v>775</v>
      </c>
      <c r="F256" s="423">
        <v>20.0</v>
      </c>
      <c r="G256" s="228"/>
      <c r="H256" s="547"/>
      <c r="I256" s="578"/>
      <c r="J256" s="419"/>
      <c r="K256" s="57"/>
      <c r="L256" s="378" t="s">
        <v>682</v>
      </c>
      <c r="M256" s="420"/>
      <c r="N256" s="193">
        <v>21.0</v>
      </c>
      <c r="O256" s="377" t="s">
        <v>1311</v>
      </c>
      <c r="Q256" s="431"/>
      <c r="R256" s="157"/>
      <c r="S256" s="404"/>
      <c r="T256" s="148"/>
      <c r="U256" s="242"/>
      <c r="V256" s="242"/>
      <c r="W256" s="242"/>
      <c r="X256" s="242"/>
      <c r="Y256" s="242"/>
      <c r="Z256" s="242"/>
      <c r="AA256" s="148"/>
      <c r="AB256" s="148"/>
    </row>
    <row r="257">
      <c r="A257" s="660"/>
      <c r="B257" s="660"/>
      <c r="C257" s="660"/>
      <c r="D257" s="239"/>
      <c r="E257" s="561" t="s">
        <v>10</v>
      </c>
      <c r="F257" s="157"/>
      <c r="G257" s="206"/>
      <c r="H257" s="564"/>
      <c r="I257" s="581"/>
      <c r="J257" s="419"/>
      <c r="K257" s="57"/>
      <c r="L257" s="461" t="s">
        <v>684</v>
      </c>
      <c r="M257" s="420"/>
      <c r="N257" s="193"/>
      <c r="O257" s="377"/>
      <c r="Q257" s="431"/>
      <c r="R257" s="157"/>
      <c r="S257" s="404"/>
      <c r="T257" s="148"/>
      <c r="U257" s="242"/>
      <c r="V257" s="242"/>
      <c r="W257" s="242"/>
      <c r="X257" s="242"/>
      <c r="Y257" s="242"/>
      <c r="Z257" s="242"/>
      <c r="AA257" s="148"/>
      <c r="AB257" s="148"/>
    </row>
    <row r="258">
      <c r="A258" s="662" t="s">
        <v>1324</v>
      </c>
      <c r="B258" s="662"/>
      <c r="C258" s="662"/>
      <c r="D258" s="239"/>
      <c r="E258" s="561" t="s">
        <v>6</v>
      </c>
      <c r="F258" s="423">
        <v>272.0</v>
      </c>
      <c r="G258" s="206"/>
      <c r="H258" s="547"/>
      <c r="I258" s="579"/>
      <c r="J258" s="455"/>
      <c r="K258" s="57"/>
      <c r="L258" s="461" t="s">
        <v>686</v>
      </c>
      <c r="M258" s="420"/>
      <c r="N258" s="150"/>
      <c r="O258" s="374"/>
      <c r="Q258" s="463"/>
      <c r="R258" s="157"/>
      <c r="S258" s="404"/>
      <c r="T258" s="148"/>
      <c r="U258" s="242"/>
      <c r="V258" s="242"/>
      <c r="W258" s="242"/>
      <c r="X258" s="242"/>
      <c r="Y258" s="242"/>
      <c r="Z258" s="242"/>
      <c r="AA258" s="148"/>
      <c r="AB258" s="148"/>
    </row>
    <row r="259">
      <c r="A259" s="659"/>
      <c r="B259" s="659"/>
      <c r="C259" s="659"/>
      <c r="D259" s="57"/>
      <c r="E259" s="561" t="s">
        <v>779</v>
      </c>
      <c r="F259" s="157"/>
      <c r="G259" s="228"/>
      <c r="H259" s="547"/>
      <c r="I259" s="579"/>
      <c r="J259" s="455"/>
      <c r="K259" s="239"/>
      <c r="L259" s="460" t="s">
        <v>202</v>
      </c>
      <c r="M259" s="420"/>
      <c r="N259" s="193"/>
      <c r="O259" s="377"/>
      <c r="Q259" s="463"/>
      <c r="R259" s="157"/>
      <c r="S259" s="404"/>
      <c r="T259" s="148"/>
      <c r="U259" s="242"/>
      <c r="V259" s="242"/>
      <c r="W259" s="242"/>
      <c r="X259" s="242"/>
      <c r="Y259" s="242"/>
      <c r="Z259" s="242"/>
      <c r="AA259" s="148"/>
      <c r="AB259" s="148"/>
    </row>
    <row r="260">
      <c r="A260" s="660"/>
      <c r="B260" s="660"/>
      <c r="C260" s="660"/>
      <c r="D260" s="239"/>
      <c r="E260" s="561" t="s">
        <v>780</v>
      </c>
      <c r="F260" s="157"/>
      <c r="G260" s="228"/>
      <c r="H260" s="547"/>
      <c r="I260" s="579"/>
      <c r="J260" s="455"/>
      <c r="K260" s="57"/>
      <c r="L260" s="460" t="s">
        <v>274</v>
      </c>
      <c r="M260" s="420"/>
      <c r="N260" s="193"/>
      <c r="O260" s="377"/>
      <c r="Q260" s="463"/>
      <c r="R260" s="157"/>
      <c r="S260" s="404"/>
      <c r="T260" s="148"/>
      <c r="U260" s="242"/>
      <c r="V260" s="242"/>
      <c r="W260" s="242"/>
      <c r="X260" s="242"/>
      <c r="Y260" s="242"/>
      <c r="Z260" s="242"/>
      <c r="AA260" s="148"/>
      <c r="AB260" s="148"/>
    </row>
    <row r="261">
      <c r="A261" s="662" t="s">
        <v>1325</v>
      </c>
      <c r="B261" s="662"/>
      <c r="C261" s="662"/>
      <c r="D261" s="239"/>
      <c r="E261" s="561" t="s">
        <v>781</v>
      </c>
      <c r="F261" s="423">
        <v>210.0</v>
      </c>
      <c r="G261" s="228"/>
      <c r="H261" s="547"/>
      <c r="I261" s="579"/>
      <c r="J261" s="419"/>
      <c r="K261" s="239"/>
      <c r="L261" s="685" t="s">
        <v>1121</v>
      </c>
      <c r="M261" s="420"/>
      <c r="N261" s="193">
        <v>1292.0</v>
      </c>
      <c r="O261" s="377" t="s">
        <v>1326</v>
      </c>
      <c r="Q261" s="431"/>
      <c r="R261" s="157"/>
      <c r="S261" s="404"/>
      <c r="T261" s="148"/>
      <c r="U261" s="242"/>
      <c r="V261" s="242"/>
      <c r="W261" s="242"/>
      <c r="X261" s="242"/>
      <c r="Y261" s="242"/>
      <c r="Z261" s="242"/>
      <c r="AA261" s="148"/>
      <c r="AB261" s="148"/>
    </row>
    <row r="262">
      <c r="A262" s="660"/>
      <c r="B262" s="660"/>
      <c r="C262" s="660"/>
      <c r="D262" s="157"/>
      <c r="E262" s="561" t="s">
        <v>1118</v>
      </c>
      <c r="F262" s="157"/>
      <c r="G262" s="569"/>
      <c r="H262" s="547"/>
      <c r="I262" s="578"/>
      <c r="J262" s="419"/>
      <c r="K262" s="57"/>
      <c r="L262" s="374"/>
      <c r="M262" s="420"/>
      <c r="N262" s="193"/>
      <c r="O262" s="377"/>
      <c r="Q262" s="431"/>
      <c r="R262" s="157"/>
      <c r="S262" s="404"/>
      <c r="T262" s="148"/>
      <c r="U262" s="242"/>
      <c r="V262" s="242"/>
      <c r="W262" s="242"/>
      <c r="X262" s="242"/>
      <c r="Y262" s="242"/>
      <c r="Z262" s="242"/>
      <c r="AA262" s="148"/>
      <c r="AB262" s="148"/>
    </row>
    <row r="263">
      <c r="A263" s="660"/>
      <c r="B263" s="660"/>
      <c r="C263" s="660"/>
      <c r="D263" s="157"/>
      <c r="E263" s="561"/>
      <c r="F263" s="157"/>
      <c r="G263" s="228"/>
      <c r="H263" s="547"/>
      <c r="I263" s="578"/>
      <c r="J263" s="419"/>
      <c r="K263" s="239"/>
      <c r="L263" s="596" t="s">
        <v>1001</v>
      </c>
      <c r="M263" s="420"/>
      <c r="N263" s="193">
        <v>400.0</v>
      </c>
      <c r="O263" s="377"/>
      <c r="Q263" s="431"/>
      <c r="R263" s="157"/>
      <c r="S263" s="404"/>
      <c r="T263" s="148"/>
      <c r="U263" s="242"/>
      <c r="V263" s="242"/>
      <c r="W263" s="242"/>
      <c r="X263" s="242"/>
      <c r="Y263" s="242"/>
      <c r="Z263" s="242"/>
      <c r="AA263" s="148"/>
      <c r="AB263" s="148"/>
    </row>
    <row r="264">
      <c r="A264" s="660"/>
      <c r="B264" s="660"/>
      <c r="C264" s="660"/>
      <c r="D264" s="157"/>
      <c r="E264" s="561"/>
      <c r="F264" s="157"/>
      <c r="G264" s="570"/>
      <c r="H264" s="547"/>
      <c r="I264" s="578"/>
      <c r="J264" s="419"/>
      <c r="K264" s="239"/>
      <c r="L264" s="568"/>
      <c r="M264" s="420"/>
      <c r="N264" s="193"/>
      <c r="O264" s="374"/>
      <c r="Q264" s="431"/>
      <c r="R264" s="157"/>
      <c r="S264" s="404"/>
      <c r="T264" s="148"/>
      <c r="U264" s="242"/>
      <c r="V264" s="242"/>
      <c r="W264" s="242"/>
      <c r="X264" s="242"/>
      <c r="Y264" s="242"/>
      <c r="Z264" s="242"/>
      <c r="AA264" s="148"/>
      <c r="AB264" s="148"/>
    </row>
    <row r="265">
      <c r="E265" s="571"/>
      <c r="F265" s="157"/>
      <c r="G265" s="570"/>
      <c r="H265" s="547"/>
      <c r="I265" s="578"/>
      <c r="J265" s="419"/>
      <c r="K265" s="239"/>
      <c r="L265" s="464" t="s">
        <v>692</v>
      </c>
      <c r="M265" s="420"/>
      <c r="N265" s="150"/>
      <c r="O265" s="377"/>
      <c r="Q265" s="431"/>
      <c r="R265" s="157"/>
      <c r="S265" s="404"/>
      <c r="T265" s="148"/>
      <c r="U265" s="242"/>
      <c r="V265" s="242"/>
      <c r="W265" s="242"/>
      <c r="X265" s="242"/>
      <c r="Y265" s="242"/>
      <c r="Z265" s="242"/>
      <c r="AA265" s="148"/>
      <c r="AB265" s="148"/>
    </row>
    <row r="266">
      <c r="E266" s="571"/>
      <c r="F266" s="157"/>
      <c r="G266" s="570"/>
      <c r="H266" s="547"/>
      <c r="I266" s="578"/>
      <c r="J266" s="419"/>
      <c r="K266" s="239"/>
      <c r="L266" s="464" t="s">
        <v>694</v>
      </c>
      <c r="M266" s="420"/>
      <c r="N266" s="193">
        <v>899.0</v>
      </c>
      <c r="O266" s="377" t="s">
        <v>1327</v>
      </c>
      <c r="Q266" s="431"/>
      <c r="R266" s="157"/>
      <c r="S266" s="404"/>
      <c r="T266" s="148"/>
      <c r="U266" s="242"/>
      <c r="V266" s="242"/>
      <c r="W266" s="242"/>
      <c r="X266" s="242"/>
      <c r="Y266" s="242"/>
      <c r="Z266" s="242"/>
      <c r="AA266" s="148"/>
      <c r="AB266" s="148"/>
    </row>
    <row r="267">
      <c r="E267" s="571"/>
      <c r="F267" s="423"/>
      <c r="G267" s="570"/>
      <c r="H267" s="546"/>
      <c r="I267" s="578"/>
      <c r="J267" s="419"/>
      <c r="K267" s="57"/>
      <c r="L267" s="105"/>
      <c r="M267" s="57"/>
      <c r="N267" s="193"/>
      <c r="Q267" s="57"/>
      <c r="R267" s="157"/>
      <c r="S267" s="404"/>
      <c r="T267" s="148"/>
      <c r="U267" s="242"/>
      <c r="V267" s="242"/>
      <c r="W267" s="242"/>
      <c r="X267" s="242"/>
      <c r="Y267" s="242"/>
      <c r="Z267" s="242"/>
      <c r="AA267" s="148"/>
      <c r="AB267" s="148"/>
    </row>
    <row r="268">
      <c r="A268" s="125" t="s">
        <v>798</v>
      </c>
      <c r="B268" s="125"/>
      <c r="C268" s="125"/>
      <c r="D268" s="572">
        <f>E241-D245</f>
        <v>-1348.07</v>
      </c>
      <c r="F268" s="157"/>
      <c r="G268" s="570"/>
      <c r="H268" s="573"/>
      <c r="I268" s="581"/>
      <c r="J268" s="419"/>
      <c r="K268" s="239"/>
      <c r="L268" s="568"/>
      <c r="M268" s="57"/>
      <c r="N268" s="150"/>
      <c r="O268" s="57"/>
      <c r="P268" s="57"/>
      <c r="Q268" s="57"/>
      <c r="R268" s="157"/>
      <c r="S268" s="404"/>
      <c r="T268" s="148"/>
      <c r="U268" s="242"/>
      <c r="V268" s="242"/>
      <c r="W268" s="242"/>
      <c r="X268" s="242"/>
      <c r="Y268" s="242"/>
      <c r="Z268" s="242"/>
      <c r="AA268" s="148"/>
      <c r="AB268" s="148"/>
    </row>
    <row r="269">
      <c r="A269" s="274" t="s">
        <v>783</v>
      </c>
      <c r="B269" s="274"/>
      <c r="C269" s="274"/>
      <c r="D269" s="109"/>
      <c r="E269" s="395"/>
      <c r="F269" s="157"/>
      <c r="G269" s="570"/>
      <c r="H269" s="573"/>
      <c r="I269" s="478"/>
      <c r="J269" s="419"/>
      <c r="K269" s="239"/>
      <c r="L269" s="568"/>
      <c r="M269" s="57"/>
      <c r="N269" s="150"/>
      <c r="O269" s="57"/>
      <c r="P269" s="57"/>
      <c r="Q269" s="57"/>
      <c r="R269" s="157"/>
      <c r="S269" s="404"/>
      <c r="T269" s="148"/>
      <c r="U269" s="242"/>
      <c r="V269" s="242"/>
      <c r="W269" s="242"/>
      <c r="X269" s="242"/>
      <c r="Y269" s="242"/>
      <c r="Z269" s="242"/>
      <c r="AA269" s="148"/>
      <c r="AB269" s="148"/>
    </row>
    <row r="270">
      <c r="A270" s="274" t="s">
        <v>784</v>
      </c>
      <c r="B270" s="274"/>
      <c r="C270" s="274"/>
      <c r="D270" s="109"/>
      <c r="E270" s="395"/>
      <c r="F270" s="157"/>
      <c r="G270" s="570"/>
      <c r="H270" s="573"/>
      <c r="I270" s="478"/>
      <c r="J270" s="419"/>
      <c r="K270" s="239"/>
      <c r="L270" s="568"/>
      <c r="M270" s="57"/>
      <c r="N270" s="150"/>
      <c r="O270" s="57"/>
      <c r="P270" s="57"/>
      <c r="Q270" s="57"/>
      <c r="R270" s="157"/>
      <c r="S270" s="404"/>
      <c r="T270" s="148"/>
      <c r="U270" s="242"/>
      <c r="V270" s="242"/>
      <c r="W270" s="242"/>
      <c r="X270" s="242"/>
      <c r="Y270" s="242"/>
      <c r="Z270" s="242"/>
      <c r="AA270" s="148"/>
      <c r="AB270" s="148"/>
    </row>
    <row r="271">
      <c r="A271" s="274" t="s">
        <v>785</v>
      </c>
      <c r="B271" s="274"/>
      <c r="C271" s="274"/>
      <c r="D271" s="109"/>
      <c r="E271" s="395"/>
      <c r="F271" s="157"/>
      <c r="G271" s="570"/>
      <c r="H271" s="573"/>
      <c r="I271" s="478"/>
      <c r="J271" s="419"/>
      <c r="K271" s="239"/>
      <c r="L271" s="568"/>
      <c r="M271" s="57"/>
      <c r="N271" s="150"/>
      <c r="O271" s="57"/>
      <c r="P271" s="57"/>
      <c r="Q271" s="57"/>
      <c r="R271" s="157"/>
      <c r="S271" s="404"/>
      <c r="T271" s="148"/>
      <c r="U271" s="242"/>
      <c r="V271" s="242"/>
      <c r="W271" s="242"/>
      <c r="X271" s="242"/>
      <c r="Y271" s="242"/>
      <c r="Z271" s="242"/>
      <c r="AA271" s="148"/>
      <c r="AB271" s="148"/>
    </row>
    <row r="272">
      <c r="A272" s="402"/>
      <c r="B272" s="402"/>
      <c r="C272" s="402"/>
      <c r="D272" s="403"/>
      <c r="E272" s="403"/>
      <c r="F272" s="403"/>
      <c r="G272" s="574"/>
      <c r="H272" s="575"/>
      <c r="I272" s="159"/>
      <c r="J272" s="159"/>
      <c r="K272" s="159"/>
      <c r="L272" s="576"/>
      <c r="M272" s="159"/>
      <c r="N272" s="162"/>
      <c r="O272" s="402"/>
      <c r="P272" s="402"/>
      <c r="Q272" s="159"/>
      <c r="R272" s="403"/>
      <c r="S272" s="577"/>
      <c r="T272" s="148"/>
      <c r="U272" s="242"/>
      <c r="V272" s="242"/>
      <c r="W272" s="242"/>
      <c r="X272" s="242"/>
      <c r="Y272" s="242"/>
      <c r="Z272" s="242"/>
      <c r="AA272" s="148"/>
      <c r="AB272" s="148"/>
    </row>
    <row r="273">
      <c r="A273" s="148"/>
      <c r="B273" s="148"/>
      <c r="C273" s="148"/>
      <c r="D273" s="148"/>
      <c r="E273" s="148"/>
      <c r="F273" s="245"/>
      <c r="G273" s="585"/>
      <c r="H273" s="586"/>
      <c r="I273" s="148"/>
      <c r="J273" s="148"/>
      <c r="K273" s="251"/>
      <c r="L273" s="243"/>
      <c r="M273" s="148"/>
      <c r="N273" s="277"/>
      <c r="O273" s="252"/>
      <c r="P273" s="250"/>
      <c r="Q273" s="253"/>
      <c r="R273" s="240"/>
      <c r="S273" s="148"/>
      <c r="T273" s="148"/>
      <c r="U273" s="242"/>
      <c r="V273" s="242"/>
      <c r="W273" s="242"/>
      <c r="X273" s="242"/>
      <c r="Y273" s="242"/>
      <c r="Z273" s="242"/>
      <c r="AA273" s="148"/>
      <c r="AB273" s="148"/>
    </row>
    <row r="274">
      <c r="A274" s="169" t="s">
        <v>857</v>
      </c>
      <c r="B274" s="705"/>
      <c r="C274" s="705"/>
      <c r="D274" s="539"/>
      <c r="E274" s="540"/>
      <c r="F274" s="405"/>
      <c r="G274" s="541"/>
      <c r="H274" s="542"/>
      <c r="I274" s="467" t="s">
        <v>333</v>
      </c>
      <c r="J274" s="361"/>
      <c r="K274" s="57"/>
      <c r="L274" s="105"/>
      <c r="M274" s="57"/>
      <c r="N274" s="150"/>
      <c r="O274" s="239"/>
      <c r="P274" s="239"/>
      <c r="Q274" s="57"/>
      <c r="R274" s="157"/>
      <c r="S274" s="404"/>
      <c r="T274" s="148"/>
      <c r="U274" s="242"/>
      <c r="V274" s="242"/>
      <c r="W274" s="242"/>
      <c r="X274" s="242"/>
      <c r="Y274" s="242"/>
      <c r="Z274" s="242"/>
      <c r="AA274" s="148"/>
      <c r="AB274" s="148"/>
    </row>
    <row r="275">
      <c r="A275" s="468"/>
      <c r="B275" s="406"/>
      <c r="C275" s="406"/>
      <c r="D275" s="157"/>
      <c r="E275" s="466"/>
      <c r="F275" s="405"/>
      <c r="G275" s="543" t="s">
        <v>335</v>
      </c>
      <c r="H275" s="544" t="s">
        <v>237</v>
      </c>
      <c r="I275" s="412" t="s">
        <v>336</v>
      </c>
      <c r="J275" s="413" t="s">
        <v>337</v>
      </c>
      <c r="K275" s="239"/>
      <c r="L275" s="145" t="s">
        <v>60</v>
      </c>
      <c r="M275" s="57"/>
      <c r="N275" s="150"/>
      <c r="O275" s="414"/>
      <c r="P275" s="414"/>
      <c r="Q275" s="57" t="s">
        <v>334</v>
      </c>
      <c r="R275" s="157"/>
      <c r="S275" s="404"/>
      <c r="T275" s="148"/>
      <c r="U275" s="242"/>
      <c r="V275" s="242"/>
      <c r="W275" s="242"/>
      <c r="X275" s="242"/>
      <c r="Y275" s="242"/>
      <c r="Z275" s="242"/>
      <c r="AA275" s="148"/>
      <c r="AB275" s="148"/>
    </row>
    <row r="276">
      <c r="A276" s="470" t="s">
        <v>179</v>
      </c>
      <c r="E276" s="416">
        <f>SUM(H276:H310)</f>
        <v>0</v>
      </c>
      <c r="F276" s="405"/>
      <c r="G276" s="545"/>
      <c r="H276" s="546"/>
      <c r="I276" s="419"/>
      <c r="J276" s="419"/>
      <c r="K276" s="57"/>
      <c r="M276" s="57"/>
      <c r="N276" s="150"/>
      <c r="O276" s="377" t="s">
        <v>366</v>
      </c>
      <c r="R276" s="157"/>
      <c r="S276" s="404"/>
      <c r="T276" s="148"/>
      <c r="U276" s="242"/>
      <c r="V276" s="242"/>
      <c r="W276" s="242"/>
      <c r="X276" s="242"/>
      <c r="Y276" s="242"/>
      <c r="Z276" s="242"/>
      <c r="AA276" s="148"/>
      <c r="AB276" s="148"/>
    </row>
    <row r="277">
      <c r="A277" s="421" t="s">
        <v>343</v>
      </c>
      <c r="B277" s="105"/>
      <c r="C277" s="105"/>
      <c r="D277" s="422" t="s">
        <v>321</v>
      </c>
      <c r="E277" s="416">
        <f>SUM(R277:R310)</f>
        <v>0</v>
      </c>
      <c r="F277" s="157"/>
      <c r="G277" s="545"/>
      <c r="H277" s="546"/>
      <c r="I277" s="419"/>
      <c r="J277" s="419"/>
      <c r="K277" s="239"/>
      <c r="L277" s="471" t="s">
        <v>341</v>
      </c>
      <c r="M277" s="420"/>
      <c r="N277" s="150"/>
      <c r="O277" s="374"/>
      <c r="Q277" s="431"/>
      <c r="R277" s="423"/>
      <c r="S277" s="404"/>
      <c r="T277" s="148"/>
      <c r="U277" s="242"/>
      <c r="V277" s="242"/>
      <c r="W277" s="242"/>
      <c r="X277" s="242"/>
      <c r="Y277" s="242"/>
      <c r="Z277" s="242"/>
      <c r="AA277" s="148"/>
      <c r="AB277" s="148"/>
    </row>
    <row r="278">
      <c r="A278" s="427" t="s">
        <v>201</v>
      </c>
      <c r="E278" s="204">
        <f>SUM(N277:N310)</f>
        <v>2584.64</v>
      </c>
      <c r="F278" s="157"/>
      <c r="G278" s="545"/>
      <c r="H278" s="547"/>
      <c r="I278" s="419"/>
      <c r="J278" s="419"/>
      <c r="K278" s="239"/>
      <c r="L278" s="472" t="s">
        <v>345</v>
      </c>
      <c r="M278" s="420"/>
      <c r="N278" s="193">
        <v>30.14</v>
      </c>
      <c r="O278" s="377" t="s">
        <v>1328</v>
      </c>
      <c r="Q278" s="431"/>
      <c r="R278" s="423"/>
      <c r="S278" s="404"/>
      <c r="T278" s="148"/>
      <c r="U278" s="242"/>
      <c r="V278" s="242"/>
      <c r="W278" s="242"/>
      <c r="X278" s="242"/>
      <c r="Y278" s="242"/>
      <c r="Z278" s="242"/>
      <c r="AA278" s="148"/>
      <c r="AB278" s="148"/>
    </row>
    <row r="279">
      <c r="A279" s="548" t="s">
        <v>761</v>
      </c>
      <c r="B279" s="706"/>
      <c r="C279" s="706"/>
      <c r="D279" s="549">
        <v>0.4</v>
      </c>
      <c r="E279" s="191"/>
      <c r="F279" s="157"/>
      <c r="G279" s="550" t="s">
        <v>695</v>
      </c>
      <c r="H279" s="546"/>
      <c r="I279" s="419"/>
      <c r="J279" s="419"/>
      <c r="K279" s="239"/>
      <c r="L279" s="433" t="s">
        <v>656</v>
      </c>
      <c r="M279" s="420"/>
      <c r="N279" s="193"/>
      <c r="O279" s="377"/>
      <c r="Q279" s="431"/>
      <c r="R279" s="423"/>
      <c r="S279" s="404"/>
      <c r="T279" s="148"/>
      <c r="U279" s="242"/>
      <c r="V279" s="242"/>
      <c r="W279" s="242"/>
      <c r="X279" s="242"/>
      <c r="Y279" s="242"/>
      <c r="Z279" s="242"/>
      <c r="AA279" s="148"/>
      <c r="AB279" s="148"/>
    </row>
    <row r="280">
      <c r="A280" s="434" t="s">
        <v>350</v>
      </c>
      <c r="E280" s="551">
        <f>E276-E278-E279</f>
        <v>-2584.64</v>
      </c>
      <c r="F280" s="157"/>
      <c r="G280" s="228"/>
      <c r="H280" s="547"/>
      <c r="I280" s="455"/>
      <c r="J280" s="419"/>
      <c r="K280" s="57"/>
      <c r="L280" s="444" t="s">
        <v>658</v>
      </c>
      <c r="M280" s="420"/>
      <c r="N280" s="193">
        <v>36.0</v>
      </c>
      <c r="O280" s="377"/>
      <c r="Q280" s="431"/>
      <c r="R280" s="157"/>
      <c r="S280" s="404"/>
      <c r="T280" s="148"/>
      <c r="U280" s="242"/>
      <c r="V280" s="242"/>
      <c r="W280" s="242"/>
      <c r="X280" s="242"/>
      <c r="Y280" s="242"/>
      <c r="Z280" s="242"/>
      <c r="AA280" s="148"/>
      <c r="AB280" s="148"/>
    </row>
    <row r="281">
      <c r="A281" s="554"/>
      <c r="B281" s="555"/>
      <c r="C281" s="555"/>
      <c r="D281" s="555"/>
      <c r="E281" s="447"/>
      <c r="F281" s="157"/>
      <c r="G281" s="228"/>
      <c r="H281" s="547"/>
      <c r="I281" s="419"/>
      <c r="J281" s="419"/>
      <c r="K281" s="57"/>
      <c r="L281" s="444" t="s">
        <v>660</v>
      </c>
      <c r="M281" s="420"/>
      <c r="N281" s="193"/>
      <c r="O281" s="377"/>
      <c r="Q281" s="431"/>
      <c r="R281" s="157"/>
      <c r="S281" s="404"/>
      <c r="T281" s="148"/>
      <c r="U281" s="242"/>
      <c r="V281" s="242"/>
      <c r="W281" s="242"/>
      <c r="X281" s="242"/>
      <c r="Y281" s="242"/>
      <c r="Z281" s="242"/>
      <c r="AA281" s="148"/>
      <c r="AB281" s="148"/>
    </row>
    <row r="282">
      <c r="A282" s="556"/>
      <c r="E282" s="395"/>
      <c r="F282" s="157"/>
      <c r="G282" s="228"/>
      <c r="H282" s="546"/>
      <c r="I282" s="455"/>
      <c r="J282" s="419"/>
      <c r="K282" s="239"/>
      <c r="L282" s="370" t="s">
        <v>662</v>
      </c>
      <c r="M282" s="420"/>
      <c r="N282" s="193"/>
      <c r="O282" s="374"/>
      <c r="Q282" s="431"/>
      <c r="R282" s="157"/>
      <c r="S282" s="404"/>
      <c r="T282" s="148"/>
      <c r="U282" s="242"/>
      <c r="V282" s="242"/>
      <c r="W282" s="242"/>
      <c r="X282" s="242"/>
      <c r="Y282" s="242"/>
      <c r="Z282" s="242"/>
      <c r="AA282" s="148"/>
      <c r="AB282" s="148"/>
    </row>
    <row r="283">
      <c r="A283" s="557"/>
      <c r="B283" s="557"/>
      <c r="C283" s="557"/>
      <c r="D283" s="109"/>
      <c r="E283" s="395"/>
      <c r="F283" s="373"/>
      <c r="G283" s="228"/>
      <c r="H283" s="547"/>
      <c r="I283" s="419"/>
      <c r="J283" s="419"/>
      <c r="K283" s="239"/>
      <c r="L283" s="433" t="s">
        <v>666</v>
      </c>
      <c r="M283" s="420"/>
      <c r="N283" s="150"/>
      <c r="O283" s="374"/>
      <c r="Q283" s="431"/>
      <c r="R283" s="157"/>
      <c r="S283" s="404"/>
      <c r="T283" s="148"/>
      <c r="U283" s="242"/>
      <c r="V283" s="242"/>
      <c r="W283" s="242"/>
      <c r="X283" s="242"/>
      <c r="Y283" s="242"/>
      <c r="Z283" s="242"/>
      <c r="AA283" s="148"/>
      <c r="AB283" s="148"/>
    </row>
    <row r="284">
      <c r="A284" s="559" t="s">
        <v>765</v>
      </c>
      <c r="B284" s="559"/>
      <c r="C284" s="559"/>
      <c r="D284" s="560">
        <f>SUM(F284:F310)</f>
        <v>1030</v>
      </c>
      <c r="E284" s="477" t="s">
        <v>366</v>
      </c>
      <c r="F284" s="157"/>
      <c r="G284" s="228"/>
      <c r="H284" s="547"/>
      <c r="I284" s="419"/>
      <c r="J284" s="419"/>
      <c r="K284" s="239"/>
      <c r="L284" s="433" t="s">
        <v>668</v>
      </c>
      <c r="M284" s="420"/>
      <c r="N284" s="150"/>
      <c r="O284" s="377"/>
      <c r="Q284" s="431"/>
      <c r="R284" s="157"/>
      <c r="S284" s="404"/>
      <c r="T284" s="148"/>
      <c r="U284" s="242"/>
      <c r="V284" s="242"/>
      <c r="W284" s="242"/>
      <c r="X284" s="242"/>
      <c r="Y284" s="242"/>
      <c r="Z284" s="242"/>
      <c r="AA284" s="148"/>
      <c r="AB284" s="148"/>
    </row>
    <row r="285">
      <c r="A285" s="453" t="s">
        <v>369</v>
      </c>
      <c r="E285" s="561" t="s">
        <v>766</v>
      </c>
      <c r="F285" s="423"/>
      <c r="G285" s="228"/>
      <c r="H285" s="547"/>
      <c r="I285" s="419"/>
      <c r="J285" s="419"/>
      <c r="K285" s="239"/>
      <c r="L285" s="433" t="s">
        <v>670</v>
      </c>
      <c r="M285" s="458"/>
      <c r="N285" s="193">
        <v>1250.0</v>
      </c>
      <c r="O285" s="377"/>
      <c r="Q285" s="431"/>
      <c r="R285" s="157"/>
      <c r="S285" s="404"/>
      <c r="T285" s="148"/>
      <c r="U285" s="242"/>
      <c r="V285" s="242"/>
      <c r="W285" s="242"/>
      <c r="X285" s="242"/>
      <c r="Y285" s="242"/>
      <c r="Z285" s="242"/>
      <c r="AA285" s="148"/>
      <c r="AB285" s="148"/>
    </row>
    <row r="286">
      <c r="E286" s="561" t="s">
        <v>767</v>
      </c>
      <c r="F286" s="157"/>
      <c r="G286" s="228"/>
      <c r="H286" s="547"/>
      <c r="I286" s="419"/>
      <c r="J286" s="419"/>
      <c r="K286" s="239"/>
      <c r="L286" s="433" t="s">
        <v>217</v>
      </c>
      <c r="M286" s="458"/>
      <c r="N286" s="150"/>
      <c r="O286" s="377"/>
      <c r="Q286" s="431"/>
      <c r="R286" s="157"/>
      <c r="S286" s="404"/>
      <c r="T286" s="148"/>
      <c r="U286" s="242"/>
      <c r="V286" s="242"/>
      <c r="W286" s="242"/>
      <c r="X286" s="242"/>
      <c r="Y286" s="242"/>
      <c r="Z286" s="242"/>
      <c r="AA286" s="148"/>
      <c r="AB286" s="148"/>
    </row>
    <row r="287">
      <c r="A287" s="57"/>
      <c r="B287" s="57"/>
      <c r="C287" s="57"/>
      <c r="D287" s="57"/>
      <c r="E287" s="561" t="s">
        <v>768</v>
      </c>
      <c r="F287" s="423"/>
      <c r="G287" s="228"/>
      <c r="H287" s="547"/>
      <c r="I287" s="419"/>
      <c r="J287" s="419"/>
      <c r="K287" s="239"/>
      <c r="L287" s="109"/>
      <c r="M287" s="420"/>
      <c r="N287" s="193"/>
      <c r="O287" s="374"/>
      <c r="Q287" s="431"/>
      <c r="R287" s="157"/>
      <c r="S287" s="404"/>
      <c r="T287" s="148"/>
      <c r="U287" s="242"/>
      <c r="V287" s="242"/>
      <c r="W287" s="242"/>
      <c r="X287" s="242"/>
      <c r="Y287" s="242"/>
      <c r="Z287" s="242"/>
      <c r="AA287" s="148"/>
      <c r="AB287" s="148"/>
    </row>
    <row r="288">
      <c r="A288" s="57"/>
      <c r="B288" s="57"/>
      <c r="C288" s="57"/>
      <c r="D288" s="57"/>
      <c r="E288" s="561" t="s">
        <v>769</v>
      </c>
      <c r="F288" s="157"/>
      <c r="G288" s="228"/>
      <c r="H288" s="547"/>
      <c r="I288" s="419"/>
      <c r="J288" s="419"/>
      <c r="K288" s="239"/>
      <c r="L288" s="456" t="s">
        <v>672</v>
      </c>
      <c r="M288" s="420"/>
      <c r="N288" s="150"/>
      <c r="O288" s="377"/>
      <c r="Q288" s="431"/>
      <c r="R288" s="157"/>
      <c r="S288" s="404"/>
      <c r="T288" s="148"/>
      <c r="U288" s="242"/>
      <c r="V288" s="242"/>
      <c r="W288" s="242"/>
      <c r="X288" s="242"/>
      <c r="Y288" s="242"/>
      <c r="Z288" s="242"/>
      <c r="AA288" s="148"/>
      <c r="AB288" s="148"/>
    </row>
    <row r="289">
      <c r="A289" s="57"/>
      <c r="B289" s="57"/>
      <c r="C289" s="57"/>
      <c r="D289" s="57"/>
      <c r="E289" s="561" t="s">
        <v>770</v>
      </c>
      <c r="F289" s="423"/>
      <c r="G289" s="228"/>
      <c r="H289" s="547"/>
      <c r="I289" s="419"/>
      <c r="J289" s="419"/>
      <c r="K289" s="57"/>
      <c r="L289" s="456" t="s">
        <v>675</v>
      </c>
      <c r="M289" s="420"/>
      <c r="N289" s="150"/>
      <c r="O289" s="382"/>
      <c r="Q289" s="431"/>
      <c r="R289" s="157"/>
      <c r="S289" s="404"/>
      <c r="T289" s="148"/>
      <c r="U289" s="242"/>
      <c r="V289" s="242"/>
      <c r="W289" s="242"/>
      <c r="X289" s="242"/>
      <c r="Y289" s="242"/>
      <c r="Z289" s="242"/>
      <c r="AA289" s="148"/>
      <c r="AB289" s="148"/>
    </row>
    <row r="290">
      <c r="A290" s="57"/>
      <c r="B290" s="57"/>
      <c r="C290" s="57"/>
      <c r="D290" s="57"/>
      <c r="E290" s="561" t="s">
        <v>793</v>
      </c>
      <c r="F290" s="423">
        <v>250.0</v>
      </c>
      <c r="G290" s="228"/>
      <c r="H290" s="547"/>
      <c r="I290" s="455"/>
      <c r="J290" s="419"/>
      <c r="K290" s="57"/>
      <c r="L290" s="456"/>
      <c r="M290" s="420"/>
      <c r="N290" s="150"/>
      <c r="O290" s="425"/>
      <c r="Q290" s="431"/>
      <c r="R290" s="157"/>
      <c r="S290" s="404"/>
      <c r="T290" s="148"/>
      <c r="U290" s="242"/>
      <c r="V290" s="242"/>
      <c r="W290" s="242"/>
      <c r="X290" s="242"/>
      <c r="Y290" s="242"/>
      <c r="Z290" s="242"/>
      <c r="AA290" s="148"/>
      <c r="AB290" s="148"/>
    </row>
    <row r="291">
      <c r="A291" s="239"/>
      <c r="B291" s="239"/>
      <c r="C291" s="239"/>
      <c r="D291" s="57"/>
      <c r="E291" s="561" t="s">
        <v>794</v>
      </c>
      <c r="F291" s="423"/>
      <c r="G291" s="228"/>
      <c r="H291" s="547"/>
      <c r="I291" s="419"/>
      <c r="J291" s="419"/>
      <c r="K291" s="57"/>
      <c r="L291" s="375"/>
      <c r="M291" s="420"/>
      <c r="N291" s="150"/>
      <c r="O291" s="425"/>
      <c r="Q291" s="431"/>
      <c r="R291" s="157"/>
      <c r="S291" s="404"/>
      <c r="T291" s="148"/>
      <c r="U291" s="242"/>
      <c r="V291" s="242"/>
      <c r="W291" s="242"/>
      <c r="X291" s="242"/>
      <c r="Y291" s="242"/>
      <c r="Z291" s="242"/>
      <c r="AA291" s="148"/>
      <c r="AB291" s="148"/>
    </row>
    <row r="292">
      <c r="A292" s="239"/>
      <c r="B292" s="239"/>
      <c r="C292" s="239"/>
      <c r="D292" s="57"/>
      <c r="E292" s="561" t="s">
        <v>18</v>
      </c>
      <c r="F292" s="423"/>
      <c r="G292" s="228"/>
      <c r="H292" s="547"/>
      <c r="I292" s="419"/>
      <c r="J292" s="419"/>
      <c r="K292" s="57"/>
      <c r="L292" s="375"/>
      <c r="M292" s="420"/>
      <c r="N292" s="193"/>
      <c r="O292" s="382"/>
      <c r="Q292" s="431"/>
      <c r="R292" s="157"/>
      <c r="S292" s="404"/>
      <c r="T292" s="148"/>
      <c r="U292" s="242"/>
      <c r="V292" s="242"/>
      <c r="W292" s="242"/>
      <c r="X292" s="242"/>
      <c r="Y292" s="242"/>
      <c r="Z292" s="242"/>
      <c r="AA292" s="148"/>
      <c r="AB292" s="148"/>
    </row>
    <row r="293">
      <c r="A293" s="239"/>
      <c r="B293" s="239"/>
      <c r="C293" s="239"/>
      <c r="D293" s="57"/>
      <c r="E293" s="561" t="s">
        <v>773</v>
      </c>
      <c r="F293" s="423"/>
      <c r="G293" s="228"/>
      <c r="H293" s="547"/>
      <c r="I293" s="455"/>
      <c r="J293" s="419"/>
      <c r="K293" s="57"/>
      <c r="L293" s="452"/>
      <c r="M293" s="420"/>
      <c r="N293" s="150"/>
      <c r="O293" s="425"/>
      <c r="Q293" s="431"/>
      <c r="R293" s="157"/>
      <c r="S293" s="404"/>
      <c r="T293" s="148"/>
      <c r="U293" s="242"/>
      <c r="V293" s="242"/>
      <c r="W293" s="242"/>
      <c r="X293" s="242"/>
      <c r="Y293" s="242"/>
      <c r="Z293" s="242"/>
      <c r="AA293" s="148"/>
      <c r="AB293" s="148"/>
    </row>
    <row r="294">
      <c r="A294" s="57"/>
      <c r="B294" s="57"/>
      <c r="C294" s="57"/>
      <c r="D294" s="57"/>
      <c r="E294" s="561" t="s">
        <v>774</v>
      </c>
      <c r="F294" s="423">
        <v>20.0</v>
      </c>
      <c r="G294" s="228"/>
      <c r="H294" s="547"/>
      <c r="I294" s="419"/>
      <c r="J294" s="419"/>
      <c r="K294" s="57"/>
      <c r="L294" s="105"/>
      <c r="M294" s="420"/>
      <c r="N294" s="193"/>
      <c r="O294" s="425"/>
      <c r="Q294" s="431"/>
      <c r="R294" s="157"/>
      <c r="S294" s="404"/>
      <c r="T294" s="148"/>
      <c r="U294" s="242"/>
      <c r="V294" s="242"/>
      <c r="W294" s="242"/>
      <c r="X294" s="242"/>
      <c r="Y294" s="242"/>
      <c r="Z294" s="242"/>
      <c r="AA294" s="148"/>
      <c r="AB294" s="148"/>
    </row>
    <row r="295">
      <c r="A295" s="239"/>
      <c r="B295" s="239"/>
      <c r="C295" s="239"/>
      <c r="D295" s="239"/>
      <c r="E295" s="561" t="s">
        <v>775</v>
      </c>
      <c r="F295" s="423">
        <v>150.0</v>
      </c>
      <c r="G295" s="228"/>
      <c r="H295" s="547"/>
      <c r="I295" s="419"/>
      <c r="J295" s="419"/>
      <c r="K295" s="57"/>
      <c r="L295" s="378" t="s">
        <v>682</v>
      </c>
      <c r="M295" s="420"/>
      <c r="N295" s="193">
        <v>10.0</v>
      </c>
      <c r="O295" s="377" t="s">
        <v>1329</v>
      </c>
      <c r="Q295" s="431"/>
      <c r="R295" s="157"/>
      <c r="S295" s="404"/>
      <c r="T295" s="148"/>
      <c r="U295" s="242"/>
      <c r="V295" s="242"/>
      <c r="W295" s="242"/>
      <c r="X295" s="242"/>
      <c r="Y295" s="242"/>
      <c r="Z295" s="242"/>
      <c r="AA295" s="148"/>
      <c r="AB295" s="148"/>
    </row>
    <row r="296">
      <c r="A296" s="239"/>
      <c r="B296" s="239"/>
      <c r="C296" s="239"/>
      <c r="D296" s="239"/>
      <c r="E296" s="561" t="s">
        <v>10</v>
      </c>
      <c r="F296" s="423">
        <v>20.0</v>
      </c>
      <c r="G296" s="206"/>
      <c r="H296" s="564"/>
      <c r="I296" s="478"/>
      <c r="J296" s="419"/>
      <c r="K296" s="57"/>
      <c r="L296" s="461" t="s">
        <v>684</v>
      </c>
      <c r="M296" s="420"/>
      <c r="N296" s="193"/>
      <c r="O296" s="377"/>
      <c r="Q296" s="431"/>
      <c r="R296" s="157"/>
      <c r="S296" s="404"/>
      <c r="T296" s="148"/>
      <c r="U296" s="242"/>
      <c r="V296" s="242"/>
      <c r="W296" s="242"/>
      <c r="X296" s="242"/>
      <c r="Y296" s="242"/>
      <c r="Z296" s="242"/>
      <c r="AA296" s="148"/>
      <c r="AB296" s="148"/>
    </row>
    <row r="297">
      <c r="A297" s="663" t="s">
        <v>1330</v>
      </c>
      <c r="B297" s="663"/>
      <c r="C297" s="663"/>
      <c r="D297" s="239"/>
      <c r="E297" s="561" t="s">
        <v>6</v>
      </c>
      <c r="F297" s="423">
        <v>530.0</v>
      </c>
      <c r="G297" s="206"/>
      <c r="H297" s="547"/>
      <c r="I297" s="455"/>
      <c r="J297" s="455"/>
      <c r="K297" s="57"/>
      <c r="L297" s="461" t="s">
        <v>686</v>
      </c>
      <c r="M297" s="420"/>
      <c r="N297" s="150"/>
      <c r="O297" s="374"/>
      <c r="Q297" s="463"/>
      <c r="R297" s="157"/>
      <c r="S297" s="404"/>
      <c r="T297" s="148"/>
      <c r="U297" s="242"/>
      <c r="V297" s="242"/>
      <c r="W297" s="242"/>
      <c r="X297" s="242"/>
      <c r="Y297" s="242"/>
      <c r="Z297" s="242"/>
      <c r="AA297" s="148"/>
      <c r="AB297" s="148"/>
    </row>
    <row r="298">
      <c r="A298" s="57"/>
      <c r="B298" s="57"/>
      <c r="C298" s="57"/>
      <c r="D298" s="57"/>
      <c r="E298" s="561" t="s">
        <v>779</v>
      </c>
      <c r="F298" s="157"/>
      <c r="G298" s="228"/>
      <c r="H298" s="547"/>
      <c r="I298" s="455"/>
      <c r="J298" s="455"/>
      <c r="K298" s="239"/>
      <c r="L298" s="460" t="s">
        <v>202</v>
      </c>
      <c r="M298" s="420"/>
      <c r="N298" s="193"/>
      <c r="O298" s="377"/>
      <c r="Q298" s="463"/>
      <c r="R298" s="157"/>
      <c r="S298" s="404"/>
      <c r="T298" s="148"/>
      <c r="U298" s="242"/>
      <c r="V298" s="242"/>
      <c r="W298" s="242"/>
      <c r="X298" s="242"/>
      <c r="Y298" s="242"/>
      <c r="Z298" s="242"/>
      <c r="AA298" s="148"/>
      <c r="AB298" s="148"/>
    </row>
    <row r="299">
      <c r="A299" s="239"/>
      <c r="B299" s="239"/>
      <c r="C299" s="239"/>
      <c r="D299" s="239"/>
      <c r="E299" s="561" t="s">
        <v>780</v>
      </c>
      <c r="F299" s="157"/>
      <c r="G299" s="228"/>
      <c r="H299" s="547"/>
      <c r="I299" s="455"/>
      <c r="J299" s="455"/>
      <c r="K299" s="57"/>
      <c r="L299" s="460" t="s">
        <v>274</v>
      </c>
      <c r="M299" s="420"/>
      <c r="N299" s="193"/>
      <c r="O299" s="374"/>
      <c r="Q299" s="463"/>
      <c r="R299" s="157"/>
      <c r="S299" s="404"/>
      <c r="T299" s="148"/>
      <c r="U299" s="242"/>
      <c r="V299" s="242"/>
      <c r="W299" s="242"/>
      <c r="X299" s="242"/>
      <c r="Y299" s="242"/>
      <c r="Z299" s="242"/>
      <c r="AA299" s="148"/>
      <c r="AB299" s="148"/>
    </row>
    <row r="300">
      <c r="A300" s="302" t="s">
        <v>1331</v>
      </c>
      <c r="B300" s="302"/>
      <c r="C300" s="302"/>
      <c r="D300" s="239"/>
      <c r="E300" s="561" t="s">
        <v>781</v>
      </c>
      <c r="F300" s="423">
        <v>60.0</v>
      </c>
      <c r="G300" s="228"/>
      <c r="H300" s="547"/>
      <c r="I300" s="455"/>
      <c r="J300" s="419"/>
      <c r="K300" s="239"/>
      <c r="L300" s="685" t="s">
        <v>1121</v>
      </c>
      <c r="M300" s="420"/>
      <c r="N300" s="193">
        <v>222.5</v>
      </c>
      <c r="O300" s="377" t="s">
        <v>1332</v>
      </c>
      <c r="Q300" s="431"/>
      <c r="R300" s="157"/>
      <c r="S300" s="404"/>
      <c r="T300" s="148"/>
      <c r="U300" s="242"/>
      <c r="V300" s="242"/>
      <c r="W300" s="242"/>
      <c r="X300" s="242"/>
      <c r="Y300" s="242"/>
      <c r="Z300" s="242"/>
      <c r="AA300" s="148"/>
      <c r="AB300" s="148"/>
    </row>
    <row r="301">
      <c r="A301" s="239"/>
      <c r="B301" s="239"/>
      <c r="C301" s="239"/>
      <c r="D301" s="157"/>
      <c r="E301" s="561" t="s">
        <v>1118</v>
      </c>
      <c r="F301" s="157"/>
      <c r="G301" s="569"/>
      <c r="H301" s="547"/>
      <c r="I301" s="419"/>
      <c r="J301" s="419"/>
      <c r="K301" s="57"/>
      <c r="L301" s="374"/>
      <c r="M301" s="420"/>
      <c r="N301" s="193"/>
      <c r="O301" s="374"/>
      <c r="Q301" s="431"/>
      <c r="R301" s="157"/>
      <c r="S301" s="404"/>
      <c r="T301" s="148"/>
      <c r="U301" s="242"/>
      <c r="V301" s="242"/>
      <c r="W301" s="242"/>
      <c r="X301" s="242"/>
      <c r="Y301" s="242"/>
      <c r="Z301" s="242"/>
      <c r="AA301" s="148"/>
      <c r="AB301" s="148"/>
    </row>
    <row r="302">
      <c r="A302" s="239"/>
      <c r="B302" s="239"/>
      <c r="C302" s="239"/>
      <c r="D302" s="157"/>
      <c r="E302" s="561"/>
      <c r="F302" s="157"/>
      <c r="G302" s="228"/>
      <c r="H302" s="547"/>
      <c r="I302" s="419"/>
      <c r="J302" s="419"/>
      <c r="K302" s="239"/>
      <c r="L302" s="596" t="s">
        <v>1001</v>
      </c>
      <c r="M302" s="420"/>
      <c r="N302" s="193"/>
      <c r="O302" s="377"/>
      <c r="Q302" s="431"/>
      <c r="R302" s="157"/>
      <c r="S302" s="404"/>
      <c r="T302" s="148"/>
      <c r="U302" s="242"/>
      <c r="V302" s="242"/>
      <c r="W302" s="242"/>
      <c r="X302" s="242"/>
      <c r="Y302" s="242"/>
      <c r="Z302" s="242"/>
      <c r="AA302" s="148"/>
      <c r="AB302" s="148"/>
    </row>
    <row r="303">
      <c r="A303" s="239"/>
      <c r="B303" s="239"/>
      <c r="C303" s="239"/>
      <c r="D303" s="157"/>
      <c r="E303" s="561"/>
      <c r="F303" s="157"/>
      <c r="G303" s="570"/>
      <c r="H303" s="547"/>
      <c r="I303" s="419"/>
      <c r="J303" s="419"/>
      <c r="K303" s="239"/>
      <c r="L303" s="568"/>
      <c r="M303" s="420"/>
      <c r="N303" s="193"/>
      <c r="O303" s="374"/>
      <c r="Q303" s="431"/>
      <c r="R303" s="157"/>
      <c r="S303" s="404"/>
      <c r="T303" s="148"/>
      <c r="U303" s="242"/>
      <c r="V303" s="242"/>
      <c r="W303" s="242"/>
      <c r="X303" s="242"/>
      <c r="Y303" s="242"/>
      <c r="Z303" s="242"/>
      <c r="AA303" s="148"/>
      <c r="AB303" s="148"/>
    </row>
    <row r="304">
      <c r="E304" s="571"/>
      <c r="F304" s="157"/>
      <c r="G304" s="570"/>
      <c r="H304" s="547"/>
      <c r="I304" s="419"/>
      <c r="J304" s="419"/>
      <c r="K304" s="239"/>
      <c r="L304" s="464" t="s">
        <v>692</v>
      </c>
      <c r="M304" s="420"/>
      <c r="N304" s="193">
        <v>600.0</v>
      </c>
      <c r="O304" s="377" t="s">
        <v>1333</v>
      </c>
      <c r="Q304" s="431"/>
      <c r="R304" s="157"/>
      <c r="S304" s="404"/>
      <c r="T304" s="148"/>
      <c r="U304" s="242"/>
      <c r="V304" s="242"/>
      <c r="W304" s="242"/>
      <c r="X304" s="242"/>
      <c r="Y304" s="242"/>
      <c r="Z304" s="242"/>
      <c r="AA304" s="148"/>
      <c r="AB304" s="148"/>
    </row>
    <row r="305">
      <c r="E305" s="571"/>
      <c r="F305" s="157"/>
      <c r="G305" s="570"/>
      <c r="H305" s="547"/>
      <c r="I305" s="419"/>
      <c r="J305" s="419"/>
      <c r="K305" s="239"/>
      <c r="L305" s="464" t="s">
        <v>694</v>
      </c>
      <c r="M305" s="420"/>
      <c r="N305" s="733">
        <v>436.0</v>
      </c>
      <c r="O305" s="7" t="s">
        <v>1334</v>
      </c>
      <c r="Q305" s="431"/>
      <c r="R305" s="157"/>
      <c r="S305" s="404"/>
      <c r="T305" s="148"/>
      <c r="U305" s="242"/>
      <c r="V305" s="242"/>
      <c r="W305" s="242"/>
      <c r="X305" s="242"/>
      <c r="Y305" s="242"/>
      <c r="Z305" s="242"/>
      <c r="AA305" s="148"/>
      <c r="AB305" s="148"/>
    </row>
    <row r="306">
      <c r="E306" s="571"/>
      <c r="F306" s="423"/>
      <c r="G306" s="570"/>
      <c r="H306" s="546"/>
      <c r="I306" s="419"/>
      <c r="J306" s="419"/>
      <c r="K306" s="57"/>
      <c r="L306" s="105"/>
      <c r="M306" s="57"/>
      <c r="N306" s="150"/>
      <c r="O306" s="57"/>
      <c r="P306" s="57"/>
      <c r="Q306" s="57"/>
      <c r="R306" s="157"/>
      <c r="S306" s="404"/>
      <c r="T306" s="148"/>
      <c r="U306" s="242"/>
      <c r="V306" s="242"/>
      <c r="W306" s="242"/>
      <c r="X306" s="242"/>
      <c r="Y306" s="242"/>
      <c r="Z306" s="242"/>
      <c r="AA306" s="148"/>
      <c r="AB306" s="148"/>
    </row>
    <row r="307">
      <c r="A307" s="125" t="s">
        <v>798</v>
      </c>
      <c r="B307" s="125"/>
      <c r="C307" s="125"/>
      <c r="D307" s="572">
        <f>E280-D284</f>
        <v>-3614.64</v>
      </c>
      <c r="F307" s="157"/>
      <c r="G307" s="570"/>
      <c r="H307" s="573"/>
      <c r="I307" s="478"/>
      <c r="J307" s="419"/>
      <c r="K307" s="239"/>
      <c r="L307" s="568"/>
      <c r="M307" s="57"/>
      <c r="N307" s="150"/>
      <c r="O307" s="57"/>
      <c r="P307" s="57"/>
      <c r="Q307" s="57"/>
      <c r="R307" s="157"/>
      <c r="S307" s="404"/>
      <c r="T307" s="148"/>
      <c r="U307" s="242"/>
      <c r="V307" s="242"/>
      <c r="W307" s="242"/>
      <c r="X307" s="242"/>
      <c r="Y307" s="242"/>
      <c r="Z307" s="242"/>
      <c r="AA307" s="148"/>
      <c r="AB307" s="148"/>
    </row>
    <row r="308">
      <c r="A308" s="274" t="s">
        <v>783</v>
      </c>
      <c r="B308" s="274"/>
      <c r="C308" s="274"/>
      <c r="D308" s="109"/>
      <c r="E308" s="395"/>
      <c r="F308" s="157"/>
      <c r="G308" s="570"/>
      <c r="H308" s="573"/>
      <c r="I308" s="478"/>
      <c r="J308" s="419"/>
      <c r="K308" s="239"/>
      <c r="L308" s="568"/>
      <c r="M308" s="57"/>
      <c r="N308" s="150"/>
      <c r="O308" s="57"/>
      <c r="P308" s="57"/>
      <c r="Q308" s="57"/>
      <c r="R308" s="157"/>
      <c r="S308" s="404"/>
      <c r="T308" s="148"/>
      <c r="U308" s="242"/>
      <c r="V308" s="242"/>
      <c r="W308" s="242"/>
      <c r="X308" s="242"/>
      <c r="Y308" s="242"/>
      <c r="Z308" s="242"/>
      <c r="AA308" s="148"/>
      <c r="AB308" s="148"/>
    </row>
    <row r="309">
      <c r="A309" s="274" t="s">
        <v>784</v>
      </c>
      <c r="B309" s="274"/>
      <c r="C309" s="274"/>
      <c r="D309" s="109"/>
      <c r="E309" s="395"/>
      <c r="F309" s="157"/>
      <c r="G309" s="570"/>
      <c r="H309" s="573"/>
      <c r="I309" s="478"/>
      <c r="J309" s="419"/>
      <c r="K309" s="239"/>
      <c r="L309" s="568"/>
      <c r="M309" s="57"/>
      <c r="N309" s="150"/>
      <c r="O309" s="57"/>
      <c r="P309" s="57"/>
      <c r="Q309" s="57"/>
      <c r="R309" s="157"/>
      <c r="S309" s="404"/>
      <c r="T309" s="148"/>
      <c r="U309" s="242"/>
      <c r="V309" s="242"/>
      <c r="W309" s="242"/>
      <c r="X309" s="242"/>
      <c r="Y309" s="242"/>
      <c r="Z309" s="242"/>
      <c r="AA309" s="148"/>
      <c r="AB309" s="148"/>
    </row>
    <row r="310">
      <c r="A310" s="274" t="s">
        <v>785</v>
      </c>
      <c r="B310" s="274"/>
      <c r="C310" s="274"/>
      <c r="D310" s="109"/>
      <c r="E310" s="395"/>
      <c r="F310" s="157"/>
      <c r="G310" s="570"/>
      <c r="H310" s="573"/>
      <c r="I310" s="478"/>
      <c r="J310" s="419"/>
      <c r="K310" s="239"/>
      <c r="L310" s="568"/>
      <c r="M310" s="57"/>
      <c r="N310" s="150"/>
      <c r="O310" s="57"/>
      <c r="P310" s="57"/>
      <c r="Q310" s="57"/>
      <c r="R310" s="157"/>
      <c r="S310" s="404"/>
      <c r="T310" s="148"/>
      <c r="U310" s="242"/>
      <c r="V310" s="242"/>
      <c r="W310" s="242"/>
      <c r="X310" s="242"/>
      <c r="Y310" s="242"/>
      <c r="Z310" s="242"/>
      <c r="AA310" s="148"/>
      <c r="AB310" s="148"/>
    </row>
    <row r="311">
      <c r="A311" s="402"/>
      <c r="B311" s="402"/>
      <c r="C311" s="402"/>
      <c r="D311" s="403"/>
      <c r="E311" s="403"/>
      <c r="F311" s="403"/>
      <c r="G311" s="574"/>
      <c r="H311" s="575"/>
      <c r="I311" s="159"/>
      <c r="J311" s="159"/>
      <c r="K311" s="159"/>
      <c r="L311" s="576"/>
      <c r="M311" s="159"/>
      <c r="N311" s="162"/>
      <c r="O311" s="402"/>
      <c r="P311" s="402"/>
      <c r="Q311" s="159"/>
      <c r="R311" s="403"/>
      <c r="S311" s="577"/>
      <c r="T311" s="148"/>
      <c r="U311" s="242"/>
      <c r="V311" s="242"/>
      <c r="W311" s="242"/>
      <c r="X311" s="242"/>
      <c r="Y311" s="242"/>
      <c r="Z311" s="242"/>
      <c r="AA311" s="148"/>
      <c r="AB311" s="148"/>
    </row>
    <row r="312">
      <c r="A312" s="148"/>
      <c r="B312" s="148"/>
      <c r="C312" s="148"/>
      <c r="D312" s="148"/>
      <c r="E312" s="148"/>
      <c r="F312" s="245"/>
      <c r="G312" s="585"/>
      <c r="H312" s="586"/>
      <c r="I312" s="148"/>
      <c r="J312" s="148"/>
      <c r="K312" s="251"/>
      <c r="L312" s="243"/>
      <c r="M312" s="148"/>
      <c r="N312" s="277"/>
      <c r="O312" s="252"/>
      <c r="P312" s="250"/>
      <c r="Q312" s="253"/>
      <c r="R312" s="240"/>
      <c r="S312" s="148"/>
      <c r="T312" s="148"/>
      <c r="U312" s="242"/>
      <c r="V312" s="242"/>
      <c r="W312" s="242"/>
      <c r="X312" s="242"/>
      <c r="Y312" s="242"/>
      <c r="Z312" s="242"/>
      <c r="AA312" s="148"/>
      <c r="AB312" s="148"/>
    </row>
    <row r="313">
      <c r="A313" s="169" t="s">
        <v>150</v>
      </c>
      <c r="B313" s="705"/>
      <c r="C313" s="705"/>
      <c r="D313" s="539"/>
      <c r="E313" s="540"/>
      <c r="F313" s="405"/>
      <c r="G313" s="541"/>
      <c r="H313" s="542"/>
      <c r="I313" s="467" t="s">
        <v>333</v>
      </c>
      <c r="J313" s="361"/>
      <c r="K313" s="57"/>
      <c r="L313" s="105"/>
      <c r="M313" s="57"/>
      <c r="N313" s="150"/>
      <c r="O313" s="239"/>
      <c r="P313" s="239"/>
      <c r="Q313" s="57"/>
      <c r="R313" s="157"/>
      <c r="S313" s="404"/>
      <c r="T313" s="148"/>
      <c r="U313" s="242"/>
      <c r="V313" s="242"/>
      <c r="W313" s="242"/>
      <c r="X313" s="242"/>
      <c r="Y313" s="242"/>
      <c r="Z313" s="242"/>
      <c r="AA313" s="148"/>
      <c r="AB313" s="148"/>
    </row>
    <row r="314">
      <c r="A314" s="468"/>
      <c r="B314" s="406"/>
      <c r="C314" s="406"/>
      <c r="D314" s="157"/>
      <c r="E314" s="466"/>
      <c r="F314" s="405"/>
      <c r="G314" s="543" t="s">
        <v>335</v>
      </c>
      <c r="H314" s="544" t="s">
        <v>237</v>
      </c>
      <c r="I314" s="412" t="s">
        <v>336</v>
      </c>
      <c r="J314" s="413" t="s">
        <v>337</v>
      </c>
      <c r="K314" s="239"/>
      <c r="L314" s="145" t="s">
        <v>60</v>
      </c>
      <c r="M314" s="57"/>
      <c r="N314" s="150"/>
      <c r="O314" s="414"/>
      <c r="P314" s="414"/>
      <c r="Q314" s="57" t="s">
        <v>334</v>
      </c>
      <c r="R314" s="157"/>
      <c r="S314" s="404"/>
      <c r="T314" s="148"/>
      <c r="U314" s="242"/>
      <c r="V314" s="242"/>
      <c r="W314" s="242"/>
      <c r="X314" s="242"/>
      <c r="Y314" s="242"/>
      <c r="Z314" s="242"/>
      <c r="AA314" s="148"/>
      <c r="AB314" s="148"/>
    </row>
    <row r="315">
      <c r="A315" s="470" t="s">
        <v>179</v>
      </c>
      <c r="E315" s="416">
        <f>SUM(H315:H349)</f>
        <v>4932</v>
      </c>
      <c r="F315" s="405"/>
      <c r="G315" s="545"/>
      <c r="H315" s="546"/>
      <c r="I315" s="419"/>
      <c r="J315" s="419"/>
      <c r="K315" s="57"/>
      <c r="M315" s="57"/>
      <c r="N315" s="150"/>
      <c r="O315" s="377" t="s">
        <v>366</v>
      </c>
      <c r="R315" s="157"/>
      <c r="S315" s="404"/>
      <c r="T315" s="148"/>
      <c r="U315" s="242"/>
      <c r="V315" s="242"/>
      <c r="W315" s="242"/>
      <c r="X315" s="242"/>
      <c r="Y315" s="242"/>
      <c r="Z315" s="242"/>
      <c r="AA315" s="148"/>
      <c r="AB315" s="148"/>
    </row>
    <row r="316">
      <c r="A316" s="421" t="s">
        <v>343</v>
      </c>
      <c r="B316" s="105"/>
      <c r="C316" s="105"/>
      <c r="D316" s="422" t="s">
        <v>321</v>
      </c>
      <c r="E316" s="416">
        <f>SUM(R316:R349)</f>
        <v>2785</v>
      </c>
      <c r="F316" s="157"/>
      <c r="G316" s="545"/>
      <c r="H316" s="546"/>
      <c r="I316" s="419"/>
      <c r="J316" s="419"/>
      <c r="K316" s="239"/>
      <c r="L316" s="471" t="s">
        <v>341</v>
      </c>
      <c r="M316" s="420"/>
      <c r="N316" s="150"/>
      <c r="O316" s="374"/>
      <c r="Q316" s="591" t="s">
        <v>1335</v>
      </c>
      <c r="R316" s="423">
        <v>2080.0</v>
      </c>
      <c r="S316" s="404"/>
      <c r="T316" s="148"/>
      <c r="U316" s="242"/>
      <c r="V316" s="242"/>
      <c r="W316" s="242"/>
      <c r="X316" s="242"/>
      <c r="Y316" s="242"/>
      <c r="Z316" s="242"/>
      <c r="AA316" s="148"/>
      <c r="AB316" s="148"/>
    </row>
    <row r="317">
      <c r="A317" s="427" t="s">
        <v>201</v>
      </c>
      <c r="E317" s="204">
        <f>SUM(N316:N349)</f>
        <v>2501.14</v>
      </c>
      <c r="F317" s="157"/>
      <c r="G317" s="545"/>
      <c r="H317" s="546"/>
      <c r="I317" s="419"/>
      <c r="J317" s="419"/>
      <c r="K317" s="239"/>
      <c r="L317" s="472" t="s">
        <v>345</v>
      </c>
      <c r="M317" s="420"/>
      <c r="N317" s="193">
        <v>30.14</v>
      </c>
      <c r="O317" s="374"/>
      <c r="Q317" s="426" t="s">
        <v>1336</v>
      </c>
      <c r="R317" s="423">
        <v>120.0</v>
      </c>
      <c r="S317" s="404"/>
      <c r="T317" s="148"/>
      <c r="U317" s="242"/>
      <c r="V317" s="242"/>
      <c r="W317" s="242"/>
      <c r="X317" s="242"/>
      <c r="Y317" s="242"/>
      <c r="Z317" s="242"/>
      <c r="AA317" s="148"/>
      <c r="AB317" s="148"/>
    </row>
    <row r="318">
      <c r="A318" s="548" t="s">
        <v>761</v>
      </c>
      <c r="B318" s="706"/>
      <c r="C318" s="706"/>
      <c r="D318" s="549">
        <v>0.4</v>
      </c>
      <c r="E318" s="191">
        <v>1114.0</v>
      </c>
      <c r="F318" s="157"/>
      <c r="G318" s="550" t="s">
        <v>695</v>
      </c>
      <c r="H318" s="546"/>
      <c r="I318" s="587"/>
      <c r="J318" s="419"/>
      <c r="K318" s="239"/>
      <c r="L318" s="433" t="s">
        <v>656</v>
      </c>
      <c r="M318" s="420"/>
      <c r="N318" s="193">
        <v>89.0</v>
      </c>
      <c r="O318" s="374"/>
      <c r="Q318" s="426" t="s">
        <v>1073</v>
      </c>
      <c r="R318" s="423">
        <v>260.0</v>
      </c>
      <c r="S318" s="404"/>
      <c r="T318" s="148"/>
      <c r="U318" s="242"/>
      <c r="V318" s="242"/>
      <c r="W318" s="242"/>
      <c r="X318" s="242"/>
      <c r="Y318" s="242"/>
      <c r="Z318" s="242"/>
      <c r="AA318" s="148"/>
      <c r="AB318" s="148"/>
    </row>
    <row r="319">
      <c r="A319" s="434" t="s">
        <v>350</v>
      </c>
      <c r="E319" s="551">
        <f>E315-E317-E318</f>
        <v>1316.86</v>
      </c>
      <c r="F319" s="157"/>
      <c r="G319" s="192" t="s">
        <v>1262</v>
      </c>
      <c r="H319" s="546">
        <v>200.0</v>
      </c>
      <c r="I319" s="587"/>
      <c r="J319" s="419"/>
      <c r="K319" s="57"/>
      <c r="L319" s="444" t="s">
        <v>658</v>
      </c>
      <c r="M319" s="420"/>
      <c r="N319" s="193">
        <v>25.0</v>
      </c>
      <c r="O319" s="377"/>
      <c r="Q319" s="426" t="s">
        <v>1154</v>
      </c>
      <c r="R319" s="423">
        <v>130.0</v>
      </c>
      <c r="S319" s="404"/>
      <c r="T319" s="148"/>
      <c r="U319" s="242"/>
      <c r="V319" s="242"/>
      <c r="W319" s="242"/>
      <c r="X319" s="242"/>
      <c r="Y319" s="242"/>
      <c r="Z319" s="242"/>
      <c r="AA319" s="148"/>
      <c r="AB319" s="148"/>
    </row>
    <row r="320">
      <c r="A320" s="554"/>
      <c r="B320" s="555"/>
      <c r="C320" s="555"/>
      <c r="D320" s="555"/>
      <c r="E320" s="447"/>
      <c r="F320" s="157"/>
      <c r="G320" s="192" t="s">
        <v>1127</v>
      </c>
      <c r="H320" s="546">
        <v>660.0</v>
      </c>
      <c r="I320" s="419"/>
      <c r="J320" s="419"/>
      <c r="K320" s="57"/>
      <c r="L320" s="444" t="s">
        <v>660</v>
      </c>
      <c r="M320" s="420"/>
      <c r="N320" s="193">
        <v>220.0</v>
      </c>
      <c r="O320" s="377"/>
      <c r="Q320" s="426" t="s">
        <v>1337</v>
      </c>
      <c r="R320" s="423">
        <v>130.0</v>
      </c>
      <c r="S320" s="404"/>
      <c r="T320" s="148"/>
      <c r="U320" s="242"/>
      <c r="V320" s="242"/>
      <c r="W320" s="242"/>
      <c r="X320" s="242"/>
      <c r="Y320" s="242"/>
      <c r="Z320" s="242"/>
      <c r="AA320" s="148"/>
      <c r="AB320" s="148"/>
    </row>
    <row r="321">
      <c r="A321" s="556"/>
      <c r="E321" s="395"/>
      <c r="F321" s="157"/>
      <c r="G321" s="192" t="s">
        <v>887</v>
      </c>
      <c r="H321" s="546">
        <v>180.0</v>
      </c>
      <c r="I321" s="455"/>
      <c r="J321" s="419"/>
      <c r="K321" s="239"/>
      <c r="L321" s="370" t="s">
        <v>662</v>
      </c>
      <c r="M321" s="420"/>
      <c r="N321" s="193">
        <v>25.0</v>
      </c>
      <c r="O321" s="374"/>
      <c r="Q321" s="426" t="s">
        <v>1338</v>
      </c>
      <c r="R321" s="423">
        <v>65.0</v>
      </c>
      <c r="S321" s="404"/>
      <c r="T321" s="148"/>
      <c r="U321" s="242"/>
      <c r="V321" s="242"/>
      <c r="W321" s="242"/>
      <c r="X321" s="242"/>
      <c r="Y321" s="242"/>
      <c r="Z321" s="242"/>
      <c r="AA321" s="148"/>
      <c r="AB321" s="148"/>
    </row>
    <row r="322">
      <c r="A322" s="557"/>
      <c r="B322" s="557"/>
      <c r="C322" s="557"/>
      <c r="D322" s="109"/>
      <c r="E322" s="395"/>
      <c r="F322" s="373"/>
      <c r="G322" s="192" t="s">
        <v>1335</v>
      </c>
      <c r="H322" s="546">
        <v>1610.0</v>
      </c>
      <c r="I322" s="593" t="s">
        <v>426</v>
      </c>
      <c r="J322" s="419"/>
      <c r="K322" s="239"/>
      <c r="L322" s="433" t="s">
        <v>666</v>
      </c>
      <c r="M322" s="420"/>
      <c r="N322" s="193">
        <v>100.0</v>
      </c>
      <c r="O322" s="374"/>
      <c r="Q322" s="431"/>
      <c r="R322" s="157"/>
      <c r="S322" s="404"/>
      <c r="T322" s="148"/>
      <c r="U322" s="242"/>
      <c r="V322" s="242"/>
      <c r="W322" s="242"/>
      <c r="X322" s="242"/>
      <c r="Y322" s="242"/>
      <c r="Z322" s="242"/>
      <c r="AA322" s="148"/>
      <c r="AB322" s="148"/>
    </row>
    <row r="323">
      <c r="A323" s="559" t="s">
        <v>765</v>
      </c>
      <c r="B323" s="559"/>
      <c r="C323" s="559"/>
      <c r="D323" s="560">
        <f>SUM(F323:F349)</f>
        <v>1080</v>
      </c>
      <c r="E323" s="477" t="s">
        <v>366</v>
      </c>
      <c r="F323" s="157"/>
      <c r="G323" s="192" t="s">
        <v>1339</v>
      </c>
      <c r="H323" s="546">
        <v>450.0</v>
      </c>
      <c r="I323" s="419"/>
      <c r="J323" s="419"/>
      <c r="K323" s="239"/>
      <c r="L323" s="433" t="s">
        <v>668</v>
      </c>
      <c r="M323" s="420"/>
      <c r="N323" s="150"/>
      <c r="O323" s="377"/>
      <c r="Q323" s="431"/>
      <c r="R323" s="157"/>
      <c r="S323" s="404"/>
      <c r="T323" s="148"/>
      <c r="U323" s="242"/>
      <c r="V323" s="242"/>
      <c r="W323" s="242"/>
      <c r="X323" s="242"/>
      <c r="Y323" s="242"/>
      <c r="Z323" s="242"/>
      <c r="AA323" s="148"/>
      <c r="AB323" s="148"/>
    </row>
    <row r="324">
      <c r="A324" s="453" t="s">
        <v>369</v>
      </c>
      <c r="E324" s="561" t="s">
        <v>766</v>
      </c>
      <c r="F324" s="423"/>
      <c r="G324" s="192" t="s">
        <v>873</v>
      </c>
      <c r="H324" s="546">
        <v>260.0</v>
      </c>
      <c r="I324" s="593" t="s">
        <v>426</v>
      </c>
      <c r="J324" s="419"/>
      <c r="K324" s="239"/>
      <c r="L324" s="433" t="s">
        <v>670</v>
      </c>
      <c r="M324" s="458"/>
      <c r="N324" s="193">
        <v>1250.0</v>
      </c>
      <c r="O324" s="377"/>
      <c r="Q324" s="431"/>
      <c r="R324" s="157"/>
      <c r="S324" s="404"/>
      <c r="T324" s="148"/>
      <c r="U324" s="242"/>
      <c r="V324" s="242"/>
      <c r="W324" s="242"/>
      <c r="X324" s="242"/>
      <c r="Y324" s="242"/>
      <c r="Z324" s="242"/>
      <c r="AA324" s="148"/>
      <c r="AB324" s="148"/>
    </row>
    <row r="325">
      <c r="E325" s="561" t="s">
        <v>767</v>
      </c>
      <c r="F325" s="423"/>
      <c r="G325" s="192" t="s">
        <v>1219</v>
      </c>
      <c r="H325" s="546">
        <v>120.0</v>
      </c>
      <c r="I325" s="593" t="s">
        <v>426</v>
      </c>
      <c r="J325" s="419"/>
      <c r="K325" s="239"/>
      <c r="L325" s="433" t="s">
        <v>217</v>
      </c>
      <c r="M325" s="458"/>
      <c r="N325" s="150"/>
      <c r="O325" s="377"/>
      <c r="Q325" s="431"/>
      <c r="R325" s="157"/>
      <c r="S325" s="404"/>
      <c r="T325" s="148"/>
      <c r="U325" s="242"/>
      <c r="V325" s="242"/>
      <c r="W325" s="242"/>
      <c r="X325" s="242"/>
      <c r="Y325" s="242"/>
      <c r="Z325" s="242"/>
      <c r="AA325" s="148"/>
      <c r="AB325" s="148"/>
    </row>
    <row r="326">
      <c r="A326" s="57"/>
      <c r="B326" s="57"/>
      <c r="C326" s="57"/>
      <c r="D326" s="57"/>
      <c r="E326" s="561" t="s">
        <v>768</v>
      </c>
      <c r="F326" s="423"/>
      <c r="G326" s="192" t="s">
        <v>1140</v>
      </c>
      <c r="H326" s="546">
        <v>1097.0</v>
      </c>
      <c r="I326" s="593" t="s">
        <v>426</v>
      </c>
      <c r="J326" s="419"/>
      <c r="K326" s="239"/>
      <c r="L326" s="109"/>
      <c r="M326" s="420"/>
      <c r="N326" s="193"/>
      <c r="O326" s="374"/>
      <c r="Q326" s="431"/>
      <c r="R326" s="157"/>
      <c r="S326" s="404"/>
      <c r="T326" s="148"/>
      <c r="U326" s="242"/>
      <c r="V326" s="242"/>
      <c r="W326" s="242"/>
      <c r="X326" s="242"/>
      <c r="Y326" s="242"/>
      <c r="Z326" s="242"/>
      <c r="AA326" s="148"/>
      <c r="AB326" s="148"/>
    </row>
    <row r="327">
      <c r="A327" s="57"/>
      <c r="B327" s="57"/>
      <c r="C327" s="57"/>
      <c r="D327" s="57"/>
      <c r="E327" s="561" t="s">
        <v>769</v>
      </c>
      <c r="F327" s="157"/>
      <c r="G327" s="192" t="s">
        <v>1340</v>
      </c>
      <c r="H327" s="546">
        <v>130.0</v>
      </c>
      <c r="I327" s="593" t="s">
        <v>426</v>
      </c>
      <c r="J327" s="419"/>
      <c r="K327" s="239"/>
      <c r="L327" s="456" t="s">
        <v>672</v>
      </c>
      <c r="M327" s="420"/>
      <c r="N327" s="594"/>
      <c r="O327" s="377"/>
      <c r="Q327" s="431"/>
      <c r="R327" s="157"/>
      <c r="S327" s="404"/>
      <c r="T327" s="148"/>
      <c r="U327" s="242"/>
      <c r="V327" s="242"/>
      <c r="W327" s="242"/>
      <c r="X327" s="242"/>
      <c r="Y327" s="242"/>
      <c r="Z327" s="242"/>
      <c r="AA327" s="148"/>
      <c r="AB327" s="148"/>
    </row>
    <row r="328">
      <c r="A328" s="57"/>
      <c r="B328" s="57"/>
      <c r="C328" s="57"/>
      <c r="D328" s="57"/>
      <c r="E328" s="561" t="s">
        <v>770</v>
      </c>
      <c r="F328" s="423"/>
      <c r="G328" s="192" t="s">
        <v>1341</v>
      </c>
      <c r="H328" s="546">
        <v>160.0</v>
      </c>
      <c r="I328" s="419"/>
      <c r="J328" s="419"/>
      <c r="K328" s="57"/>
      <c r="L328" s="456" t="s">
        <v>675</v>
      </c>
      <c r="M328" s="420"/>
      <c r="N328" s="150"/>
      <c r="O328" s="382"/>
      <c r="Q328" s="431"/>
      <c r="R328" s="157"/>
      <c r="S328" s="404"/>
      <c r="T328" s="148"/>
      <c r="U328" s="242"/>
      <c r="V328" s="242"/>
      <c r="W328" s="242"/>
      <c r="X328" s="242"/>
      <c r="Y328" s="242"/>
      <c r="Z328" s="242"/>
      <c r="AA328" s="148"/>
      <c r="AB328" s="148"/>
    </row>
    <row r="329">
      <c r="A329" s="57"/>
      <c r="B329" s="57"/>
      <c r="C329" s="57"/>
      <c r="D329" s="57"/>
      <c r="E329" s="561" t="s">
        <v>793</v>
      </c>
      <c r="F329" s="423">
        <v>200.0</v>
      </c>
      <c r="G329" s="192" t="s">
        <v>1342</v>
      </c>
      <c r="H329" s="546">
        <v>65.0</v>
      </c>
      <c r="I329" s="593" t="s">
        <v>426</v>
      </c>
      <c r="J329" s="419"/>
      <c r="K329" s="57"/>
      <c r="L329" s="456"/>
      <c r="M329" s="420"/>
      <c r="N329" s="150"/>
      <c r="O329" s="425"/>
      <c r="Q329" s="431"/>
      <c r="R329" s="157"/>
      <c r="S329" s="404"/>
      <c r="T329" s="148"/>
      <c r="U329" s="242"/>
      <c r="V329" s="242"/>
      <c r="W329" s="242"/>
      <c r="X329" s="242"/>
      <c r="Y329" s="242"/>
      <c r="Z329" s="242"/>
      <c r="AA329" s="148"/>
      <c r="AB329" s="148"/>
    </row>
    <row r="330">
      <c r="A330" s="239"/>
      <c r="B330" s="239"/>
      <c r="C330" s="239"/>
      <c r="D330" s="57"/>
      <c r="E330" s="561" t="s">
        <v>794</v>
      </c>
      <c r="F330" s="423"/>
      <c r="G330" s="192"/>
      <c r="H330" s="546"/>
      <c r="I330" s="419"/>
      <c r="J330" s="419"/>
      <c r="K330" s="57"/>
      <c r="L330" s="375"/>
      <c r="M330" s="420"/>
      <c r="N330" s="150"/>
      <c r="O330" s="425"/>
      <c r="Q330" s="431"/>
      <c r="R330" s="157"/>
      <c r="S330" s="404"/>
      <c r="T330" s="148"/>
      <c r="U330" s="242"/>
      <c r="V330" s="242"/>
      <c r="W330" s="242"/>
      <c r="X330" s="242"/>
      <c r="Y330" s="242"/>
      <c r="Z330" s="242"/>
      <c r="AA330" s="148"/>
      <c r="AB330" s="148"/>
    </row>
    <row r="331">
      <c r="A331" s="239"/>
      <c r="B331" s="239"/>
      <c r="C331" s="239"/>
      <c r="D331" s="57"/>
      <c r="E331" s="561" t="s">
        <v>18</v>
      </c>
      <c r="F331" s="423"/>
      <c r="G331" s="192"/>
      <c r="H331" s="546"/>
      <c r="I331" s="419"/>
      <c r="J331" s="419"/>
      <c r="K331" s="57"/>
      <c r="L331" s="375"/>
      <c r="M331" s="420"/>
      <c r="N331" s="193"/>
      <c r="O331" s="382"/>
      <c r="Q331" s="431"/>
      <c r="R331" s="157"/>
      <c r="S331" s="404"/>
      <c r="T331" s="148"/>
      <c r="U331" s="242"/>
      <c r="V331" s="242"/>
      <c r="W331" s="242"/>
      <c r="X331" s="242"/>
      <c r="Y331" s="242"/>
      <c r="Z331" s="242"/>
      <c r="AA331" s="148"/>
      <c r="AB331" s="148"/>
    </row>
    <row r="332">
      <c r="A332" s="239"/>
      <c r="B332" s="239"/>
      <c r="C332" s="239"/>
      <c r="D332" s="57"/>
      <c r="E332" s="561" t="s">
        <v>773</v>
      </c>
      <c r="F332" s="157"/>
      <c r="G332" s="228"/>
      <c r="H332" s="547"/>
      <c r="I332" s="455"/>
      <c r="J332" s="419"/>
      <c r="K332" s="57"/>
      <c r="L332" s="452"/>
      <c r="M332" s="420"/>
      <c r="N332" s="150"/>
      <c r="O332" s="425"/>
      <c r="Q332" s="431"/>
      <c r="R332" s="157"/>
      <c r="S332" s="404"/>
      <c r="T332" s="148"/>
      <c r="U332" s="242"/>
      <c r="V332" s="242"/>
      <c r="W332" s="242"/>
      <c r="X332" s="242"/>
      <c r="Y332" s="242"/>
      <c r="Z332" s="242"/>
      <c r="AA332" s="148"/>
      <c r="AB332" s="148"/>
    </row>
    <row r="333">
      <c r="A333" s="662" t="s">
        <v>1343</v>
      </c>
      <c r="B333" s="662"/>
      <c r="C333" s="662"/>
      <c r="D333" s="57"/>
      <c r="E333" s="561" t="s">
        <v>774</v>
      </c>
      <c r="F333" s="423"/>
      <c r="G333" s="228"/>
      <c r="H333" s="547"/>
      <c r="I333" s="419"/>
      <c r="J333" s="419"/>
      <c r="K333" s="57"/>
      <c r="L333" s="105"/>
      <c r="M333" s="420"/>
      <c r="N333" s="193"/>
      <c r="O333" s="425"/>
      <c r="Q333" s="431"/>
      <c r="R333" s="157"/>
      <c r="S333" s="404"/>
      <c r="T333" s="148"/>
      <c r="U333" s="242"/>
      <c r="V333" s="242"/>
      <c r="W333" s="242"/>
      <c r="X333" s="242"/>
      <c r="Y333" s="242"/>
      <c r="Z333" s="242"/>
      <c r="AA333" s="148"/>
      <c r="AB333" s="148"/>
    </row>
    <row r="334">
      <c r="A334" s="239"/>
      <c r="B334" s="239"/>
      <c r="C334" s="239"/>
      <c r="D334" s="239"/>
      <c r="E334" s="561" t="s">
        <v>775</v>
      </c>
      <c r="F334" s="423">
        <v>200.0</v>
      </c>
      <c r="G334" s="228"/>
      <c r="H334" s="547"/>
      <c r="I334" s="419"/>
      <c r="J334" s="419"/>
      <c r="K334" s="57"/>
      <c r="L334" s="378" t="s">
        <v>682</v>
      </c>
      <c r="M334" s="420"/>
      <c r="N334" s="193">
        <v>80.0</v>
      </c>
      <c r="O334" s="377" t="s">
        <v>1344</v>
      </c>
      <c r="Q334" s="431"/>
      <c r="R334" s="157"/>
      <c r="S334" s="404"/>
      <c r="T334" s="148"/>
      <c r="U334" s="242"/>
      <c r="V334" s="242"/>
      <c r="W334" s="242"/>
      <c r="X334" s="242"/>
      <c r="Y334" s="242"/>
      <c r="Z334" s="242"/>
      <c r="AA334" s="148"/>
      <c r="AB334" s="148"/>
    </row>
    <row r="335">
      <c r="A335" s="239"/>
      <c r="B335" s="239"/>
      <c r="C335" s="239"/>
      <c r="D335" s="239"/>
      <c r="E335" s="561" t="s">
        <v>10</v>
      </c>
      <c r="F335" s="423">
        <v>130.0</v>
      </c>
      <c r="G335" s="206"/>
      <c r="H335" s="564"/>
      <c r="I335" s="478"/>
      <c r="J335" s="419"/>
      <c r="K335" s="57"/>
      <c r="L335" s="461" t="s">
        <v>684</v>
      </c>
      <c r="M335" s="420"/>
      <c r="N335" s="193"/>
      <c r="O335" s="377"/>
      <c r="Q335" s="431"/>
      <c r="R335" s="157"/>
      <c r="S335" s="404"/>
      <c r="T335" s="148"/>
      <c r="U335" s="242"/>
      <c r="V335" s="242"/>
      <c r="W335" s="242"/>
      <c r="X335" s="242"/>
      <c r="Y335" s="242"/>
      <c r="Z335" s="242"/>
      <c r="AA335" s="148"/>
      <c r="AB335" s="148"/>
    </row>
    <row r="336">
      <c r="A336" s="734" t="s">
        <v>1345</v>
      </c>
      <c r="B336" s="734"/>
      <c r="C336" s="734"/>
      <c r="D336" s="239"/>
      <c r="E336" s="561" t="s">
        <v>6</v>
      </c>
      <c r="F336" s="423">
        <v>270.0</v>
      </c>
      <c r="G336" s="595"/>
      <c r="H336" s="547"/>
      <c r="I336" s="455"/>
      <c r="J336" s="455"/>
      <c r="K336" s="57"/>
      <c r="L336" s="461" t="s">
        <v>686</v>
      </c>
      <c r="M336" s="420"/>
      <c r="N336" s="193"/>
      <c r="O336" s="377"/>
      <c r="Q336" s="463"/>
      <c r="R336" s="157"/>
      <c r="S336" s="404"/>
      <c r="T336" s="148"/>
      <c r="U336" s="242"/>
      <c r="V336" s="242"/>
      <c r="W336" s="242"/>
      <c r="X336" s="242"/>
      <c r="Y336" s="242"/>
      <c r="Z336" s="242"/>
      <c r="AA336" s="148"/>
      <c r="AB336" s="148"/>
    </row>
    <row r="337">
      <c r="A337" s="57"/>
      <c r="B337" s="57"/>
      <c r="C337" s="57"/>
      <c r="D337" s="57"/>
      <c r="E337" s="561" t="s">
        <v>779</v>
      </c>
      <c r="F337" s="157"/>
      <c r="G337" s="228"/>
      <c r="H337" s="547"/>
      <c r="I337" s="455"/>
      <c r="J337" s="455"/>
      <c r="K337" s="239"/>
      <c r="L337" s="460" t="s">
        <v>202</v>
      </c>
      <c r="M337" s="420"/>
      <c r="N337" s="193"/>
      <c r="O337" s="377"/>
      <c r="Q337" s="463"/>
      <c r="R337" s="157"/>
      <c r="S337" s="404"/>
      <c r="T337" s="148"/>
      <c r="U337" s="242"/>
      <c r="V337" s="242"/>
      <c r="W337" s="242"/>
      <c r="X337" s="242"/>
      <c r="Y337" s="242"/>
      <c r="Z337" s="242"/>
      <c r="AA337" s="148"/>
      <c r="AB337" s="148"/>
    </row>
    <row r="338">
      <c r="A338" s="239"/>
      <c r="B338" s="239"/>
      <c r="C338" s="239"/>
      <c r="D338" s="239"/>
      <c r="E338" s="561" t="s">
        <v>780</v>
      </c>
      <c r="F338" s="423">
        <v>50.0</v>
      </c>
      <c r="G338" s="228"/>
      <c r="H338" s="547"/>
      <c r="I338" s="455"/>
      <c r="J338" s="455"/>
      <c r="K338" s="57"/>
      <c r="L338" s="460" t="s">
        <v>274</v>
      </c>
      <c r="M338" s="420"/>
      <c r="N338" s="193"/>
      <c r="O338" s="374"/>
      <c r="Q338" s="463"/>
      <c r="R338" s="157"/>
      <c r="S338" s="404"/>
      <c r="T338" s="148"/>
      <c r="U338" s="242"/>
      <c r="V338" s="242"/>
      <c r="W338" s="242"/>
      <c r="X338" s="242"/>
      <c r="Y338" s="242"/>
      <c r="Z338" s="242"/>
      <c r="AA338" s="148"/>
      <c r="AB338" s="148"/>
    </row>
    <row r="339">
      <c r="A339" s="239"/>
      <c r="B339" s="239"/>
      <c r="C339" s="239"/>
      <c r="D339" s="239"/>
      <c r="E339" s="561" t="s">
        <v>781</v>
      </c>
      <c r="F339" s="423"/>
      <c r="G339" s="228"/>
      <c r="H339" s="547"/>
      <c r="I339" s="455"/>
      <c r="J339" s="419"/>
      <c r="K339" s="239"/>
      <c r="L339" s="685" t="s">
        <v>1121</v>
      </c>
      <c r="M339" s="420"/>
      <c r="N339" s="150"/>
      <c r="O339" s="374"/>
      <c r="Q339" s="431"/>
      <c r="R339" s="157"/>
      <c r="S339" s="404"/>
      <c r="T339" s="148"/>
      <c r="U339" s="242"/>
      <c r="V339" s="242"/>
      <c r="W339" s="242"/>
      <c r="X339" s="242"/>
      <c r="Y339" s="242"/>
      <c r="Z339" s="242"/>
      <c r="AA339" s="148"/>
      <c r="AB339" s="148"/>
    </row>
    <row r="340">
      <c r="A340" s="239"/>
      <c r="B340" s="239"/>
      <c r="C340" s="239"/>
      <c r="D340" s="157"/>
      <c r="E340" s="561" t="s">
        <v>1118</v>
      </c>
      <c r="F340" s="423">
        <v>230.0</v>
      </c>
      <c r="G340" s="569"/>
      <c r="H340" s="547"/>
      <c r="I340" s="419"/>
      <c r="J340" s="419"/>
      <c r="K340" s="57"/>
      <c r="L340" s="374"/>
      <c r="M340" s="420"/>
      <c r="N340" s="193"/>
      <c r="O340" s="377"/>
      <c r="Q340" s="431"/>
      <c r="R340" s="157"/>
      <c r="S340" s="404"/>
      <c r="T340" s="148"/>
      <c r="U340" s="242"/>
      <c r="V340" s="242"/>
      <c r="W340" s="242"/>
      <c r="X340" s="242"/>
      <c r="Y340" s="242"/>
      <c r="Z340" s="242"/>
      <c r="AA340" s="148"/>
      <c r="AB340" s="148"/>
    </row>
    <row r="341">
      <c r="A341" s="239"/>
      <c r="B341" s="239"/>
      <c r="C341" s="239"/>
      <c r="D341" s="157"/>
      <c r="E341" s="561"/>
      <c r="F341" s="157"/>
      <c r="G341" s="228"/>
      <c r="H341" s="547"/>
      <c r="I341" s="419"/>
      <c r="J341" s="419"/>
      <c r="K341" s="239"/>
      <c r="L341" s="596" t="s">
        <v>1001</v>
      </c>
      <c r="M341" s="420"/>
      <c r="N341" s="193">
        <v>270.0</v>
      </c>
      <c r="O341" s="377"/>
      <c r="Q341" s="431"/>
      <c r="R341" s="157"/>
      <c r="S341" s="404"/>
      <c r="T341" s="148"/>
      <c r="U341" s="242"/>
      <c r="V341" s="242"/>
      <c r="W341" s="242"/>
      <c r="X341" s="242"/>
      <c r="Y341" s="242"/>
      <c r="Z341" s="242"/>
      <c r="AA341" s="148"/>
      <c r="AB341" s="148"/>
    </row>
    <row r="342">
      <c r="A342" s="239"/>
      <c r="B342" s="239"/>
      <c r="C342" s="239"/>
      <c r="D342" s="157"/>
      <c r="E342" s="561"/>
      <c r="F342" s="157"/>
      <c r="G342" s="570"/>
      <c r="H342" s="547"/>
      <c r="I342" s="419"/>
      <c r="J342" s="419"/>
      <c r="K342" s="239"/>
      <c r="L342" s="568"/>
      <c r="M342" s="420"/>
      <c r="N342" s="193"/>
      <c r="O342" s="374"/>
      <c r="Q342" s="431"/>
      <c r="R342" s="157"/>
      <c r="S342" s="404"/>
      <c r="T342" s="148"/>
      <c r="U342" s="242"/>
      <c r="V342" s="242"/>
      <c r="W342" s="242"/>
      <c r="X342" s="242"/>
      <c r="Y342" s="242"/>
      <c r="Z342" s="242"/>
      <c r="AA342" s="148"/>
      <c r="AB342" s="148"/>
    </row>
    <row r="343">
      <c r="E343" s="571"/>
      <c r="F343" s="157"/>
      <c r="G343" s="570"/>
      <c r="H343" s="547"/>
      <c r="I343" s="419"/>
      <c r="J343" s="419"/>
      <c r="K343" s="239"/>
      <c r="L343" s="464" t="s">
        <v>692</v>
      </c>
      <c r="M343" s="420"/>
      <c r="N343" s="193"/>
      <c r="O343" s="377"/>
      <c r="Q343" s="431"/>
      <c r="R343" s="157"/>
      <c r="S343" s="404"/>
      <c r="T343" s="148"/>
      <c r="U343" s="242"/>
      <c r="V343" s="242"/>
      <c r="W343" s="242"/>
      <c r="X343" s="242"/>
      <c r="Y343" s="242"/>
      <c r="Z343" s="242"/>
      <c r="AA343" s="148"/>
      <c r="AB343" s="148"/>
    </row>
    <row r="344">
      <c r="E344" s="571"/>
      <c r="F344" s="157"/>
      <c r="G344" s="570"/>
      <c r="H344" s="547"/>
      <c r="I344" s="419"/>
      <c r="J344" s="419"/>
      <c r="K344" s="239"/>
      <c r="L344" s="464" t="s">
        <v>694</v>
      </c>
      <c r="M344" s="420"/>
      <c r="N344" s="193">
        <v>412.0</v>
      </c>
      <c r="O344" s="377" t="s">
        <v>1346</v>
      </c>
      <c r="Q344" s="431"/>
      <c r="R344" s="157"/>
      <c r="S344" s="404"/>
      <c r="T344" s="148"/>
      <c r="U344" s="242"/>
      <c r="V344" s="242"/>
      <c r="W344" s="242"/>
      <c r="X344" s="242"/>
      <c r="Y344" s="242"/>
      <c r="Z344" s="242"/>
      <c r="AA344" s="148"/>
      <c r="AB344" s="148"/>
    </row>
    <row r="345">
      <c r="E345" s="571"/>
      <c r="F345" s="423"/>
      <c r="G345" s="570"/>
      <c r="H345" s="546"/>
      <c r="I345" s="419"/>
      <c r="J345" s="419"/>
      <c r="K345" s="57"/>
      <c r="L345" s="105"/>
      <c r="M345" s="57"/>
      <c r="N345" s="150"/>
      <c r="O345" s="57"/>
      <c r="P345" s="57"/>
      <c r="Q345" s="57"/>
      <c r="R345" s="157"/>
      <c r="S345" s="404"/>
      <c r="T345" s="148"/>
      <c r="U345" s="242"/>
      <c r="V345" s="242"/>
      <c r="W345" s="242"/>
      <c r="X345" s="242"/>
      <c r="Y345" s="242"/>
      <c r="Z345" s="242"/>
      <c r="AA345" s="148"/>
      <c r="AB345" s="148"/>
    </row>
    <row r="346">
      <c r="A346" s="125" t="s">
        <v>798</v>
      </c>
      <c r="B346" s="125"/>
      <c r="C346" s="125"/>
      <c r="D346" s="572">
        <f>E319-D323</f>
        <v>236.86</v>
      </c>
      <c r="F346" s="157"/>
      <c r="G346" s="570"/>
      <c r="H346" s="573"/>
      <c r="I346" s="478"/>
      <c r="J346" s="419"/>
      <c r="K346" s="239"/>
      <c r="L346" s="568"/>
      <c r="M346" s="57"/>
      <c r="N346" s="150"/>
      <c r="O346" s="57"/>
      <c r="P346" s="57"/>
      <c r="Q346" s="57"/>
      <c r="R346" s="157"/>
      <c r="S346" s="404"/>
      <c r="T346" s="148"/>
      <c r="U346" s="242"/>
      <c r="V346" s="242"/>
      <c r="W346" s="242"/>
      <c r="X346" s="242"/>
      <c r="Y346" s="242"/>
      <c r="Z346" s="242"/>
      <c r="AA346" s="148"/>
      <c r="AB346" s="148"/>
    </row>
    <row r="347">
      <c r="A347" s="274" t="s">
        <v>783</v>
      </c>
      <c r="B347" s="274"/>
      <c r="C347" s="274"/>
      <c r="D347" s="109">
        <v>2350.0</v>
      </c>
      <c r="E347" s="395"/>
      <c r="F347" s="157"/>
      <c r="G347" s="570"/>
      <c r="H347" s="573"/>
      <c r="I347" s="478"/>
      <c r="J347" s="419"/>
      <c r="K347" s="239"/>
      <c r="L347" s="568"/>
      <c r="M347" s="57"/>
      <c r="N347" s="150"/>
      <c r="O347" s="57"/>
      <c r="P347" s="57"/>
      <c r="Q347" s="57"/>
      <c r="R347" s="157"/>
      <c r="S347" s="404"/>
      <c r="T347" s="148"/>
      <c r="U347" s="242"/>
      <c r="V347" s="242"/>
      <c r="W347" s="242"/>
      <c r="X347" s="242"/>
      <c r="Y347" s="242"/>
      <c r="Z347" s="242"/>
      <c r="AA347" s="148"/>
      <c r="AB347" s="148"/>
    </row>
    <row r="348">
      <c r="A348" s="274" t="s">
        <v>784</v>
      </c>
      <c r="B348" s="274"/>
      <c r="C348" s="274"/>
      <c r="D348" s="109">
        <v>1700.0</v>
      </c>
      <c r="E348" s="395"/>
      <c r="F348" s="157"/>
      <c r="G348" s="570"/>
      <c r="H348" s="573"/>
      <c r="I348" s="478"/>
      <c r="J348" s="419"/>
      <c r="K348" s="239"/>
      <c r="L348" s="568"/>
      <c r="M348" s="57"/>
      <c r="N348" s="150"/>
      <c r="O348" s="57"/>
      <c r="P348" s="57"/>
      <c r="Q348" s="57"/>
      <c r="R348" s="157"/>
      <c r="S348" s="404"/>
      <c r="T348" s="148"/>
      <c r="U348" s="242"/>
      <c r="V348" s="242"/>
      <c r="W348" s="242"/>
      <c r="X348" s="242"/>
      <c r="Y348" s="242"/>
      <c r="Z348" s="242"/>
      <c r="AA348" s="148"/>
      <c r="AB348" s="148"/>
    </row>
    <row r="349">
      <c r="A349" s="274" t="s">
        <v>785</v>
      </c>
      <c r="B349" s="274"/>
      <c r="C349" s="274"/>
      <c r="D349" s="109"/>
      <c r="E349" s="395"/>
      <c r="F349" s="157"/>
      <c r="G349" s="570"/>
      <c r="H349" s="573"/>
      <c r="I349" s="478"/>
      <c r="J349" s="419"/>
      <c r="K349" s="239"/>
      <c r="L349" s="568"/>
      <c r="M349" s="57"/>
      <c r="N349" s="150"/>
      <c r="O349" s="57"/>
      <c r="P349" s="57"/>
      <c r="Q349" s="57"/>
      <c r="R349" s="157"/>
      <c r="S349" s="404"/>
      <c r="T349" s="148"/>
      <c r="U349" s="242"/>
      <c r="V349" s="242"/>
      <c r="W349" s="242"/>
      <c r="X349" s="242"/>
      <c r="Y349" s="242"/>
      <c r="Z349" s="242"/>
      <c r="AA349" s="148"/>
      <c r="AB349" s="148"/>
    </row>
    <row r="350">
      <c r="A350" s="402"/>
      <c r="B350" s="402"/>
      <c r="C350" s="402"/>
      <c r="D350" s="403"/>
      <c r="E350" s="403"/>
      <c r="F350" s="403"/>
      <c r="G350" s="574"/>
      <c r="H350" s="575"/>
      <c r="I350" s="159"/>
      <c r="J350" s="159"/>
      <c r="K350" s="159"/>
      <c r="L350" s="576"/>
      <c r="M350" s="159"/>
      <c r="N350" s="162"/>
      <c r="O350" s="402"/>
      <c r="P350" s="402"/>
      <c r="Q350" s="159"/>
      <c r="R350" s="403"/>
      <c r="S350" s="577"/>
      <c r="T350" s="148"/>
      <c r="U350" s="242"/>
      <c r="V350" s="242"/>
      <c r="W350" s="242"/>
      <c r="X350" s="242"/>
      <c r="Y350" s="242"/>
      <c r="Z350" s="242"/>
      <c r="AA350" s="148"/>
      <c r="AB350" s="148"/>
    </row>
    <row r="351">
      <c r="A351" s="148"/>
      <c r="B351" s="148"/>
      <c r="C351" s="148"/>
      <c r="D351" s="148"/>
      <c r="E351" s="148"/>
      <c r="F351" s="245"/>
      <c r="G351" s="585"/>
      <c r="H351" s="586"/>
      <c r="I351" s="148"/>
      <c r="J351" s="148"/>
      <c r="K351" s="251"/>
      <c r="L351" s="243"/>
      <c r="M351" s="148"/>
      <c r="N351" s="277"/>
      <c r="O351" s="252"/>
      <c r="P351" s="250"/>
      <c r="Q351" s="253"/>
      <c r="R351" s="240"/>
      <c r="S351" s="148"/>
      <c r="T351" s="148"/>
      <c r="U351" s="242"/>
      <c r="V351" s="242"/>
      <c r="W351" s="242"/>
      <c r="X351" s="242"/>
      <c r="Y351" s="242"/>
      <c r="Z351" s="242"/>
      <c r="AA351" s="148"/>
      <c r="AB351" s="148"/>
    </row>
    <row r="352">
      <c r="A352" s="169" t="s">
        <v>98</v>
      </c>
      <c r="B352" s="705"/>
      <c r="C352" s="705"/>
      <c r="D352" s="539"/>
      <c r="E352" s="540"/>
      <c r="F352" s="405"/>
      <c r="G352" s="541"/>
      <c r="H352" s="542"/>
      <c r="I352" s="467" t="s">
        <v>333</v>
      </c>
      <c r="J352" s="361"/>
      <c r="K352" s="57"/>
      <c r="L352" s="105"/>
      <c r="M352" s="57"/>
      <c r="N352" s="150"/>
      <c r="O352" s="239"/>
      <c r="P352" s="239"/>
      <c r="Q352" s="57"/>
      <c r="R352" s="157"/>
      <c r="S352" s="404"/>
      <c r="T352" s="148"/>
      <c r="U352" s="242"/>
      <c r="V352" s="242"/>
      <c r="W352" s="242"/>
      <c r="X352" s="242"/>
      <c r="Y352" s="242"/>
      <c r="Z352" s="242"/>
      <c r="AA352" s="148"/>
      <c r="AB352" s="148"/>
    </row>
    <row r="353">
      <c r="A353" s="468"/>
      <c r="B353" s="406"/>
      <c r="C353" s="406"/>
      <c r="D353" s="157"/>
      <c r="E353" s="466"/>
      <c r="F353" s="405"/>
      <c r="G353" s="543" t="s">
        <v>335</v>
      </c>
      <c r="H353" s="544" t="s">
        <v>237</v>
      </c>
      <c r="I353" s="412" t="s">
        <v>336</v>
      </c>
      <c r="J353" s="413" t="s">
        <v>337</v>
      </c>
      <c r="K353" s="239"/>
      <c r="L353" s="145" t="s">
        <v>60</v>
      </c>
      <c r="M353" s="57"/>
      <c r="N353" s="150"/>
      <c r="O353" s="414"/>
      <c r="P353" s="414"/>
      <c r="Q353" s="57" t="s">
        <v>334</v>
      </c>
      <c r="R353" s="157"/>
      <c r="S353" s="404"/>
      <c r="T353" s="148"/>
      <c r="U353" s="242"/>
      <c r="V353" s="242"/>
      <c r="W353" s="242"/>
      <c r="X353" s="242"/>
      <c r="Y353" s="242"/>
      <c r="Z353" s="242"/>
      <c r="AA353" s="148"/>
      <c r="AB353" s="148"/>
    </row>
    <row r="354">
      <c r="A354" s="470" t="s">
        <v>179</v>
      </c>
      <c r="E354" s="416">
        <f>SUM(H354:H388)</f>
        <v>8300</v>
      </c>
      <c r="F354" s="405"/>
      <c r="G354" s="545"/>
      <c r="H354" s="546"/>
      <c r="I354" s="419"/>
      <c r="J354" s="419"/>
      <c r="K354" s="57"/>
      <c r="M354" s="57"/>
      <c r="N354" s="150"/>
      <c r="O354" s="377" t="s">
        <v>366</v>
      </c>
      <c r="R354" s="157"/>
      <c r="S354" s="404"/>
      <c r="T354" s="148"/>
      <c r="U354" s="242"/>
      <c r="V354" s="242"/>
      <c r="W354" s="242"/>
      <c r="X354" s="242"/>
      <c r="Y354" s="242"/>
      <c r="Z354" s="242"/>
      <c r="AA354" s="148"/>
      <c r="AB354" s="148"/>
    </row>
    <row r="355">
      <c r="A355" s="421" t="s">
        <v>343</v>
      </c>
      <c r="B355" s="105"/>
      <c r="C355" s="105"/>
      <c r="D355" s="422" t="s">
        <v>321</v>
      </c>
      <c r="E355" s="416">
        <f>SUM(R355:R388)</f>
        <v>780</v>
      </c>
      <c r="F355" s="157"/>
      <c r="G355" s="545"/>
      <c r="H355" s="546"/>
      <c r="I355" s="419"/>
      <c r="J355" s="419"/>
      <c r="K355" s="239"/>
      <c r="L355" s="471" t="s">
        <v>341</v>
      </c>
      <c r="M355" s="420"/>
      <c r="N355" s="150"/>
      <c r="O355" s="374"/>
      <c r="Q355" s="426" t="s">
        <v>1347</v>
      </c>
      <c r="R355" s="423">
        <v>120.0</v>
      </c>
      <c r="S355" s="404"/>
      <c r="T355" s="148"/>
      <c r="U355" s="242"/>
      <c r="V355" s="242"/>
      <c r="W355" s="242"/>
      <c r="X355" s="242"/>
      <c r="Y355" s="242"/>
      <c r="Z355" s="242"/>
      <c r="AA355" s="148"/>
      <c r="AB355" s="148"/>
    </row>
    <row r="356">
      <c r="A356" s="427" t="s">
        <v>201</v>
      </c>
      <c r="E356" s="204">
        <f>SUM(N355:N388)</f>
        <v>2980.42</v>
      </c>
      <c r="F356" s="157"/>
      <c r="G356" s="545"/>
      <c r="H356" s="546"/>
      <c r="I356" s="419"/>
      <c r="J356" s="419"/>
      <c r="K356" s="239"/>
      <c r="L356" s="472" t="s">
        <v>345</v>
      </c>
      <c r="M356" s="420"/>
      <c r="N356" s="193">
        <v>25.42</v>
      </c>
      <c r="O356" s="377" t="s">
        <v>1348</v>
      </c>
      <c r="Q356" s="426" t="s">
        <v>1349</v>
      </c>
      <c r="R356" s="423">
        <v>65.0</v>
      </c>
      <c r="S356" s="404"/>
      <c r="T356" s="148"/>
      <c r="U356" s="242"/>
      <c r="V356" s="242"/>
      <c r="W356" s="242"/>
      <c r="X356" s="242"/>
      <c r="Y356" s="242"/>
      <c r="Z356" s="242"/>
      <c r="AA356" s="148"/>
      <c r="AB356" s="148"/>
    </row>
    <row r="357">
      <c r="A357" s="548" t="s">
        <v>761</v>
      </c>
      <c r="B357" s="706"/>
      <c r="C357" s="706"/>
      <c r="D357" s="549">
        <v>0.4</v>
      </c>
      <c r="E357" s="191">
        <v>312.0</v>
      </c>
      <c r="F357" s="157"/>
      <c r="G357" s="550" t="s">
        <v>695</v>
      </c>
      <c r="H357" s="546"/>
      <c r="I357" s="587"/>
      <c r="J357" s="419"/>
      <c r="K357" s="239"/>
      <c r="L357" s="433" t="s">
        <v>656</v>
      </c>
      <c r="M357" s="420"/>
      <c r="N357" s="193"/>
      <c r="O357" s="374"/>
      <c r="Q357" s="426" t="s">
        <v>1350</v>
      </c>
      <c r="R357" s="423">
        <v>390.0</v>
      </c>
      <c r="S357" s="404"/>
      <c r="T357" s="148"/>
      <c r="U357" s="242"/>
      <c r="V357" s="735"/>
      <c r="W357" s="242"/>
      <c r="X357" s="242"/>
      <c r="Y357" s="242"/>
      <c r="Z357" s="242"/>
      <c r="AA357" s="148"/>
      <c r="AB357" s="148"/>
    </row>
    <row r="358">
      <c r="A358" s="434" t="s">
        <v>350</v>
      </c>
      <c r="E358" s="551">
        <f>E354-E356-E357</f>
        <v>5007.58</v>
      </c>
      <c r="F358" s="157"/>
      <c r="G358" s="192" t="s">
        <v>1347</v>
      </c>
      <c r="H358" s="546">
        <v>120.0</v>
      </c>
      <c r="I358" s="593" t="s">
        <v>426</v>
      </c>
      <c r="J358" s="419"/>
      <c r="K358" s="57"/>
      <c r="L358" s="444" t="s">
        <v>658</v>
      </c>
      <c r="M358" s="420"/>
      <c r="N358" s="193">
        <v>25.0</v>
      </c>
      <c r="O358" s="377"/>
      <c r="Q358" s="426" t="s">
        <v>1274</v>
      </c>
      <c r="R358" s="423">
        <v>85.0</v>
      </c>
      <c r="S358" s="404"/>
      <c r="T358" s="148"/>
      <c r="U358" s="242"/>
      <c r="V358" s="242"/>
      <c r="W358" s="242"/>
      <c r="X358" s="242"/>
      <c r="Y358" s="242"/>
      <c r="Z358" s="242"/>
      <c r="AA358" s="148"/>
      <c r="AB358" s="148"/>
    </row>
    <row r="359">
      <c r="A359" s="554"/>
      <c r="B359" s="555"/>
      <c r="C359" s="555"/>
      <c r="D359" s="555"/>
      <c r="E359" s="447"/>
      <c r="F359" s="157"/>
      <c r="G359" s="192" t="s">
        <v>1351</v>
      </c>
      <c r="H359" s="546">
        <v>65.0</v>
      </c>
      <c r="I359" s="593" t="s">
        <v>426</v>
      </c>
      <c r="J359" s="419"/>
      <c r="K359" s="57"/>
      <c r="L359" s="444" t="s">
        <v>660</v>
      </c>
      <c r="M359" s="420"/>
      <c r="N359" s="193">
        <v>120.0</v>
      </c>
      <c r="O359" s="377"/>
      <c r="Q359" s="426" t="s">
        <v>1352</v>
      </c>
      <c r="R359" s="423">
        <v>120.0</v>
      </c>
      <c r="S359" s="404"/>
      <c r="T359" s="148"/>
      <c r="U359" s="242"/>
      <c r="V359" s="242"/>
      <c r="W359" s="242"/>
      <c r="X359" s="242"/>
      <c r="Y359" s="242"/>
      <c r="Z359" s="242"/>
      <c r="AA359" s="148"/>
      <c r="AB359" s="148"/>
    </row>
    <row r="360">
      <c r="A360" s="556"/>
      <c r="E360" s="395"/>
      <c r="F360" s="157"/>
      <c r="G360" s="192" t="s">
        <v>1353</v>
      </c>
      <c r="H360" s="736">
        <v>260.0</v>
      </c>
      <c r="I360" s="593" t="s">
        <v>426</v>
      </c>
      <c r="J360" s="419"/>
      <c r="K360" s="239"/>
      <c r="L360" s="370" t="s">
        <v>662</v>
      </c>
      <c r="M360" s="420"/>
      <c r="N360" s="193"/>
      <c r="O360" s="377"/>
      <c r="Q360" s="426"/>
      <c r="R360" s="423"/>
      <c r="S360" s="404"/>
      <c r="T360" s="148"/>
      <c r="U360" s="242"/>
      <c r="V360" s="242"/>
      <c r="W360" s="242"/>
      <c r="X360" s="242"/>
      <c r="Y360" s="242"/>
      <c r="Z360" s="242"/>
      <c r="AA360" s="148"/>
      <c r="AB360" s="148"/>
    </row>
    <row r="361">
      <c r="A361" s="557"/>
      <c r="B361" s="557"/>
      <c r="C361" s="557"/>
      <c r="D361" s="109"/>
      <c r="E361" s="395"/>
      <c r="F361" s="373"/>
      <c r="G361" s="192" t="s">
        <v>1354</v>
      </c>
      <c r="H361" s="546">
        <v>110.0</v>
      </c>
      <c r="I361" s="587"/>
      <c r="J361" s="419"/>
      <c r="K361" s="239"/>
      <c r="L361" s="433" t="s">
        <v>666</v>
      </c>
      <c r="M361" s="420"/>
      <c r="N361" s="193">
        <v>40.0</v>
      </c>
      <c r="O361" s="377" t="s">
        <v>1355</v>
      </c>
      <c r="Q361" s="431"/>
      <c r="R361" s="157"/>
      <c r="S361" s="404"/>
      <c r="T361" s="148"/>
      <c r="U361" s="242"/>
      <c r="V361" s="242"/>
      <c r="W361" s="242"/>
      <c r="X361" s="242"/>
      <c r="Y361" s="242"/>
      <c r="Z361" s="242"/>
      <c r="AA361" s="148"/>
      <c r="AB361" s="148"/>
    </row>
    <row r="362">
      <c r="A362" s="559" t="s">
        <v>765</v>
      </c>
      <c r="B362" s="559"/>
      <c r="C362" s="559"/>
      <c r="D362" s="560">
        <f>SUM(F362:F388)</f>
        <v>934</v>
      </c>
      <c r="E362" s="477" t="s">
        <v>366</v>
      </c>
      <c r="F362" s="157"/>
      <c r="G362" s="192" t="s">
        <v>1274</v>
      </c>
      <c r="H362" s="546">
        <v>85.0</v>
      </c>
      <c r="I362" s="593" t="s">
        <v>426</v>
      </c>
      <c r="J362" s="419"/>
      <c r="K362" s="239"/>
      <c r="L362" s="433" t="s">
        <v>668</v>
      </c>
      <c r="M362" s="420"/>
      <c r="N362" s="150"/>
      <c r="O362" s="377"/>
      <c r="Q362" s="431"/>
      <c r="R362" s="157"/>
      <c r="S362" s="404"/>
      <c r="T362" s="148"/>
      <c r="U362" s="242"/>
      <c r="V362" s="242"/>
      <c r="W362" s="242"/>
      <c r="X362" s="242"/>
      <c r="Y362" s="242"/>
      <c r="Z362" s="242"/>
      <c r="AA362" s="148"/>
      <c r="AB362" s="148"/>
    </row>
    <row r="363">
      <c r="A363" s="453" t="s">
        <v>369</v>
      </c>
      <c r="E363" s="561" t="s">
        <v>766</v>
      </c>
      <c r="F363" s="423"/>
      <c r="G363" s="192" t="s">
        <v>1318</v>
      </c>
      <c r="H363" s="546">
        <v>550.0</v>
      </c>
      <c r="I363" s="419"/>
      <c r="J363" s="419"/>
      <c r="K363" s="239"/>
      <c r="L363" s="433" t="s">
        <v>670</v>
      </c>
      <c r="M363" s="458"/>
      <c r="N363" s="193">
        <v>1250.0</v>
      </c>
      <c r="O363" s="377"/>
      <c r="Q363" s="431"/>
      <c r="R363" s="157"/>
      <c r="S363" s="404"/>
      <c r="T363" s="148"/>
      <c r="U363" s="242"/>
      <c r="V363" s="242"/>
      <c r="W363" s="242"/>
      <c r="X363" s="242"/>
      <c r="Y363" s="242"/>
      <c r="Z363" s="242"/>
      <c r="AA363" s="148"/>
      <c r="AB363" s="148"/>
    </row>
    <row r="364">
      <c r="E364" s="561" t="s">
        <v>767</v>
      </c>
      <c r="F364" s="157"/>
      <c r="G364" s="192" t="s">
        <v>1356</v>
      </c>
      <c r="H364" s="546">
        <v>2000.0</v>
      </c>
      <c r="I364" s="419"/>
      <c r="J364" s="419"/>
      <c r="K364" s="239"/>
      <c r="L364" s="433" t="s">
        <v>217</v>
      </c>
      <c r="M364" s="458"/>
      <c r="N364" s="150"/>
      <c r="O364" s="377"/>
      <c r="Q364" s="431"/>
      <c r="R364" s="157"/>
      <c r="S364" s="404"/>
      <c r="T364" s="148"/>
      <c r="U364" s="242"/>
      <c r="V364" s="242"/>
      <c r="W364" s="242"/>
      <c r="X364" s="242"/>
      <c r="Y364" s="242"/>
      <c r="Z364" s="242"/>
      <c r="AA364" s="148"/>
      <c r="AB364" s="148"/>
    </row>
    <row r="365">
      <c r="A365" s="57"/>
      <c r="B365" s="57"/>
      <c r="C365" s="57"/>
      <c r="D365" s="57"/>
      <c r="E365" s="561" t="s">
        <v>768</v>
      </c>
      <c r="F365" s="423"/>
      <c r="G365" s="192" t="s">
        <v>1353</v>
      </c>
      <c r="H365" s="600">
        <v>260.0</v>
      </c>
      <c r="I365" s="593" t="s">
        <v>426</v>
      </c>
      <c r="J365" s="419"/>
      <c r="K365" s="239"/>
      <c r="L365" s="109"/>
      <c r="M365" s="420"/>
      <c r="N365" s="193"/>
      <c r="O365" s="374"/>
      <c r="Q365" s="431"/>
      <c r="R365" s="157"/>
      <c r="S365" s="404"/>
      <c r="T365" s="148"/>
      <c r="U365" s="242"/>
      <c r="V365" s="242"/>
      <c r="W365" s="242"/>
      <c r="X365" s="242"/>
      <c r="Y365" s="242"/>
      <c r="Z365" s="242"/>
      <c r="AA365" s="148"/>
      <c r="AB365" s="148"/>
    </row>
    <row r="366">
      <c r="A366" s="57"/>
      <c r="B366" s="57"/>
      <c r="C366" s="57"/>
      <c r="D366" s="57"/>
      <c r="E366" s="561" t="s">
        <v>769</v>
      </c>
      <c r="F366" s="157"/>
      <c r="G366" s="192" t="s">
        <v>340</v>
      </c>
      <c r="H366" s="546">
        <v>2000.0</v>
      </c>
      <c r="I366" s="419"/>
      <c r="J366" s="419"/>
      <c r="K366" s="239"/>
      <c r="L366" s="456" t="s">
        <v>672</v>
      </c>
      <c r="M366" s="420"/>
      <c r="N366" s="150"/>
      <c r="O366" s="377"/>
      <c r="Q366" s="431"/>
      <c r="R366" s="157"/>
      <c r="S366" s="404"/>
      <c r="T366" s="148"/>
      <c r="U366" s="242"/>
      <c r="V366" s="242"/>
      <c r="W366" s="242"/>
      <c r="X366" s="242"/>
      <c r="Y366" s="242"/>
      <c r="Z366" s="242"/>
      <c r="AA366" s="148"/>
      <c r="AB366" s="148"/>
    </row>
    <row r="367">
      <c r="A367" s="57"/>
      <c r="B367" s="57"/>
      <c r="C367" s="57"/>
      <c r="D367" s="57"/>
      <c r="E367" s="561" t="s">
        <v>770</v>
      </c>
      <c r="F367" s="423"/>
      <c r="G367" s="192" t="s">
        <v>886</v>
      </c>
      <c r="H367" s="546">
        <v>300.0</v>
      </c>
      <c r="I367" s="587"/>
      <c r="J367" s="419"/>
      <c r="K367" s="57"/>
      <c r="L367" s="456" t="s">
        <v>675</v>
      </c>
      <c r="M367" s="420"/>
      <c r="N367" s="150"/>
      <c r="O367" s="382"/>
      <c r="Q367" s="431"/>
      <c r="R367" s="157"/>
      <c r="S367" s="404"/>
      <c r="T367" s="148"/>
      <c r="U367" s="242"/>
      <c r="V367" s="242"/>
      <c r="W367" s="242"/>
      <c r="X367" s="242"/>
      <c r="Y367" s="242"/>
      <c r="Z367" s="242"/>
      <c r="AA367" s="148"/>
      <c r="AB367" s="148"/>
    </row>
    <row r="368">
      <c r="A368" s="57"/>
      <c r="B368" s="57"/>
      <c r="C368" s="57"/>
      <c r="D368" s="57"/>
      <c r="E368" s="561" t="s">
        <v>793</v>
      </c>
      <c r="F368" s="423">
        <v>200.0</v>
      </c>
      <c r="G368" s="192" t="s">
        <v>957</v>
      </c>
      <c r="H368" s="546">
        <v>60.0</v>
      </c>
      <c r="I368" s="455"/>
      <c r="J368" s="419"/>
      <c r="K368" s="57"/>
      <c r="L368" s="456"/>
      <c r="M368" s="420"/>
      <c r="N368" s="150"/>
      <c r="O368" s="425"/>
      <c r="Q368" s="431"/>
      <c r="R368" s="157"/>
      <c r="S368" s="404"/>
      <c r="T368" s="148"/>
      <c r="U368" s="242"/>
      <c r="V368" s="242"/>
      <c r="W368" s="242"/>
      <c r="X368" s="242"/>
      <c r="Y368" s="242"/>
      <c r="Z368" s="242"/>
      <c r="AA368" s="148"/>
      <c r="AB368" s="148"/>
    </row>
    <row r="369">
      <c r="A369" s="239"/>
      <c r="B369" s="239"/>
      <c r="C369" s="239"/>
      <c r="D369" s="57"/>
      <c r="E369" s="561" t="s">
        <v>794</v>
      </c>
      <c r="F369" s="423"/>
      <c r="G369" s="192" t="s">
        <v>433</v>
      </c>
      <c r="H369" s="546">
        <v>50.0</v>
      </c>
      <c r="I369" s="419"/>
      <c r="J369" s="419"/>
      <c r="K369" s="57"/>
      <c r="L369" s="375"/>
      <c r="M369" s="420"/>
      <c r="N369" s="150"/>
      <c r="O369" s="425"/>
      <c r="Q369" s="431"/>
      <c r="R369" s="157"/>
      <c r="S369" s="404"/>
      <c r="T369" s="148"/>
      <c r="U369" s="242"/>
      <c r="V369" s="242"/>
      <c r="W369" s="242"/>
      <c r="X369" s="242"/>
      <c r="Y369" s="242"/>
      <c r="Z369" s="242"/>
      <c r="AA369" s="148"/>
      <c r="AB369" s="148"/>
    </row>
    <row r="370">
      <c r="A370" s="239"/>
      <c r="B370" s="239"/>
      <c r="C370" s="239"/>
      <c r="D370" s="57"/>
      <c r="E370" s="561" t="s">
        <v>18</v>
      </c>
      <c r="F370" s="423"/>
      <c r="G370" s="192" t="s">
        <v>1219</v>
      </c>
      <c r="H370" s="546">
        <v>120.0</v>
      </c>
      <c r="I370" s="419"/>
      <c r="J370" s="419"/>
      <c r="K370" s="57"/>
      <c r="L370" s="375"/>
      <c r="M370" s="420"/>
      <c r="N370" s="193"/>
      <c r="O370" s="382"/>
      <c r="Q370" s="431"/>
      <c r="R370" s="157"/>
      <c r="S370" s="404"/>
      <c r="T370" s="148"/>
      <c r="U370" s="242"/>
      <c r="V370" s="242"/>
      <c r="W370" s="242"/>
      <c r="X370" s="242"/>
      <c r="Y370" s="242"/>
      <c r="Z370" s="242"/>
      <c r="AA370" s="148"/>
      <c r="AB370" s="148"/>
    </row>
    <row r="371">
      <c r="A371" s="239"/>
      <c r="B371" s="239"/>
      <c r="C371" s="239"/>
      <c r="D371" s="57"/>
      <c r="E371" s="561" t="s">
        <v>773</v>
      </c>
      <c r="F371" s="157"/>
      <c r="G371" s="192" t="s">
        <v>1353</v>
      </c>
      <c r="H371" s="546">
        <v>1560.0</v>
      </c>
      <c r="I371" s="707" t="s">
        <v>426</v>
      </c>
      <c r="J371" s="419"/>
      <c r="K371" s="57"/>
      <c r="L371" s="452"/>
      <c r="M371" s="420"/>
      <c r="N371" s="150"/>
      <c r="O371" s="425"/>
      <c r="Q371" s="431"/>
      <c r="R371" s="157"/>
      <c r="S371" s="404"/>
      <c r="T371" s="148"/>
      <c r="U371" s="242"/>
      <c r="V371" s="242"/>
      <c r="W371" s="242"/>
      <c r="X371" s="242"/>
      <c r="Y371" s="242"/>
      <c r="Z371" s="242"/>
      <c r="AA371" s="148"/>
      <c r="AB371" s="148"/>
    </row>
    <row r="372">
      <c r="A372" s="238" t="s">
        <v>1357</v>
      </c>
      <c r="B372" s="238"/>
      <c r="C372" s="238"/>
      <c r="D372" s="57"/>
      <c r="E372" s="561" t="s">
        <v>774</v>
      </c>
      <c r="F372" s="423">
        <v>20.0</v>
      </c>
      <c r="G372" s="192" t="s">
        <v>1358</v>
      </c>
      <c r="H372" s="546">
        <v>60.0</v>
      </c>
      <c r="I372" s="587" t="s">
        <v>426</v>
      </c>
      <c r="J372" s="419"/>
      <c r="K372" s="57"/>
      <c r="L372" s="105"/>
      <c r="M372" s="420"/>
      <c r="N372" s="150"/>
      <c r="O372" s="425"/>
      <c r="Q372" s="431"/>
      <c r="R372" s="157"/>
      <c r="S372" s="404"/>
      <c r="T372" s="148"/>
      <c r="U372" s="242"/>
      <c r="V372" s="242"/>
      <c r="W372" s="242"/>
      <c r="X372" s="242"/>
      <c r="Y372" s="242"/>
      <c r="Z372" s="242"/>
      <c r="AA372" s="148"/>
      <c r="AB372" s="148"/>
    </row>
    <row r="373">
      <c r="A373" s="663" t="s">
        <v>1359</v>
      </c>
      <c r="B373" s="302"/>
      <c r="C373" s="302"/>
      <c r="D373" s="239"/>
      <c r="E373" s="561" t="s">
        <v>775</v>
      </c>
      <c r="F373" s="423">
        <v>420.0</v>
      </c>
      <c r="G373" s="192" t="s">
        <v>1148</v>
      </c>
      <c r="H373" s="737">
        <v>700.0</v>
      </c>
      <c r="I373" s="419"/>
      <c r="J373" s="419"/>
      <c r="K373" s="57"/>
      <c r="L373" s="378" t="s">
        <v>682</v>
      </c>
      <c r="M373" s="420"/>
      <c r="N373" s="193">
        <v>10.0</v>
      </c>
      <c r="O373" s="377" t="s">
        <v>1329</v>
      </c>
      <c r="Q373" s="431"/>
      <c r="R373" s="157"/>
      <c r="S373" s="404"/>
      <c r="T373" s="148"/>
      <c r="U373" s="242"/>
      <c r="V373" s="242"/>
      <c r="W373" s="242"/>
      <c r="X373" s="242"/>
      <c r="Y373" s="242"/>
      <c r="Z373" s="242"/>
      <c r="AA373" s="148"/>
      <c r="AB373" s="148"/>
    </row>
    <row r="374">
      <c r="A374" s="239"/>
      <c r="B374" s="239"/>
      <c r="C374" s="239"/>
      <c r="D374" s="239"/>
      <c r="E374" s="561" t="s">
        <v>10</v>
      </c>
      <c r="F374" s="157"/>
      <c r="G374" s="206"/>
      <c r="H374" s="564"/>
      <c r="I374" s="478"/>
      <c r="J374" s="419"/>
      <c r="K374" s="57"/>
      <c r="L374" s="461" t="s">
        <v>684</v>
      </c>
      <c r="M374" s="420"/>
      <c r="N374" s="193"/>
      <c r="O374" s="377"/>
      <c r="Q374" s="431"/>
      <c r="R374" s="157"/>
      <c r="S374" s="404"/>
      <c r="T374" s="148"/>
      <c r="U374" s="242"/>
      <c r="V374" s="242"/>
      <c r="W374" s="242"/>
      <c r="X374" s="242"/>
      <c r="Y374" s="242"/>
      <c r="Z374" s="242"/>
      <c r="AA374" s="148"/>
      <c r="AB374" s="148"/>
    </row>
    <row r="375">
      <c r="A375" s="662" t="s">
        <v>1360</v>
      </c>
      <c r="B375" s="238"/>
      <c r="C375" s="238"/>
      <c r="D375" s="239"/>
      <c r="E375" s="561" t="s">
        <v>6</v>
      </c>
      <c r="F375" s="423">
        <v>240.0</v>
      </c>
      <c r="G375" s="206"/>
      <c r="H375" s="547"/>
      <c r="I375" s="455"/>
      <c r="J375" s="455"/>
      <c r="K375" s="57"/>
      <c r="L375" s="461" t="s">
        <v>686</v>
      </c>
      <c r="M375" s="420"/>
      <c r="N375" s="193">
        <v>400.0</v>
      </c>
      <c r="O375" s="377" t="s">
        <v>1361</v>
      </c>
      <c r="Q375" s="463"/>
      <c r="R375" s="157"/>
      <c r="S375" s="404"/>
      <c r="T375" s="148"/>
      <c r="U375" s="242"/>
      <c r="V375" s="242"/>
      <c r="W375" s="242"/>
      <c r="X375" s="242"/>
      <c r="Y375" s="242"/>
      <c r="Z375" s="242"/>
      <c r="AA375" s="148"/>
      <c r="AB375" s="148"/>
    </row>
    <row r="376">
      <c r="A376" s="659"/>
      <c r="B376" s="57"/>
      <c r="C376" s="57"/>
      <c r="D376" s="57"/>
      <c r="E376" s="561" t="s">
        <v>779</v>
      </c>
      <c r="F376" s="157"/>
      <c r="G376" s="228"/>
      <c r="H376" s="547"/>
      <c r="I376" s="455"/>
      <c r="J376" s="455"/>
      <c r="K376" s="239"/>
      <c r="L376" s="460" t="s">
        <v>202</v>
      </c>
      <c r="M376" s="420"/>
      <c r="N376" s="193"/>
      <c r="O376" s="377"/>
      <c r="Q376" s="463"/>
      <c r="R376" s="157"/>
      <c r="S376" s="404"/>
      <c r="T376" s="148"/>
      <c r="U376" s="242"/>
      <c r="V376" s="242"/>
      <c r="W376" s="242"/>
      <c r="X376" s="242"/>
      <c r="Y376" s="242"/>
      <c r="Z376" s="242"/>
      <c r="AA376" s="148"/>
      <c r="AB376" s="148"/>
    </row>
    <row r="377">
      <c r="A377" s="660"/>
      <c r="B377" s="239"/>
      <c r="C377" s="239"/>
      <c r="D377" s="239"/>
      <c r="E377" s="561" t="s">
        <v>780</v>
      </c>
      <c r="F377" s="157"/>
      <c r="G377" s="228"/>
      <c r="H377" s="547"/>
      <c r="I377" s="455"/>
      <c r="J377" s="455"/>
      <c r="K377" s="57"/>
      <c r="L377" s="460" t="s">
        <v>274</v>
      </c>
      <c r="M377" s="420"/>
      <c r="N377" s="193"/>
      <c r="O377" s="374"/>
      <c r="Q377" s="463"/>
      <c r="R377" s="157"/>
      <c r="S377" s="404"/>
      <c r="T377" s="148"/>
      <c r="U377" s="242"/>
      <c r="V377" s="242"/>
      <c r="W377" s="242"/>
      <c r="X377" s="242"/>
      <c r="Y377" s="242"/>
      <c r="Z377" s="242"/>
      <c r="AA377" s="148"/>
      <c r="AB377" s="148"/>
    </row>
    <row r="378">
      <c r="A378" s="662" t="s">
        <v>1362</v>
      </c>
      <c r="B378" s="238"/>
      <c r="C378" s="238"/>
      <c r="D378" s="239"/>
      <c r="E378" s="561" t="s">
        <v>781</v>
      </c>
      <c r="F378" s="423">
        <v>54.0</v>
      </c>
      <c r="G378" s="228"/>
      <c r="H378" s="547"/>
      <c r="I378" s="455"/>
      <c r="J378" s="419"/>
      <c r="K378" s="239"/>
      <c r="L378" s="685" t="s">
        <v>1121</v>
      </c>
      <c r="M378" s="420"/>
      <c r="N378" s="193">
        <v>400.0</v>
      </c>
      <c r="O378" s="374"/>
      <c r="Q378" s="431"/>
      <c r="R378" s="157"/>
      <c r="S378" s="404"/>
      <c r="T378" s="148"/>
      <c r="U378" s="242"/>
      <c r="V378" s="242"/>
      <c r="W378" s="242"/>
      <c r="X378" s="242"/>
      <c r="Y378" s="242"/>
      <c r="Z378" s="242"/>
      <c r="AA378" s="148"/>
      <c r="AB378" s="148"/>
    </row>
    <row r="379">
      <c r="A379" s="660"/>
      <c r="B379" s="239"/>
      <c r="C379" s="239"/>
      <c r="D379" s="157"/>
      <c r="E379" s="561" t="s">
        <v>1118</v>
      </c>
      <c r="F379" s="157"/>
      <c r="G379" s="569"/>
      <c r="H379" s="547"/>
      <c r="I379" s="419"/>
      <c r="J379" s="419"/>
      <c r="K379" s="57"/>
      <c r="L379" s="374"/>
      <c r="M379" s="420"/>
      <c r="N379" s="193"/>
      <c r="O379" s="377"/>
      <c r="Q379" s="431"/>
      <c r="R379" s="157"/>
      <c r="S379" s="404"/>
      <c r="T379" s="148"/>
      <c r="U379" s="242"/>
      <c r="V379" s="242"/>
      <c r="W379" s="242"/>
      <c r="X379" s="242"/>
      <c r="Y379" s="242"/>
      <c r="Z379" s="242"/>
      <c r="AA379" s="148"/>
      <c r="AB379" s="148"/>
    </row>
    <row r="380">
      <c r="A380" s="660"/>
      <c r="B380" s="239"/>
      <c r="C380" s="239"/>
      <c r="D380" s="157"/>
      <c r="E380" s="561"/>
      <c r="F380" s="157"/>
      <c r="G380" s="228"/>
      <c r="H380" s="547"/>
      <c r="I380" s="419"/>
      <c r="J380" s="419"/>
      <c r="K380" s="239"/>
      <c r="L380" s="596" t="s">
        <v>1001</v>
      </c>
      <c r="M380" s="420"/>
      <c r="N380" s="193">
        <v>480.0</v>
      </c>
      <c r="O380" s="377"/>
      <c r="Q380" s="431"/>
      <c r="R380" s="157"/>
      <c r="S380" s="404"/>
      <c r="T380" s="148"/>
      <c r="U380" s="242"/>
      <c r="V380" s="242"/>
      <c r="W380" s="242"/>
      <c r="X380" s="242"/>
      <c r="Y380" s="242"/>
      <c r="Z380" s="242"/>
      <c r="AA380" s="148"/>
      <c r="AB380" s="148"/>
    </row>
    <row r="381">
      <c r="A381" s="660"/>
      <c r="B381" s="239"/>
      <c r="C381" s="239"/>
      <c r="D381" s="157"/>
      <c r="E381" s="561"/>
      <c r="F381" s="157"/>
      <c r="G381" s="570"/>
      <c r="H381" s="547"/>
      <c r="I381" s="419"/>
      <c r="J381" s="419"/>
      <c r="K381" s="239"/>
      <c r="L381" s="568"/>
      <c r="M381" s="420"/>
      <c r="N381" s="193"/>
      <c r="O381" s="374"/>
      <c r="Q381" s="431"/>
      <c r="R381" s="157"/>
      <c r="S381" s="404"/>
      <c r="T381" s="148"/>
      <c r="U381" s="242"/>
      <c r="V381" s="242"/>
      <c r="W381" s="242"/>
      <c r="X381" s="242"/>
      <c r="Y381" s="242"/>
      <c r="Z381" s="242"/>
      <c r="AA381" s="148"/>
      <c r="AB381" s="148"/>
    </row>
    <row r="382">
      <c r="A382" s="665"/>
      <c r="E382" s="571"/>
      <c r="F382" s="157"/>
      <c r="G382" s="570"/>
      <c r="H382" s="547"/>
      <c r="I382" s="419"/>
      <c r="J382" s="419"/>
      <c r="K382" s="239"/>
      <c r="L382" s="464" t="s">
        <v>692</v>
      </c>
      <c r="M382" s="420"/>
      <c r="N382" s="150"/>
      <c r="O382" s="377"/>
      <c r="Q382" s="431"/>
      <c r="R382" s="157"/>
      <c r="S382" s="404"/>
      <c r="T382" s="148"/>
      <c r="U382" s="242"/>
      <c r="V382" s="242"/>
      <c r="W382" s="242"/>
      <c r="X382" s="242"/>
      <c r="Y382" s="242"/>
      <c r="Z382" s="242"/>
      <c r="AA382" s="148"/>
      <c r="AB382" s="148"/>
    </row>
    <row r="383">
      <c r="A383" s="665"/>
      <c r="E383" s="571"/>
      <c r="F383" s="157"/>
      <c r="G383" s="570"/>
      <c r="H383" s="547"/>
      <c r="I383" s="419"/>
      <c r="J383" s="419"/>
      <c r="K383" s="239"/>
      <c r="L383" s="464" t="s">
        <v>694</v>
      </c>
      <c r="M383" s="420"/>
      <c r="N383" s="193">
        <v>230.0</v>
      </c>
      <c r="O383" s="377" t="s">
        <v>1363</v>
      </c>
      <c r="Q383" s="431"/>
      <c r="R383" s="157"/>
      <c r="S383" s="404"/>
      <c r="T383" s="148"/>
      <c r="U383" s="242"/>
      <c r="V383" s="242"/>
      <c r="W383" s="242"/>
      <c r="X383" s="242"/>
      <c r="Y383" s="242"/>
      <c r="Z383" s="242"/>
      <c r="AA383" s="148"/>
      <c r="AB383" s="148"/>
    </row>
    <row r="384">
      <c r="A384" s="665"/>
      <c r="E384" s="571"/>
      <c r="F384" s="423"/>
      <c r="G384" s="570"/>
      <c r="H384" s="546"/>
      <c r="I384" s="419"/>
      <c r="J384" s="419"/>
      <c r="K384" s="57"/>
      <c r="L384" s="105"/>
      <c r="M384" s="57"/>
      <c r="N384" s="150"/>
      <c r="O384" s="57"/>
      <c r="P384" s="57"/>
      <c r="Q384" s="57"/>
      <c r="R384" s="157"/>
      <c r="S384" s="404"/>
      <c r="T384" s="148"/>
      <c r="U384" s="242"/>
      <c r="V384" s="242"/>
      <c r="W384" s="242"/>
      <c r="X384" s="242"/>
      <c r="Y384" s="242"/>
      <c r="Z384" s="242"/>
      <c r="AA384" s="148"/>
      <c r="AB384" s="148"/>
    </row>
    <row r="385">
      <c r="A385" s="125" t="s">
        <v>798</v>
      </c>
      <c r="B385" s="125"/>
      <c r="C385" s="125"/>
      <c r="D385" s="572">
        <f>E358-D362</f>
        <v>4073.58</v>
      </c>
      <c r="F385" s="157"/>
      <c r="G385" s="570"/>
      <c r="H385" s="573"/>
      <c r="I385" s="478"/>
      <c r="J385" s="419"/>
      <c r="K385" s="239"/>
      <c r="L385" s="568"/>
      <c r="M385" s="57"/>
      <c r="N385" s="150"/>
      <c r="O385" s="57"/>
      <c r="P385" s="57"/>
      <c r="Q385" s="57"/>
      <c r="R385" s="157"/>
      <c r="S385" s="404"/>
      <c r="T385" s="148"/>
      <c r="U385" s="242"/>
      <c r="V385" s="242"/>
      <c r="W385" s="242"/>
      <c r="X385" s="242"/>
      <c r="Y385" s="242"/>
      <c r="Z385" s="242"/>
      <c r="AA385" s="148"/>
      <c r="AB385" s="148"/>
    </row>
    <row r="386">
      <c r="A386" s="274" t="s">
        <v>783</v>
      </c>
      <c r="B386" s="274"/>
      <c r="C386" s="274"/>
      <c r="D386" s="109">
        <v>1700.0</v>
      </c>
      <c r="E386" s="395"/>
      <c r="F386" s="157"/>
      <c r="G386" s="570"/>
      <c r="H386" s="573"/>
      <c r="I386" s="478"/>
      <c r="J386" s="419"/>
      <c r="K386" s="239"/>
      <c r="L386" s="568"/>
      <c r="M386" s="57"/>
      <c r="N386" s="150"/>
      <c r="O386" s="57"/>
      <c r="P386" s="57"/>
      <c r="Q386" s="57"/>
      <c r="R386" s="157"/>
      <c r="S386" s="404"/>
      <c r="T386" s="148"/>
      <c r="U386" s="242"/>
      <c r="V386" s="242"/>
      <c r="W386" s="242"/>
      <c r="X386" s="242"/>
      <c r="Y386" s="242"/>
      <c r="Z386" s="242"/>
      <c r="AA386" s="148"/>
      <c r="AB386" s="148"/>
    </row>
    <row r="387">
      <c r="A387" s="274" t="s">
        <v>784</v>
      </c>
      <c r="B387" s="274"/>
      <c r="C387" s="274"/>
      <c r="D387" s="109">
        <v>4080.0</v>
      </c>
      <c r="E387" s="395"/>
      <c r="F387" s="157"/>
      <c r="G387" s="570"/>
      <c r="H387" s="573"/>
      <c r="I387" s="478"/>
      <c r="J387" s="419"/>
      <c r="K387" s="239"/>
      <c r="L387" s="568"/>
      <c r="M387" s="57"/>
      <c r="N387" s="150"/>
      <c r="O387" s="57"/>
      <c r="P387" s="57"/>
      <c r="Q387" s="57"/>
      <c r="R387" s="157"/>
      <c r="S387" s="404"/>
      <c r="T387" s="148"/>
      <c r="U387" s="242"/>
      <c r="V387" s="242"/>
      <c r="W387" s="242"/>
      <c r="X387" s="242"/>
      <c r="Y387" s="242"/>
      <c r="Z387" s="242"/>
      <c r="AA387" s="148"/>
      <c r="AB387" s="148"/>
    </row>
    <row r="388">
      <c r="A388" s="274" t="s">
        <v>785</v>
      </c>
      <c r="B388" s="274"/>
      <c r="C388" s="274"/>
      <c r="D388" s="109">
        <v>3000.0</v>
      </c>
      <c r="E388" s="395"/>
      <c r="F388" s="157"/>
      <c r="G388" s="570"/>
      <c r="H388" s="573"/>
      <c r="I388" s="478"/>
      <c r="J388" s="419"/>
      <c r="K388" s="239"/>
      <c r="L388" s="568"/>
      <c r="M388" s="57"/>
      <c r="N388" s="150"/>
      <c r="O388" s="57"/>
      <c r="P388" s="57"/>
      <c r="Q388" s="57"/>
      <c r="R388" s="157"/>
      <c r="S388" s="404"/>
      <c r="T388" s="148"/>
      <c r="U388" s="242"/>
      <c r="V388" s="242"/>
      <c r="W388" s="242"/>
      <c r="X388" s="242"/>
      <c r="Y388" s="242"/>
      <c r="Z388" s="242"/>
      <c r="AA388" s="148"/>
      <c r="AB388" s="148"/>
    </row>
    <row r="389">
      <c r="A389" s="402"/>
      <c r="B389" s="402"/>
      <c r="C389" s="402"/>
      <c r="D389" s="403"/>
      <c r="E389" s="403"/>
      <c r="F389" s="403"/>
      <c r="G389" s="574"/>
      <c r="H389" s="575"/>
      <c r="I389" s="159"/>
      <c r="J389" s="159"/>
      <c r="K389" s="159"/>
      <c r="L389" s="576"/>
      <c r="M389" s="159"/>
      <c r="N389" s="162"/>
      <c r="O389" s="402"/>
      <c r="P389" s="402"/>
      <c r="Q389" s="159"/>
      <c r="R389" s="403"/>
      <c r="S389" s="577"/>
      <c r="T389" s="148"/>
      <c r="U389" s="242"/>
      <c r="V389" s="242"/>
      <c r="W389" s="242"/>
      <c r="X389" s="242"/>
      <c r="Y389" s="242"/>
      <c r="Z389" s="242"/>
      <c r="AA389" s="148"/>
      <c r="AB389" s="148"/>
    </row>
    <row r="390">
      <c r="A390" s="148"/>
      <c r="B390" s="148"/>
      <c r="C390" s="148"/>
      <c r="D390" s="148"/>
      <c r="E390" s="148"/>
      <c r="F390" s="245"/>
      <c r="G390" s="585"/>
      <c r="H390" s="586"/>
      <c r="I390" s="148"/>
      <c r="J390" s="148"/>
      <c r="K390" s="251"/>
      <c r="L390" s="243"/>
      <c r="M390" s="148"/>
      <c r="N390" s="277"/>
      <c r="O390" s="252"/>
      <c r="P390" s="250"/>
      <c r="Q390" s="253"/>
      <c r="R390" s="240"/>
      <c r="S390" s="148"/>
      <c r="T390" s="148"/>
      <c r="U390" s="242"/>
      <c r="V390" s="242"/>
      <c r="W390" s="242"/>
      <c r="X390" s="242"/>
      <c r="Y390" s="242"/>
      <c r="Z390" s="242"/>
      <c r="AA390" s="148"/>
      <c r="AB390" s="148"/>
    </row>
    <row r="391">
      <c r="A391" s="169" t="s">
        <v>104</v>
      </c>
      <c r="B391" s="705"/>
      <c r="C391" s="705"/>
      <c r="D391" s="539"/>
      <c r="E391" s="540"/>
      <c r="F391" s="405"/>
      <c r="G391" s="541"/>
      <c r="H391" s="542"/>
      <c r="I391" s="467" t="s">
        <v>333</v>
      </c>
      <c r="J391" s="361"/>
      <c r="K391" s="57"/>
      <c r="L391" s="105"/>
      <c r="M391" s="57"/>
      <c r="N391" s="150"/>
      <c r="O391" s="239"/>
      <c r="P391" s="239"/>
      <c r="Q391" s="57"/>
      <c r="R391" s="157"/>
      <c r="S391" s="404"/>
      <c r="T391" s="148"/>
      <c r="U391" s="242"/>
      <c r="V391" s="242"/>
      <c r="W391" s="242"/>
      <c r="X391" s="242"/>
      <c r="Y391" s="242"/>
      <c r="Z391" s="242"/>
      <c r="AA391" s="148"/>
      <c r="AB391" s="148"/>
    </row>
    <row r="392">
      <c r="A392" s="468"/>
      <c r="B392" s="406"/>
      <c r="C392" s="406"/>
      <c r="D392" s="157"/>
      <c r="E392" s="466"/>
      <c r="F392" s="405"/>
      <c r="G392" s="543" t="s">
        <v>335</v>
      </c>
      <c r="H392" s="544" t="s">
        <v>237</v>
      </c>
      <c r="I392" s="412" t="s">
        <v>336</v>
      </c>
      <c r="J392" s="413" t="s">
        <v>337</v>
      </c>
      <c r="K392" s="239"/>
      <c r="L392" s="145" t="s">
        <v>60</v>
      </c>
      <c r="M392" s="57"/>
      <c r="N392" s="150"/>
      <c r="O392" s="414"/>
      <c r="P392" s="414"/>
      <c r="Q392" s="57" t="s">
        <v>334</v>
      </c>
      <c r="R392" s="157"/>
      <c r="S392" s="404"/>
      <c r="T392" s="148"/>
      <c r="U392" s="242"/>
      <c r="V392" s="242"/>
      <c r="W392" s="242"/>
      <c r="X392" s="242"/>
      <c r="Y392" s="242"/>
      <c r="Z392" s="242"/>
      <c r="AA392" s="148"/>
      <c r="AB392" s="148"/>
    </row>
    <row r="393">
      <c r="A393" s="470" t="s">
        <v>179</v>
      </c>
      <c r="E393" s="416">
        <f>SUM(H393:H427)</f>
        <v>6757</v>
      </c>
      <c r="F393" s="405"/>
      <c r="G393" s="545"/>
      <c r="H393" s="546"/>
      <c r="I393" s="419"/>
      <c r="J393" s="419"/>
      <c r="K393" s="57"/>
      <c r="M393" s="57"/>
      <c r="N393" s="150"/>
      <c r="O393" s="377" t="s">
        <v>366</v>
      </c>
      <c r="R393" s="157"/>
      <c r="S393" s="404"/>
      <c r="T393" s="148"/>
      <c r="U393" s="242"/>
      <c r="V393" s="242"/>
      <c r="W393" s="242"/>
      <c r="X393" s="242"/>
      <c r="Y393" s="242"/>
      <c r="Z393" s="242"/>
      <c r="AA393" s="148"/>
      <c r="AB393" s="148"/>
    </row>
    <row r="394">
      <c r="A394" s="421" t="s">
        <v>343</v>
      </c>
      <c r="B394" s="105"/>
      <c r="C394" s="105"/>
      <c r="D394" s="422" t="s">
        <v>321</v>
      </c>
      <c r="E394" s="416">
        <f>SUM(R394:R427)</f>
        <v>530</v>
      </c>
      <c r="F394" s="157"/>
      <c r="G394" s="545"/>
      <c r="H394" s="546"/>
      <c r="I394" s="419"/>
      <c r="J394" s="419"/>
      <c r="K394" s="239"/>
      <c r="L394" s="471" t="s">
        <v>341</v>
      </c>
      <c r="M394" s="420"/>
      <c r="N394" s="150"/>
      <c r="O394" s="374"/>
      <c r="Q394" s="426" t="s">
        <v>1364</v>
      </c>
      <c r="R394" s="423">
        <v>120.0</v>
      </c>
      <c r="S394" s="404"/>
      <c r="T394" s="148"/>
      <c r="U394" s="242"/>
      <c r="V394" s="242"/>
      <c r="W394" s="242"/>
      <c r="X394" s="242"/>
      <c r="Y394" s="242"/>
      <c r="Z394" s="242"/>
      <c r="AA394" s="148"/>
      <c r="AB394" s="148"/>
    </row>
    <row r="395">
      <c r="A395" s="427" t="s">
        <v>201</v>
      </c>
      <c r="E395" s="204">
        <f>SUM(N394:N427)</f>
        <v>5120.43</v>
      </c>
      <c r="F395" s="157"/>
      <c r="G395" s="545"/>
      <c r="H395" s="546"/>
      <c r="I395" s="419"/>
      <c r="J395" s="419"/>
      <c r="K395" s="239"/>
      <c r="L395" s="472" t="s">
        <v>345</v>
      </c>
      <c r="M395" s="420"/>
      <c r="N395" s="150"/>
      <c r="O395" s="374"/>
      <c r="Q395" s="426" t="s">
        <v>1274</v>
      </c>
      <c r="R395" s="423">
        <v>150.0</v>
      </c>
      <c r="S395" s="404"/>
      <c r="T395" s="148"/>
      <c r="U395" s="242"/>
      <c r="V395" s="242"/>
      <c r="W395" s="242"/>
      <c r="X395" s="242"/>
      <c r="Y395" s="242"/>
      <c r="Z395" s="242"/>
      <c r="AA395" s="148"/>
      <c r="AB395" s="148"/>
    </row>
    <row r="396">
      <c r="A396" s="548" t="s">
        <v>761</v>
      </c>
      <c r="B396" s="706"/>
      <c r="C396" s="706"/>
      <c r="D396" s="549">
        <v>0.4</v>
      </c>
      <c r="E396" s="191">
        <v>212.0</v>
      </c>
      <c r="F396" s="157"/>
      <c r="G396" s="550" t="s">
        <v>695</v>
      </c>
      <c r="H396" s="546"/>
      <c r="I396" s="419"/>
      <c r="J396" s="419"/>
      <c r="K396" s="239"/>
      <c r="L396" s="433" t="s">
        <v>656</v>
      </c>
      <c r="M396" s="420"/>
      <c r="N396" s="193">
        <v>98.43</v>
      </c>
      <c r="O396" s="377" t="s">
        <v>1365</v>
      </c>
      <c r="Q396" s="426" t="s">
        <v>1366</v>
      </c>
      <c r="R396" s="423">
        <v>260.0</v>
      </c>
      <c r="S396" s="404"/>
      <c r="T396" s="148"/>
      <c r="U396" s="242"/>
      <c r="V396" s="242"/>
      <c r="W396" s="242"/>
      <c r="X396" s="242"/>
      <c r="Y396" s="242"/>
      <c r="Z396" s="242"/>
      <c r="AA396" s="148"/>
      <c r="AB396" s="148"/>
    </row>
    <row r="397">
      <c r="A397" s="434" t="s">
        <v>350</v>
      </c>
      <c r="E397" s="551">
        <f>E393-E395-E396</f>
        <v>1424.57</v>
      </c>
      <c r="F397" s="157"/>
      <c r="G397" s="192" t="s">
        <v>1364</v>
      </c>
      <c r="H397" s="546">
        <v>120.0</v>
      </c>
      <c r="I397" s="455"/>
      <c r="J397" s="419"/>
      <c r="K397" s="57"/>
      <c r="L397" s="444" t="s">
        <v>658</v>
      </c>
      <c r="M397" s="420"/>
      <c r="N397" s="193">
        <v>28.0</v>
      </c>
      <c r="O397" s="377"/>
      <c r="Q397" s="426"/>
      <c r="R397" s="423"/>
      <c r="S397" s="404"/>
      <c r="T397" s="148"/>
      <c r="U397" s="242"/>
      <c r="V397" s="242"/>
      <c r="W397" s="242"/>
      <c r="X397" s="242"/>
      <c r="Y397" s="242"/>
      <c r="Z397" s="242"/>
      <c r="AA397" s="148"/>
      <c r="AB397" s="148"/>
    </row>
    <row r="398">
      <c r="A398" s="554"/>
      <c r="B398" s="555"/>
      <c r="C398" s="555"/>
      <c r="D398" s="555"/>
      <c r="E398" s="447"/>
      <c r="F398" s="157"/>
      <c r="G398" s="192" t="s">
        <v>1140</v>
      </c>
      <c r="H398" s="546">
        <v>972.0</v>
      </c>
      <c r="I398" s="587"/>
      <c r="J398" s="419"/>
      <c r="K398" s="57"/>
      <c r="L398" s="444" t="s">
        <v>660</v>
      </c>
      <c r="M398" s="420"/>
      <c r="N398" s="193"/>
      <c r="O398" s="377"/>
      <c r="Q398" s="431"/>
      <c r="R398" s="157"/>
      <c r="S398" s="404"/>
      <c r="T398" s="148"/>
      <c r="U398" s="242"/>
      <c r="V398" s="242"/>
      <c r="W398" s="242"/>
      <c r="X398" s="242"/>
      <c r="Y398" s="242"/>
      <c r="Z398" s="242"/>
      <c r="AA398" s="148"/>
      <c r="AB398" s="148"/>
    </row>
    <row r="399">
      <c r="A399" s="556"/>
      <c r="E399" s="395"/>
      <c r="F399" s="157"/>
      <c r="G399" s="192" t="s">
        <v>1358</v>
      </c>
      <c r="H399" s="546">
        <v>2020.0</v>
      </c>
      <c r="I399" s="455"/>
      <c r="J399" s="419"/>
      <c r="K399" s="239"/>
      <c r="L399" s="370" t="s">
        <v>662</v>
      </c>
      <c r="M399" s="420"/>
      <c r="N399" s="193">
        <v>74.0</v>
      </c>
      <c r="O399" s="377" t="s">
        <v>1367</v>
      </c>
      <c r="Q399" s="431"/>
      <c r="R399" s="157"/>
      <c r="S399" s="404"/>
      <c r="T399" s="148"/>
      <c r="U399" s="242"/>
      <c r="V399" s="242"/>
      <c r="W399" s="242"/>
      <c r="X399" s="242"/>
      <c r="Y399" s="242"/>
      <c r="Z399" s="242"/>
      <c r="AA399" s="148"/>
      <c r="AB399" s="148"/>
    </row>
    <row r="400">
      <c r="A400" s="557"/>
      <c r="B400" s="557"/>
      <c r="C400" s="557"/>
      <c r="D400" s="109"/>
      <c r="E400" s="395"/>
      <c r="F400" s="373"/>
      <c r="G400" s="192" t="s">
        <v>1368</v>
      </c>
      <c r="H400" s="546">
        <v>50.0</v>
      </c>
      <c r="I400" s="419"/>
      <c r="J400" s="419"/>
      <c r="K400" s="239"/>
      <c r="L400" s="433" t="s">
        <v>666</v>
      </c>
      <c r="M400" s="420"/>
      <c r="N400" s="193"/>
      <c r="O400" s="374"/>
      <c r="Q400" s="431"/>
      <c r="R400" s="157"/>
      <c r="S400" s="404"/>
      <c r="T400" s="148"/>
      <c r="U400" s="242"/>
      <c r="V400" s="242"/>
      <c r="W400" s="242"/>
      <c r="X400" s="242"/>
      <c r="Y400" s="242"/>
      <c r="Z400" s="242"/>
      <c r="AA400" s="148"/>
      <c r="AB400" s="148"/>
    </row>
    <row r="401">
      <c r="A401" s="559" t="s">
        <v>765</v>
      </c>
      <c r="B401" s="559"/>
      <c r="C401" s="559"/>
      <c r="D401" s="560">
        <f>SUM(F401:F427)</f>
        <v>770</v>
      </c>
      <c r="E401" s="477" t="s">
        <v>366</v>
      </c>
      <c r="F401" s="157"/>
      <c r="G401" s="730" t="s">
        <v>1282</v>
      </c>
      <c r="H401" s="546">
        <v>1040.0</v>
      </c>
      <c r="I401" s="419"/>
      <c r="J401" s="419"/>
      <c r="K401" s="239"/>
      <c r="L401" s="433" t="s">
        <v>668</v>
      </c>
      <c r="M401" s="420"/>
      <c r="N401" s="193">
        <v>830.0</v>
      </c>
      <c r="O401" s="377" t="s">
        <v>1369</v>
      </c>
      <c r="Q401" s="431"/>
      <c r="R401" s="157"/>
      <c r="S401" s="404"/>
      <c r="T401" s="148"/>
      <c r="U401" s="242"/>
      <c r="V401" s="242"/>
      <c r="W401" s="242"/>
      <c r="X401" s="242"/>
      <c r="Y401" s="242"/>
      <c r="Z401" s="242"/>
      <c r="AA401" s="148"/>
      <c r="AB401" s="148"/>
    </row>
    <row r="402">
      <c r="A402" s="453" t="s">
        <v>369</v>
      </c>
      <c r="E402" s="561" t="s">
        <v>766</v>
      </c>
      <c r="F402" s="423"/>
      <c r="G402" s="192" t="s">
        <v>887</v>
      </c>
      <c r="H402" s="546">
        <v>60.0</v>
      </c>
      <c r="I402" s="419"/>
      <c r="J402" s="419"/>
      <c r="K402" s="239"/>
      <c r="L402" s="433" t="s">
        <v>670</v>
      </c>
      <c r="M402" s="458"/>
      <c r="N402" s="193">
        <v>1250.0</v>
      </c>
      <c r="O402" s="377"/>
      <c r="Q402" s="431"/>
      <c r="R402" s="157"/>
      <c r="S402" s="404"/>
      <c r="T402" s="148"/>
      <c r="U402" s="242"/>
      <c r="V402" s="242"/>
      <c r="W402" s="242"/>
      <c r="X402" s="242"/>
      <c r="Y402" s="242"/>
      <c r="Z402" s="242"/>
      <c r="AA402" s="148"/>
      <c r="AB402" s="148"/>
    </row>
    <row r="403">
      <c r="E403" s="561" t="s">
        <v>767</v>
      </c>
      <c r="F403" s="423"/>
      <c r="G403" s="192" t="s">
        <v>1274</v>
      </c>
      <c r="H403" s="546">
        <v>150.0</v>
      </c>
      <c r="I403" s="419"/>
      <c r="J403" s="419"/>
      <c r="K403" s="239"/>
      <c r="L403" s="433" t="s">
        <v>217</v>
      </c>
      <c r="M403" s="458"/>
      <c r="N403" s="150"/>
      <c r="O403" s="377"/>
      <c r="Q403" s="431"/>
      <c r="R403" s="157"/>
      <c r="S403" s="404"/>
      <c r="T403" s="148"/>
      <c r="U403" s="242"/>
      <c r="V403" s="242"/>
      <c r="W403" s="242"/>
      <c r="X403" s="242"/>
      <c r="Y403" s="242"/>
      <c r="Z403" s="242"/>
      <c r="AA403" s="148"/>
      <c r="AB403" s="148"/>
    </row>
    <row r="404">
      <c r="A404" s="57"/>
      <c r="B404" s="57"/>
      <c r="C404" s="57"/>
      <c r="D404" s="272" t="s">
        <v>889</v>
      </c>
      <c r="E404" s="561" t="s">
        <v>768</v>
      </c>
      <c r="F404" s="423"/>
      <c r="G404" s="192" t="s">
        <v>1370</v>
      </c>
      <c r="H404" s="546">
        <v>495.0</v>
      </c>
      <c r="I404" s="419"/>
      <c r="J404" s="419"/>
      <c r="K404" s="239"/>
      <c r="L404" s="109"/>
      <c r="M404" s="420"/>
      <c r="N404" s="193"/>
      <c r="O404" s="374"/>
      <c r="Q404" s="431"/>
      <c r="R404" s="157"/>
      <c r="S404" s="404"/>
      <c r="T404" s="148"/>
      <c r="U404" s="242"/>
      <c r="V404" s="242"/>
      <c r="W404" s="242"/>
      <c r="X404" s="242"/>
      <c r="Y404" s="242"/>
      <c r="Z404" s="242"/>
      <c r="AA404" s="148"/>
      <c r="AB404" s="148"/>
    </row>
    <row r="405">
      <c r="A405" s="57"/>
      <c r="B405" s="57"/>
      <c r="C405" s="57"/>
      <c r="D405" s="57"/>
      <c r="E405" s="561" t="s">
        <v>769</v>
      </c>
      <c r="F405" s="157"/>
      <c r="G405" s="192" t="s">
        <v>1371</v>
      </c>
      <c r="H405" s="546">
        <v>50.0</v>
      </c>
      <c r="I405" s="419"/>
      <c r="J405" s="419"/>
      <c r="K405" s="239"/>
      <c r="L405" s="456" t="s">
        <v>672</v>
      </c>
      <c r="M405" s="420"/>
      <c r="N405" s="150"/>
      <c r="O405" s="377"/>
      <c r="Q405" s="431"/>
      <c r="R405" s="157"/>
      <c r="S405" s="404"/>
      <c r="T405" s="148"/>
      <c r="U405" s="242"/>
      <c r="V405" s="242"/>
      <c r="W405" s="242"/>
      <c r="X405" s="242"/>
      <c r="Y405" s="242"/>
      <c r="Z405" s="242"/>
      <c r="AA405" s="148"/>
      <c r="AB405" s="148"/>
    </row>
    <row r="406">
      <c r="A406" s="597"/>
      <c r="E406" s="561" t="s">
        <v>770</v>
      </c>
      <c r="F406" s="423"/>
      <c r="G406" s="192" t="s">
        <v>1372</v>
      </c>
      <c r="H406" s="546">
        <v>640.0</v>
      </c>
      <c r="I406" s="707" t="s">
        <v>426</v>
      </c>
      <c r="J406" s="419"/>
      <c r="K406" s="57"/>
      <c r="L406" s="456" t="s">
        <v>675</v>
      </c>
      <c r="M406" s="420"/>
      <c r="N406" s="150"/>
      <c r="O406" s="382"/>
      <c r="Q406" s="431"/>
      <c r="R406" s="157"/>
      <c r="S406" s="404"/>
      <c r="T406" s="148"/>
      <c r="U406" s="242"/>
      <c r="V406" s="242"/>
      <c r="W406" s="242"/>
      <c r="X406" s="242"/>
      <c r="Y406" s="242"/>
      <c r="Z406" s="242"/>
      <c r="AA406" s="148"/>
      <c r="AB406" s="148"/>
    </row>
    <row r="407">
      <c r="A407" s="57"/>
      <c r="B407" s="57"/>
      <c r="C407" s="57"/>
      <c r="D407" s="57"/>
      <c r="E407" s="561" t="s">
        <v>793</v>
      </c>
      <c r="F407" s="423">
        <v>210.0</v>
      </c>
      <c r="G407" s="192" t="s">
        <v>1025</v>
      </c>
      <c r="H407" s="546">
        <v>400.0</v>
      </c>
      <c r="I407" s="587"/>
      <c r="J407" s="419"/>
      <c r="K407" s="57"/>
      <c r="L407" s="456"/>
      <c r="M407" s="420"/>
      <c r="N407" s="150"/>
      <c r="O407" s="425"/>
      <c r="Q407" s="431"/>
      <c r="R407" s="157"/>
      <c r="S407" s="404"/>
      <c r="T407" s="148"/>
      <c r="U407" s="242"/>
      <c r="V407" s="242"/>
      <c r="W407" s="242"/>
      <c r="X407" s="242"/>
      <c r="Y407" s="242"/>
      <c r="Z407" s="242"/>
      <c r="AA407" s="148"/>
      <c r="AB407" s="148"/>
    </row>
    <row r="408">
      <c r="A408" s="239"/>
      <c r="B408" s="239"/>
      <c r="C408" s="239"/>
      <c r="D408" s="57"/>
      <c r="E408" s="561" t="s">
        <v>794</v>
      </c>
      <c r="F408" s="157"/>
      <c r="G408" s="192" t="s">
        <v>569</v>
      </c>
      <c r="H408" s="546">
        <v>500.0</v>
      </c>
      <c r="I408" s="587"/>
      <c r="J408" s="419"/>
      <c r="K408" s="57"/>
      <c r="L408" s="375"/>
      <c r="M408" s="420"/>
      <c r="N408" s="150"/>
      <c r="O408" s="425"/>
      <c r="Q408" s="431"/>
      <c r="R408" s="157"/>
      <c r="S408" s="404"/>
      <c r="T408" s="148"/>
      <c r="U408" s="242"/>
      <c r="V408" s="242"/>
      <c r="W408" s="242"/>
      <c r="X408" s="242"/>
      <c r="Y408" s="242"/>
      <c r="Z408" s="242"/>
      <c r="AA408" s="148"/>
      <c r="AB408" s="148"/>
    </row>
    <row r="409">
      <c r="A409" s="239"/>
      <c r="B409" s="239"/>
      <c r="C409" s="239"/>
      <c r="D409" s="57"/>
      <c r="E409" s="561" t="s">
        <v>18</v>
      </c>
      <c r="F409" s="423"/>
      <c r="G409" s="738" t="s">
        <v>1373</v>
      </c>
      <c r="H409" s="737">
        <v>260.0</v>
      </c>
      <c r="I409" s="593" t="s">
        <v>426</v>
      </c>
      <c r="J409" s="419"/>
      <c r="K409" s="57"/>
      <c r="L409" s="375"/>
      <c r="M409" s="420"/>
      <c r="N409" s="193"/>
      <c r="O409" s="382"/>
      <c r="Q409" s="431"/>
      <c r="R409" s="157"/>
      <c r="S409" s="404"/>
      <c r="T409" s="148"/>
      <c r="U409" s="242"/>
      <c r="V409" s="242"/>
      <c r="W409" s="242"/>
      <c r="X409" s="242"/>
      <c r="Y409" s="242"/>
      <c r="Z409" s="242"/>
      <c r="AA409" s="148"/>
      <c r="AB409" s="148"/>
    </row>
    <row r="410">
      <c r="A410" s="239"/>
      <c r="B410" s="239"/>
      <c r="C410" s="239"/>
      <c r="D410" s="57"/>
      <c r="E410" s="561" t="s">
        <v>773</v>
      </c>
      <c r="F410" s="157"/>
      <c r="G410" s="192"/>
      <c r="H410" s="546"/>
      <c r="I410" s="587"/>
      <c r="J410" s="419"/>
      <c r="K410" s="57"/>
      <c r="L410" s="452"/>
      <c r="M410" s="420"/>
      <c r="N410" s="150"/>
      <c r="O410" s="425"/>
      <c r="Q410" s="431"/>
      <c r="R410" s="157"/>
      <c r="S410" s="404"/>
      <c r="T410" s="148"/>
      <c r="U410" s="242"/>
      <c r="V410" s="242"/>
      <c r="W410" s="242"/>
      <c r="X410" s="242"/>
      <c r="Y410" s="242"/>
      <c r="Z410" s="242"/>
      <c r="AA410" s="148"/>
      <c r="AB410" s="148"/>
    </row>
    <row r="411">
      <c r="A411" s="662" t="s">
        <v>1374</v>
      </c>
      <c r="B411" s="57"/>
      <c r="C411" s="57"/>
      <c r="D411" s="57"/>
      <c r="E411" s="561" t="s">
        <v>774</v>
      </c>
      <c r="F411" s="423">
        <v>20.0</v>
      </c>
      <c r="G411" s="192"/>
      <c r="H411" s="546"/>
      <c r="I411" s="587"/>
      <c r="J411" s="419"/>
      <c r="K411" s="57"/>
      <c r="L411" s="105"/>
      <c r="M411" s="420"/>
      <c r="N411" s="150"/>
      <c r="O411" s="425"/>
      <c r="Q411" s="431"/>
      <c r="R411" s="157"/>
      <c r="S411" s="404"/>
      <c r="T411" s="148"/>
      <c r="U411" s="242"/>
      <c r="V411" s="242"/>
      <c r="W411" s="242"/>
      <c r="X411" s="242"/>
      <c r="Y411" s="242"/>
      <c r="Z411" s="242"/>
      <c r="AA411" s="148"/>
      <c r="AB411" s="148"/>
    </row>
    <row r="412">
      <c r="A412" s="739" t="s">
        <v>1375</v>
      </c>
      <c r="E412" s="561" t="s">
        <v>775</v>
      </c>
      <c r="F412" s="423">
        <v>390.0</v>
      </c>
      <c r="G412" s="228"/>
      <c r="H412" s="547"/>
      <c r="I412" s="419"/>
      <c r="J412" s="419"/>
      <c r="K412" s="57"/>
      <c r="L412" s="378" t="s">
        <v>682</v>
      </c>
      <c r="M412" s="420"/>
      <c r="N412" s="193">
        <v>420.0</v>
      </c>
      <c r="O412" s="377" t="s">
        <v>1376</v>
      </c>
      <c r="Q412" s="431"/>
      <c r="R412" s="157"/>
      <c r="S412" s="404"/>
      <c r="T412" s="148"/>
      <c r="U412" s="242"/>
      <c r="V412" s="242"/>
      <c r="W412" s="242"/>
      <c r="X412" s="242"/>
      <c r="Y412" s="242"/>
      <c r="Z412" s="242"/>
      <c r="AA412" s="148"/>
      <c r="AB412" s="148"/>
    </row>
    <row r="413">
      <c r="A413" s="239"/>
      <c r="B413" s="239"/>
      <c r="C413" s="239"/>
      <c r="D413" s="239"/>
      <c r="E413" s="561" t="s">
        <v>10</v>
      </c>
      <c r="F413" s="157"/>
      <c r="G413" s="206"/>
      <c r="H413" s="564"/>
      <c r="I413" s="478"/>
      <c r="J413" s="419"/>
      <c r="K413" s="57"/>
      <c r="L413" s="461" t="s">
        <v>684</v>
      </c>
      <c r="M413" s="420"/>
      <c r="N413" s="193"/>
      <c r="O413" s="377"/>
      <c r="Q413" s="431"/>
      <c r="R413" s="157"/>
      <c r="S413" s="404"/>
      <c r="T413" s="148"/>
      <c r="U413" s="242"/>
      <c r="V413" s="242"/>
      <c r="W413" s="242"/>
      <c r="X413" s="242"/>
      <c r="Y413" s="242"/>
      <c r="Z413" s="242"/>
      <c r="AA413" s="148"/>
      <c r="AB413" s="148"/>
    </row>
    <row r="414">
      <c r="A414" s="239"/>
      <c r="B414" s="239"/>
      <c r="C414" s="239"/>
      <c r="D414" s="239"/>
      <c r="E414" s="561" t="s">
        <v>6</v>
      </c>
      <c r="F414" s="157"/>
      <c r="G414" s="206"/>
      <c r="H414" s="547"/>
      <c r="I414" s="455"/>
      <c r="J414" s="455"/>
      <c r="K414" s="57"/>
      <c r="L414" s="461" t="s">
        <v>686</v>
      </c>
      <c r="M414" s="420"/>
      <c r="N414" s="193"/>
      <c r="O414" s="374"/>
      <c r="Q414" s="463"/>
      <c r="R414" s="157"/>
      <c r="S414" s="404"/>
      <c r="T414" s="148"/>
      <c r="U414" s="242"/>
      <c r="V414" s="242"/>
      <c r="W414" s="242"/>
      <c r="X414" s="242"/>
      <c r="Y414" s="242"/>
      <c r="Z414" s="242"/>
      <c r="AA414" s="148"/>
      <c r="AB414" s="148"/>
    </row>
    <row r="415">
      <c r="A415" s="57"/>
      <c r="B415" s="57"/>
      <c r="C415" s="57"/>
      <c r="D415" s="57"/>
      <c r="E415" s="561" t="s">
        <v>779</v>
      </c>
      <c r="F415" s="157"/>
      <c r="G415" s="228"/>
      <c r="H415" s="547"/>
      <c r="I415" s="455"/>
      <c r="J415" s="455"/>
      <c r="K415" s="239"/>
      <c r="L415" s="460" t="s">
        <v>202</v>
      </c>
      <c r="M415" s="420"/>
      <c r="N415" s="193"/>
      <c r="O415" s="377"/>
      <c r="Q415" s="463"/>
      <c r="R415" s="157"/>
      <c r="S415" s="404"/>
      <c r="T415" s="148"/>
      <c r="U415" s="242"/>
      <c r="V415" s="242"/>
      <c r="W415" s="242"/>
      <c r="X415" s="242"/>
      <c r="Y415" s="242"/>
      <c r="Z415" s="242"/>
      <c r="AA415" s="148"/>
      <c r="AB415" s="148"/>
    </row>
    <row r="416">
      <c r="A416" s="239"/>
      <c r="B416" s="239"/>
      <c r="C416" s="239"/>
      <c r="D416" s="239"/>
      <c r="E416" s="561" t="s">
        <v>780</v>
      </c>
      <c r="F416" s="423">
        <v>100.0</v>
      </c>
      <c r="G416" s="228"/>
      <c r="H416" s="547"/>
      <c r="I416" s="455"/>
      <c r="J416" s="455"/>
      <c r="K416" s="57"/>
      <c r="L416" s="460" t="s">
        <v>274</v>
      </c>
      <c r="M416" s="420"/>
      <c r="N416" s="193"/>
      <c r="O416" s="374"/>
      <c r="Q416" s="463"/>
      <c r="R416" s="157"/>
      <c r="S416" s="404"/>
      <c r="T416" s="148"/>
      <c r="U416" s="242"/>
      <c r="V416" s="242"/>
      <c r="W416" s="242"/>
      <c r="X416" s="242"/>
      <c r="Y416" s="242"/>
      <c r="Z416" s="242"/>
      <c r="AA416" s="148"/>
      <c r="AB416" s="148"/>
    </row>
    <row r="417">
      <c r="A417" s="662" t="s">
        <v>1377</v>
      </c>
      <c r="B417" s="239"/>
      <c r="C417" s="239"/>
      <c r="D417" s="239"/>
      <c r="E417" s="561" t="s">
        <v>781</v>
      </c>
      <c r="F417" s="423">
        <v>50.0</v>
      </c>
      <c r="G417" s="228"/>
      <c r="H417" s="547"/>
      <c r="I417" s="455"/>
      <c r="J417" s="419"/>
      <c r="K417" s="239"/>
      <c r="L417" s="685" t="s">
        <v>1121</v>
      </c>
      <c r="M417" s="420"/>
      <c r="N417" s="193">
        <v>355.0</v>
      </c>
      <c r="O417" s="374"/>
      <c r="Q417" s="431"/>
      <c r="R417" s="157"/>
      <c r="S417" s="404"/>
      <c r="T417" s="148"/>
      <c r="U417" s="242"/>
      <c r="V417" s="242"/>
      <c r="W417" s="242"/>
      <c r="X417" s="242"/>
      <c r="Y417" s="242"/>
      <c r="Z417" s="242"/>
      <c r="AA417" s="148"/>
      <c r="AB417" s="148"/>
    </row>
    <row r="418">
      <c r="A418" s="239"/>
      <c r="B418" s="239"/>
      <c r="C418" s="239"/>
      <c r="D418" s="157"/>
      <c r="E418" s="561" t="s">
        <v>1118</v>
      </c>
      <c r="F418" s="157"/>
      <c r="G418" s="569"/>
      <c r="H418" s="547"/>
      <c r="I418" s="419"/>
      <c r="J418" s="419"/>
      <c r="K418" s="57"/>
      <c r="L418" s="374"/>
      <c r="M418" s="420"/>
      <c r="N418" s="193"/>
      <c r="O418" s="377"/>
      <c r="Q418" s="431"/>
      <c r="R418" s="157"/>
      <c r="S418" s="404"/>
      <c r="T418" s="148"/>
      <c r="U418" s="242"/>
      <c r="V418" s="242"/>
      <c r="W418" s="242"/>
      <c r="X418" s="242"/>
      <c r="Y418" s="242"/>
      <c r="Z418" s="242"/>
      <c r="AA418" s="148"/>
      <c r="AB418" s="148"/>
    </row>
    <row r="419">
      <c r="A419" s="239"/>
      <c r="B419" s="239"/>
      <c r="C419" s="239"/>
      <c r="D419" s="157"/>
      <c r="E419" s="561"/>
      <c r="F419" s="157"/>
      <c r="G419" s="228"/>
      <c r="H419" s="547"/>
      <c r="I419" s="419"/>
      <c r="J419" s="419"/>
      <c r="K419" s="239"/>
      <c r="L419" s="596" t="s">
        <v>1001</v>
      </c>
      <c r="M419" s="420"/>
      <c r="N419" s="193">
        <v>385.0</v>
      </c>
      <c r="O419" s="377"/>
      <c r="Q419" s="431"/>
      <c r="R419" s="157"/>
      <c r="S419" s="404"/>
      <c r="T419" s="148"/>
      <c r="U419" s="242"/>
      <c r="V419" s="242"/>
      <c r="W419" s="242"/>
      <c r="X419" s="242"/>
      <c r="Y419" s="242"/>
      <c r="Z419" s="242"/>
      <c r="AA419" s="148"/>
      <c r="AB419" s="148"/>
    </row>
    <row r="420">
      <c r="A420" s="239"/>
      <c r="B420" s="239"/>
      <c r="C420" s="239"/>
      <c r="D420" s="157"/>
      <c r="E420" s="561"/>
      <c r="F420" s="157"/>
      <c r="G420" s="570"/>
      <c r="H420" s="547"/>
      <c r="I420" s="419"/>
      <c r="J420" s="419"/>
      <c r="K420" s="239"/>
      <c r="L420" s="568"/>
      <c r="M420" s="420"/>
      <c r="N420" s="193"/>
      <c r="O420" s="374"/>
      <c r="Q420" s="431"/>
      <c r="R420" s="157"/>
      <c r="S420" s="404"/>
      <c r="T420" s="148"/>
      <c r="U420" s="242"/>
      <c r="V420" s="242"/>
      <c r="W420" s="242"/>
      <c r="X420" s="242"/>
      <c r="Y420" s="242"/>
      <c r="Z420" s="242"/>
      <c r="AA420" s="148"/>
      <c r="AB420" s="148"/>
    </row>
    <row r="421">
      <c r="E421" s="571"/>
      <c r="F421" s="157"/>
      <c r="G421" s="570"/>
      <c r="H421" s="547"/>
      <c r="I421" s="419"/>
      <c r="J421" s="419"/>
      <c r="K421" s="239"/>
      <c r="L421" s="464" t="s">
        <v>692</v>
      </c>
      <c r="M421" s="420"/>
      <c r="N421" s="150"/>
      <c r="O421" s="377"/>
      <c r="Q421" s="431"/>
      <c r="R421" s="157"/>
      <c r="S421" s="404"/>
      <c r="T421" s="148"/>
      <c r="U421" s="242"/>
      <c r="V421" s="242"/>
      <c r="W421" s="242"/>
      <c r="X421" s="242"/>
      <c r="Y421" s="242"/>
      <c r="Z421" s="242"/>
      <c r="AA421" s="148"/>
      <c r="AB421" s="148"/>
    </row>
    <row r="422">
      <c r="E422" s="571"/>
      <c r="F422" s="157"/>
      <c r="G422" s="570"/>
      <c r="H422" s="547"/>
      <c r="I422" s="419"/>
      <c r="J422" s="419"/>
      <c r="K422" s="239"/>
      <c r="L422" s="464" t="s">
        <v>694</v>
      </c>
      <c r="M422" s="420"/>
      <c r="N422" s="193">
        <v>1680.0</v>
      </c>
      <c r="O422" s="377" t="s">
        <v>1378</v>
      </c>
      <c r="Q422" s="431"/>
      <c r="R422" s="157"/>
      <c r="S422" s="404"/>
      <c r="T422" s="148"/>
      <c r="U422" s="242"/>
      <c r="V422" s="242"/>
      <c r="W422" s="242"/>
      <c r="X422" s="242"/>
      <c r="Y422" s="242"/>
      <c r="Z422" s="242"/>
      <c r="AA422" s="148"/>
      <c r="AB422" s="148"/>
    </row>
    <row r="423">
      <c r="E423" s="571"/>
      <c r="F423" s="423"/>
      <c r="G423" s="570"/>
      <c r="H423" s="546"/>
      <c r="I423" s="419"/>
      <c r="J423" s="419"/>
      <c r="K423" s="57"/>
      <c r="L423" s="105"/>
      <c r="M423" s="57"/>
      <c r="N423" s="150"/>
      <c r="O423" s="57"/>
      <c r="P423" s="57"/>
      <c r="Q423" s="57"/>
      <c r="R423" s="157"/>
      <c r="S423" s="404"/>
      <c r="T423" s="148"/>
      <c r="U423" s="242"/>
      <c r="V423" s="242"/>
      <c r="W423" s="242"/>
      <c r="X423" s="242"/>
      <c r="Y423" s="242"/>
      <c r="Z423" s="242"/>
      <c r="AA423" s="148"/>
      <c r="AB423" s="148"/>
    </row>
    <row r="424">
      <c r="A424" s="125" t="s">
        <v>798</v>
      </c>
      <c r="B424" s="125"/>
      <c r="C424" s="125"/>
      <c r="D424" s="572">
        <f>E397-D401</f>
        <v>654.57</v>
      </c>
      <c r="F424" s="157"/>
      <c r="G424" s="570"/>
      <c r="H424" s="573"/>
      <c r="I424" s="478"/>
      <c r="J424" s="419"/>
      <c r="K424" s="239"/>
      <c r="L424" s="568"/>
      <c r="M424" s="57"/>
      <c r="N424" s="150"/>
      <c r="O424" s="57"/>
      <c r="P424" s="57"/>
      <c r="Q424" s="57"/>
      <c r="R424" s="157"/>
      <c r="S424" s="404"/>
      <c r="T424" s="148"/>
      <c r="U424" s="242"/>
      <c r="V424" s="242"/>
      <c r="W424" s="242"/>
      <c r="X424" s="242"/>
      <c r="Y424" s="242"/>
      <c r="Z424" s="242"/>
      <c r="AA424" s="148"/>
      <c r="AB424" s="148"/>
    </row>
    <row r="425">
      <c r="A425" s="274" t="s">
        <v>783</v>
      </c>
      <c r="B425" s="274"/>
      <c r="C425" s="274"/>
      <c r="D425" s="109">
        <v>4000.0</v>
      </c>
      <c r="E425" s="395"/>
      <c r="F425" s="157"/>
      <c r="G425" s="570"/>
      <c r="H425" s="573"/>
      <c r="I425" s="478"/>
      <c r="J425" s="419"/>
      <c r="K425" s="239"/>
      <c r="L425" s="568"/>
      <c r="M425" s="57"/>
      <c r="N425" s="150"/>
      <c r="O425" s="57"/>
      <c r="P425" s="57"/>
      <c r="Q425" s="57"/>
      <c r="R425" s="157"/>
      <c r="S425" s="404"/>
      <c r="T425" s="148"/>
      <c r="U425" s="242"/>
      <c r="V425" s="242"/>
      <c r="W425" s="242"/>
      <c r="X425" s="242"/>
      <c r="Y425" s="242"/>
      <c r="Z425" s="242"/>
      <c r="AA425" s="148"/>
      <c r="AB425" s="148"/>
    </row>
    <row r="426">
      <c r="A426" s="274" t="s">
        <v>784</v>
      </c>
      <c r="B426" s="274"/>
      <c r="C426" s="274"/>
      <c r="D426" s="109">
        <v>3000.0</v>
      </c>
      <c r="E426" s="395"/>
      <c r="F426" s="157"/>
      <c r="G426" s="570"/>
      <c r="H426" s="573"/>
      <c r="I426" s="478"/>
      <c r="J426" s="419"/>
      <c r="K426" s="239"/>
      <c r="L426" s="568"/>
      <c r="M426" s="57"/>
      <c r="N426" s="150"/>
      <c r="O426" s="57"/>
      <c r="P426" s="57"/>
      <c r="Q426" s="57"/>
      <c r="R426" s="157"/>
      <c r="S426" s="404"/>
      <c r="T426" s="148"/>
      <c r="U426" s="242"/>
      <c r="V426" s="242"/>
      <c r="W426" s="242"/>
      <c r="X426" s="242"/>
      <c r="Y426" s="242"/>
      <c r="Z426" s="242"/>
      <c r="AA426" s="148"/>
      <c r="AB426" s="148"/>
    </row>
    <row r="427">
      <c r="A427" s="274" t="s">
        <v>785</v>
      </c>
      <c r="B427" s="274"/>
      <c r="C427" s="274"/>
      <c r="D427" s="109">
        <v>3790.0</v>
      </c>
      <c r="E427" s="686">
        <f>SUM(D425:D427)</f>
        <v>10790</v>
      </c>
      <c r="F427" s="157"/>
      <c r="G427" s="570"/>
      <c r="H427" s="573"/>
      <c r="I427" s="478"/>
      <c r="J427" s="419"/>
      <c r="K427" s="239"/>
      <c r="L427" s="568"/>
      <c r="M427" s="57"/>
      <c r="N427" s="150"/>
      <c r="O427" s="57"/>
      <c r="P427" s="57"/>
      <c r="Q427" s="57"/>
      <c r="R427" s="157"/>
      <c r="S427" s="404"/>
      <c r="T427" s="148"/>
      <c r="U427" s="242"/>
      <c r="V427" s="242"/>
      <c r="W427" s="242"/>
      <c r="X427" s="242"/>
      <c r="Y427" s="242"/>
      <c r="Z427" s="242"/>
      <c r="AA427" s="148"/>
      <c r="AB427" s="148"/>
    </row>
    <row r="428">
      <c r="A428" s="402"/>
      <c r="B428" s="402"/>
      <c r="C428" s="402"/>
      <c r="D428" s="403"/>
      <c r="E428" s="403"/>
      <c r="F428" s="403"/>
      <c r="G428" s="574"/>
      <c r="H428" s="575"/>
      <c r="I428" s="159"/>
      <c r="J428" s="159"/>
      <c r="K428" s="159"/>
      <c r="L428" s="576"/>
      <c r="M428" s="159"/>
      <c r="N428" s="162"/>
      <c r="O428" s="402"/>
      <c r="P428" s="402"/>
      <c r="Q428" s="159"/>
      <c r="R428" s="403"/>
      <c r="S428" s="577"/>
      <c r="T428" s="148"/>
      <c r="U428" s="242"/>
      <c r="V428" s="242"/>
      <c r="W428" s="242"/>
      <c r="X428" s="242"/>
      <c r="Y428" s="242"/>
      <c r="Z428" s="242"/>
      <c r="AA428" s="148"/>
      <c r="AB428" s="148"/>
    </row>
    <row r="429">
      <c r="A429" s="148"/>
      <c r="B429" s="148"/>
      <c r="C429" s="148"/>
      <c r="D429" s="148"/>
      <c r="E429" s="148"/>
      <c r="F429" s="245"/>
      <c r="G429" s="585"/>
      <c r="H429" s="586"/>
      <c r="I429" s="148"/>
      <c r="J429" s="148"/>
      <c r="K429" s="251"/>
      <c r="L429" s="243"/>
      <c r="M429" s="148"/>
      <c r="N429" s="277"/>
      <c r="O429" s="252"/>
      <c r="P429" s="250"/>
      <c r="Q429" s="253"/>
      <c r="R429" s="240"/>
      <c r="S429" s="148"/>
      <c r="T429" s="148"/>
      <c r="U429" s="242"/>
      <c r="V429" s="242"/>
      <c r="W429" s="242"/>
      <c r="X429" s="242"/>
      <c r="Y429" s="242"/>
      <c r="Z429" s="242"/>
      <c r="AA429" s="148"/>
      <c r="AB429" s="148"/>
    </row>
    <row r="430">
      <c r="A430" s="169" t="s">
        <v>109</v>
      </c>
      <c r="B430" s="705"/>
      <c r="C430" s="705"/>
      <c r="D430" s="539"/>
      <c r="E430" s="540"/>
      <c r="F430" s="405"/>
      <c r="G430" s="541"/>
      <c r="H430" s="542"/>
      <c r="I430" s="467" t="s">
        <v>333</v>
      </c>
      <c r="J430" s="361"/>
      <c r="K430" s="57"/>
      <c r="L430" s="105"/>
      <c r="M430" s="57"/>
      <c r="N430" s="150"/>
      <c r="O430" s="239"/>
      <c r="P430" s="239"/>
      <c r="Q430" s="57"/>
      <c r="R430" s="157"/>
      <c r="S430" s="404"/>
      <c r="T430" s="148"/>
      <c r="U430" s="242"/>
      <c r="V430" s="242"/>
      <c r="W430" s="242"/>
      <c r="X430" s="242"/>
      <c r="Y430" s="242"/>
      <c r="Z430" s="242"/>
      <c r="AA430" s="148"/>
      <c r="AB430" s="148"/>
    </row>
    <row r="431">
      <c r="A431" s="468"/>
      <c r="B431" s="406"/>
      <c r="C431" s="406"/>
      <c r="D431" s="157"/>
      <c r="E431" s="466"/>
      <c r="F431" s="405"/>
      <c r="G431" s="543" t="s">
        <v>335</v>
      </c>
      <c r="H431" s="544" t="s">
        <v>237</v>
      </c>
      <c r="I431" s="412" t="s">
        <v>336</v>
      </c>
      <c r="J431" s="413" t="s">
        <v>337</v>
      </c>
      <c r="K431" s="239"/>
      <c r="L431" s="145" t="s">
        <v>60</v>
      </c>
      <c r="M431" s="57"/>
      <c r="N431" s="150"/>
      <c r="O431" s="414"/>
      <c r="P431" s="414"/>
      <c r="Q431" s="57" t="s">
        <v>334</v>
      </c>
      <c r="R431" s="157"/>
      <c r="S431" s="404"/>
      <c r="T431" s="148"/>
      <c r="U431" s="242"/>
      <c r="V431" s="242"/>
      <c r="W431" s="242"/>
      <c r="X431" s="242"/>
      <c r="Y431" s="242"/>
      <c r="Z431" s="242"/>
      <c r="AA431" s="148"/>
      <c r="AB431" s="148"/>
    </row>
    <row r="432">
      <c r="A432" s="470" t="s">
        <v>179</v>
      </c>
      <c r="E432" s="416">
        <f>SUM(H432:H466)</f>
        <v>3206.2</v>
      </c>
      <c r="F432" s="405"/>
      <c r="G432" s="545"/>
      <c r="H432" s="546"/>
      <c r="I432" s="578"/>
      <c r="J432" s="419"/>
      <c r="K432" s="57"/>
      <c r="M432" s="57"/>
      <c r="N432" s="150"/>
      <c r="O432" s="377" t="s">
        <v>366</v>
      </c>
      <c r="R432" s="157"/>
      <c r="S432" s="404"/>
      <c r="T432" s="148"/>
      <c r="U432" s="242"/>
      <c r="V432" s="242"/>
      <c r="W432" s="242"/>
      <c r="X432" s="242"/>
      <c r="Y432" s="242"/>
      <c r="Z432" s="242"/>
      <c r="AA432" s="148"/>
      <c r="AB432" s="148"/>
    </row>
    <row r="433">
      <c r="A433" s="421" t="s">
        <v>343</v>
      </c>
      <c r="B433" s="105"/>
      <c r="C433" s="105"/>
      <c r="D433" s="422" t="s">
        <v>321</v>
      </c>
      <c r="E433" s="416">
        <f>SUM(R433:R466)</f>
        <v>2824</v>
      </c>
      <c r="F433" s="157"/>
      <c r="G433" s="545"/>
      <c r="H433" s="546"/>
      <c r="I433" s="578"/>
      <c r="J433" s="419"/>
      <c r="K433" s="239"/>
      <c r="L433" s="471" t="s">
        <v>341</v>
      </c>
      <c r="M433" s="420"/>
      <c r="N433" s="150"/>
      <c r="O433" s="374"/>
      <c r="Q433" s="591" t="s">
        <v>1379</v>
      </c>
      <c r="R433" s="423">
        <v>624.0</v>
      </c>
      <c r="S433" s="404"/>
      <c r="T433" s="148"/>
      <c r="U433" s="242"/>
      <c r="V433" s="242"/>
      <c r="W433" s="242"/>
      <c r="X433" s="242"/>
      <c r="Y433" s="242"/>
      <c r="Z433" s="242"/>
      <c r="AA433" s="148"/>
      <c r="AB433" s="148"/>
    </row>
    <row r="434">
      <c r="A434" s="427" t="s">
        <v>201</v>
      </c>
      <c r="E434" s="204">
        <f>SUM(N433:N466)</f>
        <v>1990.64</v>
      </c>
      <c r="F434" s="157"/>
      <c r="G434" s="545"/>
      <c r="H434" s="546"/>
      <c r="I434" s="578"/>
      <c r="J434" s="419"/>
      <c r="K434" s="239"/>
      <c r="L434" s="472" t="s">
        <v>345</v>
      </c>
      <c r="M434" s="420"/>
      <c r="N434" s="193">
        <v>28.64</v>
      </c>
      <c r="O434" s="377" t="s">
        <v>1380</v>
      </c>
      <c r="Q434" s="368" t="s">
        <v>1282</v>
      </c>
      <c r="R434" s="423">
        <v>2080.0</v>
      </c>
      <c r="S434" s="404"/>
      <c r="T434" s="148"/>
      <c r="U434" s="242"/>
      <c r="V434" s="242"/>
      <c r="W434" s="242"/>
      <c r="X434" s="242"/>
      <c r="Y434" s="242"/>
      <c r="Z434" s="242"/>
      <c r="AA434" s="148"/>
      <c r="AB434" s="148"/>
    </row>
    <row r="435">
      <c r="A435" s="548" t="s">
        <v>761</v>
      </c>
      <c r="B435" s="706"/>
      <c r="C435" s="706"/>
      <c r="D435" s="549">
        <v>0.4</v>
      </c>
      <c r="E435" s="191"/>
      <c r="F435" s="157"/>
      <c r="G435" s="550" t="s">
        <v>695</v>
      </c>
      <c r="H435" s="546"/>
      <c r="I435" s="578"/>
      <c r="J435" s="419"/>
      <c r="K435" s="239"/>
      <c r="L435" s="433" t="s">
        <v>656</v>
      </c>
      <c r="M435" s="420"/>
      <c r="N435" s="598"/>
      <c r="O435" s="377"/>
      <c r="Q435" s="426" t="s">
        <v>1352</v>
      </c>
      <c r="R435" s="423">
        <v>120.0</v>
      </c>
      <c r="S435" s="404"/>
      <c r="T435" s="148"/>
      <c r="U435" s="242"/>
      <c r="V435" s="242"/>
      <c r="W435" s="242"/>
      <c r="X435" s="242"/>
      <c r="Y435" s="242"/>
      <c r="Z435" s="242"/>
      <c r="AA435" s="148"/>
      <c r="AB435" s="148"/>
    </row>
    <row r="436">
      <c r="A436" s="434" t="s">
        <v>350</v>
      </c>
      <c r="E436" s="551">
        <f>E432-E434-E435</f>
        <v>1215.56</v>
      </c>
      <c r="F436" s="157"/>
      <c r="G436" s="192" t="s">
        <v>1148</v>
      </c>
      <c r="H436" s="546">
        <v>350.0</v>
      </c>
      <c r="I436" s="562"/>
      <c r="J436" s="419"/>
      <c r="K436" s="57"/>
      <c r="L436" s="444" t="s">
        <v>658</v>
      </c>
      <c r="M436" s="420"/>
      <c r="N436" s="193">
        <v>27.0</v>
      </c>
      <c r="O436" s="377"/>
      <c r="Q436" s="431"/>
      <c r="R436" s="157"/>
      <c r="S436" s="404"/>
      <c r="T436" s="148"/>
      <c r="U436" s="242"/>
      <c r="V436" s="242"/>
      <c r="W436" s="242"/>
      <c r="X436" s="242"/>
      <c r="Y436" s="242"/>
      <c r="Z436" s="242"/>
      <c r="AA436" s="148"/>
      <c r="AB436" s="148"/>
    </row>
    <row r="437">
      <c r="A437" s="554"/>
      <c r="B437" s="555"/>
      <c r="C437" s="555"/>
      <c r="D437" s="555"/>
      <c r="E437" s="447"/>
      <c r="F437" s="157"/>
      <c r="G437" s="192" t="s">
        <v>1381</v>
      </c>
      <c r="H437" s="546">
        <v>700.0</v>
      </c>
      <c r="I437" s="562"/>
      <c r="J437" s="419"/>
      <c r="K437" s="57"/>
      <c r="L437" s="444" t="s">
        <v>660</v>
      </c>
      <c r="M437" s="420"/>
      <c r="N437" s="193">
        <v>80.0</v>
      </c>
      <c r="O437" s="377"/>
      <c r="Q437" s="431"/>
      <c r="R437" s="157"/>
      <c r="S437" s="404"/>
      <c r="T437" s="148"/>
      <c r="U437" s="242"/>
      <c r="V437" s="242"/>
      <c r="W437" s="242"/>
      <c r="X437" s="242"/>
      <c r="Y437" s="242"/>
      <c r="Z437" s="242"/>
      <c r="AA437" s="148"/>
      <c r="AB437" s="148"/>
    </row>
    <row r="438">
      <c r="A438" s="556"/>
      <c r="E438" s="395"/>
      <c r="F438" s="157"/>
      <c r="G438" s="192" t="s">
        <v>1371</v>
      </c>
      <c r="H438" s="546">
        <v>1174.0</v>
      </c>
      <c r="I438" s="579"/>
      <c r="J438" s="419"/>
      <c r="K438" s="239"/>
      <c r="L438" s="370" t="s">
        <v>662</v>
      </c>
      <c r="M438" s="420"/>
      <c r="N438" s="193"/>
      <c r="O438" s="377" t="s">
        <v>1382</v>
      </c>
      <c r="Q438" s="431"/>
      <c r="R438" s="157"/>
      <c r="S438" s="404"/>
      <c r="T438" s="148"/>
      <c r="U438" s="242"/>
      <c r="V438" s="242"/>
      <c r="W438" s="242"/>
      <c r="X438" s="242"/>
      <c r="Y438" s="242"/>
      <c r="Z438" s="242"/>
      <c r="AA438" s="148"/>
      <c r="AB438" s="148"/>
    </row>
    <row r="439">
      <c r="A439" s="557"/>
      <c r="B439" s="557"/>
      <c r="C439" s="557"/>
      <c r="D439" s="109"/>
      <c r="E439" s="395"/>
      <c r="F439" s="681"/>
      <c r="G439" s="192" t="s">
        <v>886</v>
      </c>
      <c r="H439" s="546">
        <v>50.0</v>
      </c>
      <c r="I439" s="562"/>
      <c r="J439" s="419"/>
      <c r="K439" s="239"/>
      <c r="L439" s="433" t="s">
        <v>666</v>
      </c>
      <c r="M439" s="420"/>
      <c r="N439" s="193">
        <v>175.0</v>
      </c>
      <c r="O439" s="377" t="s">
        <v>1383</v>
      </c>
      <c r="Q439" s="431"/>
      <c r="R439" s="157"/>
      <c r="S439" s="404"/>
      <c r="T439" s="148"/>
      <c r="U439" s="242"/>
      <c r="V439" s="242"/>
      <c r="W439" s="242"/>
      <c r="X439" s="242"/>
      <c r="Y439" s="242"/>
      <c r="Z439" s="242"/>
      <c r="AA439" s="148"/>
      <c r="AB439" s="148"/>
    </row>
    <row r="440">
      <c r="A440" s="559" t="s">
        <v>765</v>
      </c>
      <c r="B440" s="559"/>
      <c r="C440" s="559"/>
      <c r="D440" s="560">
        <f>SUM(F440:F466)</f>
        <v>4765</v>
      </c>
      <c r="E440" s="477" t="s">
        <v>366</v>
      </c>
      <c r="F440" s="157"/>
      <c r="G440" s="192" t="s">
        <v>873</v>
      </c>
      <c r="H440" s="546">
        <v>260.0</v>
      </c>
      <c r="I440" s="562" t="s">
        <v>426</v>
      </c>
      <c r="J440" s="419"/>
      <c r="K440" s="239"/>
      <c r="L440" s="433" t="s">
        <v>668</v>
      </c>
      <c r="M440" s="420"/>
      <c r="N440" s="193">
        <v>20.0</v>
      </c>
      <c r="O440" s="377"/>
      <c r="Q440" s="431"/>
      <c r="R440" s="157"/>
      <c r="S440" s="404"/>
      <c r="T440" s="148"/>
      <c r="U440" s="242"/>
      <c r="V440" s="242"/>
      <c r="W440" s="242"/>
      <c r="X440" s="242"/>
      <c r="Y440" s="242"/>
      <c r="Z440" s="242"/>
      <c r="AA440" s="148"/>
      <c r="AB440" s="148"/>
    </row>
    <row r="441">
      <c r="A441" s="453" t="s">
        <v>369</v>
      </c>
      <c r="E441" s="561" t="s">
        <v>766</v>
      </c>
      <c r="F441" s="423"/>
      <c r="G441" s="192" t="s">
        <v>1274</v>
      </c>
      <c r="H441" s="546">
        <v>82.2</v>
      </c>
      <c r="I441" s="562" t="s">
        <v>426</v>
      </c>
      <c r="J441" s="419"/>
      <c r="K441" s="239"/>
      <c r="L441" s="433" t="s">
        <v>670</v>
      </c>
      <c r="M441" s="458"/>
      <c r="N441" s="193">
        <v>1250.0</v>
      </c>
      <c r="O441" s="377"/>
      <c r="Q441" s="431"/>
      <c r="R441" s="157"/>
      <c r="S441" s="404"/>
      <c r="T441" s="148"/>
      <c r="U441" s="242"/>
      <c r="V441" s="242"/>
      <c r="W441" s="242"/>
      <c r="X441" s="242"/>
      <c r="Y441" s="242"/>
      <c r="Z441" s="242"/>
      <c r="AA441" s="148"/>
      <c r="AB441" s="148"/>
    </row>
    <row r="442">
      <c r="E442" s="561" t="s">
        <v>767</v>
      </c>
      <c r="F442" s="423"/>
      <c r="G442" s="192" t="s">
        <v>433</v>
      </c>
      <c r="H442" s="546">
        <v>70.0</v>
      </c>
      <c r="I442" s="578"/>
      <c r="J442" s="419"/>
      <c r="K442" s="239"/>
      <c r="L442" s="433" t="s">
        <v>217</v>
      </c>
      <c r="M442" s="458"/>
      <c r="N442" s="150"/>
      <c r="O442" s="377"/>
      <c r="Q442" s="431"/>
      <c r="R442" s="157"/>
      <c r="S442" s="404"/>
      <c r="T442" s="148"/>
      <c r="U442" s="242"/>
      <c r="V442" s="242"/>
      <c r="W442" s="242"/>
      <c r="X442" s="242"/>
      <c r="Y442" s="242"/>
      <c r="Z442" s="242"/>
      <c r="AA442" s="148"/>
      <c r="AB442" s="148"/>
    </row>
    <row r="443">
      <c r="A443" s="153"/>
      <c r="B443" s="153"/>
      <c r="C443" s="153"/>
      <c r="D443" s="153"/>
      <c r="E443" s="561" t="s">
        <v>768</v>
      </c>
      <c r="F443" s="423"/>
      <c r="G443" s="192" t="s">
        <v>1148</v>
      </c>
      <c r="H443" s="546">
        <v>400.0</v>
      </c>
      <c r="I443" s="578"/>
      <c r="J443" s="419"/>
      <c r="K443" s="239"/>
      <c r="L443" s="109"/>
      <c r="M443" s="420"/>
      <c r="N443" s="193"/>
      <c r="O443" s="374"/>
      <c r="Q443" s="431"/>
      <c r="R443" s="157"/>
      <c r="S443" s="404"/>
      <c r="T443" s="148"/>
      <c r="U443" s="242"/>
      <c r="V443" s="242"/>
      <c r="W443" s="242"/>
      <c r="X443" s="242"/>
      <c r="Y443" s="242"/>
      <c r="Z443" s="242"/>
      <c r="AA443" s="148"/>
      <c r="AB443" s="148"/>
    </row>
    <row r="444">
      <c r="A444" s="153"/>
      <c r="B444" s="153"/>
      <c r="C444" s="153"/>
      <c r="D444" s="153"/>
      <c r="E444" s="561" t="s">
        <v>769</v>
      </c>
      <c r="F444" s="157"/>
      <c r="G444" s="192" t="s">
        <v>1282</v>
      </c>
      <c r="H444" s="546"/>
      <c r="I444" s="578"/>
      <c r="J444" s="419"/>
      <c r="K444" s="239"/>
      <c r="L444" s="456" t="s">
        <v>672</v>
      </c>
      <c r="M444" s="420"/>
      <c r="N444" s="150"/>
      <c r="O444" s="377"/>
      <c r="Q444" s="431"/>
      <c r="R444" s="157"/>
      <c r="S444" s="404"/>
      <c r="T444" s="148"/>
      <c r="U444" s="242"/>
      <c r="V444" s="242"/>
      <c r="W444" s="242"/>
      <c r="X444" s="242"/>
      <c r="Y444" s="242"/>
      <c r="Z444" s="242"/>
      <c r="AA444" s="148"/>
      <c r="AB444" s="148"/>
    </row>
    <row r="445">
      <c r="A445" s="153"/>
      <c r="B445" s="153"/>
      <c r="C445" s="153"/>
      <c r="D445" s="153"/>
      <c r="E445" s="561" t="s">
        <v>770</v>
      </c>
      <c r="F445" s="423"/>
      <c r="G445" s="192" t="s">
        <v>1219</v>
      </c>
      <c r="H445" s="546">
        <v>120.0</v>
      </c>
      <c r="I445" s="578"/>
      <c r="J445" s="419"/>
      <c r="K445" s="57"/>
      <c r="L445" s="456" t="s">
        <v>675</v>
      </c>
      <c r="M445" s="420"/>
      <c r="N445" s="150"/>
      <c r="O445" s="382"/>
      <c r="Q445" s="431"/>
      <c r="R445" s="157"/>
      <c r="S445" s="404"/>
      <c r="T445" s="148"/>
      <c r="U445" s="242"/>
      <c r="V445" s="242"/>
      <c r="W445" s="242"/>
      <c r="X445" s="242"/>
      <c r="Y445" s="242"/>
      <c r="Z445" s="242"/>
      <c r="AA445" s="148"/>
      <c r="AB445" s="148"/>
    </row>
    <row r="446">
      <c r="A446" s="209" t="s">
        <v>1384</v>
      </c>
      <c r="B446" s="153"/>
      <c r="C446" s="153"/>
      <c r="D446" s="153"/>
      <c r="E446" s="561" t="s">
        <v>793</v>
      </c>
      <c r="F446" s="423">
        <v>207.0</v>
      </c>
      <c r="G446" s="228"/>
      <c r="H446" s="547"/>
      <c r="I446" s="579"/>
      <c r="J446" s="419"/>
      <c r="K446" s="57"/>
      <c r="L446" s="456"/>
      <c r="M446" s="420"/>
      <c r="N446" s="150"/>
      <c r="O446" s="425"/>
      <c r="Q446" s="431"/>
      <c r="R446" s="157"/>
      <c r="S446" s="404"/>
      <c r="T446" s="148"/>
      <c r="U446" s="242"/>
      <c r="V446" s="242"/>
      <c r="W446" s="242"/>
      <c r="X446" s="242"/>
      <c r="Y446" s="242"/>
      <c r="Z446" s="242"/>
      <c r="AA446" s="148"/>
      <c r="AB446" s="148"/>
    </row>
    <row r="447">
      <c r="A447" s="740"/>
      <c r="B447" s="740"/>
      <c r="C447" s="740"/>
      <c r="D447" s="153"/>
      <c r="E447" s="561" t="s">
        <v>794</v>
      </c>
      <c r="F447" s="157"/>
      <c r="G447" s="228"/>
      <c r="H447" s="546"/>
      <c r="I447" s="578"/>
      <c r="J447" s="419"/>
      <c r="K447" s="57"/>
      <c r="L447" s="375"/>
      <c r="M447" s="420"/>
      <c r="N447" s="150"/>
      <c r="O447" s="425"/>
      <c r="Q447" s="431"/>
      <c r="R447" s="157"/>
      <c r="S447" s="404"/>
      <c r="T447" s="148"/>
      <c r="U447" s="242"/>
      <c r="V447" s="242"/>
      <c r="W447" s="242"/>
      <c r="X447" s="242"/>
      <c r="Y447" s="242"/>
      <c r="Z447" s="242"/>
      <c r="AA447" s="148"/>
      <c r="AB447" s="148"/>
    </row>
    <row r="448">
      <c r="A448" s="209" t="s">
        <v>1385</v>
      </c>
      <c r="B448" s="209"/>
      <c r="C448" s="209"/>
      <c r="D448" s="153"/>
      <c r="E448" s="561" t="s">
        <v>18</v>
      </c>
      <c r="F448" s="423">
        <v>3643.0</v>
      </c>
      <c r="G448" s="192"/>
      <c r="H448" s="546"/>
      <c r="I448" s="578"/>
      <c r="J448" s="419"/>
      <c r="K448" s="57"/>
      <c r="L448" s="375"/>
      <c r="M448" s="420"/>
      <c r="N448" s="193"/>
      <c r="O448" s="382"/>
      <c r="Q448" s="431"/>
      <c r="R448" s="157"/>
      <c r="S448" s="404"/>
      <c r="T448" s="148"/>
      <c r="U448" s="242"/>
      <c r="V448" s="242"/>
      <c r="W448" s="242"/>
      <c r="X448" s="242"/>
      <c r="Y448" s="242"/>
      <c r="Z448" s="242"/>
      <c r="AA448" s="148"/>
      <c r="AB448" s="148"/>
    </row>
    <row r="449">
      <c r="A449" s="740"/>
      <c r="B449" s="740"/>
      <c r="C449" s="740"/>
      <c r="D449" s="153"/>
      <c r="E449" s="561" t="s">
        <v>773</v>
      </c>
      <c r="F449" s="157"/>
      <c r="G449" s="228"/>
      <c r="H449" s="547"/>
      <c r="I449" s="579"/>
      <c r="J449" s="419"/>
      <c r="K449" s="57"/>
      <c r="L449" s="452"/>
      <c r="M449" s="420"/>
      <c r="N449" s="150"/>
      <c r="O449" s="425"/>
      <c r="Q449" s="431"/>
      <c r="R449" s="157"/>
      <c r="S449" s="404"/>
      <c r="T449" s="148"/>
      <c r="U449" s="242"/>
      <c r="V449" s="242"/>
      <c r="W449" s="242"/>
      <c r="X449" s="242"/>
      <c r="Y449" s="242"/>
      <c r="Z449" s="242"/>
      <c r="AA449" s="148"/>
      <c r="AB449" s="148"/>
    </row>
    <row r="450">
      <c r="A450" s="209"/>
      <c r="B450" s="209"/>
      <c r="C450" s="209"/>
      <c r="D450" s="153"/>
      <c r="E450" s="561" t="s">
        <v>774</v>
      </c>
      <c r="F450" s="423"/>
      <c r="G450" s="228"/>
      <c r="H450" s="547"/>
      <c r="I450" s="578"/>
      <c r="J450" s="419"/>
      <c r="K450" s="57"/>
      <c r="L450" s="105"/>
      <c r="M450" s="420"/>
      <c r="N450" s="150"/>
      <c r="O450" s="425"/>
      <c r="Q450" s="431"/>
      <c r="R450" s="157"/>
      <c r="S450" s="404"/>
      <c r="T450" s="148"/>
      <c r="U450" s="242"/>
      <c r="V450" s="242"/>
      <c r="W450" s="242"/>
      <c r="X450" s="242"/>
      <c r="Y450" s="242"/>
      <c r="Z450" s="242"/>
      <c r="AA450" s="148"/>
      <c r="AB450" s="148"/>
    </row>
    <row r="451">
      <c r="A451" s="209" t="s">
        <v>1386</v>
      </c>
      <c r="B451" s="209"/>
      <c r="C451" s="209"/>
      <c r="D451" s="740"/>
      <c r="E451" s="561" t="s">
        <v>775</v>
      </c>
      <c r="F451" s="423">
        <v>560.0</v>
      </c>
      <c r="G451" s="192"/>
      <c r="H451" s="547"/>
      <c r="I451" s="578"/>
      <c r="J451" s="419"/>
      <c r="K451" s="57"/>
      <c r="L451" s="378" t="s">
        <v>682</v>
      </c>
      <c r="M451" s="420"/>
      <c r="N451" s="193">
        <v>10.0</v>
      </c>
      <c r="O451" s="377" t="s">
        <v>1329</v>
      </c>
      <c r="Q451" s="431"/>
      <c r="R451" s="157"/>
      <c r="S451" s="404"/>
      <c r="T451" s="148"/>
      <c r="U451" s="242"/>
      <c r="V451" s="242"/>
      <c r="W451" s="242"/>
      <c r="X451" s="242"/>
      <c r="Y451" s="242"/>
      <c r="Z451" s="242"/>
      <c r="AA451" s="148"/>
      <c r="AB451" s="148"/>
    </row>
    <row r="452">
      <c r="A452" s="209" t="s">
        <v>1387</v>
      </c>
      <c r="B452" s="209"/>
      <c r="C452" s="209"/>
      <c r="D452" s="740"/>
      <c r="E452" s="561" t="s">
        <v>10</v>
      </c>
      <c r="F452" s="423"/>
      <c r="G452" s="206"/>
      <c r="H452" s="564"/>
      <c r="I452" s="581"/>
      <c r="J452" s="419"/>
      <c r="K452" s="57"/>
      <c r="L452" s="461" t="s">
        <v>684</v>
      </c>
      <c r="M452" s="420"/>
      <c r="N452" s="193"/>
      <c r="O452" s="377"/>
      <c r="Q452" s="431"/>
      <c r="R452" s="157"/>
      <c r="S452" s="404"/>
      <c r="T452" s="148"/>
      <c r="U452" s="242"/>
      <c r="V452" s="242"/>
      <c r="W452" s="242"/>
      <c r="X452" s="242"/>
      <c r="Y452" s="242"/>
      <c r="Z452" s="242"/>
      <c r="AA452" s="148"/>
      <c r="AB452" s="148"/>
    </row>
    <row r="453">
      <c r="A453" s="209" t="s">
        <v>1388</v>
      </c>
      <c r="B453" s="209"/>
      <c r="C453" s="209"/>
      <c r="D453" s="740"/>
      <c r="E453" s="561" t="s">
        <v>6</v>
      </c>
      <c r="F453" s="423">
        <v>280.0</v>
      </c>
      <c r="G453" s="206"/>
      <c r="H453" s="547"/>
      <c r="I453" s="579"/>
      <c r="J453" s="455"/>
      <c r="K453" s="57"/>
      <c r="L453" s="461" t="s">
        <v>686</v>
      </c>
      <c r="M453" s="420"/>
      <c r="N453" s="150"/>
      <c r="O453" s="374"/>
      <c r="Q453" s="463"/>
      <c r="R453" s="157"/>
      <c r="S453" s="404"/>
      <c r="T453" s="148"/>
      <c r="U453" s="242"/>
      <c r="V453" s="242"/>
      <c r="W453" s="242"/>
      <c r="X453" s="242"/>
      <c r="Y453" s="242"/>
      <c r="Z453" s="242"/>
      <c r="AA453" s="148"/>
      <c r="AB453" s="148"/>
    </row>
    <row r="454">
      <c r="A454" s="153"/>
      <c r="B454" s="153"/>
      <c r="C454" s="153"/>
      <c r="D454" s="153"/>
      <c r="E454" s="561" t="s">
        <v>779</v>
      </c>
      <c r="F454" s="157"/>
      <c r="G454" s="228"/>
      <c r="H454" s="547"/>
      <c r="I454" s="579"/>
      <c r="J454" s="455"/>
      <c r="K454" s="239"/>
      <c r="L454" s="460" t="s">
        <v>202</v>
      </c>
      <c r="M454" s="420"/>
      <c r="N454" s="193"/>
      <c r="O454" s="377"/>
      <c r="Q454" s="463"/>
      <c r="R454" s="157"/>
      <c r="S454" s="404"/>
      <c r="T454" s="148"/>
      <c r="U454" s="242"/>
      <c r="V454" s="242"/>
      <c r="W454" s="242"/>
      <c r="X454" s="242"/>
      <c r="Y454" s="242"/>
      <c r="Z454" s="242"/>
      <c r="AA454" s="148"/>
      <c r="AB454" s="148"/>
    </row>
    <row r="455">
      <c r="A455" s="740"/>
      <c r="B455" s="740"/>
      <c r="C455" s="740"/>
      <c r="D455" s="740"/>
      <c r="E455" s="561" t="s">
        <v>780</v>
      </c>
      <c r="F455" s="423"/>
      <c r="G455" s="228"/>
      <c r="H455" s="547"/>
      <c r="I455" s="579"/>
      <c r="J455" s="455"/>
      <c r="K455" s="57"/>
      <c r="L455" s="460" t="s">
        <v>274</v>
      </c>
      <c r="M455" s="420"/>
      <c r="N455" s="193"/>
      <c r="O455" s="374"/>
      <c r="Q455" s="463"/>
      <c r="R455" s="157"/>
      <c r="S455" s="404"/>
      <c r="T455" s="148"/>
      <c r="U455" s="242"/>
      <c r="V455" s="242"/>
      <c r="W455" s="242"/>
      <c r="X455" s="242"/>
      <c r="Y455" s="242"/>
      <c r="Z455" s="242"/>
      <c r="AA455" s="148"/>
      <c r="AB455" s="148"/>
    </row>
    <row r="456">
      <c r="A456" s="209" t="s">
        <v>1389</v>
      </c>
      <c r="B456" s="209"/>
      <c r="C456" s="209"/>
      <c r="D456" s="740"/>
      <c r="E456" s="561" t="s">
        <v>781</v>
      </c>
      <c r="F456" s="423">
        <v>75.0</v>
      </c>
      <c r="G456" s="192"/>
      <c r="H456" s="547"/>
      <c r="I456" s="579"/>
      <c r="J456" s="419"/>
      <c r="K456" s="239"/>
      <c r="L456" s="685" t="s">
        <v>1121</v>
      </c>
      <c r="M456" s="420"/>
      <c r="N456" s="193">
        <v>150.0</v>
      </c>
      <c r="O456" s="374"/>
      <c r="Q456" s="431"/>
      <c r="R456" s="157"/>
      <c r="S456" s="404"/>
      <c r="T456" s="148"/>
      <c r="U456" s="242"/>
      <c r="V456" s="242"/>
      <c r="W456" s="242"/>
      <c r="X456" s="242"/>
      <c r="Y456" s="242"/>
      <c r="Z456" s="242"/>
      <c r="AA456" s="148"/>
      <c r="AB456" s="148"/>
    </row>
    <row r="457">
      <c r="A457" s="740"/>
      <c r="B457" s="740"/>
      <c r="C457" s="740"/>
      <c r="D457" s="741"/>
      <c r="E457" s="561" t="s">
        <v>1118</v>
      </c>
      <c r="F457" s="157"/>
      <c r="G457" s="569"/>
      <c r="H457" s="547"/>
      <c r="I457" s="578"/>
      <c r="J457" s="419"/>
      <c r="K457" s="57"/>
      <c r="L457" s="374"/>
      <c r="M457" s="420"/>
      <c r="N457" s="193"/>
      <c r="O457" s="377"/>
      <c r="Q457" s="431"/>
      <c r="R457" s="157"/>
      <c r="S457" s="404"/>
      <c r="T457" s="148"/>
      <c r="U457" s="242"/>
      <c r="V457" s="242"/>
      <c r="W457" s="242"/>
      <c r="X457" s="242"/>
      <c r="Y457" s="242"/>
      <c r="Z457" s="242"/>
      <c r="AA457" s="148"/>
      <c r="AB457" s="148"/>
    </row>
    <row r="458">
      <c r="A458" s="740"/>
      <c r="B458" s="740"/>
      <c r="C458" s="740"/>
      <c r="D458" s="741"/>
      <c r="E458" s="561"/>
      <c r="F458" s="157"/>
      <c r="G458" s="228"/>
      <c r="H458" s="547"/>
      <c r="I458" s="578"/>
      <c r="J458" s="419"/>
      <c r="K458" s="239"/>
      <c r="L458" s="596" t="s">
        <v>1001</v>
      </c>
      <c r="M458" s="420"/>
      <c r="N458" s="193">
        <v>250.0</v>
      </c>
      <c r="O458" s="377"/>
      <c r="Q458" s="431"/>
      <c r="R458" s="157"/>
      <c r="S458" s="404"/>
      <c r="T458" s="148"/>
      <c r="U458" s="242"/>
      <c r="V458" s="242"/>
      <c r="W458" s="242"/>
      <c r="X458" s="242"/>
      <c r="Y458" s="242"/>
      <c r="Z458" s="242"/>
      <c r="AA458" s="148"/>
      <c r="AB458" s="148"/>
    </row>
    <row r="459">
      <c r="A459" s="740"/>
      <c r="B459" s="740"/>
      <c r="C459" s="740"/>
      <c r="D459" s="741"/>
      <c r="E459" s="561"/>
      <c r="F459" s="157"/>
      <c r="G459" s="570"/>
      <c r="H459" s="547"/>
      <c r="I459" s="578"/>
      <c r="J459" s="419"/>
      <c r="K459" s="239"/>
      <c r="L459" s="568"/>
      <c r="M459" s="420"/>
      <c r="N459" s="193"/>
      <c r="O459" s="374"/>
      <c r="Q459" s="431"/>
      <c r="R459" s="157"/>
      <c r="S459" s="404"/>
      <c r="T459" s="148"/>
      <c r="U459" s="242"/>
      <c r="V459" s="242"/>
      <c r="W459" s="242"/>
      <c r="X459" s="242"/>
      <c r="Y459" s="242"/>
      <c r="Z459" s="242"/>
      <c r="AA459" s="148"/>
      <c r="AB459" s="148"/>
    </row>
    <row r="460">
      <c r="E460" s="571"/>
      <c r="F460" s="157"/>
      <c r="G460" s="570"/>
      <c r="H460" s="547"/>
      <c r="I460" s="578"/>
      <c r="J460" s="419"/>
      <c r="K460" s="239"/>
      <c r="L460" s="464" t="s">
        <v>692</v>
      </c>
      <c r="M460" s="420"/>
      <c r="N460" s="150"/>
      <c r="O460" s="377"/>
      <c r="Q460" s="431"/>
      <c r="R460" s="157"/>
      <c r="S460" s="404"/>
      <c r="T460" s="148"/>
      <c r="U460" s="242"/>
      <c r="V460" s="242"/>
      <c r="W460" s="242"/>
      <c r="X460" s="242"/>
      <c r="Y460" s="242"/>
      <c r="Z460" s="242"/>
      <c r="AA460" s="148"/>
      <c r="AB460" s="148"/>
    </row>
    <row r="461">
      <c r="E461" s="571"/>
      <c r="F461" s="157"/>
      <c r="G461" s="570"/>
      <c r="H461" s="547"/>
      <c r="I461" s="578"/>
      <c r="J461" s="419"/>
      <c r="K461" s="239"/>
      <c r="L461" s="464" t="s">
        <v>694</v>
      </c>
      <c r="M461" s="420"/>
      <c r="N461" s="150"/>
      <c r="O461" s="377" t="s">
        <v>1390</v>
      </c>
      <c r="Q461" s="431"/>
      <c r="R461" s="157"/>
      <c r="S461" s="404"/>
      <c r="T461" s="148"/>
      <c r="U461" s="242"/>
      <c r="V461" s="242"/>
      <c r="W461" s="242"/>
      <c r="X461" s="242"/>
      <c r="Y461" s="242"/>
      <c r="Z461" s="242"/>
      <c r="AA461" s="148"/>
      <c r="AB461" s="148"/>
    </row>
    <row r="462">
      <c r="E462" s="571"/>
      <c r="F462" s="423"/>
      <c r="G462" s="570"/>
      <c r="H462" s="546"/>
      <c r="I462" s="419"/>
      <c r="J462" s="419"/>
      <c r="K462" s="57"/>
      <c r="L462" s="105"/>
      <c r="M462" s="57"/>
      <c r="N462" s="150"/>
      <c r="O462" s="57"/>
      <c r="P462" s="57"/>
      <c r="Q462" s="57"/>
      <c r="R462" s="157"/>
      <c r="S462" s="404"/>
      <c r="T462" s="148"/>
      <c r="U462" s="242"/>
      <c r="V462" s="242"/>
      <c r="W462" s="242"/>
      <c r="X462" s="242"/>
      <c r="Y462" s="242"/>
      <c r="Z462" s="242"/>
      <c r="AA462" s="148"/>
      <c r="AB462" s="148"/>
    </row>
    <row r="463">
      <c r="A463" s="125" t="s">
        <v>798</v>
      </c>
      <c r="B463" s="125"/>
      <c r="C463" s="125"/>
      <c r="D463" s="572">
        <f>E436-D440</f>
        <v>-3549.44</v>
      </c>
      <c r="F463" s="157"/>
      <c r="G463" s="570"/>
      <c r="H463" s="573"/>
      <c r="I463" s="478"/>
      <c r="J463" s="419"/>
      <c r="K463" s="239"/>
      <c r="L463" s="568"/>
      <c r="M463" s="57"/>
      <c r="N463" s="150"/>
      <c r="O463" s="57"/>
      <c r="P463" s="57"/>
      <c r="Q463" s="57"/>
      <c r="R463" s="157"/>
      <c r="S463" s="404"/>
      <c r="T463" s="148"/>
      <c r="U463" s="242"/>
      <c r="V463" s="242"/>
      <c r="W463" s="242"/>
      <c r="X463" s="242"/>
      <c r="Y463" s="242"/>
      <c r="Z463" s="242"/>
      <c r="AA463" s="148"/>
      <c r="AB463" s="148"/>
    </row>
    <row r="464">
      <c r="A464" s="274" t="s">
        <v>783</v>
      </c>
      <c r="B464" s="274"/>
      <c r="C464" s="274"/>
      <c r="D464" s="109">
        <v>713.0</v>
      </c>
      <c r="E464" s="395"/>
      <c r="F464" s="157"/>
      <c r="G464" s="570"/>
      <c r="H464" s="573"/>
      <c r="I464" s="478"/>
      <c r="J464" s="419"/>
      <c r="K464" s="239"/>
      <c r="L464" s="568"/>
      <c r="M464" s="57"/>
      <c r="N464" s="150"/>
      <c r="O464" s="57"/>
      <c r="P464" s="57"/>
      <c r="Q464" s="57"/>
      <c r="R464" s="157"/>
      <c r="S464" s="404"/>
      <c r="T464" s="148"/>
      <c r="U464" s="242"/>
      <c r="V464" s="242"/>
      <c r="W464" s="242"/>
      <c r="X464" s="242"/>
      <c r="Y464" s="242"/>
      <c r="Z464" s="242"/>
      <c r="AA464" s="148"/>
      <c r="AB464" s="148"/>
    </row>
    <row r="465">
      <c r="A465" s="274" t="s">
        <v>784</v>
      </c>
      <c r="B465" s="274"/>
      <c r="C465" s="274"/>
      <c r="D465" s="109">
        <v>1750.0</v>
      </c>
      <c r="E465" s="395"/>
      <c r="F465" s="157"/>
      <c r="G465" s="570"/>
      <c r="H465" s="573"/>
      <c r="I465" s="478"/>
      <c r="J465" s="419"/>
      <c r="K465" s="239"/>
      <c r="L465" s="568"/>
      <c r="M465" s="57"/>
      <c r="N465" s="150"/>
      <c r="O465" s="57"/>
      <c r="P465" s="57"/>
      <c r="Q465" s="57"/>
      <c r="R465" s="157"/>
      <c r="S465" s="404"/>
      <c r="T465" s="148"/>
      <c r="U465" s="242"/>
      <c r="V465" s="242"/>
      <c r="W465" s="242"/>
      <c r="X465" s="242"/>
      <c r="Y465" s="242"/>
      <c r="Z465" s="242"/>
      <c r="AA465" s="148"/>
      <c r="AB465" s="148"/>
    </row>
    <row r="466">
      <c r="A466" s="274" t="s">
        <v>785</v>
      </c>
      <c r="B466" s="274"/>
      <c r="C466" s="274"/>
      <c r="D466" s="109">
        <v>1220.0</v>
      </c>
      <c r="E466" s="686">
        <f>SUM(D464:D466)</f>
        <v>3683</v>
      </c>
      <c r="F466" s="157"/>
      <c r="G466" s="570"/>
      <c r="H466" s="573"/>
      <c r="I466" s="478"/>
      <c r="J466" s="419"/>
      <c r="K466" s="239"/>
      <c r="L466" s="568"/>
      <c r="M466" s="57"/>
      <c r="N466" s="150"/>
      <c r="O466" s="57"/>
      <c r="P466" s="57"/>
      <c r="Q466" s="57"/>
      <c r="R466" s="157"/>
      <c r="S466" s="404"/>
      <c r="T466" s="148"/>
      <c r="U466" s="242"/>
      <c r="V466" s="242"/>
      <c r="W466" s="242"/>
      <c r="X466" s="242"/>
      <c r="Y466" s="242"/>
      <c r="Z466" s="242"/>
      <c r="AA466" s="148"/>
      <c r="AB466" s="148"/>
    </row>
    <row r="467">
      <c r="A467" s="402"/>
      <c r="B467" s="402"/>
      <c r="C467" s="402"/>
      <c r="D467" s="403"/>
      <c r="E467" s="403"/>
      <c r="F467" s="403"/>
      <c r="G467" s="574"/>
      <c r="H467" s="575"/>
      <c r="I467" s="159"/>
      <c r="J467" s="159"/>
      <c r="K467" s="159"/>
      <c r="L467" s="576"/>
      <c r="M467" s="159"/>
      <c r="N467" s="162"/>
      <c r="O467" s="402"/>
      <c r="P467" s="402"/>
      <c r="Q467" s="159"/>
      <c r="R467" s="403"/>
      <c r="S467" s="577"/>
      <c r="T467" s="148"/>
      <c r="U467" s="242"/>
      <c r="V467" s="242"/>
      <c r="W467" s="242"/>
      <c r="X467" s="242"/>
      <c r="Y467" s="242"/>
      <c r="Z467" s="242"/>
      <c r="AA467" s="148"/>
      <c r="AB467" s="148"/>
    </row>
    <row r="468">
      <c r="A468" s="148"/>
      <c r="B468" s="148"/>
      <c r="C468" s="148"/>
      <c r="D468" s="148"/>
      <c r="E468" s="148"/>
      <c r="F468" s="245"/>
      <c r="G468" s="585"/>
      <c r="H468" s="586"/>
      <c r="I468" s="148"/>
      <c r="J468" s="148"/>
      <c r="K468" s="251"/>
      <c r="L468" s="243"/>
      <c r="M468" s="148"/>
      <c r="N468" s="277"/>
      <c r="O468" s="252"/>
      <c r="P468" s="250"/>
      <c r="Q468" s="253"/>
      <c r="R468" s="240"/>
      <c r="S468" s="148"/>
      <c r="T468" s="148"/>
      <c r="U468" s="242"/>
      <c r="V468" s="242"/>
      <c r="W468" s="242"/>
      <c r="X468" s="242"/>
      <c r="Y468" s="242"/>
      <c r="Z468" s="242"/>
      <c r="AA468" s="148"/>
      <c r="AB468" s="148"/>
    </row>
    <row r="469">
      <c r="A469" s="601" t="s">
        <v>911</v>
      </c>
      <c r="D469" s="361"/>
      <c r="E469" s="602" t="s">
        <v>912</v>
      </c>
      <c r="F469" s="601" t="s">
        <v>913</v>
      </c>
      <c r="G469" s="361"/>
      <c r="H469" s="603"/>
      <c r="I469" s="243"/>
      <c r="J469" s="243"/>
      <c r="K469" s="243"/>
      <c r="L469" s="243"/>
      <c r="M469" s="243"/>
      <c r="N469" s="277"/>
      <c r="O469" s="425"/>
      <c r="P469" s="604"/>
      <c r="Q469" s="323"/>
      <c r="R469" s="317"/>
      <c r="S469" s="243"/>
      <c r="T469" s="243"/>
      <c r="U469" s="317"/>
      <c r="V469" s="317"/>
      <c r="W469" s="317"/>
      <c r="X469" s="317"/>
      <c r="Y469" s="317"/>
      <c r="Z469" s="317"/>
      <c r="AA469" s="243"/>
      <c r="AB469" s="243"/>
    </row>
    <row r="470">
      <c r="A470" s="605" t="s">
        <v>341</v>
      </c>
      <c r="B470" s="471"/>
      <c r="C470" s="471"/>
      <c r="D470" s="606">
        <f t="shared" ref="D470:D479" si="1">SUM(N4,N43,N82,N121,N160,N199,N238,N277,N316,N355,N394,N433)</f>
        <v>0</v>
      </c>
      <c r="E470" s="109"/>
      <c r="F470" s="607" t="s">
        <v>766</v>
      </c>
      <c r="G470" s="608">
        <f>SUM(F12,F51,F90,F129,F168,F207,F246,F285,F324,F363,F402,F441)</f>
        <v>0</v>
      </c>
      <c r="H470" s="609"/>
      <c r="I470" s="243"/>
      <c r="J470" s="243"/>
      <c r="K470" s="243"/>
      <c r="L470" s="243"/>
      <c r="M470" s="243"/>
      <c r="N470" s="277"/>
      <c r="O470" s="425"/>
      <c r="P470" s="604"/>
      <c r="Q470" s="323"/>
      <c r="R470" s="317"/>
      <c r="S470" s="243"/>
      <c r="T470" s="243"/>
      <c r="U470" s="317"/>
      <c r="V470" s="317"/>
      <c r="W470" s="317"/>
      <c r="X470" s="317"/>
      <c r="Y470" s="317"/>
      <c r="Z470" s="317"/>
      <c r="AA470" s="243"/>
      <c r="AB470" s="243"/>
    </row>
    <row r="471">
      <c r="A471" s="610" t="s">
        <v>345</v>
      </c>
      <c r="B471" s="471"/>
      <c r="C471" s="471"/>
      <c r="D471" s="611">
        <f t="shared" si="1"/>
        <v>664.71</v>
      </c>
      <c r="E471" s="538"/>
      <c r="F471" s="607" t="s">
        <v>767</v>
      </c>
      <c r="G471" s="608">
        <f t="shared" ref="G471:G473" si="2">SUM(F442,F403,F364,F325,F286,F247,F208,F169,F130,F91,F52,F13)</f>
        <v>59.79</v>
      </c>
      <c r="H471" s="612"/>
      <c r="I471" s="243"/>
      <c r="J471" s="243"/>
      <c r="K471" s="243"/>
      <c r="L471" s="243"/>
      <c r="M471" s="243"/>
      <c r="N471" s="277"/>
      <c r="O471" s="425"/>
      <c r="P471" s="604"/>
      <c r="Q471" s="323"/>
      <c r="R471" s="317"/>
      <c r="S471" s="243"/>
      <c r="T471" s="243"/>
      <c r="U471" s="317"/>
      <c r="V471" s="317"/>
      <c r="W471" s="317"/>
      <c r="X471" s="317"/>
      <c r="Y471" s="317"/>
      <c r="Z471" s="317"/>
      <c r="AA471" s="243"/>
      <c r="AB471" s="243"/>
    </row>
    <row r="472">
      <c r="A472" s="613" t="s">
        <v>656</v>
      </c>
      <c r="B472" s="433"/>
      <c r="C472" s="433"/>
      <c r="D472" s="611">
        <f t="shared" si="1"/>
        <v>1159.63</v>
      </c>
      <c r="E472" s="614"/>
      <c r="F472" s="607" t="s">
        <v>768</v>
      </c>
      <c r="G472" s="608">
        <f t="shared" si="2"/>
        <v>0</v>
      </c>
      <c r="H472" s="612"/>
      <c r="I472" s="243"/>
      <c r="J472" s="243"/>
      <c r="K472" s="243"/>
      <c r="L472" s="243"/>
      <c r="M472" s="243"/>
      <c r="N472" s="277"/>
      <c r="O472" s="425"/>
      <c r="P472" s="604"/>
      <c r="Q472" s="323"/>
      <c r="R472" s="317"/>
      <c r="S472" s="243"/>
      <c r="T472" s="243"/>
      <c r="U472" s="317"/>
      <c r="V472" s="317"/>
      <c r="W472" s="317"/>
      <c r="X472" s="317"/>
      <c r="Y472" s="317"/>
      <c r="Z472" s="317"/>
      <c r="AA472" s="243"/>
      <c r="AB472" s="243"/>
    </row>
    <row r="473">
      <c r="A473" s="615" t="s">
        <v>658</v>
      </c>
      <c r="B473" s="444"/>
      <c r="C473" s="444"/>
      <c r="D473" s="611">
        <f t="shared" si="1"/>
        <v>450.9</v>
      </c>
      <c r="E473" s="400"/>
      <c r="F473" s="607" t="s">
        <v>769</v>
      </c>
      <c r="G473" s="608">
        <f t="shared" si="2"/>
        <v>0</v>
      </c>
      <c r="H473" s="612"/>
      <c r="I473" s="243"/>
      <c r="J473" s="243"/>
      <c r="K473" s="243"/>
      <c r="L473" s="243"/>
      <c r="M473" s="243"/>
      <c r="N473" s="277"/>
      <c r="O473" s="425"/>
      <c r="P473" s="604"/>
      <c r="Q473" s="323"/>
      <c r="R473" s="317"/>
      <c r="S473" s="243"/>
      <c r="T473" s="243"/>
      <c r="U473" s="317"/>
      <c r="V473" s="317"/>
      <c r="W473" s="317"/>
      <c r="X473" s="317"/>
      <c r="Y473" s="317"/>
      <c r="Z473" s="317"/>
      <c r="AA473" s="243"/>
      <c r="AB473" s="243"/>
    </row>
    <row r="474">
      <c r="A474" s="615" t="s">
        <v>660</v>
      </c>
      <c r="B474" s="444"/>
      <c r="C474" s="444"/>
      <c r="D474" s="611">
        <f t="shared" si="1"/>
        <v>1520</v>
      </c>
      <c r="E474" s="400"/>
      <c r="F474" s="607" t="s">
        <v>770</v>
      </c>
      <c r="G474" s="608">
        <f>SUM(F16,F55,F94,F133,F172,F211,F250,F289,F328,F367,F406,F445)</f>
        <v>0</v>
      </c>
      <c r="H474" s="612"/>
      <c r="I474" s="243"/>
      <c r="J474" s="243"/>
      <c r="K474" s="243"/>
      <c r="L474" s="243"/>
      <c r="M474" s="243"/>
      <c r="N474" s="277"/>
      <c r="O474" s="425"/>
      <c r="P474" s="604"/>
      <c r="Q474" s="323"/>
      <c r="R474" s="317"/>
      <c r="S474" s="243"/>
      <c r="T474" s="243"/>
      <c r="U474" s="317"/>
      <c r="V474" s="317"/>
      <c r="W474" s="317"/>
      <c r="X474" s="317"/>
      <c r="Y474" s="317"/>
      <c r="Z474" s="317"/>
      <c r="AA474" s="243"/>
      <c r="AB474" s="243"/>
    </row>
    <row r="475">
      <c r="A475" s="616" t="s">
        <v>662</v>
      </c>
      <c r="B475" s="370"/>
      <c r="C475" s="370"/>
      <c r="D475" s="611">
        <f t="shared" si="1"/>
        <v>428</v>
      </c>
      <c r="E475" s="400"/>
      <c r="F475" s="617" t="s">
        <v>793</v>
      </c>
      <c r="G475" s="608">
        <f>SUM(F446,F407,F368,F329,F290,F251,F212,F173,F134,F95,F56,F17)</f>
        <v>2627</v>
      </c>
      <c r="H475" s="618"/>
      <c r="I475" s="243"/>
      <c r="J475" s="243"/>
      <c r="K475" s="243"/>
      <c r="L475" s="243"/>
      <c r="M475" s="243"/>
      <c r="N475" s="277"/>
      <c r="O475" s="425"/>
      <c r="P475" s="604"/>
      <c r="Q475" s="323"/>
      <c r="R475" s="317"/>
      <c r="S475" s="243"/>
      <c r="T475" s="243"/>
      <c r="U475" s="317"/>
      <c r="V475" s="317"/>
      <c r="W475" s="317"/>
      <c r="X475" s="317"/>
      <c r="Y475" s="317"/>
      <c r="Z475" s="317"/>
      <c r="AA475" s="243"/>
      <c r="AB475" s="243"/>
    </row>
    <row r="476">
      <c r="A476" s="613" t="s">
        <v>666</v>
      </c>
      <c r="B476" s="433"/>
      <c r="C476" s="433"/>
      <c r="D476" s="611">
        <f t="shared" si="1"/>
        <v>444</v>
      </c>
      <c r="E476" s="400"/>
      <c r="F476" s="617" t="s">
        <v>794</v>
      </c>
      <c r="G476" s="608">
        <f>SUM(F18,F57,F96,F135,F174,F213,F252,F291,F330,F369,F408,F447)</f>
        <v>0</v>
      </c>
      <c r="H476" s="612"/>
      <c r="I476" s="243"/>
      <c r="J476" s="243"/>
      <c r="K476" s="243"/>
      <c r="L476" s="243"/>
      <c r="M476" s="243"/>
      <c r="N476" s="277"/>
      <c r="O476" s="425"/>
      <c r="P476" s="604"/>
      <c r="Q476" s="323"/>
      <c r="R476" s="317"/>
      <c r="S476" s="243"/>
      <c r="T476" s="243"/>
      <c r="U476" s="317"/>
      <c r="V476" s="317"/>
      <c r="W476" s="317"/>
      <c r="X476" s="317"/>
      <c r="Y476" s="317"/>
      <c r="Z476" s="317"/>
      <c r="AA476" s="243"/>
      <c r="AB476" s="243"/>
    </row>
    <row r="477">
      <c r="A477" s="613" t="s">
        <v>668</v>
      </c>
      <c r="B477" s="433"/>
      <c r="C477" s="433"/>
      <c r="D477" s="611">
        <f t="shared" si="1"/>
        <v>850</v>
      </c>
      <c r="E477" s="400"/>
      <c r="F477" s="607" t="s">
        <v>18</v>
      </c>
      <c r="G477" s="608">
        <f t="shared" ref="G477:G480" si="3">SUM(F448,F409,F370,F331,F292,F253,F214,F175,F136,F97,F58,F19)</f>
        <v>4460.07</v>
      </c>
      <c r="H477" s="612"/>
      <c r="I477" s="243"/>
      <c r="J477" s="243"/>
      <c r="K477" s="243"/>
      <c r="L477" s="243"/>
      <c r="M477" s="243"/>
      <c r="N477" s="277"/>
      <c r="O477" s="425"/>
      <c r="P477" s="604"/>
      <c r="Q477" s="323"/>
      <c r="R477" s="317"/>
      <c r="S477" s="243"/>
      <c r="T477" s="243"/>
      <c r="U477" s="317"/>
      <c r="V477" s="317"/>
      <c r="W477" s="317"/>
      <c r="X477" s="317"/>
      <c r="Y477" s="317"/>
      <c r="Z477" s="317"/>
      <c r="AA477" s="243"/>
      <c r="AB477" s="243"/>
    </row>
    <row r="478">
      <c r="A478" s="613" t="s">
        <v>670</v>
      </c>
      <c r="B478" s="433"/>
      <c r="C478" s="433"/>
      <c r="D478" s="611">
        <f t="shared" si="1"/>
        <v>15000</v>
      </c>
      <c r="E478" s="619"/>
      <c r="F478" s="607" t="s">
        <v>773</v>
      </c>
      <c r="G478" s="608">
        <f t="shared" si="3"/>
        <v>0</v>
      </c>
      <c r="H478" s="612"/>
      <c r="I478" s="243"/>
      <c r="J478" s="243"/>
      <c r="K478" s="243"/>
      <c r="L478" s="243"/>
      <c r="M478" s="243"/>
      <c r="N478" s="277"/>
      <c r="O478" s="425"/>
      <c r="P478" s="604"/>
      <c r="Q478" s="323"/>
      <c r="R478" s="317"/>
      <c r="S478" s="243"/>
      <c r="T478" s="243"/>
      <c r="U478" s="317"/>
      <c r="V478" s="317"/>
      <c r="W478" s="317"/>
      <c r="X478" s="317"/>
      <c r="Y478" s="317"/>
      <c r="Z478" s="317"/>
      <c r="AA478" s="243"/>
      <c r="AB478" s="243"/>
    </row>
    <row r="479">
      <c r="A479" s="613" t="s">
        <v>217</v>
      </c>
      <c r="B479" s="433"/>
      <c r="C479" s="433"/>
      <c r="D479" s="611">
        <f t="shared" si="1"/>
        <v>152</v>
      </c>
      <c r="E479" s="400"/>
      <c r="F479" s="561" t="s">
        <v>1116</v>
      </c>
      <c r="G479" s="608">
        <f t="shared" si="3"/>
        <v>1024</v>
      </c>
      <c r="H479" s="612"/>
      <c r="I479" s="243"/>
      <c r="J479" s="243"/>
      <c r="K479" s="243"/>
      <c r="L479" s="243"/>
      <c r="M479" s="243"/>
      <c r="N479" s="277"/>
      <c r="O479" s="425"/>
      <c r="P479" s="604"/>
      <c r="Q479" s="323"/>
      <c r="R479" s="317"/>
      <c r="S479" s="243"/>
      <c r="T479" s="243"/>
      <c r="U479" s="317"/>
      <c r="V479" s="317"/>
      <c r="W479" s="317"/>
      <c r="X479" s="317"/>
      <c r="Y479" s="317"/>
      <c r="Z479" s="317"/>
      <c r="AA479" s="243"/>
      <c r="AB479" s="243"/>
    </row>
    <row r="480">
      <c r="A480" s="620" t="s">
        <v>672</v>
      </c>
      <c r="B480" s="456"/>
      <c r="C480" s="456"/>
      <c r="D480" s="611">
        <f>SUM(N444,N405,N366,N327,N288,N249,N210,N171,N132,N93,N54,N15)</f>
        <v>0</v>
      </c>
      <c r="E480" s="400"/>
      <c r="F480" s="607" t="s">
        <v>775</v>
      </c>
      <c r="G480" s="608">
        <f t="shared" si="3"/>
        <v>3774</v>
      </c>
      <c r="H480" s="612"/>
      <c r="I480" s="243"/>
      <c r="J480" s="243"/>
      <c r="K480" s="243"/>
      <c r="L480" s="243"/>
      <c r="M480" s="243"/>
      <c r="N480" s="277"/>
      <c r="O480" s="425"/>
      <c r="P480" s="604"/>
      <c r="Q480" s="323"/>
      <c r="R480" s="317"/>
      <c r="S480" s="243"/>
      <c r="T480" s="243"/>
      <c r="U480" s="317"/>
      <c r="V480" s="317"/>
      <c r="W480" s="317"/>
      <c r="X480" s="317"/>
      <c r="Y480" s="317"/>
      <c r="Z480" s="317"/>
      <c r="AA480" s="243"/>
      <c r="AB480" s="243"/>
    </row>
    <row r="481">
      <c r="A481" s="620" t="s">
        <v>675</v>
      </c>
      <c r="B481" s="456"/>
      <c r="C481" s="456"/>
      <c r="D481" s="611">
        <f>SUM(N445,N406,N367,N328,N328,N289,N250,N211,N172,N133,N94,N55,N16)</f>
        <v>147</v>
      </c>
      <c r="E481" s="400"/>
      <c r="F481" s="607" t="s">
        <v>10</v>
      </c>
      <c r="G481" s="608">
        <f t="shared" ref="G481:G482" si="4">SUM(F23,F62,F101,F140,F179,F218,F257,F296,F335,F374,F413,F452)</f>
        <v>1077</v>
      </c>
      <c r="H481" s="612"/>
      <c r="I481" s="243"/>
      <c r="J481" s="243"/>
      <c r="K481" s="243"/>
      <c r="L481" s="243"/>
      <c r="M481" s="243"/>
      <c r="N481" s="277"/>
      <c r="O481" s="425"/>
      <c r="P481" s="604"/>
      <c r="Q481" s="323"/>
      <c r="R481" s="317"/>
      <c r="S481" s="243"/>
      <c r="T481" s="243"/>
      <c r="U481" s="317"/>
      <c r="V481" s="317"/>
      <c r="W481" s="317"/>
      <c r="X481" s="317"/>
      <c r="Y481" s="317"/>
      <c r="Z481" s="317"/>
      <c r="AA481" s="243"/>
      <c r="AB481" s="243"/>
    </row>
    <row r="482">
      <c r="A482" s="621" t="s">
        <v>682</v>
      </c>
      <c r="B482" s="378"/>
      <c r="C482" s="378"/>
      <c r="D482" s="611">
        <f>SUM(N22,N61,N100,N139,N178,N217,N256,N295,N334,N373,N412,N451)</f>
        <v>1367</v>
      </c>
      <c r="E482" s="400"/>
      <c r="F482" s="607" t="s">
        <v>6</v>
      </c>
      <c r="G482" s="608">
        <f t="shared" si="4"/>
        <v>2877</v>
      </c>
      <c r="H482" s="612"/>
      <c r="I482" s="243"/>
      <c r="J482" s="243"/>
      <c r="K482" s="243"/>
      <c r="L482" s="243"/>
      <c r="M482" s="243"/>
      <c r="N482" s="277"/>
      <c r="O482" s="425"/>
      <c r="P482" s="622"/>
      <c r="Q482" s="323"/>
      <c r="R482" s="317"/>
      <c r="S482" s="243"/>
      <c r="T482" s="243"/>
      <c r="U482" s="317"/>
      <c r="V482" s="317"/>
      <c r="W482" s="317"/>
      <c r="X482" s="317"/>
      <c r="Y482" s="317"/>
      <c r="Z482" s="317"/>
      <c r="AA482" s="243"/>
      <c r="AB482" s="243"/>
    </row>
    <row r="483">
      <c r="A483" s="623" t="s">
        <v>684</v>
      </c>
      <c r="B483" s="461"/>
      <c r="C483" s="461"/>
      <c r="D483" s="611">
        <f>SUM(N452,N413,N374,N335,N296,N257,N218,N179,N140,N101,N62,N23)</f>
        <v>0</v>
      </c>
      <c r="E483" s="400"/>
      <c r="F483" s="607" t="s">
        <v>779</v>
      </c>
      <c r="G483" s="608">
        <f t="shared" ref="G483:G485" si="5">SUM(F454,F415,F376,F337,F298,F259,F220,F181,F142,F103,F64,F25)</f>
        <v>0</v>
      </c>
      <c r="H483" s="586"/>
      <c r="I483" s="243"/>
      <c r="J483" s="243"/>
      <c r="K483" s="243"/>
      <c r="L483" s="243"/>
      <c r="M483" s="243"/>
      <c r="N483" s="277"/>
      <c r="O483" s="425"/>
      <c r="P483" s="622"/>
      <c r="Q483" s="323"/>
      <c r="R483" s="317"/>
      <c r="S483" s="243"/>
      <c r="T483" s="243"/>
      <c r="U483" s="317"/>
      <c r="V483" s="317"/>
      <c r="W483" s="317"/>
      <c r="X483" s="317"/>
      <c r="Y483" s="317"/>
      <c r="Z483" s="317"/>
      <c r="AA483" s="243"/>
      <c r="AB483" s="243"/>
    </row>
    <row r="484">
      <c r="A484" s="623" t="s">
        <v>686</v>
      </c>
      <c r="B484" s="461"/>
      <c r="C484" s="461"/>
      <c r="D484" s="611">
        <f>SUM(N24,N63,N102,N141,N180,N219,N258,N297,N336,N375,N414,N453)</f>
        <v>400</v>
      </c>
      <c r="E484" s="400"/>
      <c r="F484" s="607" t="s">
        <v>780</v>
      </c>
      <c r="G484" s="608">
        <f t="shared" si="5"/>
        <v>670</v>
      </c>
      <c r="H484" s="586"/>
      <c r="I484" s="243"/>
      <c r="J484" s="243"/>
      <c r="K484" s="243"/>
      <c r="L484" s="243"/>
      <c r="M484" s="243"/>
      <c r="N484" s="277"/>
      <c r="O484" s="425"/>
      <c r="P484" s="604"/>
      <c r="Q484" s="323"/>
      <c r="R484" s="317"/>
      <c r="S484" s="243"/>
      <c r="T484" s="243"/>
      <c r="U484" s="317"/>
      <c r="V484" s="317"/>
      <c r="W484" s="317"/>
      <c r="X484" s="317"/>
      <c r="Y484" s="317"/>
      <c r="Z484" s="317"/>
      <c r="AA484" s="243"/>
      <c r="AB484" s="243"/>
    </row>
    <row r="485">
      <c r="A485" s="624" t="s">
        <v>202</v>
      </c>
      <c r="B485" s="460"/>
      <c r="C485" s="460"/>
      <c r="D485" s="611">
        <f t="shared" ref="D485:D487" si="6">SUM(N454,N415,N376,N337,N298,N259,N220,N181,N142,N103,N64,N25)</f>
        <v>0</v>
      </c>
      <c r="E485" s="400"/>
      <c r="F485" s="607" t="s">
        <v>781</v>
      </c>
      <c r="G485" s="608">
        <f t="shared" si="5"/>
        <v>806</v>
      </c>
      <c r="H485" s="586"/>
      <c r="I485" s="243"/>
      <c r="J485" s="243"/>
      <c r="K485" s="243"/>
      <c r="L485" s="243"/>
      <c r="M485" s="243"/>
      <c r="N485" s="277"/>
      <c r="O485" s="425"/>
      <c r="P485" s="604"/>
      <c r="Q485" s="323"/>
      <c r="R485" s="317"/>
      <c r="S485" s="243"/>
      <c r="T485" s="243"/>
      <c r="U485" s="317"/>
      <c r="V485" s="317"/>
      <c r="W485" s="317"/>
      <c r="X485" s="317"/>
      <c r="Y485" s="317"/>
      <c r="Z485" s="317"/>
      <c r="AA485" s="243"/>
      <c r="AB485" s="243"/>
    </row>
    <row r="486">
      <c r="A486" s="624" t="s">
        <v>274</v>
      </c>
      <c r="B486" s="460"/>
      <c r="C486" s="460"/>
      <c r="D486" s="611">
        <f t="shared" si="6"/>
        <v>0</v>
      </c>
      <c r="E486" s="400"/>
      <c r="F486" s="742" t="s">
        <v>1118</v>
      </c>
      <c r="G486" s="743">
        <f>SUM(F28,F67,F106,F145,F184,F223,F262,F301,F340,F340,F379,F379,F418,F457)</f>
        <v>982</v>
      </c>
      <c r="H486" s="586"/>
      <c r="I486" s="243"/>
      <c r="J486" s="243"/>
      <c r="K486" s="243"/>
      <c r="L486" s="243"/>
      <c r="M486" s="243"/>
      <c r="N486" s="277"/>
      <c r="O486" s="425"/>
      <c r="P486" s="604"/>
      <c r="Q486" s="323"/>
      <c r="R486" s="317"/>
      <c r="S486" s="243"/>
      <c r="T486" s="243"/>
      <c r="U486" s="317"/>
      <c r="V486" s="317"/>
      <c r="W486" s="317"/>
      <c r="X486" s="317"/>
      <c r="Y486" s="317"/>
      <c r="Z486" s="317"/>
      <c r="AA486" s="243"/>
      <c r="AB486" s="243"/>
    </row>
    <row r="487">
      <c r="A487" s="621" t="s">
        <v>1121</v>
      </c>
      <c r="B487" s="378"/>
      <c r="C487" s="378"/>
      <c r="D487" s="611">
        <f t="shared" si="6"/>
        <v>3745.5</v>
      </c>
      <c r="E487" s="400"/>
      <c r="F487" s="744" t="s">
        <v>1391</v>
      </c>
      <c r="G487" s="745"/>
      <c r="H487" s="586"/>
      <c r="I487" s="243"/>
      <c r="J487" s="243"/>
      <c r="K487" s="243"/>
      <c r="L487" s="243"/>
      <c r="M487" s="243"/>
      <c r="N487" s="277"/>
      <c r="O487" s="425"/>
      <c r="P487" s="604"/>
      <c r="Q487" s="323"/>
      <c r="R487" s="317"/>
      <c r="S487" s="243"/>
      <c r="T487" s="243"/>
      <c r="U487" s="317"/>
      <c r="V487" s="317"/>
      <c r="W487" s="317"/>
      <c r="X487" s="317"/>
      <c r="Y487" s="317"/>
      <c r="Z487" s="317"/>
      <c r="AA487" s="243"/>
      <c r="AB487" s="243"/>
    </row>
    <row r="488">
      <c r="A488" s="629" t="s">
        <v>1001</v>
      </c>
      <c r="B488" s="596"/>
      <c r="C488" s="596"/>
      <c r="D488" s="611">
        <f t="shared" ref="D488:D489" si="7">SUM(N28,N67,N106,N145,N184,N223,N262,N301,N340,N379,N418,N457)</f>
        <v>230</v>
      </c>
      <c r="E488" s="400"/>
      <c r="F488" s="628"/>
      <c r="G488" s="626"/>
      <c r="H488" s="586"/>
      <c r="I488" s="243"/>
      <c r="J488" s="243"/>
      <c r="K488" s="243"/>
      <c r="L488" s="243"/>
      <c r="M488" s="243"/>
      <c r="N488" s="277"/>
      <c r="O488" s="425"/>
      <c r="P488" s="604"/>
      <c r="Q488" s="323"/>
      <c r="R488" s="317"/>
      <c r="S488" s="243"/>
      <c r="T488" s="243"/>
      <c r="U488" s="317"/>
      <c r="V488" s="317"/>
      <c r="W488" s="317"/>
      <c r="X488" s="317"/>
      <c r="Y488" s="317"/>
      <c r="Z488" s="317"/>
      <c r="AA488" s="243"/>
      <c r="AB488" s="243"/>
    </row>
    <row r="489">
      <c r="A489" s="629" t="s">
        <v>1001</v>
      </c>
      <c r="B489" s="596"/>
      <c r="C489" s="596"/>
      <c r="D489" s="611">
        <f t="shared" si="7"/>
        <v>3782</v>
      </c>
      <c r="E489" s="400"/>
      <c r="F489" s="628"/>
      <c r="G489" s="626"/>
      <c r="H489" s="586"/>
      <c r="I489" s="243"/>
      <c r="J489" s="243"/>
      <c r="K489" s="243"/>
      <c r="L489" s="243"/>
      <c r="M489" s="243"/>
      <c r="N489" s="277"/>
      <c r="O489" s="425"/>
      <c r="P489" s="604"/>
      <c r="Q489" s="323"/>
      <c r="R489" s="317"/>
      <c r="S489" s="243"/>
      <c r="T489" s="243"/>
      <c r="U489" s="317"/>
      <c r="V489" s="317"/>
      <c r="W489" s="317"/>
      <c r="X489" s="317"/>
      <c r="Y489" s="317"/>
      <c r="Z489" s="317"/>
      <c r="AA489" s="243"/>
      <c r="AB489" s="243"/>
    </row>
    <row r="490">
      <c r="A490" s="630" t="s">
        <v>692</v>
      </c>
      <c r="B490" s="464"/>
      <c r="C490" s="464"/>
      <c r="D490" s="611">
        <f>SUM(N460,N421,N382,N343,N304,N265,N226,N187,N148,N109,N70,N31)</f>
        <v>600</v>
      </c>
      <c r="F490" s="628"/>
      <c r="G490" s="626"/>
      <c r="H490" s="586"/>
      <c r="I490" s="243"/>
      <c r="J490" s="243"/>
      <c r="K490" s="243"/>
      <c r="L490" s="243"/>
      <c r="M490" s="243"/>
      <c r="N490" s="277"/>
      <c r="O490" s="425"/>
      <c r="P490" s="604"/>
      <c r="Q490" s="323"/>
      <c r="R490" s="317"/>
      <c r="S490" s="243"/>
      <c r="T490" s="243"/>
      <c r="U490" s="317"/>
      <c r="V490" s="317"/>
      <c r="W490" s="317"/>
      <c r="X490" s="317"/>
      <c r="Y490" s="317"/>
      <c r="Z490" s="317"/>
      <c r="AA490" s="243"/>
      <c r="AB490" s="243"/>
    </row>
    <row r="491">
      <c r="A491" s="631" t="s">
        <v>915</v>
      </c>
      <c r="B491" s="746"/>
      <c r="C491" s="746"/>
      <c r="D491" s="632">
        <f>SUM(E6,E45,E84,E123,E162,E201,E240,E279,E318,E357,E396,E435)</f>
        <v>3543</v>
      </c>
      <c r="F491" s="628"/>
      <c r="G491" s="626"/>
      <c r="H491" s="586"/>
      <c r="I491" s="243"/>
      <c r="J491" s="243"/>
      <c r="K491" s="243"/>
      <c r="L491" s="243"/>
      <c r="M491" s="243"/>
      <c r="N491" s="277"/>
      <c r="O491" s="425"/>
      <c r="P491" s="604"/>
      <c r="Q491" s="323"/>
      <c r="R491" s="317"/>
      <c r="S491" s="243"/>
      <c r="T491" s="243"/>
      <c r="U491" s="317"/>
      <c r="V491" s="317"/>
      <c r="W491" s="317"/>
      <c r="X491" s="317"/>
      <c r="Y491" s="317"/>
      <c r="Z491" s="317"/>
      <c r="AA491" s="243"/>
      <c r="AB491" s="243"/>
    </row>
    <row r="492">
      <c r="A492" s="633" t="s">
        <v>916</v>
      </c>
      <c r="B492" s="747"/>
      <c r="C492" s="747"/>
      <c r="D492" s="332">
        <f>SUM(D470:D491)</f>
        <v>34483.74</v>
      </c>
      <c r="E492" s="634">
        <f>SUM(E433,E394,E355,E316,E277,E238,E199,E160,E121,E82,E43,E4)</f>
        <v>11757.8</v>
      </c>
      <c r="F492" s="524" t="s">
        <v>916</v>
      </c>
      <c r="G492" s="635">
        <f>SUM(G470:G491)</f>
        <v>18356.86</v>
      </c>
      <c r="H492" s="586"/>
      <c r="I492" s="243"/>
      <c r="J492" s="243"/>
      <c r="K492" s="243"/>
      <c r="L492" s="243"/>
      <c r="M492" s="243"/>
      <c r="N492" s="277"/>
      <c r="O492" s="425"/>
      <c r="P492" s="604"/>
      <c r="Q492" s="323"/>
      <c r="R492" s="317"/>
      <c r="S492" s="243"/>
      <c r="T492" s="243"/>
      <c r="U492" s="317"/>
      <c r="V492" s="317"/>
      <c r="W492" s="317"/>
      <c r="X492" s="317"/>
      <c r="Y492" s="317"/>
      <c r="Z492" s="317"/>
      <c r="AA492" s="243"/>
      <c r="AB492" s="243"/>
    </row>
    <row r="493">
      <c r="A493" s="377"/>
      <c r="B493" s="377"/>
      <c r="C493" s="377"/>
      <c r="D493" s="243"/>
      <c r="E493" s="243"/>
      <c r="F493" s="243"/>
      <c r="G493" s="585"/>
      <c r="H493" s="586"/>
      <c r="I493" s="243"/>
      <c r="J493" s="243"/>
      <c r="K493" s="243"/>
      <c r="L493" s="243"/>
      <c r="M493" s="243"/>
      <c r="N493" s="277"/>
      <c r="O493" s="425"/>
      <c r="P493" s="604"/>
      <c r="Q493" s="323"/>
      <c r="R493" s="317"/>
      <c r="S493" s="243"/>
      <c r="T493" s="243"/>
      <c r="U493" s="317"/>
      <c r="V493" s="317"/>
      <c r="W493" s="317"/>
      <c r="X493" s="317"/>
      <c r="Y493" s="317"/>
      <c r="Z493" s="317"/>
      <c r="AA493" s="243"/>
      <c r="AB493" s="243"/>
    </row>
    <row r="494">
      <c r="A494" s="636" t="s">
        <v>917</v>
      </c>
      <c r="B494" s="319"/>
      <c r="C494" s="319"/>
      <c r="D494" s="319"/>
      <c r="E494" s="319"/>
      <c r="F494" s="319"/>
      <c r="G494" s="319"/>
      <c r="H494" s="319"/>
      <c r="I494" s="319"/>
      <c r="J494" s="319"/>
      <c r="K494" s="319"/>
      <c r="L494" s="319"/>
      <c r="M494" s="319"/>
      <c r="N494" s="319"/>
      <c r="O494" s="319"/>
      <c r="P494" s="26"/>
      <c r="Q494" s="323"/>
      <c r="R494" s="317"/>
      <c r="S494" s="243"/>
      <c r="T494" s="243"/>
      <c r="U494" s="317"/>
      <c r="V494" s="317"/>
      <c r="W494" s="317"/>
      <c r="X494" s="317"/>
      <c r="Y494" s="317"/>
      <c r="Z494" s="317"/>
      <c r="AA494" s="243"/>
      <c r="AB494" s="243"/>
    </row>
    <row r="495">
      <c r="A495" s="637" t="s">
        <v>1392</v>
      </c>
      <c r="B495" s="748"/>
      <c r="C495" s="748"/>
      <c r="D495" s="638" t="s">
        <v>919</v>
      </c>
      <c r="E495" s="638" t="s">
        <v>920</v>
      </c>
      <c r="F495" s="638" t="s">
        <v>921</v>
      </c>
      <c r="G495" s="639" t="s">
        <v>922</v>
      </c>
      <c r="H495" s="749" t="s">
        <v>923</v>
      </c>
      <c r="I495" s="638" t="s">
        <v>924</v>
      </c>
      <c r="L495" s="639" t="s">
        <v>925</v>
      </c>
      <c r="N495" s="750" t="s">
        <v>926</v>
      </c>
      <c r="O495" s="638" t="s">
        <v>1114</v>
      </c>
      <c r="P495" s="642" t="s">
        <v>928</v>
      </c>
      <c r="Q495" s="643" t="s">
        <v>929</v>
      </c>
      <c r="R495" s="317"/>
      <c r="S495" s="243"/>
      <c r="T495" s="243"/>
      <c r="U495" s="317"/>
      <c r="V495" s="317"/>
      <c r="W495" s="317"/>
      <c r="X495" s="317"/>
      <c r="Y495" s="317"/>
      <c r="Z495" s="317"/>
      <c r="AA495" s="243"/>
      <c r="AB495" s="243"/>
    </row>
    <row r="496">
      <c r="A496" s="644">
        <f>SUM(E5,E44,E83,E122,E161,E200,E239,E278,E317,E356,E395,E434,D487,D491)</f>
        <v>42975.18</v>
      </c>
      <c r="B496" s="751"/>
      <c r="C496" s="751"/>
      <c r="D496" s="645">
        <f>SUM(E3,E42,E81,E120,E159,E198,E237,E276,E315,E354,E393,E432)</f>
        <v>60077.4</v>
      </c>
      <c r="E496" s="645">
        <f>SUM(N461,N422,N383,N344,N267,N266,N227,N188,N149,N110,N71,N32)</f>
        <v>4309.94</v>
      </c>
      <c r="F496" s="645">
        <f>SUM(D11,D50,D89,D128,D167,D206,D245,D284,D323,D362,D401,D440)</f>
        <v>18126.86</v>
      </c>
      <c r="G496" s="645">
        <f>D496-A496-E496</f>
        <v>12792.28</v>
      </c>
      <c r="H496" s="752">
        <f>D496-A496-E496-F496</f>
        <v>-5334.58</v>
      </c>
      <c r="I496" s="647">
        <f>AVERAGE(E3,E42,E81,E120,E159,E198,E237,E276,E315,E354,E393,E432)</f>
        <v>5006.45</v>
      </c>
      <c r="J496" s="648"/>
      <c r="K496" s="648"/>
      <c r="L496" s="647">
        <f>AVERAGE(E436,E397,E358,E319,E280,E241,E202,E163,E124,E85,E46,E7)</f>
        <v>1820.598333</v>
      </c>
      <c r="M496" s="648"/>
      <c r="N496" s="753">
        <f>AVERAGE(D463,D424,D385,D346,D307,D268,D229,D190,D151,D112,D73,D34)</f>
        <v>310.0266667</v>
      </c>
      <c r="O496" s="649">
        <f>AVERAGE(E434,E395,E356,E317,E278,E239,E200,E161,E122,E83,E44,E5)</f>
        <v>2973.89</v>
      </c>
      <c r="P496" s="650">
        <f>AVERAGE(D11,D50,D89,D128,D167,D245,D284,D323,D362,D401,D440,D206)</f>
        <v>1510.571667</v>
      </c>
      <c r="Q496" s="754">
        <f>SUM(D464:D466)</f>
        <v>3683</v>
      </c>
      <c r="R496" s="317"/>
      <c r="S496" s="243"/>
      <c r="T496" s="243"/>
      <c r="U496" s="317"/>
      <c r="V496" s="317"/>
      <c r="W496" s="317"/>
      <c r="X496" s="317"/>
      <c r="Y496" s="317"/>
      <c r="Z496" s="317"/>
      <c r="AA496" s="243"/>
      <c r="AB496" s="243"/>
    </row>
    <row r="497">
      <c r="A497" s="243"/>
      <c r="B497" s="243"/>
      <c r="C497" s="243"/>
      <c r="D497" s="243"/>
      <c r="E497" s="243"/>
      <c r="F497" s="652"/>
      <c r="G497" s="246"/>
      <c r="H497" s="586"/>
      <c r="I497" s="243"/>
      <c r="J497" s="243"/>
      <c r="K497" s="243"/>
      <c r="L497" s="243"/>
      <c r="M497" s="243"/>
      <c r="N497" s="277"/>
      <c r="O497" s="425"/>
      <c r="P497" s="604"/>
      <c r="Q497" s="323"/>
      <c r="R497" s="317"/>
      <c r="S497" s="243"/>
      <c r="T497" s="243"/>
      <c r="U497" s="317"/>
      <c r="V497" s="317"/>
      <c r="W497" s="317"/>
      <c r="X497" s="317"/>
      <c r="Y497" s="317"/>
      <c r="Z497" s="317"/>
      <c r="AA497" s="243"/>
      <c r="AB497" s="243"/>
    </row>
    <row r="498">
      <c r="H498" s="586"/>
      <c r="I498" s="148"/>
      <c r="J498" s="148"/>
      <c r="K498" s="251"/>
      <c r="L498" s="243"/>
      <c r="M498" s="148"/>
      <c r="N498" s="277"/>
      <c r="O498" s="252"/>
      <c r="P498" s="250"/>
      <c r="Q498" s="253"/>
      <c r="R498" s="240"/>
      <c r="S498" s="148"/>
      <c r="T498" s="148"/>
      <c r="U498" s="242"/>
      <c r="V498" s="242"/>
      <c r="W498" s="242"/>
      <c r="X498" s="242"/>
      <c r="Y498" s="242"/>
      <c r="Z498" s="242"/>
      <c r="AA498" s="148"/>
      <c r="AB498" s="148"/>
    </row>
    <row r="499">
      <c r="A499" s="333"/>
      <c r="B499" s="333"/>
      <c r="C499" s="333"/>
      <c r="D499" s="333"/>
      <c r="E499" s="333"/>
      <c r="F499" s="333"/>
      <c r="G499" s="333"/>
      <c r="H499" s="333"/>
      <c r="I499" s="148"/>
      <c r="J499" s="148"/>
      <c r="K499" s="251"/>
      <c r="L499" s="243"/>
      <c r="M499" s="148"/>
      <c r="N499" s="277"/>
      <c r="O499" s="252"/>
      <c r="P499" s="250"/>
      <c r="Q499" s="253"/>
      <c r="R499" s="240"/>
      <c r="S499" s="148"/>
      <c r="T499" s="148"/>
      <c r="U499" s="242"/>
      <c r="V499" s="242"/>
      <c r="W499" s="242"/>
      <c r="X499" s="242"/>
      <c r="Y499" s="242"/>
      <c r="Z499" s="242"/>
      <c r="AA499" s="148"/>
      <c r="AB499" s="148"/>
    </row>
    <row r="500">
      <c r="A500" s="688" t="s">
        <v>930</v>
      </c>
      <c r="H500" s="333"/>
      <c r="I500" s="148"/>
      <c r="J500" s="148"/>
      <c r="K500" s="251"/>
      <c r="L500" s="243"/>
      <c r="M500" s="148"/>
      <c r="N500" s="277"/>
      <c r="O500" s="252"/>
      <c r="P500" s="250"/>
      <c r="Q500" s="253"/>
      <c r="R500" s="240"/>
      <c r="S500" s="148"/>
      <c r="T500" s="148"/>
      <c r="U500" s="242"/>
      <c r="V500" s="242"/>
      <c r="W500" s="242"/>
      <c r="X500" s="242"/>
      <c r="Y500" s="242"/>
      <c r="Z500" s="242"/>
      <c r="AA500" s="148"/>
      <c r="AB500" s="148"/>
    </row>
    <row r="501">
      <c r="A501" s="333"/>
      <c r="B501" s="333"/>
      <c r="C501" s="333"/>
      <c r="D501" s="333"/>
      <c r="E501" s="333"/>
      <c r="F501" s="333"/>
      <c r="G501" s="333"/>
      <c r="H501" s="333"/>
      <c r="I501" s="148"/>
      <c r="J501" s="148"/>
      <c r="K501" s="251"/>
      <c r="L501" s="243"/>
      <c r="M501" s="148"/>
      <c r="N501" s="277"/>
      <c r="O501" s="252"/>
      <c r="P501" s="250"/>
      <c r="Q501" s="253"/>
      <c r="R501" s="240"/>
      <c r="S501" s="148"/>
      <c r="T501" s="148"/>
      <c r="U501" s="242"/>
      <c r="V501" s="242"/>
      <c r="W501" s="242"/>
      <c r="X501" s="242"/>
      <c r="Y501" s="242"/>
      <c r="Z501" s="242"/>
      <c r="AA501" s="148"/>
      <c r="AB501" s="148"/>
    </row>
  </sheetData>
  <mergeCells count="463">
    <mergeCell ref="O248:P248"/>
    <mergeCell ref="O249:P249"/>
    <mergeCell ref="O250:P250"/>
    <mergeCell ref="O251:P251"/>
    <mergeCell ref="O252:P252"/>
    <mergeCell ref="O253:P253"/>
    <mergeCell ref="O254:P254"/>
    <mergeCell ref="O255:P255"/>
    <mergeCell ref="O256:P256"/>
    <mergeCell ref="O257:P257"/>
    <mergeCell ref="O258:P258"/>
    <mergeCell ref="O259:P259"/>
    <mergeCell ref="O260:P260"/>
    <mergeCell ref="O261:P261"/>
    <mergeCell ref="L275:L276"/>
    <mergeCell ref="A276:D276"/>
    <mergeCell ref="A278:D278"/>
    <mergeCell ref="A280:D280"/>
    <mergeCell ref="A282:D282"/>
    <mergeCell ref="A285:D286"/>
    <mergeCell ref="O262:P262"/>
    <mergeCell ref="O263:P263"/>
    <mergeCell ref="O264:P264"/>
    <mergeCell ref="O265:P265"/>
    <mergeCell ref="O266:P267"/>
    <mergeCell ref="I274:J274"/>
    <mergeCell ref="Q275:Q276"/>
    <mergeCell ref="O276:P276"/>
    <mergeCell ref="O277:P277"/>
    <mergeCell ref="O278:P278"/>
    <mergeCell ref="O279:P279"/>
    <mergeCell ref="O280:P280"/>
    <mergeCell ref="O281:P281"/>
    <mergeCell ref="O282:P282"/>
    <mergeCell ref="O283:P283"/>
    <mergeCell ref="O284:P284"/>
    <mergeCell ref="O285:P285"/>
    <mergeCell ref="O286:P286"/>
    <mergeCell ref="O287:P287"/>
    <mergeCell ref="O288:P288"/>
    <mergeCell ref="O289:P289"/>
    <mergeCell ref="O316:P316"/>
    <mergeCell ref="O317:P317"/>
    <mergeCell ref="O318:P318"/>
    <mergeCell ref="O354:P354"/>
    <mergeCell ref="O355:P355"/>
    <mergeCell ref="O342:P342"/>
    <mergeCell ref="O343:P343"/>
    <mergeCell ref="O344:P344"/>
    <mergeCell ref="I352:J352"/>
    <mergeCell ref="L353:L354"/>
    <mergeCell ref="A354:D354"/>
    <mergeCell ref="A356:D356"/>
    <mergeCell ref="A321:D321"/>
    <mergeCell ref="O321:P321"/>
    <mergeCell ref="A324:D325"/>
    <mergeCell ref="O324:P324"/>
    <mergeCell ref="O325:P325"/>
    <mergeCell ref="O304:P304"/>
    <mergeCell ref="I313:J313"/>
    <mergeCell ref="L314:L315"/>
    <mergeCell ref="Q314:Q315"/>
    <mergeCell ref="A315:D315"/>
    <mergeCell ref="A317:D317"/>
    <mergeCell ref="A319:D319"/>
    <mergeCell ref="O315:P315"/>
    <mergeCell ref="O319:P319"/>
    <mergeCell ref="O320:P320"/>
    <mergeCell ref="O322:P322"/>
    <mergeCell ref="O323:P323"/>
    <mergeCell ref="O326:P326"/>
    <mergeCell ref="O327:P327"/>
    <mergeCell ref="O328:P328"/>
    <mergeCell ref="O329:P329"/>
    <mergeCell ref="O330:P330"/>
    <mergeCell ref="O331:P331"/>
    <mergeCell ref="O332:P332"/>
    <mergeCell ref="O333:P333"/>
    <mergeCell ref="O334:P334"/>
    <mergeCell ref="O335:P335"/>
    <mergeCell ref="O336:P336"/>
    <mergeCell ref="O337:P337"/>
    <mergeCell ref="O338:P338"/>
    <mergeCell ref="O339:P339"/>
    <mergeCell ref="O340:P340"/>
    <mergeCell ref="O341:P341"/>
    <mergeCell ref="A358:D358"/>
    <mergeCell ref="O358:P358"/>
    <mergeCell ref="A360:D360"/>
    <mergeCell ref="O360:P360"/>
    <mergeCell ref="A363:D364"/>
    <mergeCell ref="O363:P363"/>
    <mergeCell ref="O364:P364"/>
    <mergeCell ref="Q353:Q354"/>
    <mergeCell ref="O356:P356"/>
    <mergeCell ref="O357:P357"/>
    <mergeCell ref="O359:P359"/>
    <mergeCell ref="O361:P361"/>
    <mergeCell ref="O362:P362"/>
    <mergeCell ref="O365:P365"/>
    <mergeCell ref="O366:P366"/>
    <mergeCell ref="O367:P367"/>
    <mergeCell ref="O368:P368"/>
    <mergeCell ref="O369:P369"/>
    <mergeCell ref="O370:P370"/>
    <mergeCell ref="O371:P371"/>
    <mergeCell ref="O372:P372"/>
    <mergeCell ref="O373:P373"/>
    <mergeCell ref="O374:P374"/>
    <mergeCell ref="O375:P375"/>
    <mergeCell ref="O376:P376"/>
    <mergeCell ref="O377:P377"/>
    <mergeCell ref="O378:P378"/>
    <mergeCell ref="O379:P379"/>
    <mergeCell ref="Q392:Q393"/>
    <mergeCell ref="O393:P393"/>
    <mergeCell ref="O394:P394"/>
    <mergeCell ref="O396:P396"/>
    <mergeCell ref="O398:P398"/>
    <mergeCell ref="O400:P400"/>
    <mergeCell ref="O401:P401"/>
    <mergeCell ref="O380:P380"/>
    <mergeCell ref="O381:P381"/>
    <mergeCell ref="O382:P382"/>
    <mergeCell ref="O383:P383"/>
    <mergeCell ref="I391:J391"/>
    <mergeCell ref="L392:L393"/>
    <mergeCell ref="A393:D393"/>
    <mergeCell ref="A406:D406"/>
    <mergeCell ref="O406:P406"/>
    <mergeCell ref="A395:D395"/>
    <mergeCell ref="O395:P395"/>
    <mergeCell ref="A397:D397"/>
    <mergeCell ref="O397:P397"/>
    <mergeCell ref="A399:D399"/>
    <mergeCell ref="O399:P399"/>
    <mergeCell ref="A402:D403"/>
    <mergeCell ref="O410:P410"/>
    <mergeCell ref="O411:P411"/>
    <mergeCell ref="A412:D412"/>
    <mergeCell ref="O412:P412"/>
    <mergeCell ref="O451:P451"/>
    <mergeCell ref="O452:P452"/>
    <mergeCell ref="O453:P453"/>
    <mergeCell ref="O454:P454"/>
    <mergeCell ref="O455:P455"/>
    <mergeCell ref="O456:P456"/>
    <mergeCell ref="O457:P457"/>
    <mergeCell ref="I495:K495"/>
    <mergeCell ref="L495:M495"/>
    <mergeCell ref="I496:K496"/>
    <mergeCell ref="L496:M496"/>
    <mergeCell ref="A500:G500"/>
    <mergeCell ref="O458:P458"/>
    <mergeCell ref="O459:P459"/>
    <mergeCell ref="O460:P460"/>
    <mergeCell ref="O461:P461"/>
    <mergeCell ref="A469:D469"/>
    <mergeCell ref="F469:G469"/>
    <mergeCell ref="A494:P494"/>
    <mergeCell ref="O402:P402"/>
    <mergeCell ref="O403:P403"/>
    <mergeCell ref="O404:P404"/>
    <mergeCell ref="O405:P405"/>
    <mergeCell ref="O407:P407"/>
    <mergeCell ref="O408:P408"/>
    <mergeCell ref="O409:P409"/>
    <mergeCell ref="O413:P413"/>
    <mergeCell ref="O414:P414"/>
    <mergeCell ref="O415:P415"/>
    <mergeCell ref="O416:P416"/>
    <mergeCell ref="O417:P417"/>
    <mergeCell ref="O418:P418"/>
    <mergeCell ref="O419:P419"/>
    <mergeCell ref="O432:P432"/>
    <mergeCell ref="O433:P433"/>
    <mergeCell ref="A436:D436"/>
    <mergeCell ref="O436:P436"/>
    <mergeCell ref="A438:D438"/>
    <mergeCell ref="O438:P438"/>
    <mergeCell ref="A441:D442"/>
    <mergeCell ref="O441:P441"/>
    <mergeCell ref="O442:P442"/>
    <mergeCell ref="O420:P420"/>
    <mergeCell ref="O421:P421"/>
    <mergeCell ref="O422:P422"/>
    <mergeCell ref="I430:J430"/>
    <mergeCell ref="L431:L432"/>
    <mergeCell ref="A432:D432"/>
    <mergeCell ref="A434:D434"/>
    <mergeCell ref="Q431:Q432"/>
    <mergeCell ref="O434:P434"/>
    <mergeCell ref="O435:P435"/>
    <mergeCell ref="O437:P437"/>
    <mergeCell ref="O439:P439"/>
    <mergeCell ref="O440:P440"/>
    <mergeCell ref="O443:P443"/>
    <mergeCell ref="O444:P444"/>
    <mergeCell ref="O445:P445"/>
    <mergeCell ref="O446:P446"/>
    <mergeCell ref="O447:P447"/>
    <mergeCell ref="O448:P448"/>
    <mergeCell ref="O449:P449"/>
    <mergeCell ref="O450:P450"/>
    <mergeCell ref="O5:P5"/>
    <mergeCell ref="O6:P6"/>
    <mergeCell ref="A9:D9"/>
    <mergeCell ref="O9:P9"/>
    <mergeCell ref="A12:D13"/>
    <mergeCell ref="O12:P12"/>
    <mergeCell ref="O13:P13"/>
    <mergeCell ref="I1:J1"/>
    <mergeCell ref="L2:L3"/>
    <mergeCell ref="Q2:Q3"/>
    <mergeCell ref="A3:D3"/>
    <mergeCell ref="O3:P3"/>
    <mergeCell ref="A5:D5"/>
    <mergeCell ref="A7:D7"/>
    <mergeCell ref="O4:P4"/>
    <mergeCell ref="O7:P7"/>
    <mergeCell ref="O8:P8"/>
    <mergeCell ref="O10:P10"/>
    <mergeCell ref="O11:P11"/>
    <mergeCell ref="O14:P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Q41:Q42"/>
    <mergeCell ref="O44:P44"/>
    <mergeCell ref="A46:D46"/>
    <mergeCell ref="O46:P46"/>
    <mergeCell ref="A48:D48"/>
    <mergeCell ref="O48:P48"/>
    <mergeCell ref="A51:D52"/>
    <mergeCell ref="O51:P51"/>
    <mergeCell ref="O52:P52"/>
    <mergeCell ref="O30:P30"/>
    <mergeCell ref="O31:P31"/>
    <mergeCell ref="O32:P32"/>
    <mergeCell ref="I40:J40"/>
    <mergeCell ref="L41:L42"/>
    <mergeCell ref="A42:D42"/>
    <mergeCell ref="A44:D44"/>
    <mergeCell ref="O42:P42"/>
    <mergeCell ref="O43:P43"/>
    <mergeCell ref="O45:P45"/>
    <mergeCell ref="O47:P47"/>
    <mergeCell ref="O49:P49"/>
    <mergeCell ref="O50:P50"/>
    <mergeCell ref="O53:P53"/>
    <mergeCell ref="O54:P54"/>
    <mergeCell ref="O55:P55"/>
    <mergeCell ref="O56:P56"/>
    <mergeCell ref="O57:P57"/>
    <mergeCell ref="O58:P58"/>
    <mergeCell ref="O59:P59"/>
    <mergeCell ref="O60:P60"/>
    <mergeCell ref="O61:P61"/>
    <mergeCell ref="O62:P62"/>
    <mergeCell ref="O63:P63"/>
    <mergeCell ref="O64:P64"/>
    <mergeCell ref="O65:P65"/>
    <mergeCell ref="O66:P66"/>
    <mergeCell ref="O67:P67"/>
    <mergeCell ref="Q80:Q81"/>
    <mergeCell ref="O81:P81"/>
    <mergeCell ref="O82:P82"/>
    <mergeCell ref="O84:P84"/>
    <mergeCell ref="O86:P86"/>
    <mergeCell ref="O88:P88"/>
    <mergeCell ref="O89:P89"/>
    <mergeCell ref="O68:P68"/>
    <mergeCell ref="O69:P69"/>
    <mergeCell ref="O70:P70"/>
    <mergeCell ref="O71:P71"/>
    <mergeCell ref="I79:J79"/>
    <mergeCell ref="L80:L81"/>
    <mergeCell ref="A81:D81"/>
    <mergeCell ref="A83:D83"/>
    <mergeCell ref="O83:P83"/>
    <mergeCell ref="A85:D85"/>
    <mergeCell ref="O85:P85"/>
    <mergeCell ref="A87:D87"/>
    <mergeCell ref="O87:P87"/>
    <mergeCell ref="A90:D91"/>
    <mergeCell ref="O90:P90"/>
    <mergeCell ref="O91:P91"/>
    <mergeCell ref="O92:P92"/>
    <mergeCell ref="O93:P93"/>
    <mergeCell ref="O94:P94"/>
    <mergeCell ref="O95:P95"/>
    <mergeCell ref="O96:P96"/>
    <mergeCell ref="O97:P97"/>
    <mergeCell ref="O98:P98"/>
    <mergeCell ref="O99:P99"/>
    <mergeCell ref="O100:P100"/>
    <mergeCell ref="O101:P101"/>
    <mergeCell ref="O102:P102"/>
    <mergeCell ref="O103:P103"/>
    <mergeCell ref="O104:P104"/>
    <mergeCell ref="O105:P105"/>
    <mergeCell ref="O106:P106"/>
    <mergeCell ref="O107:P107"/>
    <mergeCell ref="O108:P108"/>
    <mergeCell ref="O109:P109"/>
    <mergeCell ref="O110:P110"/>
    <mergeCell ref="A126:D126"/>
    <mergeCell ref="O126:P126"/>
    <mergeCell ref="A129:D130"/>
    <mergeCell ref="O129:P129"/>
    <mergeCell ref="O130:P130"/>
    <mergeCell ref="I118:J118"/>
    <mergeCell ref="L119:L120"/>
    <mergeCell ref="Q119:Q120"/>
    <mergeCell ref="A120:D120"/>
    <mergeCell ref="O120:P120"/>
    <mergeCell ref="A122:D122"/>
    <mergeCell ref="A124:D124"/>
    <mergeCell ref="O133:P133"/>
    <mergeCell ref="O134:P134"/>
    <mergeCell ref="O122:P122"/>
    <mergeCell ref="O123:P123"/>
    <mergeCell ref="O121:P121"/>
    <mergeCell ref="O124:P124"/>
    <mergeCell ref="O125:P125"/>
    <mergeCell ref="O127:P127"/>
    <mergeCell ref="O128:P128"/>
    <mergeCell ref="O131:P131"/>
    <mergeCell ref="O132:P132"/>
    <mergeCell ref="O135:P135"/>
    <mergeCell ref="O136:P136"/>
    <mergeCell ref="O137:P137"/>
    <mergeCell ref="O138:P138"/>
    <mergeCell ref="O139:P139"/>
    <mergeCell ref="O140:P140"/>
    <mergeCell ref="O141:P141"/>
    <mergeCell ref="O142:P142"/>
    <mergeCell ref="O143:P143"/>
    <mergeCell ref="O144:P144"/>
    <mergeCell ref="O145:P145"/>
    <mergeCell ref="O146:P146"/>
    <mergeCell ref="O147:P147"/>
    <mergeCell ref="O148:P148"/>
    <mergeCell ref="A165:D165"/>
    <mergeCell ref="O165:P165"/>
    <mergeCell ref="A168:D169"/>
    <mergeCell ref="O168:P168"/>
    <mergeCell ref="O169:P169"/>
    <mergeCell ref="O149:P149"/>
    <mergeCell ref="I157:J157"/>
    <mergeCell ref="L158:L159"/>
    <mergeCell ref="Q158:Q159"/>
    <mergeCell ref="A159:D159"/>
    <mergeCell ref="A161:D161"/>
    <mergeCell ref="A163:D163"/>
    <mergeCell ref="O172:P172"/>
    <mergeCell ref="O173:P173"/>
    <mergeCell ref="O160:P160"/>
    <mergeCell ref="O161:P161"/>
    <mergeCell ref="O162:P162"/>
    <mergeCell ref="O159:P159"/>
    <mergeCell ref="O163:P163"/>
    <mergeCell ref="O164:P164"/>
    <mergeCell ref="O166:P166"/>
    <mergeCell ref="O167:P167"/>
    <mergeCell ref="O170:P170"/>
    <mergeCell ref="O171:P171"/>
    <mergeCell ref="O174:P174"/>
    <mergeCell ref="O175:P175"/>
    <mergeCell ref="O176:P176"/>
    <mergeCell ref="O177:P177"/>
    <mergeCell ref="O178:P178"/>
    <mergeCell ref="O179:P179"/>
    <mergeCell ref="O180:P180"/>
    <mergeCell ref="O181:P181"/>
    <mergeCell ref="O182:P182"/>
    <mergeCell ref="O183:P183"/>
    <mergeCell ref="O184:P184"/>
    <mergeCell ref="O185:P185"/>
    <mergeCell ref="O186:P186"/>
    <mergeCell ref="O187:P187"/>
    <mergeCell ref="A204:D204"/>
    <mergeCell ref="O204:P204"/>
    <mergeCell ref="A207:D208"/>
    <mergeCell ref="O207:P207"/>
    <mergeCell ref="O208:P208"/>
    <mergeCell ref="O188:P188"/>
    <mergeCell ref="I196:J196"/>
    <mergeCell ref="L197:L198"/>
    <mergeCell ref="Q197:Q198"/>
    <mergeCell ref="A198:D198"/>
    <mergeCell ref="A200:D200"/>
    <mergeCell ref="A202:D202"/>
    <mergeCell ref="O211:P211"/>
    <mergeCell ref="O212:P212"/>
    <mergeCell ref="O199:P199"/>
    <mergeCell ref="O200:P200"/>
    <mergeCell ref="O201:P201"/>
    <mergeCell ref="O198:P198"/>
    <mergeCell ref="O202:P202"/>
    <mergeCell ref="O203:P203"/>
    <mergeCell ref="O205:P205"/>
    <mergeCell ref="O206:P206"/>
    <mergeCell ref="O209:P209"/>
    <mergeCell ref="O210:P210"/>
    <mergeCell ref="O213:P213"/>
    <mergeCell ref="O214:P214"/>
    <mergeCell ref="O215:P215"/>
    <mergeCell ref="O216:P216"/>
    <mergeCell ref="O217:P217"/>
    <mergeCell ref="O218:P218"/>
    <mergeCell ref="O219:P219"/>
    <mergeCell ref="O220:P220"/>
    <mergeCell ref="O221:P221"/>
    <mergeCell ref="O222:P223"/>
    <mergeCell ref="O224:P224"/>
    <mergeCell ref="O225:P225"/>
    <mergeCell ref="O226:P226"/>
    <mergeCell ref="I235:J235"/>
    <mergeCell ref="A239:D239"/>
    <mergeCell ref="A241:D241"/>
    <mergeCell ref="A243:D243"/>
    <mergeCell ref="A246:D247"/>
    <mergeCell ref="L236:L237"/>
    <mergeCell ref="Q236:Q237"/>
    <mergeCell ref="A237:D237"/>
    <mergeCell ref="O237:P237"/>
    <mergeCell ref="O238:P238"/>
    <mergeCell ref="O239:P239"/>
    <mergeCell ref="O240:P240"/>
    <mergeCell ref="O241:P241"/>
    <mergeCell ref="O242:P242"/>
    <mergeCell ref="O243:P243"/>
    <mergeCell ref="O244:P244"/>
    <mergeCell ref="O245:P245"/>
    <mergeCell ref="O246:P246"/>
    <mergeCell ref="O247:P247"/>
    <mergeCell ref="O290:P290"/>
    <mergeCell ref="O291:P291"/>
    <mergeCell ref="O292:P292"/>
    <mergeCell ref="O293:P293"/>
    <mergeCell ref="O294:P294"/>
    <mergeCell ref="O295:P295"/>
    <mergeCell ref="O296:P296"/>
    <mergeCell ref="O297:P297"/>
    <mergeCell ref="O298:P298"/>
    <mergeCell ref="O299:P299"/>
    <mergeCell ref="O300:P300"/>
    <mergeCell ref="O301:P301"/>
    <mergeCell ref="O302:P302"/>
    <mergeCell ref="O303:P303"/>
  </mergeCells>
  <conditionalFormatting sqref="D18:D19 D43 D45 D47 D49:D50 D53:D65 D67:D80 D82 D84 D92:D119 D121 D123 D125 D127:D128 D131:D158 D160 D162 D164 D166:D167 D170:D197 D199 D201 D203 D205:D206 D209:D236 D238 D240 D242 D244:D245 D248:D275 D277 D279 D281 D283:D284 D287:D314 D316 D318 D320 D322:D323 D326:D353 D355 D357 D359 D361:D362 D365:D392 D394 D396 D398 D400:D401 D404:D405 D407:D411 D413:D431 D433 D435 D437 D439:D440 D443:D468 D470:D493 D496:D497">
    <cfRule type="notContainsBlanks" dxfId="0" priority="1">
      <formula>LEN(TRIM(D18))&gt;0</formula>
    </cfRule>
  </conditionalFormatting>
  <conditionalFormatting sqref="R1:R11 R25:R50 R64:R77 R79:R89 R103:R116 R118:R128 R142:R155 R157:R167 R181:R194 R196:R206 R220:R233 R235:R245 R259:R272 R274:R284 R298:R311 R313:R323 R337:R350 R352:R362 R376:R389 R391:R401 R415:R428 R430:R440 R454:R467">
    <cfRule type="notContainsBlanks" dxfId="0" priority="2">
      <formula>LEN(TRIM(R1))&gt;0</formula>
    </cfRule>
  </conditionalFormatting>
  <conditionalFormatting sqref="F1:F468 F488:F493 F496:F497">
    <cfRule type="notContainsBlanks" dxfId="0" priority="3">
      <formula>LEN(TRIM(F1))&gt;0</formula>
    </cfRule>
  </conditionalFormatting>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26.0"/>
    <col customWidth="1" min="2" max="2" width="9.5"/>
    <col customWidth="1" min="3" max="3" width="13.63"/>
    <col customWidth="1" min="4" max="4" width="13.25"/>
    <col customWidth="1" min="5" max="5" width="15.13"/>
    <col customWidth="1" min="6" max="6" width="9.38"/>
    <col customWidth="1" min="7" max="7" width="3.75"/>
    <col customWidth="1" min="8" max="8" width="3.88"/>
    <col customWidth="1" min="9" max="9" width="1.25"/>
    <col customWidth="1" min="10" max="10" width="16.5"/>
    <col customWidth="1" min="11" max="11" width="0.5"/>
    <col customWidth="1" min="12" max="12" width="8.13"/>
    <col customWidth="1" min="13" max="13" width="17.13"/>
    <col customWidth="1" min="14" max="14" width="16.88"/>
    <col customWidth="1" min="15" max="15" width="10.63"/>
    <col customWidth="1" min="16" max="16" width="8.88"/>
    <col customWidth="1" min="17" max="17" width="1.63"/>
    <col customWidth="1" min="18" max="18" width="1.75"/>
    <col customWidth="1" min="19" max="19" width="2.13"/>
    <col customWidth="1" min="20" max="20" width="8.13"/>
    <col customWidth="1" min="21" max="21" width="9.5"/>
    <col customWidth="1" min="22" max="22" width="9.75"/>
    <col customWidth="1" min="23" max="23" width="5.75"/>
    <col customWidth="1" min="24" max="24" width="11.13"/>
    <col customWidth="1" min="25" max="25" width="6.88"/>
    <col customWidth="1" min="26" max="26" width="9.0"/>
  </cols>
  <sheetData>
    <row r="1">
      <c r="A1" s="169" t="s">
        <v>113</v>
      </c>
      <c r="B1" s="539"/>
      <c r="C1" s="540"/>
      <c r="D1" s="405"/>
      <c r="E1" s="541"/>
      <c r="F1" s="755"/>
      <c r="G1" s="467" t="s">
        <v>333</v>
      </c>
      <c r="H1" s="361"/>
      <c r="I1" s="57"/>
      <c r="J1" s="105"/>
      <c r="K1" s="57"/>
      <c r="L1" s="150"/>
      <c r="M1" s="239"/>
      <c r="N1" s="239"/>
      <c r="O1" s="105"/>
      <c r="P1" s="157"/>
      <c r="Q1" s="404"/>
      <c r="R1" s="57"/>
      <c r="S1" s="394"/>
      <c r="T1" s="394"/>
      <c r="U1" s="394"/>
      <c r="V1" s="394"/>
      <c r="W1" s="394"/>
      <c r="X1" s="394"/>
      <c r="Y1" s="395"/>
      <c r="Z1" s="395"/>
    </row>
    <row r="2">
      <c r="A2" s="468"/>
      <c r="B2" s="157"/>
      <c r="C2" s="466"/>
      <c r="D2" s="405"/>
      <c r="E2" s="543" t="s">
        <v>335</v>
      </c>
      <c r="F2" s="756" t="s">
        <v>237</v>
      </c>
      <c r="G2" s="412" t="s">
        <v>336</v>
      </c>
      <c r="H2" s="413" t="s">
        <v>337</v>
      </c>
      <c r="I2" s="239"/>
      <c r="J2" s="145" t="s">
        <v>60</v>
      </c>
      <c r="K2" s="57"/>
      <c r="L2" s="150"/>
      <c r="M2" s="414"/>
      <c r="N2" s="414"/>
      <c r="O2" s="757" t="s">
        <v>334</v>
      </c>
      <c r="P2" s="157"/>
      <c r="Q2" s="404"/>
      <c r="R2" s="57"/>
      <c r="S2" s="399"/>
      <c r="T2" s="399"/>
      <c r="U2" s="399"/>
      <c r="V2" s="399"/>
      <c r="W2" s="399"/>
      <c r="X2" s="399"/>
      <c r="Y2" s="400"/>
      <c r="Z2" s="400"/>
    </row>
    <row r="3">
      <c r="A3" s="470" t="s">
        <v>179</v>
      </c>
      <c r="C3" s="416">
        <f>SUM(F3:F37)</f>
        <v>6431</v>
      </c>
      <c r="D3" s="405"/>
      <c r="E3" s="545"/>
      <c r="F3" s="758"/>
      <c r="G3" s="578"/>
      <c r="H3" s="419"/>
      <c r="I3" s="57"/>
      <c r="K3" s="57"/>
      <c r="L3" s="150"/>
      <c r="M3" s="377" t="s">
        <v>366</v>
      </c>
      <c r="P3" s="157"/>
      <c r="Q3" s="404"/>
      <c r="R3" s="57"/>
      <c r="S3" s="399"/>
      <c r="T3" s="399"/>
      <c r="U3" s="399"/>
      <c r="V3" s="399"/>
      <c r="W3" s="399"/>
      <c r="X3" s="399"/>
      <c r="Y3" s="400"/>
      <c r="Z3" s="400"/>
    </row>
    <row r="4">
      <c r="A4" s="421" t="s">
        <v>343</v>
      </c>
      <c r="B4" s="422" t="s">
        <v>321</v>
      </c>
      <c r="C4" s="416">
        <f>SUM(P4:P37)</f>
        <v>1622</v>
      </c>
      <c r="D4" s="157"/>
      <c r="E4" s="545"/>
      <c r="F4" s="758"/>
      <c r="G4" s="578"/>
      <c r="H4" s="419"/>
      <c r="I4" s="239"/>
      <c r="J4" s="471" t="s">
        <v>341</v>
      </c>
      <c r="K4" s="420"/>
      <c r="L4" s="150"/>
      <c r="M4" s="377"/>
      <c r="O4" s="759" t="s">
        <v>696</v>
      </c>
      <c r="P4" s="679">
        <v>251.0</v>
      </c>
      <c r="Q4" s="404"/>
      <c r="R4" s="57"/>
      <c r="S4" s="394"/>
      <c r="T4" s="394"/>
      <c r="U4" s="394"/>
      <c r="V4" s="394"/>
      <c r="W4" s="394"/>
      <c r="X4" s="394"/>
      <c r="Y4" s="395"/>
      <c r="Z4" s="395"/>
    </row>
    <row r="5">
      <c r="A5" s="427" t="s">
        <v>201</v>
      </c>
      <c r="C5" s="204">
        <f>SUM(L4:L37)</f>
        <v>2051</v>
      </c>
      <c r="D5" s="157"/>
      <c r="E5" s="545"/>
      <c r="F5" s="760"/>
      <c r="G5" s="578"/>
      <c r="H5" s="419"/>
      <c r="I5" s="239"/>
      <c r="J5" s="472" t="s">
        <v>345</v>
      </c>
      <c r="K5" s="420"/>
      <c r="L5" s="150"/>
      <c r="M5" s="374"/>
      <c r="O5" s="759" t="s">
        <v>1364</v>
      </c>
      <c r="P5" s="679">
        <v>121.0</v>
      </c>
      <c r="Q5" s="404"/>
      <c r="R5" s="57"/>
      <c r="S5" s="394"/>
      <c r="T5" s="394"/>
      <c r="U5" s="394"/>
      <c r="V5" s="394"/>
      <c r="W5" s="394"/>
      <c r="X5" s="394"/>
      <c r="Y5" s="395"/>
      <c r="Z5" s="395"/>
    </row>
    <row r="6">
      <c r="A6" s="548" t="s">
        <v>761</v>
      </c>
      <c r="B6" s="549">
        <v>0.4</v>
      </c>
      <c r="C6" s="191">
        <v>648.0</v>
      </c>
      <c r="D6" s="157"/>
      <c r="E6" s="550" t="s">
        <v>695</v>
      </c>
      <c r="F6" s="758"/>
      <c r="G6" s="578"/>
      <c r="H6" s="419"/>
      <c r="I6" s="239"/>
      <c r="J6" s="433" t="s">
        <v>656</v>
      </c>
      <c r="K6" s="420"/>
      <c r="L6" s="193">
        <v>158.0</v>
      </c>
      <c r="M6" s="377" t="s">
        <v>1393</v>
      </c>
      <c r="O6" s="759" t="s">
        <v>1371</v>
      </c>
      <c r="P6" s="679">
        <v>1250.0</v>
      </c>
      <c r="Q6" s="404"/>
      <c r="R6" s="57"/>
      <c r="S6" s="394"/>
      <c r="T6" s="394"/>
      <c r="U6" s="394"/>
      <c r="V6" s="394"/>
      <c r="W6" s="394"/>
      <c r="X6" s="394"/>
      <c r="Y6" s="395"/>
      <c r="Z6" s="395"/>
    </row>
    <row r="7">
      <c r="A7" s="434" t="s">
        <v>350</v>
      </c>
      <c r="C7" s="551">
        <f>C3-C5-C6</f>
        <v>3732</v>
      </c>
      <c r="D7" s="157"/>
      <c r="E7" s="552"/>
      <c r="F7" s="761"/>
      <c r="G7" s="579"/>
      <c r="H7" s="419"/>
      <c r="I7" s="57"/>
      <c r="J7" s="444" t="s">
        <v>658</v>
      </c>
      <c r="K7" s="420"/>
      <c r="L7" s="193"/>
      <c r="M7" s="377"/>
      <c r="O7" s="762"/>
      <c r="P7" s="664"/>
      <c r="Q7" s="404"/>
      <c r="R7" s="57"/>
      <c r="S7" s="394"/>
      <c r="T7" s="394"/>
      <c r="U7" s="394"/>
      <c r="V7" s="394"/>
      <c r="W7" s="394"/>
      <c r="X7" s="394"/>
      <c r="Y7" s="395"/>
      <c r="Z7" s="395"/>
    </row>
    <row r="8">
      <c r="A8" s="554"/>
      <c r="B8" s="555"/>
      <c r="C8" s="447"/>
      <c r="D8" s="157"/>
      <c r="E8" s="655" t="s">
        <v>1282</v>
      </c>
      <c r="F8" s="763">
        <v>1040.0</v>
      </c>
      <c r="G8" s="578"/>
      <c r="H8" s="419"/>
      <c r="I8" s="57"/>
      <c r="J8" s="444" t="s">
        <v>660</v>
      </c>
      <c r="K8" s="420"/>
      <c r="L8" s="193">
        <v>170.0</v>
      </c>
      <c r="M8" s="377" t="s">
        <v>1394</v>
      </c>
      <c r="O8" s="762"/>
      <c r="P8" s="664"/>
      <c r="Q8" s="404"/>
      <c r="R8" s="57"/>
      <c r="S8" s="394"/>
      <c r="T8" s="394"/>
      <c r="U8" s="394"/>
      <c r="V8" s="394"/>
      <c r="W8" s="394"/>
      <c r="X8" s="394"/>
      <c r="Y8" s="395"/>
      <c r="Z8" s="395"/>
    </row>
    <row r="9">
      <c r="A9" s="556"/>
      <c r="C9" s="395"/>
      <c r="D9" s="157"/>
      <c r="E9" s="192" t="s">
        <v>1395</v>
      </c>
      <c r="F9" s="758">
        <v>120.0</v>
      </c>
      <c r="G9" s="558" t="s">
        <v>426</v>
      </c>
      <c r="H9" s="419"/>
      <c r="I9" s="239"/>
      <c r="J9" s="370" t="s">
        <v>662</v>
      </c>
      <c r="K9" s="420"/>
      <c r="L9" s="193">
        <v>15.0</v>
      </c>
      <c r="M9" s="377"/>
      <c r="O9" s="762"/>
      <c r="P9" s="664"/>
      <c r="Q9" s="404"/>
      <c r="R9" s="57"/>
      <c r="S9" s="394"/>
      <c r="T9" s="394"/>
      <c r="U9" s="394"/>
      <c r="V9" s="394"/>
      <c r="W9" s="394"/>
      <c r="X9" s="394"/>
      <c r="Y9" s="395"/>
      <c r="Z9" s="395"/>
    </row>
    <row r="10">
      <c r="A10" s="557"/>
      <c r="B10" s="109"/>
      <c r="C10" s="395"/>
      <c r="D10" s="373"/>
      <c r="E10" s="192" t="s">
        <v>620</v>
      </c>
      <c r="F10" s="758">
        <v>700.0</v>
      </c>
      <c r="G10" s="562"/>
      <c r="H10" s="419"/>
      <c r="I10" s="239"/>
      <c r="J10" s="433" t="s">
        <v>666</v>
      </c>
      <c r="K10" s="420"/>
      <c r="L10" s="150"/>
      <c r="M10" s="374"/>
      <c r="O10" s="762"/>
      <c r="P10" s="664"/>
      <c r="Q10" s="404"/>
      <c r="R10" s="57"/>
      <c r="S10" s="394"/>
      <c r="T10" s="394"/>
      <c r="U10" s="394"/>
      <c r="V10" s="394"/>
      <c r="W10" s="394"/>
      <c r="X10" s="394"/>
      <c r="Y10" s="395"/>
      <c r="Z10" s="395"/>
    </row>
    <row r="11">
      <c r="A11" s="559" t="s">
        <v>765</v>
      </c>
      <c r="B11" s="560">
        <f>SUM(D11:D37)</f>
        <v>1605</v>
      </c>
      <c r="C11" s="477" t="s">
        <v>366</v>
      </c>
      <c r="D11" s="157"/>
      <c r="E11" s="192" t="s">
        <v>1396</v>
      </c>
      <c r="F11" s="758">
        <v>251.0</v>
      </c>
      <c r="G11" s="558" t="s">
        <v>426</v>
      </c>
      <c r="H11" s="419"/>
      <c r="I11" s="239"/>
      <c r="J11" s="433" t="s">
        <v>668</v>
      </c>
      <c r="K11" s="420"/>
      <c r="L11" s="150"/>
      <c r="M11" s="377"/>
      <c r="O11" s="762"/>
      <c r="P11" s="664"/>
      <c r="Q11" s="404"/>
      <c r="R11" s="57"/>
      <c r="S11" s="394"/>
      <c r="T11" s="394"/>
      <c r="U11" s="394"/>
      <c r="V11" s="394"/>
      <c r="W11" s="394"/>
      <c r="X11" s="394"/>
      <c r="Y11" s="395"/>
      <c r="Z11" s="395"/>
    </row>
    <row r="12">
      <c r="A12" s="453" t="s">
        <v>369</v>
      </c>
      <c r="C12" s="561" t="s">
        <v>766</v>
      </c>
      <c r="D12" s="423"/>
      <c r="E12" s="192" t="s">
        <v>1179</v>
      </c>
      <c r="F12" s="758">
        <v>1040.0</v>
      </c>
      <c r="G12" s="562"/>
      <c r="H12" s="419"/>
      <c r="I12" s="239"/>
      <c r="J12" s="433" t="s">
        <v>670</v>
      </c>
      <c r="K12" s="458"/>
      <c r="L12" s="193">
        <v>1250.0</v>
      </c>
      <c r="M12" s="377"/>
      <c r="O12" s="762"/>
      <c r="P12" s="664"/>
      <c r="Q12" s="404"/>
      <c r="R12" s="57"/>
      <c r="S12" s="394"/>
      <c r="T12" s="394"/>
      <c r="U12" s="394"/>
      <c r="V12" s="394"/>
      <c r="W12" s="394"/>
      <c r="X12" s="394"/>
      <c r="Y12" s="395"/>
      <c r="Z12" s="395"/>
    </row>
    <row r="13">
      <c r="C13" s="561" t="s">
        <v>767</v>
      </c>
      <c r="D13" s="423"/>
      <c r="E13" s="192" t="s">
        <v>886</v>
      </c>
      <c r="F13" s="758">
        <v>200.0</v>
      </c>
      <c r="G13" s="578"/>
      <c r="H13" s="419"/>
      <c r="I13" s="239"/>
      <c r="J13" s="433" t="s">
        <v>217</v>
      </c>
      <c r="K13" s="458"/>
      <c r="L13" s="150"/>
      <c r="M13" s="377"/>
      <c r="O13" s="762"/>
      <c r="P13" s="664"/>
      <c r="Q13" s="404"/>
      <c r="R13" s="57"/>
      <c r="S13" s="394"/>
      <c r="T13" s="394"/>
      <c r="U13" s="394"/>
      <c r="V13" s="394"/>
      <c r="W13" s="394"/>
      <c r="X13" s="394"/>
      <c r="Y13" s="395"/>
      <c r="Z13" s="395"/>
    </row>
    <row r="14">
      <c r="A14" s="153"/>
      <c r="B14" s="57"/>
      <c r="C14" s="561" t="s">
        <v>768</v>
      </c>
      <c r="D14" s="423"/>
      <c r="E14" s="192" t="s">
        <v>1127</v>
      </c>
      <c r="F14" s="758">
        <v>330.0</v>
      </c>
      <c r="G14" s="578"/>
      <c r="H14" s="419"/>
      <c r="I14" s="239"/>
      <c r="J14" s="109"/>
      <c r="K14" s="420"/>
      <c r="L14" s="193"/>
      <c r="M14" s="374"/>
      <c r="O14" s="762"/>
      <c r="P14" s="664"/>
      <c r="Q14" s="404"/>
      <c r="R14" s="57"/>
      <c r="S14" s="394"/>
      <c r="T14" s="394"/>
      <c r="U14" s="394"/>
      <c r="V14" s="394"/>
      <c r="W14" s="394"/>
      <c r="X14" s="394"/>
      <c r="Y14" s="395"/>
      <c r="Z14" s="395"/>
    </row>
    <row r="15">
      <c r="A15" s="153"/>
      <c r="B15" s="57"/>
      <c r="C15" s="561" t="s">
        <v>769</v>
      </c>
      <c r="D15" s="157"/>
      <c r="E15" s="764" t="s">
        <v>1397</v>
      </c>
      <c r="F15" s="758">
        <v>250.0</v>
      </c>
      <c r="G15" s="578"/>
      <c r="H15" s="419"/>
      <c r="I15" s="239"/>
      <c r="J15" s="456" t="s">
        <v>672</v>
      </c>
      <c r="K15" s="420"/>
      <c r="L15" s="150"/>
      <c r="M15" s="377"/>
      <c r="O15" s="762"/>
      <c r="P15" s="664"/>
      <c r="Q15" s="404"/>
      <c r="R15" s="57"/>
      <c r="S15" s="394"/>
      <c r="T15" s="394"/>
      <c r="U15" s="394"/>
      <c r="V15" s="394"/>
      <c r="W15" s="394"/>
      <c r="X15" s="394"/>
      <c r="Y15" s="395"/>
      <c r="Z15" s="395"/>
    </row>
    <row r="16">
      <c r="A16" s="153"/>
      <c r="B16" s="57"/>
      <c r="C16" s="561" t="s">
        <v>770</v>
      </c>
      <c r="D16" s="423"/>
      <c r="E16" s="192" t="s">
        <v>1398</v>
      </c>
      <c r="F16" s="758">
        <v>640.0</v>
      </c>
      <c r="G16" s="562" t="s">
        <v>426</v>
      </c>
      <c r="H16" s="419"/>
      <c r="I16" s="57"/>
      <c r="J16" s="456" t="s">
        <v>675</v>
      </c>
      <c r="K16" s="420"/>
      <c r="L16" s="150"/>
      <c r="M16" s="382"/>
      <c r="O16" s="762"/>
      <c r="P16" s="664"/>
      <c r="Q16" s="404"/>
      <c r="R16" s="57"/>
      <c r="S16" s="394"/>
      <c r="T16" s="394"/>
      <c r="U16" s="394"/>
      <c r="V16" s="394"/>
      <c r="W16" s="394"/>
      <c r="X16" s="394"/>
      <c r="Y16" s="395"/>
      <c r="Z16" s="395"/>
    </row>
    <row r="17">
      <c r="A17" s="209" t="s">
        <v>1399</v>
      </c>
      <c r="B17" s="57"/>
      <c r="C17" s="563" t="s">
        <v>771</v>
      </c>
      <c r="D17" s="423">
        <v>100.0</v>
      </c>
      <c r="E17" s="192" t="s">
        <v>1400</v>
      </c>
      <c r="F17" s="758">
        <v>60.0</v>
      </c>
      <c r="G17" s="579"/>
      <c r="H17" s="419"/>
      <c r="I17" s="57"/>
      <c r="J17" s="456"/>
      <c r="K17" s="420"/>
      <c r="L17" s="150"/>
      <c r="M17" s="425"/>
      <c r="O17" s="762"/>
      <c r="P17" s="664"/>
      <c r="Q17" s="404"/>
      <c r="R17" s="57"/>
      <c r="S17" s="394"/>
      <c r="T17" s="394"/>
      <c r="U17" s="394"/>
      <c r="V17" s="394"/>
      <c r="W17" s="394"/>
      <c r="X17" s="394"/>
      <c r="Y17" s="395"/>
      <c r="Z17" s="395"/>
    </row>
    <row r="18">
      <c r="A18" s="740"/>
      <c r="B18" s="57"/>
      <c r="C18" s="563" t="s">
        <v>772</v>
      </c>
      <c r="D18" s="157"/>
      <c r="E18" s="192" t="s">
        <v>1371</v>
      </c>
      <c r="F18" s="758">
        <v>1250.0</v>
      </c>
      <c r="G18" s="558" t="s">
        <v>980</v>
      </c>
      <c r="H18" s="419"/>
      <c r="I18" s="57"/>
      <c r="J18" s="375"/>
      <c r="K18" s="420"/>
      <c r="L18" s="150"/>
      <c r="M18" s="425"/>
      <c r="O18" s="762"/>
      <c r="P18" s="664"/>
      <c r="Q18" s="404"/>
      <c r="R18" s="57"/>
      <c r="S18" s="394"/>
      <c r="T18" s="394"/>
      <c r="U18" s="394"/>
      <c r="V18" s="394"/>
      <c r="W18" s="394"/>
      <c r="X18" s="394"/>
      <c r="Y18" s="395"/>
      <c r="Z18" s="395"/>
    </row>
    <row r="19">
      <c r="A19" s="209" t="s">
        <v>1401</v>
      </c>
      <c r="B19" s="57"/>
      <c r="C19" s="561" t="s">
        <v>18</v>
      </c>
      <c r="D19" s="423">
        <v>755.0</v>
      </c>
      <c r="E19" s="192"/>
      <c r="F19" s="758"/>
      <c r="G19" s="578"/>
      <c r="H19" s="419"/>
      <c r="I19" s="57"/>
      <c r="J19" s="375"/>
      <c r="K19" s="420"/>
      <c r="L19" s="193"/>
      <c r="M19" s="382"/>
      <c r="O19" s="762"/>
      <c r="P19" s="664"/>
      <c r="Q19" s="404"/>
      <c r="R19" s="57"/>
      <c r="S19" s="394"/>
      <c r="T19" s="394"/>
      <c r="U19" s="394"/>
      <c r="V19" s="394"/>
      <c r="W19" s="394"/>
      <c r="X19" s="394"/>
      <c r="Y19" s="395"/>
      <c r="Z19" s="395"/>
    </row>
    <row r="20">
      <c r="A20" s="740"/>
      <c r="B20" s="57"/>
      <c r="C20" s="563" t="s">
        <v>1115</v>
      </c>
      <c r="D20" s="423">
        <v>200.0</v>
      </c>
      <c r="E20" s="192" t="s">
        <v>1402</v>
      </c>
      <c r="F20" s="758">
        <v>150.0</v>
      </c>
      <c r="G20" s="579"/>
      <c r="H20" s="419"/>
      <c r="I20" s="57"/>
      <c r="J20" s="452"/>
      <c r="K20" s="420"/>
      <c r="L20" s="150"/>
      <c r="M20" s="425"/>
      <c r="O20" s="762"/>
      <c r="P20" s="664"/>
      <c r="Q20" s="404"/>
      <c r="R20" s="57"/>
      <c r="S20" s="394"/>
      <c r="T20" s="394"/>
      <c r="U20" s="394"/>
      <c r="V20" s="394"/>
      <c r="W20" s="394"/>
      <c r="X20" s="394"/>
      <c r="Y20" s="395"/>
      <c r="Z20" s="395"/>
    </row>
    <row r="21">
      <c r="A21" s="153"/>
      <c r="B21" s="57"/>
      <c r="C21" s="561" t="s">
        <v>1116</v>
      </c>
      <c r="D21" s="423"/>
      <c r="E21" s="192" t="s">
        <v>862</v>
      </c>
      <c r="F21" s="758">
        <v>400.0</v>
      </c>
      <c r="G21" s="578"/>
      <c r="H21" s="419"/>
      <c r="I21" s="57"/>
      <c r="J21" s="105"/>
      <c r="K21" s="420"/>
      <c r="L21" s="150"/>
      <c r="M21" s="425"/>
      <c r="O21" s="762"/>
      <c r="P21" s="664"/>
      <c r="Q21" s="404"/>
      <c r="R21" s="57"/>
      <c r="S21" s="394"/>
      <c r="T21" s="394"/>
      <c r="U21" s="394"/>
      <c r="V21" s="394"/>
      <c r="W21" s="394"/>
      <c r="X21" s="394"/>
      <c r="Y21" s="395"/>
      <c r="Z21" s="395"/>
    </row>
    <row r="22">
      <c r="A22" s="209" t="s">
        <v>1403</v>
      </c>
      <c r="B22" s="239"/>
      <c r="C22" s="561" t="s">
        <v>775</v>
      </c>
      <c r="D22" s="423">
        <v>340.0</v>
      </c>
      <c r="E22" s="738"/>
      <c r="F22" s="758"/>
      <c r="G22" s="562"/>
      <c r="H22" s="419"/>
      <c r="I22" s="57"/>
      <c r="J22" s="378" t="s">
        <v>682</v>
      </c>
      <c r="K22" s="420"/>
      <c r="L22" s="193"/>
      <c r="M22" s="377"/>
      <c r="O22" s="762"/>
      <c r="P22" s="664"/>
      <c r="Q22" s="404"/>
      <c r="R22" s="57"/>
      <c r="S22" s="394"/>
      <c r="T22" s="394"/>
      <c r="U22" s="394"/>
      <c r="V22" s="394"/>
      <c r="W22" s="394"/>
      <c r="X22" s="394"/>
      <c r="Y22" s="395"/>
      <c r="Z22" s="395"/>
    </row>
    <row r="23">
      <c r="A23" s="740"/>
      <c r="B23" s="239"/>
      <c r="C23" s="561" t="s">
        <v>10</v>
      </c>
      <c r="D23" s="157"/>
      <c r="E23" s="206"/>
      <c r="F23" s="765"/>
      <c r="G23" s="581"/>
      <c r="H23" s="419"/>
      <c r="I23" s="57"/>
      <c r="J23" s="461" t="s">
        <v>684</v>
      </c>
      <c r="K23" s="420"/>
      <c r="L23" s="567"/>
      <c r="M23" s="658"/>
      <c r="O23" s="762"/>
      <c r="P23" s="664"/>
      <c r="Q23" s="404"/>
      <c r="R23" s="57"/>
      <c r="S23" s="394"/>
      <c r="T23" s="394"/>
      <c r="U23" s="394"/>
      <c r="V23" s="394"/>
      <c r="W23" s="394"/>
      <c r="X23" s="394"/>
      <c r="Y23" s="395"/>
      <c r="Z23" s="395"/>
    </row>
    <row r="24">
      <c r="A24" s="209" t="s">
        <v>1404</v>
      </c>
      <c r="B24" s="239"/>
      <c r="C24" s="561" t="s">
        <v>6</v>
      </c>
      <c r="D24" s="423">
        <v>210.0</v>
      </c>
      <c r="E24" s="206"/>
      <c r="F24" s="760"/>
      <c r="G24" s="579"/>
      <c r="H24" s="455"/>
      <c r="I24" s="57"/>
      <c r="J24" s="461" t="s">
        <v>686</v>
      </c>
      <c r="K24" s="420"/>
      <c r="L24" s="193"/>
      <c r="M24" s="377"/>
      <c r="O24" s="766"/>
      <c r="P24" s="664"/>
      <c r="Q24" s="404"/>
      <c r="R24" s="57"/>
      <c r="S24" s="394"/>
      <c r="T24" s="394"/>
      <c r="U24" s="394"/>
      <c r="V24" s="394"/>
      <c r="W24" s="394"/>
      <c r="X24" s="394"/>
      <c r="Y24" s="395"/>
      <c r="Z24" s="395"/>
    </row>
    <row r="25">
      <c r="A25" s="153"/>
      <c r="B25" s="57"/>
      <c r="C25" s="561" t="s">
        <v>779</v>
      </c>
      <c r="D25" s="157"/>
      <c r="E25" s="228"/>
      <c r="F25" s="760"/>
      <c r="G25" s="579"/>
      <c r="H25" s="455"/>
      <c r="I25" s="239"/>
      <c r="J25" s="460"/>
      <c r="K25" s="420"/>
      <c r="L25" s="567"/>
      <c r="M25" s="377"/>
      <c r="O25" s="766"/>
      <c r="P25" s="664"/>
      <c r="Q25" s="404"/>
      <c r="R25" s="57"/>
      <c r="S25" s="394"/>
      <c r="T25" s="394"/>
      <c r="U25" s="394"/>
      <c r="V25" s="394"/>
      <c r="W25" s="394"/>
      <c r="X25" s="394"/>
      <c r="Y25" s="395"/>
      <c r="Z25" s="395"/>
    </row>
    <row r="26">
      <c r="A26" s="740"/>
      <c r="B26" s="239"/>
      <c r="C26" s="561" t="s">
        <v>780</v>
      </c>
      <c r="D26" s="423"/>
      <c r="E26" s="228"/>
      <c r="F26" s="760"/>
      <c r="G26" s="579"/>
      <c r="H26" s="455"/>
      <c r="I26" s="57"/>
      <c r="J26" s="460" t="s">
        <v>274</v>
      </c>
      <c r="K26" s="420"/>
      <c r="L26" s="193"/>
      <c r="M26" s="374"/>
      <c r="O26" s="766"/>
      <c r="P26" s="664"/>
      <c r="Q26" s="404"/>
      <c r="R26" s="57"/>
      <c r="S26" s="394"/>
      <c r="T26" s="394"/>
      <c r="U26" s="394"/>
      <c r="V26" s="394"/>
      <c r="W26" s="394"/>
      <c r="X26" s="394"/>
      <c r="Y26" s="395"/>
      <c r="Z26" s="395"/>
    </row>
    <row r="27">
      <c r="A27" s="740"/>
      <c r="B27" s="239"/>
      <c r="C27" s="561" t="s">
        <v>781</v>
      </c>
      <c r="D27" s="423"/>
      <c r="E27" s="228"/>
      <c r="F27" s="760"/>
      <c r="G27" s="579"/>
      <c r="H27" s="419"/>
      <c r="I27" s="239"/>
      <c r="J27" s="685" t="s">
        <v>1117</v>
      </c>
      <c r="K27" s="420"/>
      <c r="L27" s="150"/>
      <c r="M27" s="374"/>
      <c r="O27" s="762"/>
      <c r="P27" s="664"/>
      <c r="Q27" s="404"/>
      <c r="R27" s="57"/>
      <c r="S27" s="394"/>
      <c r="T27" s="394"/>
      <c r="U27" s="394"/>
      <c r="V27" s="394"/>
      <c r="W27" s="394"/>
      <c r="X27" s="394"/>
      <c r="Y27" s="395"/>
      <c r="Z27" s="395"/>
    </row>
    <row r="28">
      <c r="A28" s="740"/>
      <c r="B28" s="157"/>
      <c r="C28" s="561" t="s">
        <v>1118</v>
      </c>
      <c r="D28" s="157"/>
      <c r="E28" s="569"/>
      <c r="F28" s="760"/>
      <c r="G28" s="578"/>
      <c r="H28" s="419"/>
      <c r="I28" s="57"/>
      <c r="J28" s="685" t="s">
        <v>1119</v>
      </c>
      <c r="K28" s="420"/>
      <c r="L28" s="193"/>
      <c r="M28" s="377"/>
      <c r="O28" s="762"/>
      <c r="P28" s="664"/>
      <c r="Q28" s="404"/>
      <c r="R28" s="57"/>
      <c r="S28" s="394"/>
      <c r="T28" s="394"/>
      <c r="U28" s="394"/>
      <c r="V28" s="394"/>
      <c r="W28" s="394"/>
      <c r="X28" s="394"/>
      <c r="Y28" s="395"/>
      <c r="Z28" s="395"/>
    </row>
    <row r="29">
      <c r="A29" s="239"/>
      <c r="B29" s="157"/>
      <c r="C29" s="561" t="s">
        <v>1120</v>
      </c>
      <c r="D29" s="157"/>
      <c r="E29" s="228"/>
      <c r="F29" s="760"/>
      <c r="G29" s="578"/>
      <c r="H29" s="419"/>
      <c r="I29" s="239"/>
      <c r="J29" s="596" t="s">
        <v>955</v>
      </c>
      <c r="K29" s="420"/>
      <c r="L29" s="193">
        <v>420.0</v>
      </c>
      <c r="M29" s="377"/>
      <c r="O29" s="762"/>
      <c r="P29" s="664"/>
      <c r="Q29" s="404"/>
      <c r="R29" s="57"/>
      <c r="S29" s="394"/>
      <c r="T29" s="394"/>
      <c r="U29" s="394"/>
      <c r="V29" s="394"/>
      <c r="W29" s="394"/>
      <c r="X29" s="394"/>
      <c r="Y29" s="395"/>
      <c r="Z29" s="395"/>
    </row>
    <row r="30">
      <c r="A30" s="239"/>
      <c r="B30" s="157"/>
      <c r="C30" s="561"/>
      <c r="D30" s="157"/>
      <c r="E30" s="570"/>
      <c r="F30" s="760"/>
      <c r="G30" s="578"/>
      <c r="H30" s="419"/>
      <c r="I30" s="239"/>
      <c r="J30" s="568"/>
      <c r="K30" s="420"/>
      <c r="L30" s="193"/>
      <c r="M30" s="374"/>
      <c r="O30" s="762"/>
      <c r="P30" s="664"/>
      <c r="Q30" s="404"/>
      <c r="R30" s="57"/>
      <c r="S30" s="394"/>
      <c r="T30" s="394"/>
      <c r="U30" s="394"/>
      <c r="V30" s="394"/>
      <c r="W30" s="394"/>
      <c r="X30" s="394"/>
      <c r="Y30" s="395"/>
      <c r="Z30" s="395"/>
    </row>
    <row r="31">
      <c r="C31" s="571"/>
      <c r="D31" s="157"/>
      <c r="E31" s="570"/>
      <c r="F31" s="760"/>
      <c r="G31" s="578"/>
      <c r="H31" s="419"/>
      <c r="I31" s="239"/>
      <c r="J31" s="464" t="s">
        <v>692</v>
      </c>
      <c r="K31" s="420"/>
      <c r="L31" s="193">
        <v>38.0</v>
      </c>
      <c r="M31" s="377" t="s">
        <v>1405</v>
      </c>
      <c r="O31" s="762"/>
      <c r="P31" s="664"/>
      <c r="Q31" s="404"/>
      <c r="R31" s="57"/>
      <c r="S31" s="399"/>
      <c r="T31" s="399"/>
      <c r="U31" s="399"/>
      <c r="V31" s="399"/>
      <c r="W31" s="399"/>
      <c r="X31" s="399"/>
      <c r="Y31" s="400"/>
      <c r="Z31" s="400"/>
    </row>
    <row r="32">
      <c r="C32" s="571"/>
      <c r="D32" s="157"/>
      <c r="E32" s="570"/>
      <c r="F32" s="760"/>
      <c r="G32" s="578"/>
      <c r="H32" s="419"/>
      <c r="I32" s="239"/>
      <c r="J32" s="464" t="s">
        <v>694</v>
      </c>
      <c r="K32" s="420"/>
      <c r="L32" s="150"/>
      <c r="M32" s="374"/>
      <c r="O32" s="762"/>
      <c r="P32" s="664"/>
      <c r="Q32" s="404"/>
      <c r="R32" s="57"/>
      <c r="S32" s="399"/>
      <c r="T32" s="399"/>
      <c r="U32" s="399"/>
      <c r="V32" s="399"/>
      <c r="W32" s="399"/>
      <c r="X32" s="399"/>
      <c r="Y32" s="400"/>
      <c r="Z32" s="400"/>
    </row>
    <row r="33">
      <c r="C33" s="571"/>
      <c r="D33" s="423"/>
      <c r="E33" s="570"/>
      <c r="F33" s="758"/>
      <c r="G33" s="578"/>
      <c r="H33" s="419"/>
      <c r="I33" s="57"/>
      <c r="J33" s="105"/>
      <c r="K33" s="57"/>
      <c r="L33" s="150"/>
      <c r="M33" s="57"/>
      <c r="N33" s="57"/>
      <c r="O33" s="105"/>
      <c r="P33" s="157"/>
      <c r="Q33" s="404"/>
      <c r="R33" s="57"/>
      <c r="S33" s="394"/>
      <c r="T33" s="394"/>
      <c r="U33" s="394"/>
      <c r="V33" s="394"/>
      <c r="W33" s="394"/>
      <c r="X33" s="394"/>
      <c r="Y33" s="395"/>
      <c r="Z33" s="395"/>
    </row>
    <row r="34">
      <c r="A34" s="125" t="s">
        <v>782</v>
      </c>
      <c r="B34" s="572">
        <f>C7-B11</f>
        <v>2127</v>
      </c>
      <c r="D34" s="157"/>
      <c r="E34" s="570"/>
      <c r="F34" s="767"/>
      <c r="G34" s="581"/>
      <c r="H34" s="419"/>
      <c r="I34" s="239"/>
      <c r="J34" s="568"/>
      <c r="K34" s="57"/>
      <c r="L34" s="150"/>
      <c r="M34" s="57"/>
      <c r="N34" s="57"/>
      <c r="O34" s="105"/>
      <c r="P34" s="157"/>
      <c r="Q34" s="404"/>
      <c r="R34" s="57"/>
      <c r="S34" s="394"/>
      <c r="T34" s="394"/>
      <c r="U34" s="394"/>
      <c r="V34" s="394"/>
      <c r="W34" s="394"/>
      <c r="X34" s="394"/>
      <c r="Y34" s="395"/>
      <c r="Z34" s="395"/>
    </row>
    <row r="35">
      <c r="A35" s="274" t="s">
        <v>783</v>
      </c>
      <c r="B35" s="109">
        <v>3580.0</v>
      </c>
      <c r="C35" s="395"/>
      <c r="D35" s="157"/>
      <c r="E35" s="570"/>
      <c r="F35" s="767"/>
      <c r="G35" s="581"/>
      <c r="H35" s="419"/>
      <c r="I35" s="239"/>
      <c r="J35" s="568"/>
      <c r="K35" s="57"/>
      <c r="L35" s="150"/>
      <c r="M35" s="57"/>
      <c r="N35" s="57"/>
      <c r="O35" s="105"/>
      <c r="P35" s="157"/>
      <c r="Q35" s="404"/>
      <c r="R35" s="57"/>
      <c r="S35" s="394"/>
      <c r="T35" s="394"/>
      <c r="U35" s="394"/>
      <c r="V35" s="394"/>
      <c r="W35" s="394"/>
      <c r="X35" s="394"/>
      <c r="Y35" s="395"/>
      <c r="Z35" s="395"/>
    </row>
    <row r="36">
      <c r="A36" s="274" t="s">
        <v>784</v>
      </c>
      <c r="B36" s="109">
        <v>1000.0</v>
      </c>
      <c r="C36" s="395"/>
      <c r="D36" s="157"/>
      <c r="E36" s="570"/>
      <c r="F36" s="767"/>
      <c r="G36" s="581"/>
      <c r="H36" s="419"/>
      <c r="I36" s="239"/>
      <c r="J36" s="568"/>
      <c r="K36" s="57"/>
      <c r="L36" s="150"/>
      <c r="M36" s="57"/>
      <c r="N36" s="57"/>
      <c r="O36" s="105"/>
      <c r="P36" s="157"/>
      <c r="Q36" s="404"/>
      <c r="R36" s="57"/>
      <c r="S36" s="394"/>
      <c r="T36" s="394"/>
      <c r="U36" s="394"/>
      <c r="V36" s="394"/>
      <c r="W36" s="394"/>
      <c r="X36" s="394"/>
      <c r="Y36" s="395"/>
      <c r="Z36" s="395"/>
    </row>
    <row r="37">
      <c r="A37" s="274" t="s">
        <v>785</v>
      </c>
      <c r="B37" s="109">
        <v>1720.0</v>
      </c>
      <c r="C37" s="686">
        <f>SUM(B35:B37)</f>
        <v>6300</v>
      </c>
      <c r="D37" s="157"/>
      <c r="E37" s="570"/>
      <c r="F37" s="767"/>
      <c r="G37" s="581"/>
      <c r="H37" s="419"/>
      <c r="I37" s="239"/>
      <c r="J37" s="568"/>
      <c r="K37" s="57"/>
      <c r="L37" s="150"/>
      <c r="M37" s="57"/>
      <c r="N37" s="57"/>
      <c r="O37" s="105"/>
      <c r="P37" s="157"/>
      <c r="Q37" s="404"/>
      <c r="R37" s="57"/>
      <c r="S37" s="394"/>
      <c r="T37" s="394"/>
      <c r="U37" s="394"/>
      <c r="V37" s="394"/>
      <c r="W37" s="394"/>
      <c r="X37" s="394"/>
      <c r="Y37" s="395"/>
      <c r="Z37" s="395"/>
    </row>
    <row r="38">
      <c r="A38" s="402"/>
      <c r="B38" s="403"/>
      <c r="C38" s="403"/>
      <c r="D38" s="403"/>
      <c r="E38" s="574"/>
      <c r="F38" s="768"/>
      <c r="G38" s="576"/>
      <c r="H38" s="159"/>
      <c r="I38" s="159"/>
      <c r="J38" s="576"/>
      <c r="K38" s="159"/>
      <c r="L38" s="162"/>
      <c r="M38" s="402"/>
      <c r="N38" s="402"/>
      <c r="O38" s="576"/>
      <c r="P38" s="403"/>
      <c r="Q38" s="577"/>
      <c r="R38" s="57"/>
      <c r="S38" s="394"/>
      <c r="T38" s="394"/>
      <c r="U38" s="394"/>
      <c r="V38" s="394"/>
      <c r="W38" s="394"/>
      <c r="X38" s="394"/>
      <c r="Y38" s="395"/>
      <c r="Z38" s="395"/>
    </row>
    <row r="39">
      <c r="A39" s="57"/>
      <c r="B39" s="57"/>
      <c r="C39" s="57"/>
      <c r="D39" s="157"/>
      <c r="E39" s="228"/>
      <c r="F39" s="767"/>
      <c r="G39" s="105"/>
      <c r="H39" s="57"/>
      <c r="I39" s="239"/>
      <c r="J39" s="568"/>
      <c r="K39" s="57"/>
      <c r="L39" s="150"/>
      <c r="M39" s="57"/>
      <c r="N39" s="57"/>
      <c r="O39" s="105"/>
      <c r="P39" s="157"/>
      <c r="Q39" s="57"/>
      <c r="R39" s="57"/>
      <c r="S39" s="394"/>
      <c r="T39" s="394"/>
      <c r="U39" s="394"/>
      <c r="V39" s="394"/>
      <c r="W39" s="394"/>
      <c r="X39" s="394"/>
      <c r="Y39" s="395"/>
      <c r="Z39" s="395"/>
    </row>
    <row r="40">
      <c r="A40" s="169" t="s">
        <v>117</v>
      </c>
      <c r="B40" s="539"/>
      <c r="C40" s="540"/>
      <c r="D40" s="405"/>
      <c r="E40" s="541"/>
      <c r="F40" s="755"/>
      <c r="G40" s="467" t="s">
        <v>333</v>
      </c>
      <c r="H40" s="361"/>
      <c r="I40" s="57"/>
      <c r="J40" s="105"/>
      <c r="K40" s="57"/>
      <c r="L40" s="150"/>
      <c r="M40" s="239"/>
      <c r="N40" s="239"/>
      <c r="O40" s="105"/>
      <c r="P40" s="157"/>
      <c r="Q40" s="404"/>
      <c r="R40" s="57"/>
      <c r="S40" s="394"/>
      <c r="T40" s="394"/>
      <c r="U40" s="394"/>
      <c r="V40" s="394"/>
      <c r="W40" s="394"/>
      <c r="X40" s="394"/>
      <c r="Y40" s="395"/>
      <c r="Z40" s="395"/>
    </row>
    <row r="41">
      <c r="A41" s="468"/>
      <c r="B41" s="157"/>
      <c r="C41" s="466"/>
      <c r="D41" s="405"/>
      <c r="E41" s="543" t="s">
        <v>335</v>
      </c>
      <c r="F41" s="756" t="s">
        <v>237</v>
      </c>
      <c r="G41" s="412" t="s">
        <v>336</v>
      </c>
      <c r="H41" s="413" t="s">
        <v>337</v>
      </c>
      <c r="I41" s="239"/>
      <c r="J41" s="145" t="s">
        <v>60</v>
      </c>
      <c r="K41" s="57"/>
      <c r="L41" s="150"/>
      <c r="M41" s="414"/>
      <c r="N41" s="414"/>
      <c r="O41" s="395" t="s">
        <v>334</v>
      </c>
      <c r="P41" s="157"/>
      <c r="Q41" s="404"/>
      <c r="R41" s="57"/>
      <c r="S41" s="394"/>
      <c r="T41" s="394"/>
      <c r="U41" s="394"/>
      <c r="V41" s="394"/>
      <c r="W41" s="394"/>
      <c r="X41" s="394"/>
      <c r="Y41" s="395"/>
      <c r="Z41" s="395"/>
    </row>
    <row r="42">
      <c r="A42" s="470" t="s">
        <v>179</v>
      </c>
      <c r="C42" s="416">
        <f>SUM(F42:F76)</f>
        <v>8515</v>
      </c>
      <c r="D42" s="405"/>
      <c r="E42" s="545"/>
      <c r="F42" s="758"/>
      <c r="G42" s="578"/>
      <c r="H42" s="419"/>
      <c r="I42" s="57"/>
      <c r="K42" s="57"/>
      <c r="L42" s="150"/>
      <c r="M42" s="377" t="s">
        <v>366</v>
      </c>
      <c r="P42" s="157"/>
      <c r="Q42" s="404"/>
      <c r="R42" s="57"/>
      <c r="S42" s="394"/>
      <c r="T42" s="394"/>
      <c r="U42" s="394"/>
      <c r="V42" s="394"/>
      <c r="W42" s="394"/>
      <c r="X42" s="394"/>
      <c r="Y42" s="395"/>
      <c r="Z42" s="395"/>
    </row>
    <row r="43">
      <c r="A43" s="421" t="s">
        <v>343</v>
      </c>
      <c r="B43" s="422" t="s">
        <v>321</v>
      </c>
      <c r="C43" s="416">
        <f>SUM(P43:P76)</f>
        <v>2320</v>
      </c>
      <c r="D43" s="157"/>
      <c r="E43" s="545"/>
      <c r="F43" s="758"/>
      <c r="G43" s="578"/>
      <c r="H43" s="419"/>
      <c r="I43" s="239"/>
      <c r="J43" s="471" t="s">
        <v>341</v>
      </c>
      <c r="K43" s="420"/>
      <c r="L43" s="193"/>
      <c r="M43" s="374"/>
      <c r="O43" s="769" t="s">
        <v>1364</v>
      </c>
      <c r="P43" s="423">
        <v>120.0</v>
      </c>
      <c r="Q43" s="404"/>
      <c r="R43" s="57"/>
      <c r="S43" s="242"/>
      <c r="T43" s="242"/>
      <c r="U43" s="242"/>
      <c r="V43" s="242"/>
      <c r="W43" s="242"/>
      <c r="X43" s="242"/>
      <c r="Y43" s="148"/>
      <c r="Z43" s="148"/>
    </row>
    <row r="44">
      <c r="A44" s="427" t="s">
        <v>201</v>
      </c>
      <c r="C44" s="204">
        <f>SUM(L43:L76)</f>
        <v>2361.85</v>
      </c>
      <c r="D44" s="157"/>
      <c r="E44" s="545"/>
      <c r="F44" s="758"/>
      <c r="G44" s="578"/>
      <c r="H44" s="419"/>
      <c r="I44" s="239"/>
      <c r="J44" s="472" t="s">
        <v>345</v>
      </c>
      <c r="K44" s="420"/>
      <c r="L44" s="193">
        <v>422.95</v>
      </c>
      <c r="M44" s="377" t="s">
        <v>1406</v>
      </c>
      <c r="O44" s="770" t="s">
        <v>1335</v>
      </c>
      <c r="P44" s="423">
        <v>2080.0</v>
      </c>
      <c r="Q44" s="404"/>
      <c r="R44" s="105"/>
      <c r="S44" s="317"/>
      <c r="T44" s="317"/>
      <c r="U44" s="317"/>
      <c r="V44" s="317"/>
      <c r="W44" s="317"/>
      <c r="X44" s="317"/>
      <c r="Y44" s="243"/>
      <c r="Z44" s="243"/>
    </row>
    <row r="45">
      <c r="A45" s="548" t="s">
        <v>761</v>
      </c>
      <c r="B45" s="549">
        <v>0.4</v>
      </c>
      <c r="C45" s="191">
        <v>880.0</v>
      </c>
      <c r="D45" s="157"/>
      <c r="E45" s="550" t="s">
        <v>695</v>
      </c>
      <c r="F45" s="758"/>
      <c r="G45" s="562"/>
      <c r="H45" s="419"/>
      <c r="I45" s="239"/>
      <c r="J45" s="433" t="s">
        <v>656</v>
      </c>
      <c r="K45" s="420"/>
      <c r="L45" s="193"/>
      <c r="M45" s="374"/>
      <c r="O45" s="770" t="s">
        <v>1407</v>
      </c>
      <c r="P45" s="423">
        <v>120.0</v>
      </c>
      <c r="Q45" s="404"/>
      <c r="R45" s="148"/>
      <c r="S45" s="242"/>
      <c r="T45" s="242"/>
      <c r="U45" s="242"/>
      <c r="V45" s="242"/>
      <c r="W45" s="242"/>
      <c r="X45" s="242"/>
      <c r="Y45" s="148"/>
      <c r="Z45" s="148"/>
    </row>
    <row r="46">
      <c r="A46" s="434" t="s">
        <v>350</v>
      </c>
      <c r="C46" s="551">
        <f>C42-C44-C45</f>
        <v>5273.15</v>
      </c>
      <c r="D46" s="157"/>
      <c r="E46" s="192" t="s">
        <v>1335</v>
      </c>
      <c r="F46" s="758">
        <v>1040.0</v>
      </c>
      <c r="G46" s="771" t="s">
        <v>426</v>
      </c>
      <c r="H46" s="419"/>
      <c r="I46" s="57"/>
      <c r="J46" s="444" t="s">
        <v>658</v>
      </c>
      <c r="K46" s="420"/>
      <c r="L46" s="193">
        <v>28.9</v>
      </c>
      <c r="M46" s="377"/>
      <c r="O46" s="772"/>
      <c r="P46" s="157"/>
      <c r="Q46" s="404"/>
      <c r="R46" s="148"/>
      <c r="S46" s="242"/>
      <c r="T46" s="242"/>
      <c r="U46" s="242"/>
      <c r="V46" s="242"/>
      <c r="W46" s="242"/>
      <c r="X46" s="242"/>
      <c r="Y46" s="148"/>
      <c r="Z46" s="148"/>
    </row>
    <row r="47">
      <c r="A47" s="554"/>
      <c r="B47" s="555"/>
      <c r="C47" s="447"/>
      <c r="D47" s="157"/>
      <c r="E47" s="192" t="s">
        <v>1408</v>
      </c>
      <c r="F47" s="758">
        <v>325.0</v>
      </c>
      <c r="G47" s="562"/>
      <c r="H47" s="419"/>
      <c r="I47" s="57"/>
      <c r="J47" s="444" t="s">
        <v>660</v>
      </c>
      <c r="K47" s="420"/>
      <c r="L47" s="193">
        <v>150.0</v>
      </c>
      <c r="M47" s="377" t="s">
        <v>1409</v>
      </c>
      <c r="O47" s="772"/>
      <c r="P47" s="157"/>
      <c r="Q47" s="404"/>
      <c r="R47" s="148"/>
      <c r="S47" s="242"/>
      <c r="T47" s="242"/>
      <c r="U47" s="242"/>
      <c r="V47" s="242"/>
      <c r="W47" s="242"/>
      <c r="X47" s="242"/>
      <c r="Y47" s="148"/>
      <c r="Z47" s="148"/>
    </row>
    <row r="48">
      <c r="A48" s="556"/>
      <c r="C48" s="395"/>
      <c r="D48" s="157"/>
      <c r="E48" s="192" t="s">
        <v>1400</v>
      </c>
      <c r="F48" s="758">
        <v>60.0</v>
      </c>
      <c r="G48" s="579"/>
      <c r="H48" s="419"/>
      <c r="I48" s="239"/>
      <c r="J48" s="370" t="s">
        <v>662</v>
      </c>
      <c r="K48" s="420"/>
      <c r="L48" s="193">
        <v>25.0</v>
      </c>
      <c r="M48" s="377" t="s">
        <v>1410</v>
      </c>
      <c r="O48" s="772"/>
      <c r="P48" s="157"/>
      <c r="Q48" s="404"/>
      <c r="R48" s="148"/>
      <c r="S48" s="242"/>
      <c r="T48" s="242"/>
      <c r="U48" s="242"/>
      <c r="V48" s="242"/>
      <c r="W48" s="242"/>
      <c r="X48" s="242"/>
      <c r="Y48" s="148"/>
      <c r="Z48" s="148"/>
    </row>
    <row r="49">
      <c r="A49" s="557"/>
      <c r="B49" s="109"/>
      <c r="C49" s="395"/>
      <c r="D49" s="373"/>
      <c r="E49" s="192" t="s">
        <v>340</v>
      </c>
      <c r="F49" s="758">
        <v>2000.0</v>
      </c>
      <c r="G49" s="578"/>
      <c r="H49" s="419"/>
      <c r="I49" s="239"/>
      <c r="J49" s="433" t="s">
        <v>666</v>
      </c>
      <c r="K49" s="420"/>
      <c r="L49" s="150"/>
      <c r="M49" s="374"/>
      <c r="O49" s="772"/>
      <c r="P49" s="157"/>
      <c r="Q49" s="404"/>
      <c r="R49" s="148"/>
      <c r="S49" s="242"/>
      <c r="T49" s="242"/>
      <c r="U49" s="242"/>
      <c r="V49" s="242"/>
      <c r="W49" s="242"/>
      <c r="X49" s="242"/>
      <c r="Y49" s="148"/>
      <c r="Z49" s="148"/>
    </row>
    <row r="50">
      <c r="A50" s="559" t="s">
        <v>765</v>
      </c>
      <c r="B50" s="560">
        <f>SUM(D50:D76)</f>
        <v>2570</v>
      </c>
      <c r="C50" s="477" t="s">
        <v>366</v>
      </c>
      <c r="D50" s="157"/>
      <c r="E50" s="192" t="s">
        <v>1411</v>
      </c>
      <c r="F50" s="758">
        <v>300.0</v>
      </c>
      <c r="G50" s="578"/>
      <c r="H50" s="419"/>
      <c r="I50" s="239"/>
      <c r="J50" s="433" t="s">
        <v>668</v>
      </c>
      <c r="K50" s="420"/>
      <c r="L50" s="150"/>
      <c r="M50" s="377"/>
      <c r="O50" s="772"/>
      <c r="P50" s="157"/>
      <c r="Q50" s="404"/>
      <c r="R50" s="148"/>
      <c r="S50" s="242"/>
      <c r="T50" s="242"/>
      <c r="U50" s="242"/>
      <c r="V50" s="242"/>
      <c r="W50" s="242"/>
      <c r="X50" s="242"/>
      <c r="Y50" s="148"/>
      <c r="Z50" s="148"/>
    </row>
    <row r="51">
      <c r="A51" s="453" t="s">
        <v>369</v>
      </c>
      <c r="C51" s="561" t="s">
        <v>766</v>
      </c>
      <c r="D51" s="423"/>
      <c r="E51" s="192" t="s">
        <v>886</v>
      </c>
      <c r="F51" s="758">
        <v>300.0</v>
      </c>
      <c r="G51" s="578"/>
      <c r="H51" s="419"/>
      <c r="I51" s="239"/>
      <c r="J51" s="433" t="s">
        <v>670</v>
      </c>
      <c r="K51" s="458"/>
      <c r="L51" s="193">
        <v>1250.0</v>
      </c>
      <c r="M51" s="377"/>
      <c r="O51" s="772"/>
      <c r="P51" s="157"/>
      <c r="Q51" s="404"/>
      <c r="R51" s="148"/>
      <c r="S51" s="242"/>
      <c r="T51" s="242"/>
      <c r="U51" s="242"/>
      <c r="V51" s="242"/>
      <c r="W51" s="242"/>
      <c r="X51" s="242"/>
      <c r="Y51" s="148"/>
      <c r="Z51" s="148"/>
    </row>
    <row r="52">
      <c r="C52" s="561" t="s">
        <v>767</v>
      </c>
      <c r="D52" s="157"/>
      <c r="E52" s="655" t="s">
        <v>1364</v>
      </c>
      <c r="F52" s="773">
        <v>120.0</v>
      </c>
      <c r="G52" s="774" t="s">
        <v>426</v>
      </c>
      <c r="H52" s="419"/>
      <c r="I52" s="239"/>
      <c r="J52" s="433" t="s">
        <v>217</v>
      </c>
      <c r="K52" s="458"/>
      <c r="L52" s="150"/>
      <c r="M52" s="377"/>
      <c r="O52" s="772"/>
      <c r="P52" s="157"/>
      <c r="Q52" s="404"/>
      <c r="R52" s="148"/>
      <c r="S52" s="242"/>
      <c r="T52" s="242"/>
      <c r="U52" s="242"/>
      <c r="V52" s="242"/>
      <c r="W52" s="242"/>
      <c r="X52" s="242"/>
      <c r="Y52" s="148"/>
      <c r="Z52" s="148"/>
    </row>
    <row r="53">
      <c r="A53" s="57"/>
      <c r="B53" s="57"/>
      <c r="C53" s="561" t="s">
        <v>768</v>
      </c>
      <c r="D53" s="423"/>
      <c r="E53" s="192" t="s">
        <v>1412</v>
      </c>
      <c r="F53" s="758">
        <v>640.0</v>
      </c>
      <c r="G53" s="578"/>
      <c r="H53" s="419"/>
      <c r="I53" s="239"/>
      <c r="J53" s="109"/>
      <c r="K53" s="420"/>
      <c r="L53" s="193"/>
      <c r="M53" s="374"/>
      <c r="O53" s="772"/>
      <c r="P53" s="157"/>
      <c r="Q53" s="404"/>
      <c r="R53" s="148"/>
      <c r="S53" s="242"/>
      <c r="T53" s="242"/>
      <c r="U53" s="242"/>
      <c r="V53" s="242"/>
      <c r="W53" s="242"/>
      <c r="X53" s="242"/>
      <c r="Y53" s="148"/>
      <c r="Z53" s="148"/>
    </row>
    <row r="54">
      <c r="A54" s="57"/>
      <c r="B54" s="57"/>
      <c r="C54" s="561" t="s">
        <v>769</v>
      </c>
      <c r="D54" s="157"/>
      <c r="E54" s="192" t="s">
        <v>1402</v>
      </c>
      <c r="F54" s="758">
        <v>150.0</v>
      </c>
      <c r="G54" s="578"/>
      <c r="H54" s="419"/>
      <c r="I54" s="239"/>
      <c r="J54" s="456" t="s">
        <v>672</v>
      </c>
      <c r="K54" s="420"/>
      <c r="L54" s="150"/>
      <c r="M54" s="377"/>
      <c r="O54" s="772"/>
      <c r="P54" s="157"/>
      <c r="Q54" s="404"/>
      <c r="R54" s="148"/>
      <c r="S54" s="242"/>
      <c r="T54" s="242"/>
      <c r="U54" s="242"/>
      <c r="V54" s="242"/>
      <c r="W54" s="242"/>
      <c r="X54" s="242"/>
      <c r="Y54" s="148"/>
      <c r="Z54" s="148"/>
    </row>
    <row r="55">
      <c r="A55" s="57"/>
      <c r="B55" s="57"/>
      <c r="C55" s="561" t="s">
        <v>770</v>
      </c>
      <c r="D55" s="423"/>
      <c r="E55" s="192" t="s">
        <v>1400</v>
      </c>
      <c r="F55" s="758">
        <v>60.0</v>
      </c>
      <c r="G55" s="578"/>
      <c r="H55" s="419"/>
      <c r="I55" s="57"/>
      <c r="J55" s="456" t="s">
        <v>675</v>
      </c>
      <c r="K55" s="420"/>
      <c r="L55" s="150"/>
      <c r="M55" s="382"/>
      <c r="O55" s="772"/>
      <c r="P55" s="157"/>
      <c r="Q55" s="404"/>
      <c r="R55" s="148"/>
      <c r="S55" s="242"/>
      <c r="T55" s="242"/>
      <c r="U55" s="242"/>
      <c r="V55" s="242"/>
      <c r="W55" s="242"/>
      <c r="X55" s="242"/>
      <c r="Y55" s="148"/>
      <c r="Z55" s="148"/>
    </row>
    <row r="56">
      <c r="A56" s="238" t="s">
        <v>1413</v>
      </c>
      <c r="B56" s="57"/>
      <c r="C56" s="561" t="s">
        <v>793</v>
      </c>
      <c r="D56" s="423">
        <v>120.0</v>
      </c>
      <c r="E56" s="192" t="s">
        <v>1352</v>
      </c>
      <c r="F56" s="758">
        <v>120.0</v>
      </c>
      <c r="G56" s="579"/>
      <c r="H56" s="419"/>
      <c r="I56" s="57"/>
      <c r="J56" s="456"/>
      <c r="K56" s="420"/>
      <c r="L56" s="150"/>
      <c r="M56" s="382"/>
      <c r="O56" s="772"/>
      <c r="P56" s="157"/>
      <c r="Q56" s="404"/>
      <c r="R56" s="148"/>
      <c r="S56" s="242"/>
      <c r="T56" s="242"/>
      <c r="U56" s="242"/>
      <c r="V56" s="242"/>
      <c r="W56" s="242"/>
      <c r="X56" s="242"/>
      <c r="Y56" s="148"/>
      <c r="Z56" s="148"/>
    </row>
    <row r="57">
      <c r="A57" s="239"/>
      <c r="B57" s="57"/>
      <c r="C57" s="561" t="s">
        <v>794</v>
      </c>
      <c r="D57" s="423"/>
      <c r="E57" s="192" t="s">
        <v>1414</v>
      </c>
      <c r="F57" s="758">
        <v>2080.0</v>
      </c>
      <c r="G57" s="562"/>
      <c r="H57" s="419"/>
      <c r="I57" s="57"/>
      <c r="J57" s="375"/>
      <c r="K57" s="420"/>
      <c r="L57" s="150"/>
      <c r="M57" s="382"/>
      <c r="O57" s="772"/>
      <c r="P57" s="157"/>
      <c r="Q57" s="404"/>
      <c r="R57" s="148"/>
      <c r="S57" s="242"/>
      <c r="T57" s="242"/>
      <c r="U57" s="242"/>
      <c r="V57" s="242"/>
      <c r="W57" s="242"/>
      <c r="X57" s="242"/>
      <c r="Y57" s="148"/>
      <c r="Z57" s="148"/>
    </row>
    <row r="58">
      <c r="A58" s="239"/>
      <c r="B58" s="57"/>
      <c r="C58" s="561" t="s">
        <v>18</v>
      </c>
      <c r="D58" s="423"/>
      <c r="E58" s="192" t="s">
        <v>1127</v>
      </c>
      <c r="F58" s="758">
        <v>220.0</v>
      </c>
      <c r="G58" s="562"/>
      <c r="H58" s="419"/>
      <c r="I58" s="57"/>
      <c r="J58" s="375"/>
      <c r="K58" s="420"/>
      <c r="L58" s="193"/>
      <c r="M58" s="382"/>
      <c r="O58" s="772"/>
      <c r="P58" s="157"/>
      <c r="Q58" s="404"/>
      <c r="R58" s="148"/>
      <c r="S58" s="242"/>
      <c r="T58" s="242"/>
      <c r="U58" s="242"/>
      <c r="V58" s="242"/>
      <c r="W58" s="242"/>
      <c r="X58" s="242"/>
      <c r="Y58" s="148"/>
      <c r="Z58" s="148"/>
    </row>
    <row r="59">
      <c r="A59" s="239"/>
      <c r="B59" s="57"/>
      <c r="C59" s="563" t="s">
        <v>1115</v>
      </c>
      <c r="D59" s="157"/>
      <c r="E59" s="192" t="s">
        <v>865</v>
      </c>
      <c r="F59" s="758">
        <v>700.0</v>
      </c>
      <c r="G59" s="579"/>
      <c r="H59" s="419"/>
      <c r="I59" s="57"/>
      <c r="J59" s="452"/>
      <c r="K59" s="420"/>
      <c r="L59" s="150"/>
      <c r="M59" s="425"/>
      <c r="O59" s="772"/>
      <c r="P59" s="157"/>
      <c r="Q59" s="404"/>
      <c r="R59" s="148"/>
      <c r="S59" s="242"/>
      <c r="T59" s="242"/>
      <c r="U59" s="242"/>
      <c r="V59" s="242"/>
      <c r="W59" s="242"/>
      <c r="X59" s="242"/>
      <c r="Y59" s="148"/>
      <c r="Z59" s="148"/>
    </row>
    <row r="60">
      <c r="A60" s="662" t="s">
        <v>1415</v>
      </c>
      <c r="B60" s="57"/>
      <c r="C60" s="561" t="s">
        <v>1116</v>
      </c>
      <c r="D60" s="423">
        <v>150.0</v>
      </c>
      <c r="E60" s="192" t="s">
        <v>1416</v>
      </c>
      <c r="F60" s="758">
        <v>400.0</v>
      </c>
      <c r="G60" s="578"/>
      <c r="H60" s="419"/>
      <c r="I60" s="57"/>
      <c r="J60" s="105"/>
      <c r="K60" s="420"/>
      <c r="L60" s="150"/>
      <c r="M60" s="425"/>
      <c r="O60" s="772"/>
      <c r="P60" s="157"/>
      <c r="Q60" s="404"/>
      <c r="R60" s="148"/>
      <c r="S60" s="242"/>
      <c r="T60" s="242"/>
      <c r="U60" s="242"/>
      <c r="V60" s="242"/>
      <c r="W60" s="242"/>
      <c r="X60" s="242"/>
      <c r="Y60" s="148"/>
      <c r="Z60" s="148"/>
    </row>
    <row r="61">
      <c r="A61" s="662" t="s">
        <v>1417</v>
      </c>
      <c r="B61" s="239"/>
      <c r="C61" s="561" t="s">
        <v>775</v>
      </c>
      <c r="D61" s="423">
        <v>260.0</v>
      </c>
      <c r="E61" s="192"/>
      <c r="F61" s="758"/>
      <c r="G61" s="578"/>
      <c r="H61" s="419"/>
      <c r="I61" s="57"/>
      <c r="J61" s="378" t="s">
        <v>682</v>
      </c>
      <c r="K61" s="420"/>
      <c r="L61" s="193">
        <v>65.0</v>
      </c>
      <c r="M61" s="377" t="s">
        <v>1418</v>
      </c>
      <c r="O61" s="772"/>
      <c r="P61" s="157"/>
      <c r="Q61" s="404"/>
      <c r="R61" s="148"/>
      <c r="S61" s="242"/>
      <c r="T61" s="242"/>
      <c r="U61" s="242"/>
      <c r="V61" s="242"/>
      <c r="W61" s="242"/>
      <c r="X61" s="242"/>
      <c r="Y61" s="148"/>
      <c r="Z61" s="148"/>
    </row>
    <row r="62">
      <c r="A62" s="239"/>
      <c r="B62" s="239"/>
      <c r="C62" s="561" t="s">
        <v>10</v>
      </c>
      <c r="D62" s="157"/>
      <c r="E62" s="192"/>
      <c r="F62" s="775"/>
      <c r="G62" s="581"/>
      <c r="H62" s="419"/>
      <c r="I62" s="57"/>
      <c r="J62" s="461" t="s">
        <v>684</v>
      </c>
      <c r="K62" s="420"/>
      <c r="L62" s="193"/>
      <c r="M62" s="377"/>
      <c r="O62" s="772"/>
      <c r="P62" s="157"/>
      <c r="Q62" s="404"/>
      <c r="R62" s="148"/>
      <c r="S62" s="242"/>
      <c r="T62" s="242"/>
      <c r="U62" s="242"/>
      <c r="V62" s="242"/>
      <c r="W62" s="242"/>
      <c r="X62" s="242"/>
      <c r="Y62" s="148"/>
      <c r="Z62" s="148"/>
    </row>
    <row r="63">
      <c r="A63" s="209" t="s">
        <v>1419</v>
      </c>
      <c r="B63" s="239"/>
      <c r="C63" s="561" t="s">
        <v>6</v>
      </c>
      <c r="D63" s="423">
        <v>640.0</v>
      </c>
      <c r="E63" s="206"/>
      <c r="F63" s="760"/>
      <c r="G63" s="579"/>
      <c r="H63" s="455"/>
      <c r="I63" s="57"/>
      <c r="J63" s="461" t="s">
        <v>686</v>
      </c>
      <c r="K63" s="420"/>
      <c r="L63" s="193"/>
      <c r="M63" s="374"/>
      <c r="O63" s="776"/>
      <c r="P63" s="157"/>
      <c r="Q63" s="404"/>
      <c r="R63" s="148"/>
      <c r="S63" s="242"/>
      <c r="T63" s="242"/>
      <c r="U63" s="242"/>
      <c r="V63" s="242"/>
      <c r="W63" s="242"/>
      <c r="X63" s="242"/>
      <c r="Y63" s="148"/>
      <c r="Z63" s="148"/>
    </row>
    <row r="64">
      <c r="A64" s="659"/>
      <c r="B64" s="57"/>
      <c r="C64" s="561" t="s">
        <v>779</v>
      </c>
      <c r="D64" s="157"/>
      <c r="E64" s="228"/>
      <c r="F64" s="760"/>
      <c r="G64" s="579"/>
      <c r="H64" s="455"/>
      <c r="I64" s="239"/>
      <c r="J64" s="460" t="s">
        <v>202</v>
      </c>
      <c r="K64" s="420"/>
      <c r="L64" s="193"/>
      <c r="M64" s="377"/>
      <c r="O64" s="776"/>
      <c r="P64" s="157"/>
      <c r="Q64" s="404"/>
      <c r="R64" s="148"/>
      <c r="S64" s="242"/>
      <c r="T64" s="242"/>
      <c r="U64" s="242"/>
      <c r="V64" s="242"/>
      <c r="W64" s="242"/>
      <c r="X64" s="242"/>
      <c r="Y64" s="148"/>
      <c r="Z64" s="148"/>
    </row>
    <row r="65">
      <c r="A65" s="660"/>
      <c r="B65" s="239"/>
      <c r="C65" s="561" t="s">
        <v>780</v>
      </c>
      <c r="D65" s="423"/>
      <c r="E65" s="228"/>
      <c r="F65" s="760"/>
      <c r="G65" s="579"/>
      <c r="H65" s="455"/>
      <c r="I65" s="57"/>
      <c r="J65" s="460" t="s">
        <v>274</v>
      </c>
      <c r="K65" s="420"/>
      <c r="L65" s="193"/>
      <c r="M65" s="374"/>
      <c r="O65" s="776"/>
      <c r="P65" s="157"/>
      <c r="Q65" s="404"/>
      <c r="R65" s="148"/>
      <c r="S65" s="242"/>
      <c r="T65" s="242"/>
      <c r="U65" s="242"/>
      <c r="V65" s="242"/>
      <c r="W65" s="242"/>
      <c r="X65" s="242"/>
      <c r="Y65" s="148"/>
      <c r="Z65" s="148"/>
    </row>
    <row r="66">
      <c r="A66" s="662" t="s">
        <v>1420</v>
      </c>
      <c r="B66" s="239"/>
      <c r="C66" s="561" t="s">
        <v>797</v>
      </c>
      <c r="D66" s="423">
        <v>600.0</v>
      </c>
      <c r="E66" s="228"/>
      <c r="F66" s="760"/>
      <c r="G66" s="579"/>
      <c r="H66" s="419"/>
      <c r="I66" s="239"/>
      <c r="J66" s="685" t="s">
        <v>1117</v>
      </c>
      <c r="K66" s="420"/>
      <c r="L66" s="150"/>
      <c r="M66" s="374"/>
      <c r="O66" s="772"/>
      <c r="P66" s="157"/>
      <c r="Q66" s="404"/>
      <c r="R66" s="243"/>
      <c r="S66" s="317"/>
      <c r="T66" s="317"/>
      <c r="U66" s="317"/>
      <c r="V66" s="317"/>
      <c r="W66" s="317"/>
      <c r="X66" s="317"/>
      <c r="Y66" s="243"/>
      <c r="Z66" s="243"/>
    </row>
    <row r="67">
      <c r="A67" s="660"/>
      <c r="B67" s="157"/>
      <c r="C67" s="561" t="s">
        <v>1118</v>
      </c>
      <c r="D67" s="157"/>
      <c r="E67" s="569"/>
      <c r="F67" s="760"/>
      <c r="G67" s="578"/>
      <c r="H67" s="419"/>
      <c r="I67" s="57"/>
      <c r="J67" s="685" t="s">
        <v>1119</v>
      </c>
      <c r="K67" s="420"/>
      <c r="L67" s="193"/>
      <c r="M67" s="377"/>
      <c r="O67" s="772"/>
      <c r="P67" s="157"/>
      <c r="Q67" s="404"/>
      <c r="R67" s="582"/>
      <c r="S67" s="583"/>
      <c r="T67" s="583"/>
      <c r="U67" s="583"/>
      <c r="V67" s="583"/>
      <c r="W67" s="583"/>
      <c r="X67" s="583"/>
      <c r="Y67" s="582"/>
      <c r="Z67" s="582"/>
    </row>
    <row r="68">
      <c r="A68" s="662" t="s">
        <v>1421</v>
      </c>
      <c r="B68" s="157"/>
      <c r="C68" s="561" t="s">
        <v>1120</v>
      </c>
      <c r="D68" s="423">
        <v>800.0</v>
      </c>
      <c r="E68" s="228"/>
      <c r="F68" s="760"/>
      <c r="G68" s="578"/>
      <c r="H68" s="419"/>
      <c r="I68" s="239"/>
      <c r="J68" s="596" t="s">
        <v>955</v>
      </c>
      <c r="K68" s="420"/>
      <c r="L68" s="193">
        <v>420.0</v>
      </c>
      <c r="M68" s="377"/>
      <c r="O68" s="772"/>
      <c r="P68" s="157"/>
      <c r="Q68" s="404"/>
      <c r="R68" s="148"/>
      <c r="S68" s="242"/>
      <c r="T68" s="242"/>
      <c r="U68" s="242"/>
      <c r="V68" s="242"/>
      <c r="W68" s="242"/>
      <c r="X68" s="242"/>
      <c r="Y68" s="148"/>
      <c r="Z68" s="148"/>
    </row>
    <row r="69">
      <c r="A69" s="660"/>
      <c r="B69" s="157"/>
      <c r="C69" s="561"/>
      <c r="D69" s="157"/>
      <c r="E69" s="570"/>
      <c r="F69" s="760"/>
      <c r="G69" s="578"/>
      <c r="H69" s="419"/>
      <c r="I69" s="239"/>
      <c r="J69" s="568"/>
      <c r="K69" s="420"/>
      <c r="L69" s="193"/>
      <c r="M69" s="374"/>
      <c r="O69" s="772"/>
      <c r="P69" s="157"/>
      <c r="Q69" s="404"/>
      <c r="R69" s="148"/>
      <c r="S69" s="242"/>
      <c r="T69" s="242"/>
      <c r="U69" s="242"/>
      <c r="V69" s="242"/>
      <c r="W69" s="242"/>
      <c r="X69" s="242"/>
      <c r="Y69" s="148"/>
      <c r="Z69" s="148"/>
    </row>
    <row r="70">
      <c r="A70" s="665"/>
      <c r="C70" s="571"/>
      <c r="D70" s="157"/>
      <c r="E70" s="570"/>
      <c r="F70" s="760"/>
      <c r="G70" s="578"/>
      <c r="H70" s="419"/>
      <c r="I70" s="239"/>
      <c r="J70" s="464" t="s">
        <v>692</v>
      </c>
      <c r="K70" s="420"/>
      <c r="L70" s="193"/>
      <c r="M70" s="377"/>
      <c r="O70" s="772"/>
      <c r="P70" s="157"/>
      <c r="Q70" s="404"/>
      <c r="R70" s="148"/>
      <c r="S70" s="242"/>
      <c r="T70" s="242"/>
      <c r="U70" s="242"/>
      <c r="V70" s="242"/>
      <c r="W70" s="242"/>
      <c r="X70" s="242"/>
      <c r="Y70" s="148"/>
      <c r="Z70" s="148"/>
    </row>
    <row r="71">
      <c r="A71" s="665"/>
      <c r="C71" s="571"/>
      <c r="D71" s="157"/>
      <c r="E71" s="570"/>
      <c r="F71" s="760"/>
      <c r="G71" s="578"/>
      <c r="H71" s="419"/>
      <c r="I71" s="239"/>
      <c r="J71" s="464" t="s">
        <v>694</v>
      </c>
      <c r="K71" s="420"/>
      <c r="L71" s="150"/>
      <c r="M71" s="374"/>
      <c r="O71" s="772"/>
      <c r="P71" s="157"/>
      <c r="Q71" s="404"/>
      <c r="R71" s="148"/>
      <c r="S71" s="242"/>
      <c r="T71" s="242"/>
      <c r="U71" s="242"/>
      <c r="V71" s="242"/>
      <c r="W71" s="242"/>
      <c r="X71" s="242"/>
      <c r="Y71" s="148"/>
      <c r="Z71" s="148"/>
    </row>
    <row r="72">
      <c r="C72" s="571"/>
      <c r="D72" s="423"/>
      <c r="E72" s="570"/>
      <c r="F72" s="758"/>
      <c r="G72" s="578"/>
      <c r="H72" s="419"/>
      <c r="I72" s="57"/>
      <c r="J72" s="105"/>
      <c r="K72" s="57"/>
      <c r="L72" s="150"/>
      <c r="M72" s="57"/>
      <c r="N72" s="57"/>
      <c r="O72" s="105"/>
      <c r="P72" s="157"/>
      <c r="Q72" s="404"/>
      <c r="R72" s="148"/>
      <c r="S72" s="242"/>
      <c r="T72" s="242"/>
      <c r="U72" s="242"/>
      <c r="V72" s="242"/>
      <c r="W72" s="242"/>
      <c r="X72" s="242"/>
      <c r="Y72" s="148"/>
      <c r="Z72" s="148"/>
    </row>
    <row r="73">
      <c r="A73" s="125" t="s">
        <v>798</v>
      </c>
      <c r="B73" s="572">
        <f>C46-B50</f>
        <v>2703.15</v>
      </c>
      <c r="D73" s="157"/>
      <c r="E73" s="570"/>
      <c r="F73" s="767"/>
      <c r="G73" s="581"/>
      <c r="H73" s="419"/>
      <c r="I73" s="239"/>
      <c r="J73" s="568"/>
      <c r="K73" s="57"/>
      <c r="L73" s="150"/>
      <c r="M73" s="57"/>
      <c r="N73" s="57"/>
      <c r="O73" s="105"/>
      <c r="P73" s="157"/>
      <c r="Q73" s="404"/>
      <c r="R73" s="148"/>
      <c r="S73" s="242"/>
      <c r="T73" s="242"/>
      <c r="U73" s="242"/>
      <c r="V73" s="242"/>
      <c r="W73" s="242"/>
      <c r="X73" s="242"/>
      <c r="Y73" s="148"/>
      <c r="Z73" s="148"/>
    </row>
    <row r="74">
      <c r="A74" s="274" t="s">
        <v>783</v>
      </c>
      <c r="B74" s="109">
        <v>4087.0</v>
      </c>
      <c r="C74" s="395"/>
      <c r="D74" s="157"/>
      <c r="E74" s="570"/>
      <c r="F74" s="767"/>
      <c r="G74" s="581"/>
      <c r="H74" s="419"/>
      <c r="I74" s="239"/>
      <c r="J74" s="568"/>
      <c r="K74" s="57"/>
      <c r="L74" s="150"/>
      <c r="M74" s="57"/>
      <c r="N74" s="57"/>
      <c r="O74" s="105"/>
      <c r="P74" s="157"/>
      <c r="Q74" s="404"/>
      <c r="R74" s="148"/>
      <c r="S74" s="242"/>
      <c r="T74" s="242"/>
      <c r="U74" s="242"/>
      <c r="V74" s="242"/>
      <c r="W74" s="242"/>
      <c r="X74" s="242"/>
      <c r="Y74" s="148"/>
      <c r="Z74" s="148"/>
    </row>
    <row r="75">
      <c r="A75" s="274" t="s">
        <v>784</v>
      </c>
      <c r="B75" s="109">
        <v>2380.0</v>
      </c>
      <c r="C75" s="395"/>
      <c r="D75" s="157"/>
      <c r="E75" s="570"/>
      <c r="F75" s="767"/>
      <c r="G75" s="581"/>
      <c r="H75" s="419"/>
      <c r="I75" s="239"/>
      <c r="J75" s="568"/>
      <c r="K75" s="57"/>
      <c r="L75" s="150"/>
      <c r="M75" s="57"/>
      <c r="N75" s="57"/>
      <c r="O75" s="105"/>
      <c r="P75" s="157"/>
      <c r="Q75" s="404"/>
      <c r="R75" s="148"/>
      <c r="S75" s="242"/>
      <c r="T75" s="242"/>
      <c r="U75" s="242"/>
      <c r="V75" s="242"/>
      <c r="W75" s="242"/>
      <c r="X75" s="242"/>
      <c r="Y75" s="148"/>
      <c r="Z75" s="148"/>
    </row>
    <row r="76">
      <c r="A76" s="274" t="s">
        <v>785</v>
      </c>
      <c r="B76" s="109">
        <v>2620.0</v>
      </c>
      <c r="C76" s="686">
        <f>SUM(B74:B76)</f>
        <v>9087</v>
      </c>
      <c r="D76" s="157"/>
      <c r="E76" s="570"/>
      <c r="F76" s="767"/>
      <c r="G76" s="581"/>
      <c r="H76" s="419"/>
      <c r="I76" s="239"/>
      <c r="J76" s="568"/>
      <c r="K76" s="57"/>
      <c r="L76" s="150"/>
      <c r="M76" s="57"/>
      <c r="N76" s="57"/>
      <c r="O76" s="105"/>
      <c r="P76" s="157"/>
      <c r="Q76" s="404"/>
      <c r="R76" s="148"/>
      <c r="S76" s="242"/>
      <c r="T76" s="242"/>
      <c r="U76" s="242"/>
      <c r="V76" s="242"/>
      <c r="W76" s="242"/>
      <c r="X76" s="242"/>
      <c r="Y76" s="148"/>
      <c r="Z76" s="148"/>
    </row>
    <row r="77">
      <c r="A77" s="402"/>
      <c r="B77" s="403"/>
      <c r="C77" s="403"/>
      <c r="D77" s="403"/>
      <c r="E77" s="574"/>
      <c r="F77" s="768"/>
      <c r="G77" s="576"/>
      <c r="H77" s="159"/>
      <c r="I77" s="159"/>
      <c r="J77" s="576"/>
      <c r="K77" s="159"/>
      <c r="L77" s="162"/>
      <c r="M77" s="402"/>
      <c r="N77" s="402"/>
      <c r="O77" s="576"/>
      <c r="P77" s="403"/>
      <c r="Q77" s="577"/>
      <c r="R77" s="148"/>
      <c r="S77" s="242"/>
      <c r="T77" s="242"/>
      <c r="U77" s="242"/>
      <c r="V77" s="242"/>
      <c r="W77" s="242"/>
      <c r="X77" s="242"/>
      <c r="Y77" s="148"/>
      <c r="Z77" s="148"/>
    </row>
    <row r="78" ht="9.75" customHeight="1">
      <c r="A78" s="338"/>
      <c r="B78" s="584"/>
      <c r="C78" s="148"/>
      <c r="D78" s="245"/>
      <c r="E78" s="585"/>
      <c r="F78" s="777"/>
      <c r="G78" s="243"/>
      <c r="H78" s="148"/>
      <c r="I78" s="251"/>
      <c r="J78" s="243"/>
      <c r="K78" s="148"/>
      <c r="L78" s="277"/>
      <c r="M78" s="252"/>
      <c r="N78" s="250"/>
      <c r="O78" s="323"/>
      <c r="P78" s="240"/>
      <c r="Q78" s="148"/>
      <c r="R78" s="148"/>
      <c r="S78" s="242"/>
      <c r="T78" s="242"/>
      <c r="U78" s="242"/>
      <c r="V78" s="242"/>
      <c r="W78" s="242"/>
      <c r="X78" s="242"/>
      <c r="Y78" s="148"/>
      <c r="Z78" s="148"/>
    </row>
    <row r="79">
      <c r="A79" s="169" t="s">
        <v>127</v>
      </c>
      <c r="B79" s="539"/>
      <c r="C79" s="540"/>
      <c r="D79" s="405"/>
      <c r="E79" s="541"/>
      <c r="F79" s="755"/>
      <c r="G79" s="467" t="s">
        <v>333</v>
      </c>
      <c r="H79" s="361"/>
      <c r="I79" s="57"/>
      <c r="J79" s="105"/>
      <c r="K79" s="57"/>
      <c r="L79" s="150"/>
      <c r="M79" s="239"/>
      <c r="N79" s="239"/>
      <c r="O79" s="105"/>
      <c r="P79" s="157"/>
      <c r="Q79" s="404"/>
      <c r="R79" s="148"/>
      <c r="S79" s="242"/>
      <c r="T79" s="242"/>
      <c r="U79" s="242"/>
      <c r="V79" s="242"/>
      <c r="W79" s="242"/>
      <c r="X79" s="242"/>
      <c r="Y79" s="148"/>
      <c r="Z79" s="148"/>
    </row>
    <row r="80">
      <c r="A80" s="468"/>
      <c r="B80" s="157"/>
      <c r="C80" s="466"/>
      <c r="D80" s="405"/>
      <c r="E80" s="543" t="s">
        <v>335</v>
      </c>
      <c r="F80" s="756" t="s">
        <v>237</v>
      </c>
      <c r="G80" s="412" t="s">
        <v>336</v>
      </c>
      <c r="H80" s="413" t="s">
        <v>337</v>
      </c>
      <c r="I80" s="239"/>
      <c r="J80" s="145" t="s">
        <v>60</v>
      </c>
      <c r="K80" s="57"/>
      <c r="L80" s="150"/>
      <c r="M80" s="414"/>
      <c r="N80" s="414"/>
      <c r="O80" s="395" t="s">
        <v>334</v>
      </c>
      <c r="P80" s="157"/>
      <c r="Q80" s="404"/>
      <c r="R80" s="148"/>
      <c r="S80" s="242"/>
      <c r="T80" s="242"/>
      <c r="U80" s="242"/>
      <c r="V80" s="242"/>
      <c r="W80" s="242"/>
      <c r="X80" s="242"/>
      <c r="Y80" s="148"/>
      <c r="Z80" s="148"/>
    </row>
    <row r="81">
      <c r="A81" s="470" t="s">
        <v>179</v>
      </c>
      <c r="C81" s="416">
        <f>SUM(F81:F115)</f>
        <v>2930</v>
      </c>
      <c r="D81" s="405"/>
      <c r="E81" s="545"/>
      <c r="F81" s="758"/>
      <c r="G81" s="578"/>
      <c r="H81" s="419"/>
      <c r="I81" s="57"/>
      <c r="K81" s="57"/>
      <c r="L81" s="150"/>
      <c r="M81" s="377" t="s">
        <v>366</v>
      </c>
      <c r="P81" s="157"/>
      <c r="Q81" s="404"/>
      <c r="R81" s="148"/>
      <c r="S81" s="242"/>
      <c r="T81" s="242"/>
      <c r="U81" s="242"/>
      <c r="V81" s="242"/>
      <c r="W81" s="242"/>
      <c r="X81" s="242"/>
      <c r="Y81" s="148"/>
      <c r="Z81" s="148"/>
    </row>
    <row r="82">
      <c r="A82" s="421" t="s">
        <v>343</v>
      </c>
      <c r="B82" s="422" t="s">
        <v>321</v>
      </c>
      <c r="C82" s="416">
        <f>SUM(P82:P115)</f>
        <v>700</v>
      </c>
      <c r="D82" s="157"/>
      <c r="E82" s="545"/>
      <c r="F82" s="758"/>
      <c r="G82" s="578"/>
      <c r="H82" s="419"/>
      <c r="I82" s="239"/>
      <c r="J82" s="471" t="s">
        <v>341</v>
      </c>
      <c r="K82" s="420"/>
      <c r="L82" s="150"/>
      <c r="M82" s="374"/>
      <c r="O82" s="770" t="s">
        <v>1142</v>
      </c>
      <c r="P82" s="423">
        <v>168.0</v>
      </c>
      <c r="Q82" s="404"/>
      <c r="R82" s="148"/>
      <c r="S82" s="242"/>
      <c r="T82" s="242"/>
      <c r="U82" s="242"/>
      <c r="V82" s="242"/>
      <c r="W82" s="242"/>
      <c r="X82" s="242"/>
      <c r="Y82" s="148"/>
      <c r="Z82" s="148"/>
    </row>
    <row r="83">
      <c r="A83" s="427" t="s">
        <v>201</v>
      </c>
      <c r="C83" s="204">
        <f>SUM(L82:L115)</f>
        <v>2209</v>
      </c>
      <c r="D83" s="157"/>
      <c r="E83" s="545"/>
      <c r="F83" s="758"/>
      <c r="G83" s="578"/>
      <c r="H83" s="419"/>
      <c r="I83" s="239"/>
      <c r="J83" s="472" t="s">
        <v>345</v>
      </c>
      <c r="K83" s="420"/>
      <c r="L83" s="150"/>
      <c r="M83" s="374"/>
      <c r="O83" s="770" t="s">
        <v>1290</v>
      </c>
      <c r="P83" s="423">
        <v>166.0</v>
      </c>
      <c r="Q83" s="404"/>
      <c r="R83" s="148"/>
      <c r="S83" s="242"/>
      <c r="T83" s="242"/>
      <c r="U83" s="242"/>
      <c r="V83" s="242"/>
      <c r="W83" s="242"/>
      <c r="X83" s="242"/>
      <c r="Y83" s="148"/>
      <c r="Z83" s="148"/>
    </row>
    <row r="84">
      <c r="A84" s="548" t="s">
        <v>761</v>
      </c>
      <c r="B84" s="549">
        <v>0.4</v>
      </c>
      <c r="C84" s="191">
        <v>280.0</v>
      </c>
      <c r="D84" s="157"/>
      <c r="E84" s="550" t="s">
        <v>695</v>
      </c>
      <c r="F84" s="758"/>
      <c r="G84" s="562"/>
      <c r="H84" s="419"/>
      <c r="I84" s="239"/>
      <c r="J84" s="433" t="s">
        <v>656</v>
      </c>
      <c r="K84" s="420"/>
      <c r="L84" s="193">
        <v>172.0</v>
      </c>
      <c r="M84" s="377" t="s">
        <v>1422</v>
      </c>
      <c r="O84" s="770" t="s">
        <v>1352</v>
      </c>
      <c r="P84" s="423">
        <v>200.0</v>
      </c>
      <c r="Q84" s="404"/>
      <c r="R84" s="148"/>
      <c r="S84" s="242"/>
      <c r="T84" s="242"/>
      <c r="U84" s="242"/>
      <c r="V84" s="242"/>
      <c r="W84" s="242"/>
      <c r="X84" s="242"/>
      <c r="Y84" s="148"/>
      <c r="Z84" s="148"/>
    </row>
    <row r="85">
      <c r="A85" s="434" t="s">
        <v>350</v>
      </c>
      <c r="C85" s="551">
        <f>C81-C83-C84</f>
        <v>441</v>
      </c>
      <c r="D85" s="157"/>
      <c r="E85" s="192" t="s">
        <v>1423</v>
      </c>
      <c r="F85" s="758">
        <v>150.0</v>
      </c>
      <c r="G85" s="562"/>
      <c r="H85" s="419"/>
      <c r="I85" s="57"/>
      <c r="J85" s="444" t="s">
        <v>658</v>
      </c>
      <c r="K85" s="420"/>
      <c r="L85" s="193">
        <v>52.0</v>
      </c>
      <c r="M85" s="377" t="s">
        <v>1424</v>
      </c>
      <c r="O85" s="770" t="s">
        <v>1274</v>
      </c>
      <c r="P85" s="423">
        <v>166.0</v>
      </c>
      <c r="Q85" s="404"/>
      <c r="R85" s="148"/>
      <c r="S85" s="242"/>
      <c r="T85" s="242"/>
      <c r="U85" s="242"/>
      <c r="V85" s="242"/>
      <c r="W85" s="242"/>
      <c r="X85" s="242"/>
      <c r="Y85" s="148"/>
      <c r="Z85" s="148"/>
    </row>
    <row r="86">
      <c r="A86" s="554"/>
      <c r="B86" s="555"/>
      <c r="C86" s="447"/>
      <c r="D86" s="157"/>
      <c r="E86" s="192" t="s">
        <v>1408</v>
      </c>
      <c r="F86" s="758">
        <v>70.0</v>
      </c>
      <c r="G86" s="578"/>
      <c r="H86" s="419"/>
      <c r="I86" s="57"/>
      <c r="J86" s="444" t="s">
        <v>660</v>
      </c>
      <c r="K86" s="420"/>
      <c r="L86" s="193">
        <v>120.0</v>
      </c>
      <c r="M86" s="377"/>
      <c r="O86" s="772"/>
      <c r="P86" s="157"/>
      <c r="Q86" s="404"/>
      <c r="R86" s="148"/>
      <c r="S86" s="242"/>
      <c r="T86" s="242"/>
      <c r="U86" s="242"/>
      <c r="V86" s="242"/>
      <c r="W86" s="242"/>
      <c r="X86" s="242"/>
      <c r="Y86" s="148"/>
      <c r="Z86" s="148"/>
    </row>
    <row r="87">
      <c r="A87" s="556"/>
      <c r="C87" s="395"/>
      <c r="D87" s="157"/>
      <c r="E87" s="192" t="s">
        <v>1142</v>
      </c>
      <c r="F87" s="758">
        <v>168.0</v>
      </c>
      <c r="G87" s="558" t="s">
        <v>426</v>
      </c>
      <c r="H87" s="419"/>
      <c r="I87" s="239"/>
      <c r="J87" s="370" t="s">
        <v>662</v>
      </c>
      <c r="K87" s="420"/>
      <c r="L87" s="193">
        <v>195.0</v>
      </c>
      <c r="M87" s="377" t="s">
        <v>1425</v>
      </c>
      <c r="O87" s="772"/>
      <c r="P87" s="157"/>
      <c r="Q87" s="404"/>
      <c r="R87" s="148"/>
      <c r="S87" s="242"/>
      <c r="T87" s="242"/>
      <c r="U87" s="242"/>
      <c r="V87" s="242"/>
      <c r="W87" s="242"/>
      <c r="X87" s="242"/>
      <c r="Y87" s="148"/>
      <c r="Z87" s="148"/>
    </row>
    <row r="88" ht="21.75" customHeight="1">
      <c r="A88" s="557"/>
      <c r="B88" s="109"/>
      <c r="C88" s="395"/>
      <c r="D88" s="373"/>
      <c r="E88" s="192" t="s">
        <v>1411</v>
      </c>
      <c r="F88" s="758">
        <v>300.0</v>
      </c>
      <c r="G88" s="578"/>
      <c r="H88" s="419"/>
      <c r="I88" s="239"/>
      <c r="J88" s="433" t="s">
        <v>666</v>
      </c>
      <c r="K88" s="420"/>
      <c r="L88" s="193"/>
      <c r="M88" s="374"/>
      <c r="O88" s="772"/>
      <c r="P88" s="157"/>
      <c r="Q88" s="404"/>
      <c r="R88" s="148"/>
      <c r="S88" s="242"/>
      <c r="T88" s="242"/>
      <c r="U88" s="242"/>
      <c r="V88" s="242"/>
      <c r="W88" s="242"/>
      <c r="X88" s="242"/>
      <c r="Y88" s="148"/>
      <c r="Z88" s="148"/>
    </row>
    <row r="89" ht="17.25" customHeight="1">
      <c r="A89" s="559" t="s">
        <v>765</v>
      </c>
      <c r="B89" s="560">
        <f>SUM(D89:D115)</f>
        <v>2294</v>
      </c>
      <c r="C89" s="477" t="s">
        <v>366</v>
      </c>
      <c r="D89" s="157"/>
      <c r="E89" s="192" t="s">
        <v>1426</v>
      </c>
      <c r="F89" s="758">
        <v>260.0</v>
      </c>
      <c r="G89" s="578"/>
      <c r="H89" s="419"/>
      <c r="I89" s="239"/>
      <c r="J89" s="433" t="s">
        <v>668</v>
      </c>
      <c r="K89" s="420"/>
      <c r="L89" s="193"/>
      <c r="M89" s="377"/>
      <c r="O89" s="772"/>
      <c r="P89" s="157"/>
      <c r="Q89" s="404"/>
      <c r="R89" s="148"/>
      <c r="S89" s="242"/>
      <c r="T89" s="242"/>
      <c r="U89" s="242"/>
      <c r="V89" s="242"/>
      <c r="W89" s="242"/>
      <c r="X89" s="242"/>
      <c r="Y89" s="148"/>
      <c r="Z89" s="148"/>
    </row>
    <row r="90">
      <c r="A90" s="453" t="s">
        <v>369</v>
      </c>
      <c r="C90" s="561" t="s">
        <v>766</v>
      </c>
      <c r="D90" s="423"/>
      <c r="E90" s="192" t="s">
        <v>569</v>
      </c>
      <c r="F90" s="758">
        <v>500.0</v>
      </c>
      <c r="G90" s="578"/>
      <c r="H90" s="419"/>
      <c r="I90" s="239"/>
      <c r="J90" s="433" t="s">
        <v>670</v>
      </c>
      <c r="K90" s="458"/>
      <c r="L90" s="193">
        <v>1250.0</v>
      </c>
      <c r="M90" s="377"/>
      <c r="O90" s="772"/>
      <c r="P90" s="157"/>
      <c r="Q90" s="404"/>
      <c r="R90" s="148"/>
      <c r="S90" s="242"/>
      <c r="T90" s="242"/>
      <c r="U90" s="242"/>
      <c r="V90" s="242"/>
      <c r="W90" s="242"/>
      <c r="X90" s="242"/>
      <c r="Y90" s="148"/>
      <c r="Z90" s="148"/>
    </row>
    <row r="91" ht="14.25" customHeight="1">
      <c r="C91" s="561" t="s">
        <v>767</v>
      </c>
      <c r="D91" s="423"/>
      <c r="E91" s="192" t="s">
        <v>1400</v>
      </c>
      <c r="F91" s="758">
        <v>60.0</v>
      </c>
      <c r="G91" s="578"/>
      <c r="H91" s="419"/>
      <c r="I91" s="239"/>
      <c r="J91" s="433" t="s">
        <v>217</v>
      </c>
      <c r="K91" s="458"/>
      <c r="L91" s="150"/>
      <c r="M91" s="377"/>
      <c r="O91" s="772"/>
      <c r="P91" s="157"/>
      <c r="Q91" s="404"/>
      <c r="R91" s="148"/>
      <c r="S91" s="242"/>
      <c r="T91" s="242"/>
      <c r="U91" s="242"/>
      <c r="V91" s="242"/>
      <c r="W91" s="242"/>
      <c r="X91" s="242"/>
      <c r="Y91" s="148"/>
      <c r="Z91" s="148"/>
    </row>
    <row r="92">
      <c r="A92" s="57"/>
      <c r="B92" s="57"/>
      <c r="C92" s="561" t="s">
        <v>768</v>
      </c>
      <c r="D92" s="423"/>
      <c r="E92" s="192" t="s">
        <v>1427</v>
      </c>
      <c r="F92" s="758">
        <v>166.0</v>
      </c>
      <c r="G92" s="558" t="s">
        <v>426</v>
      </c>
      <c r="H92" s="419"/>
      <c r="I92" s="239"/>
      <c r="J92" s="109"/>
      <c r="K92" s="420"/>
      <c r="L92" s="193"/>
      <c r="M92" s="374"/>
      <c r="O92" s="772"/>
      <c r="P92" s="157"/>
      <c r="Q92" s="404"/>
      <c r="R92" s="148"/>
      <c r="S92" s="242"/>
      <c r="T92" s="242"/>
      <c r="U92" s="242"/>
      <c r="V92" s="242"/>
      <c r="W92" s="242"/>
      <c r="X92" s="242"/>
      <c r="Y92" s="148"/>
      <c r="Z92" s="148"/>
    </row>
    <row r="93">
      <c r="A93" s="659"/>
      <c r="B93" s="57"/>
      <c r="C93" s="561" t="s">
        <v>769</v>
      </c>
      <c r="D93" s="157"/>
      <c r="E93" s="192" t="s">
        <v>1428</v>
      </c>
      <c r="F93" s="758">
        <v>220.0</v>
      </c>
      <c r="G93" s="562"/>
      <c r="H93" s="419"/>
      <c r="I93" s="239"/>
      <c r="J93" s="456" t="s">
        <v>672</v>
      </c>
      <c r="K93" s="420"/>
      <c r="L93" s="150"/>
      <c r="M93" s="377"/>
      <c r="O93" s="772"/>
      <c r="P93" s="157"/>
      <c r="Q93" s="404"/>
      <c r="R93" s="148"/>
      <c r="S93" s="242"/>
      <c r="T93" s="242"/>
      <c r="U93" s="242"/>
      <c r="V93" s="242"/>
      <c r="W93" s="242"/>
      <c r="X93" s="242"/>
      <c r="Y93" s="148"/>
      <c r="Z93" s="148"/>
    </row>
    <row r="94">
      <c r="A94" s="659"/>
      <c r="B94" s="57"/>
      <c r="C94" s="561" t="s">
        <v>770</v>
      </c>
      <c r="D94" s="423"/>
      <c r="E94" s="192" t="s">
        <v>1352</v>
      </c>
      <c r="F94" s="758">
        <v>200.0</v>
      </c>
      <c r="G94" s="558" t="s">
        <v>426</v>
      </c>
      <c r="H94" s="419"/>
      <c r="I94" s="57"/>
      <c r="J94" s="456" t="s">
        <v>675</v>
      </c>
      <c r="K94" s="420"/>
      <c r="L94" s="150"/>
      <c r="M94" s="382"/>
      <c r="O94" s="772"/>
      <c r="P94" s="157"/>
      <c r="Q94" s="404"/>
      <c r="R94" s="148"/>
      <c r="S94" s="242"/>
      <c r="T94" s="242"/>
      <c r="U94" s="242"/>
      <c r="V94" s="242"/>
      <c r="W94" s="242"/>
      <c r="X94" s="242"/>
      <c r="Y94" s="148"/>
      <c r="Z94" s="148"/>
    </row>
    <row r="95">
      <c r="A95" s="662" t="s">
        <v>1429</v>
      </c>
      <c r="B95" s="57"/>
      <c r="C95" s="561" t="s">
        <v>793</v>
      </c>
      <c r="D95" s="423">
        <v>148.0</v>
      </c>
      <c r="E95" s="192" t="s">
        <v>1400</v>
      </c>
      <c r="F95" s="758">
        <v>60.0</v>
      </c>
      <c r="G95" s="579"/>
      <c r="H95" s="419"/>
      <c r="I95" s="57"/>
      <c r="J95" s="456"/>
      <c r="K95" s="420"/>
      <c r="L95" s="150"/>
      <c r="M95" s="425"/>
      <c r="O95" s="772"/>
      <c r="P95" s="157"/>
      <c r="Q95" s="404"/>
      <c r="R95" s="148"/>
      <c r="S95" s="242"/>
      <c r="T95" s="242"/>
      <c r="U95" s="242"/>
      <c r="V95" s="242"/>
      <c r="W95" s="242"/>
      <c r="X95" s="242"/>
      <c r="Y95" s="148"/>
      <c r="Z95" s="148"/>
    </row>
    <row r="96">
      <c r="A96" s="660"/>
      <c r="B96" s="57"/>
      <c r="C96" s="561" t="s">
        <v>794</v>
      </c>
      <c r="D96" s="423"/>
      <c r="E96" s="192" t="s">
        <v>1430</v>
      </c>
      <c r="F96" s="758">
        <v>60.0</v>
      </c>
      <c r="G96" s="578"/>
      <c r="H96" s="419"/>
      <c r="I96" s="57"/>
      <c r="J96" s="375"/>
      <c r="K96" s="420"/>
      <c r="L96" s="150"/>
      <c r="M96" s="425"/>
      <c r="O96" s="772"/>
      <c r="P96" s="157"/>
      <c r="Q96" s="404"/>
      <c r="R96" s="148"/>
      <c r="S96" s="242"/>
      <c r="T96" s="242"/>
      <c r="U96" s="242"/>
      <c r="V96" s="242"/>
      <c r="W96" s="242"/>
      <c r="X96" s="242"/>
      <c r="Y96" s="148"/>
      <c r="Z96" s="148"/>
    </row>
    <row r="97">
      <c r="A97" s="662" t="s">
        <v>1431</v>
      </c>
      <c r="B97" s="57"/>
      <c r="C97" s="561" t="s">
        <v>18</v>
      </c>
      <c r="D97" s="423">
        <v>660.0</v>
      </c>
      <c r="E97" s="192" t="s">
        <v>1432</v>
      </c>
      <c r="F97" s="758">
        <v>150.0</v>
      </c>
      <c r="G97" s="578"/>
      <c r="H97" s="419"/>
      <c r="I97" s="57"/>
      <c r="J97" s="375"/>
      <c r="K97" s="420"/>
      <c r="L97" s="193"/>
      <c r="M97" s="382"/>
      <c r="O97" s="772"/>
      <c r="P97" s="157"/>
      <c r="Q97" s="404"/>
      <c r="R97" s="148"/>
      <c r="S97" s="242"/>
      <c r="T97" s="242"/>
      <c r="U97" s="242"/>
      <c r="V97" s="242"/>
      <c r="W97" s="242"/>
      <c r="X97" s="242"/>
      <c r="Y97" s="148"/>
      <c r="Z97" s="148"/>
    </row>
    <row r="98">
      <c r="A98" s="660"/>
      <c r="B98" s="57"/>
      <c r="C98" s="563" t="s">
        <v>1115</v>
      </c>
      <c r="D98" s="423">
        <v>300.0</v>
      </c>
      <c r="E98" s="192" t="s">
        <v>1142</v>
      </c>
      <c r="F98" s="758">
        <v>166.0</v>
      </c>
      <c r="G98" s="558" t="s">
        <v>426</v>
      </c>
      <c r="H98" s="419"/>
      <c r="I98" s="57"/>
      <c r="J98" s="452"/>
      <c r="K98" s="420"/>
      <c r="L98" s="150"/>
      <c r="M98" s="425"/>
      <c r="O98" s="772"/>
      <c r="P98" s="157"/>
      <c r="Q98" s="404"/>
      <c r="R98" s="148"/>
      <c r="S98" s="242"/>
      <c r="T98" s="242"/>
      <c r="U98" s="242"/>
      <c r="V98" s="242"/>
      <c r="W98" s="242"/>
      <c r="X98" s="242"/>
      <c r="Y98" s="148"/>
      <c r="Z98" s="148"/>
    </row>
    <row r="99">
      <c r="A99" s="662" t="s">
        <v>1433</v>
      </c>
      <c r="B99" s="57"/>
      <c r="C99" s="561" t="s">
        <v>1116</v>
      </c>
      <c r="D99" s="423">
        <v>160.0</v>
      </c>
      <c r="E99" s="192" t="s">
        <v>1148</v>
      </c>
      <c r="F99" s="758">
        <v>400.0</v>
      </c>
      <c r="G99" s="578"/>
      <c r="H99" s="419"/>
      <c r="I99" s="57"/>
      <c r="J99" s="105"/>
      <c r="K99" s="420"/>
      <c r="L99" s="150"/>
      <c r="M99" s="425"/>
      <c r="O99" s="772"/>
      <c r="P99" s="157"/>
      <c r="Q99" s="404"/>
      <c r="R99" s="148"/>
      <c r="S99" s="242"/>
      <c r="T99" s="242"/>
      <c r="U99" s="242"/>
      <c r="V99" s="242"/>
      <c r="W99" s="242"/>
      <c r="X99" s="242"/>
      <c r="Y99" s="148"/>
      <c r="Z99" s="148"/>
    </row>
    <row r="100">
      <c r="A100" s="662" t="s">
        <v>1434</v>
      </c>
      <c r="B100" s="239"/>
      <c r="C100" s="561" t="s">
        <v>775</v>
      </c>
      <c r="D100" s="423">
        <v>620.0</v>
      </c>
      <c r="E100" s="192"/>
      <c r="F100" s="758"/>
      <c r="G100" s="578"/>
      <c r="H100" s="419"/>
      <c r="I100" s="57"/>
      <c r="J100" s="378" t="s">
        <v>682</v>
      </c>
      <c r="K100" s="420"/>
      <c r="L100" s="193"/>
      <c r="M100" s="377"/>
      <c r="O100" s="772"/>
      <c r="P100" s="157"/>
      <c r="Q100" s="404"/>
      <c r="R100" s="148"/>
      <c r="S100" s="242"/>
      <c r="T100" s="242"/>
      <c r="U100" s="242"/>
      <c r="V100" s="242"/>
      <c r="W100" s="242"/>
      <c r="X100" s="242"/>
      <c r="Y100" s="148"/>
      <c r="Z100" s="148"/>
    </row>
    <row r="101">
      <c r="A101" s="660"/>
      <c r="B101" s="239"/>
      <c r="C101" s="561" t="s">
        <v>10</v>
      </c>
      <c r="D101" s="157"/>
      <c r="E101" s="192"/>
      <c r="F101" s="775"/>
      <c r="G101" s="581"/>
      <c r="H101" s="419"/>
      <c r="I101" s="57"/>
      <c r="J101" s="461" t="s">
        <v>684</v>
      </c>
      <c r="K101" s="420"/>
      <c r="L101" s="193"/>
      <c r="M101" s="377"/>
      <c r="O101" s="772"/>
      <c r="P101" s="157"/>
      <c r="Q101" s="404"/>
      <c r="R101" s="148"/>
      <c r="S101" s="242"/>
      <c r="T101" s="242"/>
      <c r="U101" s="242"/>
      <c r="V101" s="242"/>
      <c r="W101" s="242"/>
      <c r="X101" s="242"/>
      <c r="Y101" s="148"/>
      <c r="Z101" s="148"/>
    </row>
    <row r="102">
      <c r="A102" s="662" t="s">
        <v>1435</v>
      </c>
      <c r="B102" s="239"/>
      <c r="C102" s="561" t="s">
        <v>6</v>
      </c>
      <c r="D102" s="423">
        <v>140.0</v>
      </c>
      <c r="E102" s="192"/>
      <c r="F102" s="758"/>
      <c r="G102" s="562"/>
      <c r="H102" s="455"/>
      <c r="I102" s="57"/>
      <c r="J102" s="461" t="s">
        <v>686</v>
      </c>
      <c r="K102" s="420"/>
      <c r="L102" s="193"/>
      <c r="M102" s="374"/>
      <c r="O102" s="776"/>
      <c r="P102" s="157"/>
      <c r="Q102" s="404"/>
      <c r="R102" s="148"/>
      <c r="S102" s="242"/>
      <c r="T102" s="242"/>
      <c r="U102" s="242"/>
      <c r="V102" s="242"/>
      <c r="W102" s="242"/>
      <c r="X102" s="242"/>
      <c r="Y102" s="148"/>
      <c r="Z102" s="148"/>
    </row>
    <row r="103">
      <c r="A103" s="659"/>
      <c r="B103" s="57"/>
      <c r="C103" s="561" t="s">
        <v>779</v>
      </c>
      <c r="D103" s="157"/>
      <c r="E103" s="228"/>
      <c r="F103" s="760"/>
      <c r="G103" s="579"/>
      <c r="H103" s="455"/>
      <c r="I103" s="239"/>
      <c r="J103" s="460" t="s">
        <v>202</v>
      </c>
      <c r="K103" s="420"/>
      <c r="L103" s="193"/>
      <c r="M103" s="377"/>
      <c r="O103" s="776"/>
      <c r="P103" s="157"/>
      <c r="Q103" s="404"/>
      <c r="R103" s="148"/>
      <c r="S103" s="242"/>
      <c r="T103" s="242"/>
      <c r="U103" s="242"/>
      <c r="V103" s="242"/>
      <c r="W103" s="242"/>
      <c r="X103" s="242"/>
      <c r="Y103" s="148"/>
      <c r="Z103" s="148"/>
    </row>
    <row r="104">
      <c r="A104" s="660"/>
      <c r="B104" s="239"/>
      <c r="C104" s="561" t="s">
        <v>780</v>
      </c>
      <c r="D104" s="423"/>
      <c r="E104" s="228"/>
      <c r="F104" s="760"/>
      <c r="G104" s="579"/>
      <c r="H104" s="455"/>
      <c r="I104" s="57"/>
      <c r="J104" s="460" t="s">
        <v>274</v>
      </c>
      <c r="K104" s="420"/>
      <c r="L104" s="193"/>
      <c r="M104" s="374"/>
      <c r="O104" s="776"/>
      <c r="P104" s="157"/>
      <c r="Q104" s="404"/>
      <c r="R104" s="148"/>
      <c r="S104" s="242"/>
      <c r="T104" s="242"/>
      <c r="U104" s="242"/>
      <c r="V104" s="242"/>
      <c r="W104" s="242"/>
      <c r="X104" s="242"/>
      <c r="Y104" s="148"/>
      <c r="Z104" s="148"/>
    </row>
    <row r="105">
      <c r="A105" s="662" t="s">
        <v>1436</v>
      </c>
      <c r="B105" s="239"/>
      <c r="C105" s="561" t="s">
        <v>781</v>
      </c>
      <c r="D105" s="423">
        <v>50.0</v>
      </c>
      <c r="E105" s="228"/>
      <c r="F105" s="760"/>
      <c r="G105" s="579"/>
      <c r="H105" s="419"/>
      <c r="I105" s="239"/>
      <c r="J105" s="685" t="s">
        <v>1117</v>
      </c>
      <c r="K105" s="420"/>
      <c r="L105" s="150"/>
      <c r="M105" s="374"/>
      <c r="O105" s="772"/>
      <c r="P105" s="157"/>
      <c r="Q105" s="404"/>
      <c r="R105" s="148"/>
      <c r="S105" s="242"/>
      <c r="T105" s="242"/>
      <c r="U105" s="242"/>
      <c r="V105" s="242"/>
      <c r="W105" s="242"/>
      <c r="X105" s="242"/>
      <c r="Y105" s="148"/>
      <c r="Z105" s="148"/>
    </row>
    <row r="106">
      <c r="A106" s="662" t="s">
        <v>1437</v>
      </c>
      <c r="B106" s="157"/>
      <c r="C106" s="561" t="s">
        <v>1118</v>
      </c>
      <c r="D106" s="423">
        <v>200.0</v>
      </c>
      <c r="E106" s="569"/>
      <c r="F106" s="760"/>
      <c r="G106" s="578"/>
      <c r="H106" s="419"/>
      <c r="I106" s="57"/>
      <c r="J106" s="685" t="s">
        <v>1119</v>
      </c>
      <c r="K106" s="420"/>
      <c r="L106" s="193"/>
      <c r="M106" s="377"/>
      <c r="O106" s="772"/>
      <c r="P106" s="157"/>
      <c r="Q106" s="404"/>
      <c r="R106" s="148"/>
      <c r="S106" s="242"/>
      <c r="T106" s="242"/>
      <c r="U106" s="242"/>
      <c r="V106" s="242"/>
      <c r="W106" s="242"/>
      <c r="X106" s="242"/>
      <c r="Y106" s="148"/>
      <c r="Z106" s="148"/>
    </row>
    <row r="107">
      <c r="A107" s="662" t="s">
        <v>1438</v>
      </c>
      <c r="B107" s="157"/>
      <c r="C107" s="561" t="s">
        <v>1120</v>
      </c>
      <c r="D107" s="423">
        <v>16.0</v>
      </c>
      <c r="E107" s="228"/>
      <c r="F107" s="760"/>
      <c r="G107" s="578"/>
      <c r="H107" s="419"/>
      <c r="I107" s="239"/>
      <c r="J107" s="596" t="s">
        <v>955</v>
      </c>
      <c r="K107" s="420"/>
      <c r="L107" s="193">
        <v>420.0</v>
      </c>
      <c r="M107" s="377"/>
      <c r="O107" s="772"/>
      <c r="P107" s="157"/>
      <c r="Q107" s="404"/>
      <c r="R107" s="148"/>
      <c r="S107" s="242"/>
      <c r="T107" s="242"/>
      <c r="U107" s="242"/>
      <c r="V107" s="242"/>
      <c r="W107" s="242"/>
      <c r="X107" s="242"/>
      <c r="Y107" s="148"/>
      <c r="Z107" s="148"/>
    </row>
    <row r="108">
      <c r="A108" s="660"/>
      <c r="B108" s="157"/>
      <c r="C108" s="561"/>
      <c r="D108" s="157"/>
      <c r="E108" s="570"/>
      <c r="F108" s="760"/>
      <c r="G108" s="578"/>
      <c r="H108" s="419"/>
      <c r="I108" s="239"/>
      <c r="J108" s="568"/>
      <c r="K108" s="420"/>
      <c r="L108" s="193"/>
      <c r="M108" s="374"/>
      <c r="O108" s="772"/>
      <c r="P108" s="157"/>
      <c r="Q108" s="404"/>
      <c r="R108" s="148"/>
      <c r="S108" s="242"/>
      <c r="T108" s="242"/>
      <c r="U108" s="242"/>
      <c r="V108" s="242"/>
      <c r="W108" s="242"/>
      <c r="X108" s="242"/>
      <c r="Y108" s="148"/>
      <c r="Z108" s="148"/>
    </row>
    <row r="109">
      <c r="A109" s="665"/>
      <c r="C109" s="571"/>
      <c r="D109" s="157"/>
      <c r="E109" s="570"/>
      <c r="F109" s="760"/>
      <c r="G109" s="578"/>
      <c r="H109" s="419"/>
      <c r="I109" s="239"/>
      <c r="J109" s="464" t="s">
        <v>692</v>
      </c>
      <c r="K109" s="420"/>
      <c r="L109" s="150"/>
      <c r="M109" s="377"/>
      <c r="O109" s="772"/>
      <c r="P109" s="157"/>
      <c r="Q109" s="404"/>
      <c r="R109" s="148"/>
      <c r="S109" s="242"/>
      <c r="T109" s="242"/>
      <c r="U109" s="242"/>
      <c r="V109" s="242"/>
      <c r="W109" s="242"/>
      <c r="X109" s="242"/>
      <c r="Y109" s="148"/>
      <c r="Z109" s="148"/>
    </row>
    <row r="110">
      <c r="C110" s="571"/>
      <c r="D110" s="157"/>
      <c r="E110" s="570"/>
      <c r="F110" s="760"/>
      <c r="G110" s="578"/>
      <c r="H110" s="419"/>
      <c r="I110" s="239"/>
      <c r="J110" s="464" t="s">
        <v>694</v>
      </c>
      <c r="K110" s="420"/>
      <c r="L110" s="193"/>
      <c r="M110" s="374"/>
      <c r="O110" s="772"/>
      <c r="P110" s="157"/>
      <c r="Q110" s="404"/>
      <c r="R110" s="148"/>
      <c r="S110" s="242"/>
      <c r="T110" s="242"/>
      <c r="U110" s="242"/>
      <c r="V110" s="242"/>
      <c r="W110" s="242"/>
      <c r="X110" s="242"/>
      <c r="Y110" s="148"/>
      <c r="Z110" s="148"/>
    </row>
    <row r="111">
      <c r="C111" s="571"/>
      <c r="D111" s="423"/>
      <c r="E111" s="570"/>
      <c r="F111" s="758"/>
      <c r="G111" s="578"/>
      <c r="H111" s="419"/>
      <c r="I111" s="57"/>
      <c r="J111" s="105"/>
      <c r="K111" s="57"/>
      <c r="L111" s="193"/>
      <c r="M111" s="57"/>
      <c r="N111" s="57"/>
      <c r="O111" s="105"/>
      <c r="P111" s="157"/>
      <c r="Q111" s="404"/>
      <c r="R111" s="148"/>
      <c r="S111" s="242"/>
      <c r="T111" s="242"/>
      <c r="U111" s="242"/>
      <c r="V111" s="242"/>
      <c r="W111" s="242"/>
      <c r="X111" s="242"/>
      <c r="Y111" s="148"/>
      <c r="Z111" s="148"/>
    </row>
    <row r="112">
      <c r="A112" s="125" t="s">
        <v>798</v>
      </c>
      <c r="B112" s="572">
        <f>C85-B89</f>
        <v>-1853</v>
      </c>
      <c r="D112" s="157"/>
      <c r="E112" s="570"/>
      <c r="F112" s="767"/>
      <c r="G112" s="581"/>
      <c r="H112" s="419"/>
      <c r="I112" s="239"/>
      <c r="J112" s="568"/>
      <c r="K112" s="57"/>
      <c r="L112" s="150"/>
      <c r="M112" s="57"/>
      <c r="N112" s="57"/>
      <c r="O112" s="105"/>
      <c r="P112" s="157"/>
      <c r="Q112" s="404"/>
      <c r="R112" s="148"/>
      <c r="S112" s="242"/>
      <c r="T112" s="242"/>
      <c r="U112" s="242"/>
      <c r="V112" s="242"/>
      <c r="W112" s="242"/>
      <c r="X112" s="242"/>
      <c r="Y112" s="148"/>
      <c r="Z112" s="148"/>
    </row>
    <row r="113">
      <c r="A113" s="274" t="s">
        <v>783</v>
      </c>
      <c r="B113" s="109">
        <v>2500.0</v>
      </c>
      <c r="C113" s="395"/>
      <c r="D113" s="157"/>
      <c r="E113" s="570"/>
      <c r="F113" s="767"/>
      <c r="G113" s="581"/>
      <c r="H113" s="419"/>
      <c r="I113" s="239"/>
      <c r="J113" s="568"/>
      <c r="K113" s="57"/>
      <c r="L113" s="150"/>
      <c r="M113" s="57"/>
      <c r="N113" s="57"/>
      <c r="O113" s="105"/>
      <c r="P113" s="157"/>
      <c r="Q113" s="404"/>
      <c r="R113" s="148"/>
      <c r="S113" s="242"/>
      <c r="T113" s="242"/>
      <c r="U113" s="242"/>
      <c r="V113" s="242"/>
      <c r="W113" s="242"/>
      <c r="X113" s="242"/>
      <c r="Y113" s="148"/>
      <c r="Z113" s="148"/>
    </row>
    <row r="114">
      <c r="A114" s="274" t="s">
        <v>784</v>
      </c>
      <c r="B114" s="109">
        <v>870.0</v>
      </c>
      <c r="C114" s="395"/>
      <c r="D114" s="157"/>
      <c r="E114" s="570"/>
      <c r="F114" s="767"/>
      <c r="G114" s="581"/>
      <c r="H114" s="419"/>
      <c r="I114" s="239"/>
      <c r="J114" s="568"/>
      <c r="K114" s="57"/>
      <c r="L114" s="150"/>
      <c r="M114" s="57"/>
      <c r="N114" s="57"/>
      <c r="O114" s="105"/>
      <c r="P114" s="157"/>
      <c r="Q114" s="404"/>
      <c r="R114" s="148"/>
      <c r="S114" s="242"/>
      <c r="T114" s="242"/>
      <c r="U114" s="242"/>
      <c r="V114" s="242"/>
      <c r="W114" s="242"/>
      <c r="X114" s="242"/>
      <c r="Y114" s="148"/>
      <c r="Z114" s="148"/>
    </row>
    <row r="115">
      <c r="A115" s="274" t="s">
        <v>785</v>
      </c>
      <c r="B115" s="109">
        <v>2620.0</v>
      </c>
      <c r="C115" s="686">
        <f>SUM(B113:B115)</f>
        <v>5990</v>
      </c>
      <c r="D115" s="157"/>
      <c r="E115" s="570"/>
      <c r="F115" s="767"/>
      <c r="G115" s="581"/>
      <c r="H115" s="419"/>
      <c r="I115" s="239"/>
      <c r="J115" s="568"/>
      <c r="K115" s="57"/>
      <c r="L115" s="150"/>
      <c r="M115" s="57"/>
      <c r="N115" s="57"/>
      <c r="O115" s="105"/>
      <c r="P115" s="157"/>
      <c r="Q115" s="404"/>
      <c r="R115" s="148"/>
      <c r="S115" s="242"/>
      <c r="T115" s="242"/>
      <c r="U115" s="242"/>
      <c r="V115" s="242"/>
      <c r="W115" s="242"/>
      <c r="X115" s="242"/>
      <c r="Y115" s="148"/>
      <c r="Z115" s="148"/>
    </row>
    <row r="116">
      <c r="A116" s="402"/>
      <c r="B116" s="403"/>
      <c r="C116" s="403"/>
      <c r="D116" s="403"/>
      <c r="E116" s="574"/>
      <c r="F116" s="768"/>
      <c r="G116" s="576"/>
      <c r="H116" s="159"/>
      <c r="I116" s="159"/>
      <c r="J116" s="576"/>
      <c r="K116" s="159"/>
      <c r="L116" s="162"/>
      <c r="M116" s="402"/>
      <c r="N116" s="402"/>
      <c r="O116" s="576"/>
      <c r="P116" s="403"/>
      <c r="Q116" s="577"/>
      <c r="R116" s="148"/>
      <c r="S116" s="242"/>
      <c r="T116" s="242"/>
      <c r="U116" s="242"/>
      <c r="V116" s="242"/>
      <c r="W116" s="242"/>
      <c r="X116" s="242"/>
      <c r="Y116" s="148"/>
      <c r="Z116" s="148"/>
    </row>
    <row r="117">
      <c r="A117" s="400"/>
      <c r="B117" s="148"/>
      <c r="C117" s="148"/>
      <c r="D117" s="245"/>
      <c r="E117" s="585"/>
      <c r="F117" s="777"/>
      <c r="G117" s="243"/>
      <c r="H117" s="148"/>
      <c r="I117" s="251"/>
      <c r="J117" s="243"/>
      <c r="K117" s="148"/>
      <c r="L117" s="277"/>
      <c r="M117" s="252"/>
      <c r="N117" s="250"/>
      <c r="O117" s="323"/>
      <c r="P117" s="240"/>
      <c r="Q117" s="148"/>
      <c r="R117" s="148"/>
      <c r="S117" s="242"/>
      <c r="T117" s="242"/>
      <c r="U117" s="242"/>
      <c r="V117" s="242"/>
      <c r="W117" s="242"/>
      <c r="X117" s="242"/>
      <c r="Y117" s="148"/>
      <c r="Z117" s="148"/>
    </row>
    <row r="118">
      <c r="A118" s="169" t="s">
        <v>71</v>
      </c>
      <c r="B118" s="539"/>
      <c r="C118" s="540"/>
      <c r="D118" s="405"/>
      <c r="E118" s="541"/>
      <c r="F118" s="755"/>
      <c r="G118" s="467" t="s">
        <v>333</v>
      </c>
      <c r="H118" s="361"/>
      <c r="I118" s="57"/>
      <c r="J118" s="105"/>
      <c r="K118" s="57"/>
      <c r="L118" s="150"/>
      <c r="M118" s="239"/>
      <c r="N118" s="239"/>
      <c r="O118" s="105"/>
      <c r="P118" s="157"/>
      <c r="Q118" s="404"/>
      <c r="R118" s="148"/>
      <c r="S118" s="242"/>
      <c r="T118" s="242"/>
      <c r="U118" s="242"/>
      <c r="V118" s="242"/>
      <c r="W118" s="242"/>
      <c r="X118" s="242"/>
      <c r="Y118" s="148"/>
      <c r="Z118" s="148"/>
    </row>
    <row r="119">
      <c r="A119" s="468"/>
      <c r="B119" s="157"/>
      <c r="C119" s="466"/>
      <c r="D119" s="405"/>
      <c r="E119" s="543" t="s">
        <v>335</v>
      </c>
      <c r="F119" s="756" t="s">
        <v>237</v>
      </c>
      <c r="G119" s="412" t="s">
        <v>336</v>
      </c>
      <c r="H119" s="413" t="s">
        <v>337</v>
      </c>
      <c r="I119" s="239"/>
      <c r="J119" s="145" t="s">
        <v>60</v>
      </c>
      <c r="K119" s="57"/>
      <c r="L119" s="150"/>
      <c r="M119" s="414"/>
      <c r="N119" s="414"/>
      <c r="O119" s="395" t="s">
        <v>334</v>
      </c>
      <c r="P119" s="157"/>
      <c r="Q119" s="404"/>
      <c r="R119" s="148"/>
      <c r="S119" s="242"/>
      <c r="T119" s="242"/>
      <c r="U119" s="242"/>
      <c r="V119" s="242"/>
      <c r="W119" s="242"/>
      <c r="X119" s="242"/>
      <c r="Y119" s="148"/>
      <c r="Z119" s="148"/>
    </row>
    <row r="120">
      <c r="A120" s="470" t="s">
        <v>179</v>
      </c>
      <c r="C120" s="416">
        <f>SUM(F120:F154)</f>
        <v>3500</v>
      </c>
      <c r="D120" s="405"/>
      <c r="E120" s="545"/>
      <c r="F120" s="758"/>
      <c r="G120" s="578"/>
      <c r="H120" s="419"/>
      <c r="I120" s="57"/>
      <c r="K120" s="57"/>
      <c r="L120" s="150"/>
      <c r="M120" s="377" t="s">
        <v>366</v>
      </c>
      <c r="P120" s="157"/>
      <c r="Q120" s="404"/>
      <c r="R120" s="148"/>
      <c r="S120" s="242"/>
      <c r="T120" s="242"/>
      <c r="U120" s="242"/>
      <c r="V120" s="242"/>
      <c r="W120" s="242"/>
      <c r="X120" s="242"/>
      <c r="Y120" s="148"/>
      <c r="Z120" s="148"/>
    </row>
    <row r="121">
      <c r="A121" s="421" t="s">
        <v>343</v>
      </c>
      <c r="B121" s="422" t="s">
        <v>321</v>
      </c>
      <c r="C121" s="416">
        <f>SUM(P121:P154)</f>
        <v>0</v>
      </c>
      <c r="D121" s="157"/>
      <c r="E121" s="545"/>
      <c r="F121" s="758"/>
      <c r="G121" s="578"/>
      <c r="H121" s="419"/>
      <c r="I121" s="239"/>
      <c r="J121" s="471" t="s">
        <v>341</v>
      </c>
      <c r="K121" s="420"/>
      <c r="L121" s="150"/>
      <c r="M121" s="374"/>
      <c r="O121" s="770"/>
      <c r="P121" s="423"/>
      <c r="Q121" s="404"/>
      <c r="R121" s="148"/>
      <c r="S121" s="242"/>
      <c r="T121" s="242"/>
      <c r="U121" s="242"/>
      <c r="V121" s="242"/>
      <c r="W121" s="242"/>
      <c r="X121" s="242"/>
      <c r="Y121" s="148"/>
      <c r="Z121" s="148"/>
    </row>
    <row r="122">
      <c r="A122" s="427" t="s">
        <v>201</v>
      </c>
      <c r="C122" s="204">
        <f>SUM(L121:L154)</f>
        <v>2626.3</v>
      </c>
      <c r="D122" s="157"/>
      <c r="E122" s="545"/>
      <c r="F122" s="758"/>
      <c r="G122" s="578"/>
      <c r="H122" s="419"/>
      <c r="I122" s="239"/>
      <c r="J122" s="472" t="s">
        <v>345</v>
      </c>
      <c r="K122" s="420"/>
      <c r="L122" s="193">
        <v>392.96</v>
      </c>
      <c r="M122" s="377" t="s">
        <v>1439</v>
      </c>
      <c r="O122" s="770"/>
      <c r="P122" s="423"/>
      <c r="Q122" s="404"/>
      <c r="R122" s="148"/>
      <c r="S122" s="242"/>
      <c r="T122" s="242"/>
      <c r="U122" s="242"/>
      <c r="V122" s="242"/>
      <c r="W122" s="242"/>
      <c r="X122" s="242"/>
      <c r="Y122" s="148"/>
      <c r="Z122" s="148"/>
    </row>
    <row r="123">
      <c r="A123" s="548" t="s">
        <v>761</v>
      </c>
      <c r="B123" s="549">
        <v>0.4</v>
      </c>
      <c r="C123" s="191"/>
      <c r="D123" s="157"/>
      <c r="E123" s="550" t="s">
        <v>695</v>
      </c>
      <c r="F123" s="758"/>
      <c r="G123" s="562"/>
      <c r="H123" s="419"/>
      <c r="I123" s="239"/>
      <c r="J123" s="433" t="s">
        <v>656</v>
      </c>
      <c r="K123" s="420"/>
      <c r="L123" s="193">
        <v>181.34</v>
      </c>
      <c r="M123" s="377" t="s">
        <v>1424</v>
      </c>
      <c r="O123" s="770"/>
      <c r="P123" s="423"/>
      <c r="Q123" s="404"/>
      <c r="R123" s="148"/>
      <c r="S123" s="242"/>
      <c r="T123" s="242"/>
      <c r="U123" s="242"/>
      <c r="V123" s="242"/>
      <c r="W123" s="242"/>
      <c r="X123" s="242"/>
      <c r="Y123" s="148"/>
      <c r="Z123" s="148"/>
    </row>
    <row r="124">
      <c r="A124" s="434" t="s">
        <v>350</v>
      </c>
      <c r="C124" s="551">
        <f>C120-C122-C123</f>
        <v>873.7</v>
      </c>
      <c r="D124" s="157"/>
      <c r="E124" s="192" t="s">
        <v>1220</v>
      </c>
      <c r="F124" s="758">
        <v>330.0</v>
      </c>
      <c r="G124" s="579"/>
      <c r="H124" s="419"/>
      <c r="I124" s="57"/>
      <c r="J124" s="444" t="s">
        <v>658</v>
      </c>
      <c r="K124" s="420"/>
      <c r="L124" s="193">
        <v>55.0</v>
      </c>
      <c r="M124" s="377"/>
      <c r="O124" s="772"/>
      <c r="P124" s="157"/>
      <c r="Q124" s="404"/>
      <c r="R124" s="148"/>
      <c r="S124" s="242"/>
      <c r="T124" s="242"/>
      <c r="U124" s="242"/>
      <c r="V124" s="242"/>
      <c r="W124" s="242"/>
      <c r="X124" s="242"/>
      <c r="Y124" s="148"/>
      <c r="Z124" s="148"/>
    </row>
    <row r="125">
      <c r="A125" s="554"/>
      <c r="B125" s="555"/>
      <c r="C125" s="447"/>
      <c r="D125" s="157"/>
      <c r="E125" s="192" t="s">
        <v>1440</v>
      </c>
      <c r="F125" s="758">
        <v>180.0</v>
      </c>
      <c r="G125" s="578"/>
      <c r="H125" s="419"/>
      <c r="I125" s="57"/>
      <c r="J125" s="444" t="s">
        <v>660</v>
      </c>
      <c r="K125" s="420"/>
      <c r="L125" s="193">
        <v>120.0</v>
      </c>
      <c r="M125" s="377"/>
      <c r="O125" s="772"/>
      <c r="P125" s="157"/>
      <c r="Q125" s="404"/>
      <c r="R125" s="148"/>
      <c r="S125" s="242"/>
      <c r="T125" s="242"/>
      <c r="U125" s="242"/>
      <c r="V125" s="242"/>
      <c r="W125" s="242"/>
      <c r="X125" s="242"/>
      <c r="Y125" s="148"/>
      <c r="Z125" s="148"/>
    </row>
    <row r="126">
      <c r="A126" s="556"/>
      <c r="C126" s="395"/>
      <c r="D126" s="157"/>
      <c r="E126" s="192" t="s">
        <v>1356</v>
      </c>
      <c r="F126" s="758">
        <v>500.0</v>
      </c>
      <c r="G126" s="562"/>
      <c r="H126" s="419"/>
      <c r="I126" s="239"/>
      <c r="J126" s="370" t="s">
        <v>662</v>
      </c>
      <c r="K126" s="420"/>
      <c r="L126" s="193"/>
      <c r="M126" s="377"/>
      <c r="O126" s="772"/>
      <c r="P126" s="157"/>
      <c r="Q126" s="404"/>
      <c r="R126" s="148"/>
      <c r="S126" s="242"/>
      <c r="T126" s="242"/>
      <c r="U126" s="242"/>
      <c r="V126" s="242"/>
      <c r="W126" s="242"/>
      <c r="X126" s="242"/>
      <c r="Y126" s="148"/>
      <c r="Z126" s="148"/>
    </row>
    <row r="127">
      <c r="A127" s="557"/>
      <c r="B127" s="109"/>
      <c r="C127" s="395"/>
      <c r="D127" s="373"/>
      <c r="E127" s="192" t="s">
        <v>1073</v>
      </c>
      <c r="F127" s="758">
        <v>260.0</v>
      </c>
      <c r="G127" s="562" t="s">
        <v>426</v>
      </c>
      <c r="H127" s="419"/>
      <c r="I127" s="239"/>
      <c r="J127" s="433" t="s">
        <v>666</v>
      </c>
      <c r="K127" s="420"/>
      <c r="L127" s="150"/>
      <c r="M127" s="374"/>
      <c r="O127" s="772"/>
      <c r="P127" s="157"/>
      <c r="Q127" s="404"/>
      <c r="R127" s="148"/>
      <c r="S127" s="242"/>
      <c r="T127" s="242"/>
      <c r="U127" s="242"/>
      <c r="V127" s="242"/>
      <c r="W127" s="242"/>
      <c r="X127" s="242"/>
      <c r="Y127" s="148"/>
      <c r="Z127" s="148"/>
    </row>
    <row r="128">
      <c r="A128" s="559" t="s">
        <v>765</v>
      </c>
      <c r="B128" s="560">
        <f>SUM(D128:D154)</f>
        <v>682</v>
      </c>
      <c r="C128" s="477" t="s">
        <v>366</v>
      </c>
      <c r="D128" s="157"/>
      <c r="E128" s="192" t="s">
        <v>886</v>
      </c>
      <c r="F128" s="758">
        <v>400.0</v>
      </c>
      <c r="G128" s="578"/>
      <c r="H128" s="419"/>
      <c r="I128" s="239"/>
      <c r="J128" s="433" t="s">
        <v>668</v>
      </c>
      <c r="K128" s="420"/>
      <c r="L128" s="150"/>
      <c r="M128" s="377"/>
      <c r="O128" s="772"/>
      <c r="P128" s="157"/>
      <c r="Q128" s="404"/>
      <c r="R128" s="148"/>
      <c r="S128" s="242"/>
      <c r="T128" s="242"/>
      <c r="U128" s="242"/>
      <c r="V128" s="242"/>
      <c r="W128" s="242"/>
      <c r="X128" s="242"/>
      <c r="Y128" s="148"/>
      <c r="Z128" s="148"/>
    </row>
    <row r="129">
      <c r="A129" s="453" t="s">
        <v>369</v>
      </c>
      <c r="C129" s="561" t="s">
        <v>766</v>
      </c>
      <c r="D129" s="423"/>
      <c r="E129" s="192" t="s">
        <v>1441</v>
      </c>
      <c r="F129" s="758">
        <v>250.0</v>
      </c>
      <c r="G129" s="562"/>
      <c r="H129" s="419"/>
      <c r="I129" s="239"/>
      <c r="J129" s="433" t="s">
        <v>670</v>
      </c>
      <c r="K129" s="458"/>
      <c r="L129" s="193">
        <v>1250.0</v>
      </c>
      <c r="M129" s="377"/>
      <c r="O129" s="772"/>
      <c r="P129" s="157"/>
      <c r="Q129" s="404"/>
      <c r="R129" s="148"/>
      <c r="S129" s="242"/>
      <c r="T129" s="242"/>
      <c r="U129" s="242"/>
      <c r="V129" s="242"/>
      <c r="W129" s="242"/>
      <c r="X129" s="242"/>
      <c r="Y129" s="148"/>
      <c r="Z129" s="148"/>
    </row>
    <row r="130">
      <c r="C130" s="561" t="s">
        <v>767</v>
      </c>
      <c r="D130" s="157"/>
      <c r="E130" s="192" t="s">
        <v>1442</v>
      </c>
      <c r="F130" s="758">
        <v>120.0</v>
      </c>
      <c r="G130" s="562"/>
      <c r="H130" s="419"/>
      <c r="I130" s="239"/>
      <c r="J130" s="433" t="s">
        <v>217</v>
      </c>
      <c r="K130" s="458"/>
      <c r="L130" s="150"/>
      <c r="M130" s="377"/>
      <c r="O130" s="772"/>
      <c r="P130" s="157"/>
      <c r="Q130" s="404"/>
      <c r="R130" s="148"/>
      <c r="S130" s="242"/>
      <c r="T130" s="242"/>
      <c r="U130" s="242"/>
      <c r="V130" s="242"/>
      <c r="W130" s="242"/>
      <c r="X130" s="242"/>
      <c r="Y130" s="148"/>
      <c r="Z130" s="148"/>
    </row>
    <row r="131">
      <c r="A131" s="57"/>
      <c r="B131" s="57"/>
      <c r="C131" s="561" t="s">
        <v>768</v>
      </c>
      <c r="D131" s="423"/>
      <c r="E131" s="192" t="s">
        <v>1443</v>
      </c>
      <c r="F131" s="758">
        <v>70.0</v>
      </c>
      <c r="G131" s="578"/>
      <c r="H131" s="419"/>
      <c r="I131" s="239"/>
      <c r="J131" s="109"/>
      <c r="K131" s="420"/>
      <c r="L131" s="193"/>
      <c r="M131" s="374"/>
      <c r="O131" s="772"/>
      <c r="P131" s="157"/>
      <c r="Q131" s="404"/>
      <c r="R131" s="148"/>
      <c r="S131" s="242"/>
      <c r="T131" s="242"/>
      <c r="U131" s="242"/>
      <c r="V131" s="242"/>
      <c r="W131" s="242"/>
      <c r="X131" s="242"/>
      <c r="Y131" s="148"/>
      <c r="Z131" s="148"/>
    </row>
    <row r="132">
      <c r="A132" s="57"/>
      <c r="B132" s="57"/>
      <c r="C132" s="561" t="s">
        <v>769</v>
      </c>
      <c r="D132" s="157"/>
      <c r="E132" s="192" t="s">
        <v>1444</v>
      </c>
      <c r="F132" s="758">
        <v>1040.0</v>
      </c>
      <c r="G132" s="562" t="s">
        <v>426</v>
      </c>
      <c r="H132" s="419"/>
      <c r="I132" s="239"/>
      <c r="J132" s="456" t="s">
        <v>672</v>
      </c>
      <c r="K132" s="420"/>
      <c r="L132" s="193"/>
      <c r="M132" s="377"/>
      <c r="O132" s="772"/>
      <c r="P132" s="157"/>
      <c r="Q132" s="404"/>
      <c r="R132" s="148"/>
      <c r="S132" s="242"/>
      <c r="T132" s="242"/>
      <c r="U132" s="242"/>
      <c r="V132" s="242"/>
      <c r="W132" s="242"/>
      <c r="X132" s="242"/>
      <c r="Y132" s="148"/>
      <c r="Z132" s="148"/>
    </row>
    <row r="133">
      <c r="A133" s="57"/>
      <c r="B133" s="57"/>
      <c r="C133" s="561" t="s">
        <v>770</v>
      </c>
      <c r="D133" s="423"/>
      <c r="E133" s="192" t="s">
        <v>862</v>
      </c>
      <c r="F133" s="758">
        <v>350.0</v>
      </c>
      <c r="G133" s="578"/>
      <c r="H133" s="419"/>
      <c r="I133" s="57"/>
      <c r="J133" s="456" t="s">
        <v>675</v>
      </c>
      <c r="K133" s="420"/>
      <c r="L133" s="193"/>
      <c r="M133" s="382"/>
      <c r="O133" s="772"/>
      <c r="P133" s="157"/>
      <c r="Q133" s="404"/>
      <c r="R133" s="148"/>
      <c r="S133" s="242"/>
      <c r="T133" s="242"/>
      <c r="U133" s="242"/>
      <c r="V133" s="242"/>
      <c r="W133" s="242"/>
      <c r="X133" s="242"/>
      <c r="Y133" s="148"/>
      <c r="Z133" s="148"/>
    </row>
    <row r="134">
      <c r="A134" s="238" t="s">
        <v>1445</v>
      </c>
      <c r="B134" s="57"/>
      <c r="C134" s="561" t="s">
        <v>793</v>
      </c>
      <c r="D134" s="423">
        <v>102.0</v>
      </c>
      <c r="E134" s="192"/>
      <c r="F134" s="758"/>
      <c r="G134" s="562"/>
      <c r="H134" s="419"/>
      <c r="I134" s="57"/>
      <c r="J134" s="456"/>
      <c r="K134" s="420"/>
      <c r="L134" s="150"/>
      <c r="M134" s="425"/>
      <c r="O134" s="772"/>
      <c r="P134" s="157"/>
      <c r="Q134" s="404"/>
      <c r="R134" s="148"/>
      <c r="S134" s="242"/>
      <c r="T134" s="242"/>
      <c r="U134" s="242"/>
      <c r="V134" s="242"/>
      <c r="W134" s="242"/>
      <c r="X134" s="242"/>
      <c r="Y134" s="148"/>
      <c r="Z134" s="148"/>
    </row>
    <row r="135">
      <c r="A135" s="239"/>
      <c r="B135" s="57"/>
      <c r="C135" s="561" t="s">
        <v>794</v>
      </c>
      <c r="D135" s="423"/>
      <c r="E135" s="192"/>
      <c r="F135" s="760"/>
      <c r="G135" s="578"/>
      <c r="H135" s="419"/>
      <c r="I135" s="57"/>
      <c r="J135" s="375"/>
      <c r="K135" s="420"/>
      <c r="L135" s="150"/>
      <c r="M135" s="425"/>
      <c r="O135" s="772"/>
      <c r="P135" s="157"/>
      <c r="Q135" s="404"/>
      <c r="R135" s="148"/>
      <c r="S135" s="242"/>
      <c r="T135" s="242"/>
      <c r="U135" s="242"/>
      <c r="V135" s="242"/>
      <c r="W135" s="242"/>
      <c r="X135" s="242"/>
      <c r="Y135" s="148"/>
      <c r="Z135" s="148"/>
    </row>
    <row r="136">
      <c r="A136" s="239"/>
      <c r="B136" s="57"/>
      <c r="C136" s="561" t="s">
        <v>18</v>
      </c>
      <c r="D136" s="423"/>
      <c r="E136" s="228"/>
      <c r="F136" s="760"/>
      <c r="G136" s="578"/>
      <c r="H136" s="419"/>
      <c r="I136" s="57"/>
      <c r="J136" s="375"/>
      <c r="K136" s="420"/>
      <c r="L136" s="193"/>
      <c r="M136" s="382"/>
      <c r="O136" s="772"/>
      <c r="P136" s="157"/>
      <c r="Q136" s="404"/>
      <c r="R136" s="148"/>
      <c r="S136" s="242"/>
      <c r="T136" s="242"/>
      <c r="U136" s="242"/>
      <c r="V136" s="242"/>
      <c r="W136" s="242"/>
      <c r="X136" s="242"/>
      <c r="Y136" s="148"/>
      <c r="Z136" s="148"/>
    </row>
    <row r="137">
      <c r="A137" s="239"/>
      <c r="B137" s="57"/>
      <c r="C137" s="563" t="s">
        <v>1115</v>
      </c>
      <c r="D137" s="423">
        <v>300.0</v>
      </c>
      <c r="E137" s="228"/>
      <c r="F137" s="760"/>
      <c r="G137" s="579"/>
      <c r="H137" s="419"/>
      <c r="I137" s="57"/>
      <c r="J137" s="452"/>
      <c r="K137" s="420"/>
      <c r="L137" s="150"/>
      <c r="M137" s="425"/>
      <c r="O137" s="772"/>
      <c r="P137" s="157"/>
      <c r="Q137" s="404"/>
      <c r="R137" s="148"/>
      <c r="S137" s="242"/>
      <c r="T137" s="242"/>
      <c r="U137" s="242"/>
      <c r="V137" s="242"/>
      <c r="W137" s="242"/>
      <c r="X137" s="242"/>
      <c r="Y137" s="148"/>
      <c r="Z137" s="148"/>
    </row>
    <row r="138">
      <c r="A138" s="662" t="s">
        <v>1446</v>
      </c>
      <c r="B138" s="238">
        <v>150.0</v>
      </c>
      <c r="C138" s="561" t="s">
        <v>1116</v>
      </c>
      <c r="D138" s="423">
        <v>150.0</v>
      </c>
      <c r="E138" s="228"/>
      <c r="F138" s="760"/>
      <c r="G138" s="578"/>
      <c r="H138" s="419"/>
      <c r="I138" s="57"/>
      <c r="J138" s="105"/>
      <c r="K138" s="420"/>
      <c r="L138" s="150"/>
      <c r="M138" s="425"/>
      <c r="O138" s="772"/>
      <c r="P138" s="157"/>
      <c r="Q138" s="404"/>
      <c r="R138" s="148"/>
      <c r="S138" s="242"/>
      <c r="T138" s="242"/>
      <c r="U138" s="242"/>
      <c r="V138" s="242"/>
      <c r="W138" s="242"/>
      <c r="X138" s="242"/>
      <c r="Y138" s="148"/>
      <c r="Z138" s="148"/>
    </row>
    <row r="139">
      <c r="A139" s="239"/>
      <c r="B139" s="239"/>
      <c r="C139" s="561" t="s">
        <v>775</v>
      </c>
      <c r="D139" s="423"/>
      <c r="E139" s="192"/>
      <c r="F139" s="760"/>
      <c r="G139" s="578"/>
      <c r="H139" s="419"/>
      <c r="I139" s="57"/>
      <c r="J139" s="378" t="s">
        <v>682</v>
      </c>
      <c r="K139" s="420"/>
      <c r="L139" s="193"/>
      <c r="M139" s="377"/>
      <c r="O139" s="772"/>
      <c r="P139" s="157"/>
      <c r="Q139" s="404"/>
      <c r="R139" s="148"/>
      <c r="S139" s="242"/>
      <c r="T139" s="242"/>
      <c r="U139" s="242"/>
      <c r="V139" s="242"/>
      <c r="W139" s="242"/>
      <c r="X139" s="242"/>
      <c r="Y139" s="148"/>
      <c r="Z139" s="148"/>
    </row>
    <row r="140">
      <c r="A140" s="239"/>
      <c r="B140" s="239"/>
      <c r="C140" s="561" t="s">
        <v>10</v>
      </c>
      <c r="D140" s="157"/>
      <c r="E140" s="206"/>
      <c r="F140" s="765"/>
      <c r="G140" s="581"/>
      <c r="H140" s="419"/>
      <c r="I140" s="57"/>
      <c r="J140" s="461" t="s">
        <v>684</v>
      </c>
      <c r="K140" s="420"/>
      <c r="L140" s="193"/>
      <c r="M140" s="377"/>
      <c r="O140" s="772"/>
      <c r="P140" s="157"/>
      <c r="Q140" s="404"/>
      <c r="R140" s="148"/>
      <c r="S140" s="242"/>
      <c r="T140" s="242"/>
      <c r="U140" s="242"/>
      <c r="V140" s="242"/>
      <c r="W140" s="242"/>
      <c r="X140" s="242"/>
      <c r="Y140" s="148"/>
      <c r="Z140" s="148"/>
    </row>
    <row r="141">
      <c r="A141" s="239"/>
      <c r="B141" s="239"/>
      <c r="C141" s="561" t="s">
        <v>6</v>
      </c>
      <c r="D141" s="423"/>
      <c r="E141" s="206"/>
      <c r="F141" s="760"/>
      <c r="G141" s="579"/>
      <c r="H141" s="455"/>
      <c r="I141" s="57"/>
      <c r="J141" s="461" t="s">
        <v>686</v>
      </c>
      <c r="K141" s="420"/>
      <c r="L141" s="150"/>
      <c r="M141" s="374"/>
      <c r="O141" s="776"/>
      <c r="P141" s="157"/>
      <c r="Q141" s="404"/>
      <c r="R141" s="148"/>
      <c r="S141" s="242"/>
      <c r="T141" s="242"/>
      <c r="U141" s="242"/>
      <c r="V141" s="242"/>
      <c r="W141" s="242"/>
      <c r="X141" s="242"/>
      <c r="Y141" s="148"/>
      <c r="Z141" s="148"/>
    </row>
    <row r="142">
      <c r="A142" s="57"/>
      <c r="B142" s="57"/>
      <c r="C142" s="561" t="s">
        <v>779</v>
      </c>
      <c r="D142" s="157"/>
      <c r="E142" s="228"/>
      <c r="F142" s="760"/>
      <c r="G142" s="579"/>
      <c r="H142" s="455"/>
      <c r="I142" s="239"/>
      <c r="J142" s="460" t="s">
        <v>202</v>
      </c>
      <c r="K142" s="420"/>
      <c r="L142" s="193"/>
      <c r="M142" s="377"/>
      <c r="O142" s="776"/>
      <c r="P142" s="157"/>
      <c r="Q142" s="404"/>
      <c r="R142" s="148"/>
      <c r="S142" s="242"/>
      <c r="T142" s="242"/>
      <c r="U142" s="242"/>
      <c r="V142" s="242"/>
      <c r="W142" s="242"/>
      <c r="X142" s="242"/>
      <c r="Y142" s="148"/>
      <c r="Z142" s="148"/>
    </row>
    <row r="143">
      <c r="A143" s="239"/>
      <c r="B143" s="239"/>
      <c r="C143" s="561" t="s">
        <v>780</v>
      </c>
      <c r="D143" s="423"/>
      <c r="E143" s="228"/>
      <c r="F143" s="760"/>
      <c r="G143" s="579"/>
      <c r="H143" s="455"/>
      <c r="I143" s="57"/>
      <c r="J143" s="460" t="s">
        <v>274</v>
      </c>
      <c r="K143" s="420"/>
      <c r="L143" s="150"/>
      <c r="M143" s="374"/>
      <c r="O143" s="776"/>
      <c r="P143" s="157"/>
      <c r="Q143" s="404"/>
      <c r="R143" s="148"/>
      <c r="S143" s="242"/>
      <c r="T143" s="242"/>
      <c r="U143" s="242"/>
      <c r="V143" s="242"/>
      <c r="W143" s="242"/>
      <c r="X143" s="242"/>
      <c r="Y143" s="148"/>
      <c r="Z143" s="148"/>
    </row>
    <row r="144">
      <c r="A144" s="239"/>
      <c r="B144" s="239"/>
      <c r="C144" s="561" t="s">
        <v>781</v>
      </c>
      <c r="D144" s="423"/>
      <c r="E144" s="228"/>
      <c r="F144" s="760"/>
      <c r="G144" s="579"/>
      <c r="H144" s="419"/>
      <c r="I144" s="239"/>
      <c r="J144" s="685" t="s">
        <v>1117</v>
      </c>
      <c r="K144" s="420"/>
      <c r="L144" s="193">
        <v>200.0</v>
      </c>
      <c r="M144" s="377" t="s">
        <v>1447</v>
      </c>
      <c r="O144" s="772"/>
      <c r="P144" s="157"/>
      <c r="Q144" s="404"/>
      <c r="R144" s="148"/>
      <c r="S144" s="242"/>
      <c r="T144" s="242"/>
      <c r="U144" s="242"/>
      <c r="V144" s="242"/>
      <c r="W144" s="242"/>
      <c r="X144" s="242"/>
      <c r="Y144" s="148"/>
      <c r="Z144" s="148"/>
    </row>
    <row r="145">
      <c r="A145" s="238" t="s">
        <v>1448</v>
      </c>
      <c r="B145" s="157"/>
      <c r="C145" s="561" t="s">
        <v>1118</v>
      </c>
      <c r="D145" s="423">
        <v>30.0</v>
      </c>
      <c r="E145" s="569"/>
      <c r="F145" s="760"/>
      <c r="G145" s="578"/>
      <c r="H145" s="419"/>
      <c r="I145" s="57"/>
      <c r="J145" s="685" t="s">
        <v>1119</v>
      </c>
      <c r="K145" s="420"/>
      <c r="L145" s="193">
        <v>147.0</v>
      </c>
      <c r="M145" s="377" t="s">
        <v>1449</v>
      </c>
      <c r="O145" s="772"/>
      <c r="P145" s="157"/>
      <c r="Q145" s="404"/>
      <c r="R145" s="148"/>
      <c r="S145" s="242"/>
      <c r="T145" s="242"/>
      <c r="U145" s="242"/>
      <c r="V145" s="242"/>
      <c r="W145" s="242"/>
      <c r="X145" s="242"/>
      <c r="Y145" s="148"/>
      <c r="Z145" s="148"/>
    </row>
    <row r="146">
      <c r="A146" s="238" t="s">
        <v>1450</v>
      </c>
      <c r="B146" s="157"/>
      <c r="C146" s="561" t="s">
        <v>1120</v>
      </c>
      <c r="D146" s="423">
        <v>100.0</v>
      </c>
      <c r="E146" s="228"/>
      <c r="F146" s="760"/>
      <c r="G146" s="578"/>
      <c r="H146" s="419"/>
      <c r="I146" s="239"/>
      <c r="J146" s="596" t="s">
        <v>1001</v>
      </c>
      <c r="K146" s="420"/>
      <c r="L146" s="193">
        <v>280.0</v>
      </c>
      <c r="M146" s="676" t="s">
        <v>1451</v>
      </c>
      <c r="O146" s="772"/>
      <c r="P146" s="157"/>
      <c r="Q146" s="404"/>
      <c r="R146" s="148"/>
      <c r="S146" s="242"/>
      <c r="T146" s="242"/>
      <c r="U146" s="242"/>
      <c r="V146" s="242"/>
      <c r="W146" s="242"/>
      <c r="X146" s="242"/>
      <c r="Y146" s="148"/>
      <c r="Z146" s="148"/>
    </row>
    <row r="147">
      <c r="A147" s="239"/>
      <c r="B147" s="157"/>
      <c r="C147" s="561"/>
      <c r="D147" s="157"/>
      <c r="E147" s="570"/>
      <c r="F147" s="760"/>
      <c r="G147" s="578"/>
      <c r="H147" s="419"/>
      <c r="I147" s="239"/>
      <c r="J147" s="568"/>
      <c r="K147" s="420"/>
      <c r="L147" s="193"/>
      <c r="M147" s="374"/>
      <c r="O147" s="772"/>
      <c r="P147" s="157"/>
      <c r="Q147" s="404"/>
      <c r="R147" s="148"/>
      <c r="S147" s="242"/>
      <c r="T147" s="242"/>
      <c r="U147" s="242"/>
      <c r="V147" s="242"/>
      <c r="W147" s="242"/>
      <c r="X147" s="242"/>
      <c r="Y147" s="148"/>
      <c r="Z147" s="148"/>
    </row>
    <row r="148">
      <c r="C148" s="571"/>
      <c r="D148" s="157"/>
      <c r="E148" s="570"/>
      <c r="F148" s="760"/>
      <c r="G148" s="578"/>
      <c r="H148" s="419"/>
      <c r="I148" s="239"/>
      <c r="J148" s="464" t="s">
        <v>692</v>
      </c>
      <c r="K148" s="420"/>
      <c r="L148" s="150"/>
      <c r="M148" s="377"/>
      <c r="O148" s="772"/>
      <c r="P148" s="157"/>
      <c r="Q148" s="404"/>
      <c r="R148" s="148"/>
      <c r="S148" s="242"/>
      <c r="T148" s="242"/>
      <c r="U148" s="242"/>
      <c r="V148" s="242"/>
      <c r="W148" s="242"/>
      <c r="X148" s="242"/>
      <c r="Y148" s="148"/>
      <c r="Z148" s="148"/>
    </row>
    <row r="149">
      <c r="C149" s="571"/>
      <c r="D149" s="157"/>
      <c r="E149" s="570"/>
      <c r="F149" s="760"/>
      <c r="G149" s="578"/>
      <c r="H149" s="419"/>
      <c r="I149" s="239"/>
      <c r="J149" s="464" t="s">
        <v>694</v>
      </c>
      <c r="K149" s="420"/>
      <c r="L149" s="150"/>
      <c r="M149" s="374"/>
      <c r="O149" s="772"/>
      <c r="P149" s="157"/>
      <c r="Q149" s="404"/>
      <c r="R149" s="148"/>
      <c r="S149" s="242"/>
      <c r="T149" s="242"/>
      <c r="U149" s="242"/>
      <c r="V149" s="242"/>
      <c r="W149" s="242"/>
      <c r="X149" s="242"/>
      <c r="Y149" s="148"/>
      <c r="Z149" s="148"/>
    </row>
    <row r="150">
      <c r="C150" s="571"/>
      <c r="D150" s="423"/>
      <c r="E150" s="570"/>
      <c r="F150" s="758"/>
      <c r="G150" s="578"/>
      <c r="H150" s="419"/>
      <c r="I150" s="57"/>
      <c r="J150" s="105"/>
      <c r="K150" s="57"/>
      <c r="L150" s="150"/>
      <c r="M150" s="57"/>
      <c r="N150" s="57"/>
      <c r="O150" s="105"/>
      <c r="P150" s="157"/>
      <c r="Q150" s="404"/>
      <c r="R150" s="148"/>
      <c r="S150" s="242"/>
      <c r="T150" s="242"/>
      <c r="U150" s="242"/>
      <c r="V150" s="242"/>
      <c r="W150" s="242"/>
      <c r="X150" s="242"/>
      <c r="Y150" s="148"/>
      <c r="Z150" s="148"/>
    </row>
    <row r="151">
      <c r="A151" s="125" t="s">
        <v>798</v>
      </c>
      <c r="B151" s="588">
        <f>C124-B128</f>
        <v>191.7</v>
      </c>
      <c r="D151" s="157"/>
      <c r="E151" s="570"/>
      <c r="F151" s="767"/>
      <c r="G151" s="581"/>
      <c r="H151" s="419"/>
      <c r="I151" s="239"/>
      <c r="J151" s="568"/>
      <c r="K151" s="57"/>
      <c r="L151" s="150"/>
      <c r="M151" s="57"/>
      <c r="N151" s="57"/>
      <c r="O151" s="105"/>
      <c r="P151" s="157"/>
      <c r="Q151" s="404"/>
      <c r="R151" s="148"/>
      <c r="S151" s="242"/>
      <c r="T151" s="242"/>
      <c r="U151" s="242"/>
      <c r="V151" s="242"/>
      <c r="W151" s="242"/>
      <c r="X151" s="242"/>
      <c r="Y151" s="148"/>
      <c r="Z151" s="148"/>
    </row>
    <row r="152">
      <c r="A152" s="274" t="s">
        <v>783</v>
      </c>
      <c r="B152" s="109">
        <v>1550.0</v>
      </c>
      <c r="C152" s="395"/>
      <c r="D152" s="157"/>
      <c r="E152" s="570"/>
      <c r="F152" s="767"/>
      <c r="G152" s="581"/>
      <c r="H152" s="419"/>
      <c r="I152" s="239"/>
      <c r="J152" s="568"/>
      <c r="K152" s="57"/>
      <c r="L152" s="150"/>
      <c r="M152" s="57"/>
      <c r="N152" s="57"/>
      <c r="O152" s="105"/>
      <c r="P152" s="157"/>
      <c r="Q152" s="404"/>
      <c r="R152" s="148"/>
      <c r="S152" s="242"/>
      <c r="T152" s="242"/>
      <c r="U152" s="242"/>
      <c r="V152" s="242"/>
      <c r="W152" s="242"/>
      <c r="X152" s="242"/>
      <c r="Y152" s="148"/>
      <c r="Z152" s="148"/>
    </row>
    <row r="153">
      <c r="A153" s="274" t="s">
        <v>784</v>
      </c>
      <c r="B153" s="109">
        <v>0.0</v>
      </c>
      <c r="C153" s="395"/>
      <c r="D153" s="157"/>
      <c r="E153" s="570"/>
      <c r="F153" s="767"/>
      <c r="G153" s="581"/>
      <c r="H153" s="419"/>
      <c r="I153" s="239"/>
      <c r="J153" s="568"/>
      <c r="K153" s="57"/>
      <c r="L153" s="150"/>
      <c r="M153" s="57"/>
      <c r="N153" s="57"/>
      <c r="O153" s="105"/>
      <c r="P153" s="157"/>
      <c r="Q153" s="404"/>
      <c r="R153" s="148"/>
      <c r="S153" s="242"/>
      <c r="T153" s="242"/>
      <c r="U153" s="242"/>
      <c r="V153" s="242"/>
      <c r="W153" s="242"/>
      <c r="X153" s="242"/>
      <c r="Y153" s="148"/>
      <c r="Z153" s="148"/>
    </row>
    <row r="154">
      <c r="A154" s="274" t="s">
        <v>785</v>
      </c>
      <c r="B154" s="109">
        <v>3520.0</v>
      </c>
      <c r="C154" s="686">
        <f>SUM(B152:B154)</f>
        <v>5070</v>
      </c>
      <c r="D154" s="157"/>
      <c r="E154" s="570"/>
      <c r="F154" s="767"/>
      <c r="G154" s="581"/>
      <c r="H154" s="419"/>
      <c r="I154" s="239"/>
      <c r="J154" s="568"/>
      <c r="K154" s="57"/>
      <c r="L154" s="150"/>
      <c r="M154" s="57"/>
      <c r="N154" s="57"/>
      <c r="O154" s="105"/>
      <c r="P154" s="157"/>
      <c r="Q154" s="404"/>
      <c r="R154" s="148"/>
      <c r="S154" s="242"/>
      <c r="T154" s="242"/>
      <c r="U154" s="242"/>
      <c r="V154" s="242"/>
      <c r="W154" s="242"/>
      <c r="X154" s="242"/>
      <c r="Y154" s="148"/>
      <c r="Z154" s="148"/>
    </row>
    <row r="155">
      <c r="A155" s="402"/>
      <c r="B155" s="403"/>
      <c r="C155" s="403"/>
      <c r="D155" s="403"/>
      <c r="E155" s="574"/>
      <c r="F155" s="768"/>
      <c r="G155" s="576"/>
      <c r="H155" s="159"/>
      <c r="I155" s="159"/>
      <c r="J155" s="576"/>
      <c r="K155" s="159"/>
      <c r="L155" s="162"/>
      <c r="M155" s="402"/>
      <c r="N155" s="402"/>
      <c r="O155" s="576"/>
      <c r="P155" s="403"/>
      <c r="Q155" s="577"/>
      <c r="R155" s="148"/>
      <c r="S155" s="242"/>
      <c r="T155" s="242"/>
      <c r="U155" s="242"/>
      <c r="V155" s="242"/>
      <c r="W155" s="242"/>
      <c r="X155" s="242"/>
      <c r="Y155" s="148"/>
      <c r="Z155" s="148"/>
    </row>
    <row r="156">
      <c r="A156" s="148"/>
      <c r="B156" s="148"/>
      <c r="C156" s="148"/>
      <c r="D156" s="245"/>
      <c r="E156" s="585"/>
      <c r="F156" s="777"/>
      <c r="G156" s="243"/>
      <c r="H156" s="148"/>
      <c r="I156" s="251"/>
      <c r="J156" s="243"/>
      <c r="K156" s="148"/>
      <c r="L156" s="277"/>
      <c r="M156" s="252"/>
      <c r="N156" s="250"/>
      <c r="O156" s="323"/>
      <c r="P156" s="240"/>
      <c r="Q156" s="148"/>
      <c r="R156" s="148"/>
      <c r="S156" s="242"/>
      <c r="T156" s="242"/>
      <c r="U156" s="242"/>
      <c r="V156" s="242"/>
      <c r="W156" s="242"/>
      <c r="X156" s="242"/>
      <c r="Y156" s="148"/>
      <c r="Z156" s="148"/>
    </row>
    <row r="157">
      <c r="A157" s="169" t="s">
        <v>75</v>
      </c>
      <c r="B157" s="539"/>
      <c r="C157" s="540"/>
      <c r="D157" s="405"/>
      <c r="E157" s="541"/>
      <c r="F157" s="755"/>
      <c r="G157" s="467" t="s">
        <v>333</v>
      </c>
      <c r="H157" s="361"/>
      <c r="I157" s="57"/>
      <c r="J157" s="105"/>
      <c r="K157" s="57"/>
      <c r="L157" s="150"/>
      <c r="M157" s="239"/>
      <c r="N157" s="239"/>
      <c r="O157" s="105"/>
      <c r="P157" s="157"/>
      <c r="Q157" s="404"/>
      <c r="R157" s="148"/>
      <c r="S157" s="242"/>
      <c r="T157" s="242"/>
      <c r="U157" s="242"/>
      <c r="V157" s="242"/>
      <c r="W157" s="242"/>
      <c r="X157" s="242"/>
      <c r="Y157" s="148"/>
      <c r="Z157" s="148"/>
    </row>
    <row r="158">
      <c r="A158" s="468"/>
      <c r="B158" s="157"/>
      <c r="C158" s="466"/>
      <c r="D158" s="405"/>
      <c r="E158" s="543" t="s">
        <v>335</v>
      </c>
      <c r="F158" s="756" t="s">
        <v>237</v>
      </c>
      <c r="G158" s="412" t="s">
        <v>336</v>
      </c>
      <c r="H158" s="413" t="s">
        <v>337</v>
      </c>
      <c r="I158" s="239"/>
      <c r="J158" s="145" t="s">
        <v>60</v>
      </c>
      <c r="K158" s="57"/>
      <c r="L158" s="150"/>
      <c r="M158" s="414"/>
      <c r="N158" s="414"/>
      <c r="O158" s="395" t="s">
        <v>334</v>
      </c>
      <c r="P158" s="157"/>
      <c r="Q158" s="404"/>
      <c r="R158" s="148"/>
      <c r="S158" s="242"/>
      <c r="T158" s="242"/>
      <c r="U158" s="242"/>
      <c r="V158" s="242"/>
      <c r="W158" s="242"/>
      <c r="X158" s="242"/>
      <c r="Y158" s="148"/>
      <c r="Z158" s="148"/>
    </row>
    <row r="159">
      <c r="A159" s="470" t="s">
        <v>179</v>
      </c>
      <c r="C159" s="416">
        <f>SUM(F159:F193)</f>
        <v>7984</v>
      </c>
      <c r="D159" s="405"/>
      <c r="E159" s="545"/>
      <c r="F159" s="758"/>
      <c r="G159" s="578"/>
      <c r="H159" s="419"/>
      <c r="I159" s="57"/>
      <c r="K159" s="57"/>
      <c r="L159" s="150"/>
      <c r="M159" s="377" t="s">
        <v>366</v>
      </c>
      <c r="P159" s="157"/>
      <c r="Q159" s="404"/>
      <c r="R159" s="148"/>
      <c r="S159" s="242"/>
      <c r="T159" s="242"/>
      <c r="U159" s="242"/>
      <c r="V159" s="242"/>
      <c r="W159" s="242"/>
      <c r="X159" s="242"/>
      <c r="Y159" s="148"/>
      <c r="Z159" s="148"/>
    </row>
    <row r="160">
      <c r="A160" s="421" t="s">
        <v>343</v>
      </c>
      <c r="B160" s="422" t="s">
        <v>321</v>
      </c>
      <c r="C160" s="416">
        <f>SUM(P160:P193)</f>
        <v>2994</v>
      </c>
      <c r="D160" s="157"/>
      <c r="E160" s="545"/>
      <c r="F160" s="758"/>
      <c r="G160" s="578"/>
      <c r="H160" s="419"/>
      <c r="I160" s="239"/>
      <c r="J160" s="471" t="s">
        <v>341</v>
      </c>
      <c r="K160" s="420"/>
      <c r="L160" s="150"/>
      <c r="M160" s="374"/>
      <c r="O160" s="769" t="s">
        <v>1175</v>
      </c>
      <c r="P160" s="423">
        <v>270.0</v>
      </c>
      <c r="Q160" s="404"/>
      <c r="R160" s="148"/>
      <c r="S160" s="242"/>
      <c r="T160" s="242"/>
      <c r="U160" s="242"/>
      <c r="V160" s="242"/>
      <c r="W160" s="242"/>
      <c r="X160" s="242"/>
      <c r="Y160" s="148"/>
      <c r="Z160" s="148"/>
    </row>
    <row r="161">
      <c r="A161" s="427" t="s">
        <v>201</v>
      </c>
      <c r="C161" s="204">
        <f>SUM(L160:L193)</f>
        <v>2166.23</v>
      </c>
      <c r="D161" s="157"/>
      <c r="E161" s="545"/>
      <c r="F161" s="758"/>
      <c r="G161" s="578"/>
      <c r="H161" s="419"/>
      <c r="I161" s="239"/>
      <c r="J161" s="472" t="s">
        <v>345</v>
      </c>
      <c r="K161" s="420"/>
      <c r="L161" s="193"/>
      <c r="M161" s="374"/>
      <c r="O161" s="769" t="s">
        <v>1452</v>
      </c>
      <c r="P161" s="423">
        <v>1040.0</v>
      </c>
      <c r="Q161" s="404"/>
      <c r="R161" s="148"/>
      <c r="S161" s="242"/>
      <c r="T161" s="242"/>
      <c r="U161" s="242"/>
      <c r="V161" s="242"/>
      <c r="W161" s="242"/>
      <c r="X161" s="242"/>
      <c r="Y161" s="148"/>
      <c r="Z161" s="148"/>
    </row>
    <row r="162">
      <c r="A162" s="548" t="s">
        <v>761</v>
      </c>
      <c r="B162" s="549">
        <v>0.4</v>
      </c>
      <c r="C162" s="191">
        <v>1197.0</v>
      </c>
      <c r="D162" s="157"/>
      <c r="E162" s="550" t="s">
        <v>695</v>
      </c>
      <c r="F162" s="758"/>
      <c r="G162" s="562"/>
      <c r="H162" s="419"/>
      <c r="I162" s="239"/>
      <c r="J162" s="433" t="s">
        <v>656</v>
      </c>
      <c r="K162" s="420"/>
      <c r="L162" s="193">
        <v>137.09</v>
      </c>
      <c r="M162" s="377" t="s">
        <v>1453</v>
      </c>
      <c r="O162" s="769" t="s">
        <v>1454</v>
      </c>
      <c r="P162" s="423">
        <v>124.0</v>
      </c>
      <c r="Q162" s="404"/>
      <c r="R162" s="148"/>
      <c r="S162" s="242"/>
      <c r="T162" s="242"/>
      <c r="U162" s="242"/>
      <c r="V162" s="242"/>
      <c r="W162" s="242"/>
      <c r="X162" s="242"/>
      <c r="Y162" s="148"/>
      <c r="Z162" s="148"/>
    </row>
    <row r="163">
      <c r="A163" s="434" t="s">
        <v>350</v>
      </c>
      <c r="C163" s="551">
        <f>C159-C161-C162</f>
        <v>4620.77</v>
      </c>
      <c r="D163" s="157"/>
      <c r="E163" s="192" t="s">
        <v>1175</v>
      </c>
      <c r="F163" s="758">
        <v>270.0</v>
      </c>
      <c r="G163" s="558" t="s">
        <v>426</v>
      </c>
      <c r="H163" s="419"/>
      <c r="I163" s="57"/>
      <c r="J163" s="444" t="s">
        <v>658</v>
      </c>
      <c r="K163" s="420"/>
      <c r="L163" s="193">
        <v>52.0</v>
      </c>
      <c r="M163" s="377"/>
      <c r="O163" s="769" t="s">
        <v>1358</v>
      </c>
      <c r="P163" s="423">
        <v>1560.0</v>
      </c>
      <c r="Q163" s="404"/>
      <c r="R163" s="148"/>
      <c r="S163" s="242"/>
      <c r="T163" s="242"/>
      <c r="U163" s="242"/>
      <c r="V163" s="242"/>
      <c r="W163" s="242"/>
      <c r="X163" s="242"/>
      <c r="Y163" s="148"/>
      <c r="Z163" s="148"/>
    </row>
    <row r="164">
      <c r="A164" s="554"/>
      <c r="B164" s="555"/>
      <c r="C164" s="447"/>
      <c r="D164" s="157"/>
      <c r="E164" s="192" t="s">
        <v>1428</v>
      </c>
      <c r="F164" s="758">
        <v>330.0</v>
      </c>
      <c r="G164" s="562"/>
      <c r="H164" s="419"/>
      <c r="I164" s="57"/>
      <c r="J164" s="444" t="s">
        <v>660</v>
      </c>
      <c r="K164" s="420"/>
      <c r="L164" s="193">
        <v>240.0</v>
      </c>
      <c r="M164" s="377"/>
      <c r="O164" s="778"/>
      <c r="P164" s="157"/>
      <c r="Q164" s="404"/>
      <c r="R164" s="148"/>
      <c r="S164" s="242"/>
      <c r="T164" s="242"/>
      <c r="U164" s="242"/>
      <c r="V164" s="242"/>
      <c r="W164" s="242"/>
      <c r="X164" s="242"/>
      <c r="Y164" s="148"/>
      <c r="Z164" s="148"/>
    </row>
    <row r="165">
      <c r="A165" s="556"/>
      <c r="C165" s="395"/>
      <c r="D165" s="157"/>
      <c r="E165" s="192" t="s">
        <v>1432</v>
      </c>
      <c r="F165" s="758">
        <v>150.0</v>
      </c>
      <c r="G165" s="579"/>
      <c r="H165" s="419"/>
      <c r="I165" s="239"/>
      <c r="J165" s="370" t="s">
        <v>662</v>
      </c>
      <c r="K165" s="420"/>
      <c r="L165" s="193"/>
      <c r="M165" s="377"/>
      <c r="O165" s="778"/>
      <c r="P165" s="157"/>
      <c r="Q165" s="404"/>
      <c r="R165" s="148"/>
      <c r="S165" s="242"/>
      <c r="T165" s="242"/>
      <c r="U165" s="242"/>
      <c r="V165" s="242"/>
      <c r="W165" s="242"/>
      <c r="X165" s="242"/>
      <c r="Y165" s="148"/>
      <c r="Z165" s="148"/>
    </row>
    <row r="166">
      <c r="A166" s="557"/>
      <c r="B166" s="109"/>
      <c r="C166" s="395"/>
      <c r="D166" s="373"/>
      <c r="E166" s="192" t="s">
        <v>1455</v>
      </c>
      <c r="F166" s="758">
        <v>210.0</v>
      </c>
      <c r="G166" s="578"/>
      <c r="H166" s="419"/>
      <c r="I166" s="239"/>
      <c r="J166" s="433" t="s">
        <v>666</v>
      </c>
      <c r="K166" s="420"/>
      <c r="L166" s="150"/>
      <c r="M166" s="374"/>
      <c r="O166" s="778"/>
      <c r="P166" s="157"/>
      <c r="Q166" s="404"/>
      <c r="R166" s="148"/>
      <c r="S166" s="242"/>
      <c r="T166" s="242"/>
      <c r="U166" s="242"/>
      <c r="V166" s="242"/>
      <c r="W166" s="242"/>
      <c r="X166" s="242"/>
      <c r="Y166" s="148"/>
      <c r="Z166" s="148"/>
    </row>
    <row r="167">
      <c r="A167" s="559" t="s">
        <v>765</v>
      </c>
      <c r="B167" s="560">
        <f>SUM(D167:D193)</f>
        <v>1735</v>
      </c>
      <c r="C167" s="477" t="s">
        <v>366</v>
      </c>
      <c r="D167" s="157"/>
      <c r="E167" s="192" t="s">
        <v>1456</v>
      </c>
      <c r="F167" s="758">
        <v>120.0</v>
      </c>
      <c r="G167" s="578"/>
      <c r="H167" s="419"/>
      <c r="I167" s="239"/>
      <c r="J167" s="433" t="s">
        <v>668</v>
      </c>
      <c r="K167" s="420"/>
      <c r="L167" s="150"/>
      <c r="M167" s="377"/>
      <c r="O167" s="778"/>
      <c r="P167" s="157"/>
      <c r="Q167" s="404"/>
      <c r="R167" s="148"/>
      <c r="S167" s="242"/>
      <c r="T167" s="242"/>
      <c r="U167" s="242"/>
      <c r="V167" s="242"/>
      <c r="W167" s="242"/>
      <c r="X167" s="242"/>
      <c r="Y167" s="148"/>
      <c r="Z167" s="148"/>
    </row>
    <row r="168">
      <c r="A168" s="453" t="s">
        <v>369</v>
      </c>
      <c r="C168" s="561" t="s">
        <v>766</v>
      </c>
      <c r="D168" s="423"/>
      <c r="E168" s="192" t="s">
        <v>1140</v>
      </c>
      <c r="F168" s="758">
        <v>1040.0</v>
      </c>
      <c r="G168" s="558" t="s">
        <v>426</v>
      </c>
      <c r="H168" s="419"/>
      <c r="I168" s="239"/>
      <c r="J168" s="433" t="s">
        <v>670</v>
      </c>
      <c r="K168" s="458"/>
      <c r="L168" s="193">
        <v>1250.0</v>
      </c>
      <c r="M168" s="377"/>
      <c r="O168" s="778"/>
      <c r="P168" s="157"/>
      <c r="Q168" s="404"/>
      <c r="R168" s="148"/>
      <c r="S168" s="242"/>
      <c r="T168" s="242"/>
      <c r="U168" s="242"/>
      <c r="V168" s="242"/>
      <c r="W168" s="242"/>
      <c r="X168" s="242"/>
      <c r="Y168" s="148"/>
      <c r="Z168" s="148"/>
    </row>
    <row r="169">
      <c r="C169" s="561" t="s">
        <v>767</v>
      </c>
      <c r="D169" s="423"/>
      <c r="E169" s="192" t="s">
        <v>1457</v>
      </c>
      <c r="F169" s="758">
        <v>124.0</v>
      </c>
      <c r="G169" s="558" t="s">
        <v>426</v>
      </c>
      <c r="H169" s="419"/>
      <c r="I169" s="239"/>
      <c r="J169" s="433" t="s">
        <v>217</v>
      </c>
      <c r="K169" s="458"/>
      <c r="L169" s="150"/>
      <c r="M169" s="377"/>
      <c r="O169" s="778"/>
      <c r="P169" s="157"/>
      <c r="Q169" s="404"/>
      <c r="R169" s="148"/>
      <c r="S169" s="242"/>
      <c r="T169" s="242"/>
      <c r="U169" s="242"/>
      <c r="V169" s="242"/>
      <c r="W169" s="242"/>
      <c r="X169" s="242"/>
      <c r="Y169" s="148"/>
      <c r="Z169" s="148"/>
    </row>
    <row r="170">
      <c r="A170" s="659"/>
      <c r="B170" s="57"/>
      <c r="C170" s="561" t="s">
        <v>768</v>
      </c>
      <c r="D170" s="423"/>
      <c r="E170" s="192" t="s">
        <v>340</v>
      </c>
      <c r="F170" s="758">
        <v>2000.0</v>
      </c>
      <c r="G170" s="578"/>
      <c r="H170" s="419"/>
      <c r="I170" s="239"/>
      <c r="J170" s="109"/>
      <c r="K170" s="420"/>
      <c r="L170" s="193"/>
      <c r="M170" s="374"/>
      <c r="O170" s="778"/>
      <c r="P170" s="157"/>
      <c r="Q170" s="404"/>
      <c r="R170" s="148"/>
      <c r="S170" s="242"/>
      <c r="T170" s="242"/>
      <c r="U170" s="242"/>
      <c r="V170" s="242"/>
      <c r="W170" s="242"/>
      <c r="X170" s="242"/>
      <c r="Y170" s="148"/>
      <c r="Z170" s="148"/>
    </row>
    <row r="171">
      <c r="A171" s="659"/>
      <c r="B171" s="238" t="s">
        <v>267</v>
      </c>
      <c r="C171" s="561" t="s">
        <v>769</v>
      </c>
      <c r="D171" s="157"/>
      <c r="E171" s="192" t="s">
        <v>942</v>
      </c>
      <c r="F171" s="758">
        <v>500.0</v>
      </c>
      <c r="G171" s="578"/>
      <c r="H171" s="419"/>
      <c r="I171" s="239"/>
      <c r="J171" s="456" t="s">
        <v>672</v>
      </c>
      <c r="K171" s="420"/>
      <c r="L171" s="150"/>
      <c r="M171" s="377"/>
      <c r="O171" s="778"/>
      <c r="P171" s="157"/>
      <c r="Q171" s="404"/>
      <c r="R171" s="148"/>
      <c r="S171" s="242"/>
      <c r="T171" s="242"/>
      <c r="U171" s="242"/>
      <c r="V171" s="242"/>
      <c r="W171" s="242"/>
      <c r="X171" s="242"/>
      <c r="Y171" s="148"/>
      <c r="Z171" s="148"/>
    </row>
    <row r="172">
      <c r="A172" s="659"/>
      <c r="B172" s="57"/>
      <c r="C172" s="561" t="s">
        <v>770</v>
      </c>
      <c r="D172" s="423"/>
      <c r="E172" s="192" t="s">
        <v>1458</v>
      </c>
      <c r="F172" s="758">
        <v>1560.0</v>
      </c>
      <c r="G172" s="677" t="s">
        <v>980</v>
      </c>
      <c r="H172" s="419"/>
      <c r="I172" s="57"/>
      <c r="J172" s="456" t="s">
        <v>675</v>
      </c>
      <c r="K172" s="420"/>
      <c r="L172" s="150"/>
      <c r="M172" s="382"/>
      <c r="O172" s="778"/>
      <c r="P172" s="157"/>
      <c r="Q172" s="404"/>
      <c r="R172" s="148"/>
      <c r="S172" s="242"/>
      <c r="T172" s="242"/>
      <c r="U172" s="242"/>
      <c r="V172" s="242"/>
      <c r="W172" s="242"/>
      <c r="X172" s="242"/>
      <c r="Y172" s="148"/>
      <c r="Z172" s="148"/>
    </row>
    <row r="173">
      <c r="A173" s="662" t="s">
        <v>1459</v>
      </c>
      <c r="B173" s="57"/>
      <c r="C173" s="561" t="s">
        <v>793</v>
      </c>
      <c r="D173" s="423">
        <v>125.0</v>
      </c>
      <c r="E173" s="192" t="s">
        <v>1460</v>
      </c>
      <c r="F173" s="758">
        <v>130.0</v>
      </c>
      <c r="G173" s="579"/>
      <c r="H173" s="419"/>
      <c r="I173" s="57"/>
      <c r="J173" s="456"/>
      <c r="K173" s="420"/>
      <c r="L173" s="150"/>
      <c r="M173" s="425"/>
      <c r="O173" s="778"/>
      <c r="P173" s="157"/>
      <c r="Q173" s="404"/>
      <c r="R173" s="148"/>
      <c r="S173" s="242"/>
      <c r="T173" s="242"/>
      <c r="U173" s="242"/>
      <c r="V173" s="242"/>
      <c r="W173" s="242"/>
      <c r="X173" s="242"/>
      <c r="Y173" s="148"/>
      <c r="Z173" s="148"/>
    </row>
    <row r="174">
      <c r="A174" s="660"/>
      <c r="B174" s="57"/>
      <c r="C174" s="561" t="s">
        <v>794</v>
      </c>
      <c r="D174" s="423"/>
      <c r="E174" s="192" t="s">
        <v>1461</v>
      </c>
      <c r="F174" s="758">
        <v>220.0</v>
      </c>
      <c r="G174" s="578"/>
      <c r="H174" s="419"/>
      <c r="I174" s="57"/>
      <c r="J174" s="375"/>
      <c r="K174" s="420"/>
      <c r="L174" s="150"/>
      <c r="M174" s="425"/>
      <c r="O174" s="778"/>
      <c r="P174" s="157"/>
      <c r="Q174" s="404"/>
      <c r="R174" s="148"/>
      <c r="S174" s="242"/>
      <c r="T174" s="242"/>
      <c r="U174" s="242"/>
      <c r="V174" s="242"/>
      <c r="W174" s="242"/>
      <c r="X174" s="242"/>
      <c r="Y174" s="148"/>
      <c r="Z174" s="148"/>
    </row>
    <row r="175">
      <c r="A175" s="662" t="s">
        <v>1462</v>
      </c>
      <c r="B175" s="57"/>
      <c r="C175" s="561" t="s">
        <v>18</v>
      </c>
      <c r="D175" s="423">
        <v>540.0</v>
      </c>
      <c r="E175" s="192" t="s">
        <v>865</v>
      </c>
      <c r="F175" s="758">
        <v>700.0</v>
      </c>
      <c r="G175" s="578"/>
      <c r="H175" s="419"/>
      <c r="I175" s="57"/>
      <c r="J175" s="375"/>
      <c r="K175" s="420"/>
      <c r="L175" s="193"/>
      <c r="M175" s="382"/>
      <c r="O175" s="778"/>
      <c r="P175" s="157"/>
      <c r="Q175" s="404"/>
      <c r="R175" s="148"/>
      <c r="S175" s="242"/>
      <c r="T175" s="242"/>
      <c r="U175" s="242"/>
      <c r="V175" s="242"/>
      <c r="W175" s="242"/>
      <c r="X175" s="242"/>
      <c r="Y175" s="148"/>
      <c r="Z175" s="148"/>
    </row>
    <row r="176">
      <c r="A176" s="660"/>
      <c r="B176" s="57"/>
      <c r="C176" s="563" t="s">
        <v>1115</v>
      </c>
      <c r="D176" s="423">
        <v>400.0</v>
      </c>
      <c r="E176" s="192" t="s">
        <v>1463</v>
      </c>
      <c r="F176" s="758">
        <v>130.0</v>
      </c>
      <c r="G176" s="579"/>
      <c r="H176" s="419"/>
      <c r="I176" s="57"/>
      <c r="J176" s="452"/>
      <c r="K176" s="420"/>
      <c r="L176" s="150"/>
      <c r="M176" s="425"/>
      <c r="O176" s="778"/>
      <c r="P176" s="157"/>
      <c r="Q176" s="404"/>
      <c r="R176" s="148"/>
      <c r="S176" s="242"/>
      <c r="T176" s="242"/>
      <c r="U176" s="242"/>
      <c r="V176" s="242"/>
      <c r="W176" s="242"/>
      <c r="X176" s="242"/>
      <c r="Y176" s="148"/>
      <c r="Z176" s="148"/>
    </row>
    <row r="177">
      <c r="A177" s="659"/>
      <c r="B177" s="57"/>
      <c r="C177" s="561" t="s">
        <v>1116</v>
      </c>
      <c r="D177" s="423"/>
      <c r="E177" s="192" t="s">
        <v>1402</v>
      </c>
      <c r="F177" s="758">
        <v>150.0</v>
      </c>
      <c r="G177" s="578"/>
      <c r="H177" s="419"/>
      <c r="I177" s="57"/>
      <c r="J177" s="105"/>
      <c r="K177" s="420"/>
      <c r="L177" s="150"/>
      <c r="M177" s="425"/>
      <c r="O177" s="778"/>
      <c r="P177" s="157"/>
      <c r="Q177" s="404"/>
      <c r="R177" s="148"/>
      <c r="S177" s="242"/>
      <c r="T177" s="242"/>
      <c r="U177" s="242"/>
      <c r="V177" s="242"/>
      <c r="W177" s="242"/>
      <c r="X177" s="242"/>
      <c r="Y177" s="148"/>
      <c r="Z177" s="148"/>
    </row>
    <row r="178">
      <c r="A178" s="660"/>
      <c r="B178" s="239"/>
      <c r="C178" s="561" t="s">
        <v>775</v>
      </c>
      <c r="D178" s="423"/>
      <c r="E178" s="192" t="s">
        <v>862</v>
      </c>
      <c r="F178" s="758">
        <v>350.0</v>
      </c>
      <c r="G178" s="578"/>
      <c r="H178" s="419"/>
      <c r="I178" s="57"/>
      <c r="J178" s="378" t="s">
        <v>682</v>
      </c>
      <c r="K178" s="420"/>
      <c r="L178" s="193"/>
      <c r="M178" s="377"/>
      <c r="O178" s="778"/>
      <c r="P178" s="157"/>
      <c r="Q178" s="404"/>
      <c r="R178" s="148"/>
      <c r="S178" s="242"/>
      <c r="T178" s="242"/>
      <c r="U178" s="242"/>
      <c r="V178" s="242"/>
      <c r="W178" s="242"/>
      <c r="X178" s="242"/>
      <c r="Y178" s="148"/>
      <c r="Z178" s="148"/>
    </row>
    <row r="179">
      <c r="A179" s="660"/>
      <c r="B179" s="239"/>
      <c r="C179" s="561" t="s">
        <v>10</v>
      </c>
      <c r="D179" s="157"/>
      <c r="E179" s="192"/>
      <c r="F179" s="775"/>
      <c r="G179" s="589"/>
      <c r="H179" s="419"/>
      <c r="I179" s="57"/>
      <c r="J179" s="461" t="s">
        <v>684</v>
      </c>
      <c r="K179" s="420"/>
      <c r="L179" s="193"/>
      <c r="M179" s="377"/>
      <c r="O179" s="778"/>
      <c r="P179" s="157"/>
      <c r="Q179" s="404"/>
      <c r="R179" s="148"/>
      <c r="S179" s="242"/>
      <c r="T179" s="242"/>
      <c r="U179" s="242"/>
      <c r="V179" s="242"/>
      <c r="W179" s="242"/>
      <c r="X179" s="242"/>
      <c r="Y179" s="148"/>
      <c r="Z179" s="148"/>
    </row>
    <row r="180">
      <c r="A180" s="662" t="s">
        <v>1464</v>
      </c>
      <c r="B180" s="239"/>
      <c r="C180" s="561" t="s">
        <v>6</v>
      </c>
      <c r="D180" s="423">
        <v>150.0</v>
      </c>
      <c r="E180" s="192"/>
      <c r="F180" s="758"/>
      <c r="G180" s="579"/>
      <c r="H180" s="455"/>
      <c r="I180" s="57"/>
      <c r="J180" s="461" t="s">
        <v>686</v>
      </c>
      <c r="K180" s="420"/>
      <c r="L180" s="150"/>
      <c r="M180" s="374"/>
      <c r="O180" s="779"/>
      <c r="P180" s="157"/>
      <c r="Q180" s="404"/>
      <c r="R180" s="148"/>
      <c r="S180" s="242"/>
      <c r="T180" s="242"/>
      <c r="U180" s="242"/>
      <c r="V180" s="242"/>
      <c r="W180" s="242"/>
      <c r="X180" s="242"/>
      <c r="Y180" s="148"/>
      <c r="Z180" s="148"/>
    </row>
    <row r="181">
      <c r="A181" s="659"/>
      <c r="B181" s="57"/>
      <c r="C181" s="561" t="s">
        <v>779</v>
      </c>
      <c r="D181" s="157"/>
      <c r="E181" s="192"/>
      <c r="F181" s="758"/>
      <c r="G181" s="579"/>
      <c r="H181" s="455"/>
      <c r="I181" s="239"/>
      <c r="J181" s="460" t="s">
        <v>202</v>
      </c>
      <c r="K181" s="420"/>
      <c r="L181" s="193"/>
      <c r="M181" s="377"/>
      <c r="O181" s="779"/>
      <c r="P181" s="157"/>
      <c r="Q181" s="404"/>
      <c r="R181" s="148"/>
      <c r="S181" s="242"/>
      <c r="T181" s="242"/>
      <c r="U181" s="242"/>
      <c r="V181" s="242"/>
      <c r="W181" s="242"/>
      <c r="X181" s="242"/>
      <c r="Y181" s="148"/>
      <c r="Z181" s="148"/>
    </row>
    <row r="182">
      <c r="A182" s="660"/>
      <c r="B182" s="239"/>
      <c r="C182" s="561" t="s">
        <v>780</v>
      </c>
      <c r="D182" s="423"/>
      <c r="E182" s="228"/>
      <c r="F182" s="760"/>
      <c r="G182" s="579"/>
      <c r="H182" s="455"/>
      <c r="I182" s="57"/>
      <c r="J182" s="460" t="s">
        <v>274</v>
      </c>
      <c r="K182" s="420"/>
      <c r="L182" s="193"/>
      <c r="M182" s="374"/>
      <c r="O182" s="779"/>
      <c r="P182" s="157"/>
      <c r="Q182" s="404"/>
      <c r="R182" s="148"/>
      <c r="S182" s="242"/>
      <c r="T182" s="242"/>
      <c r="U182" s="242"/>
      <c r="V182" s="242"/>
      <c r="W182" s="242"/>
      <c r="X182" s="242"/>
      <c r="Y182" s="148"/>
      <c r="Z182" s="148"/>
    </row>
    <row r="183">
      <c r="A183" s="662" t="s">
        <v>1465</v>
      </c>
      <c r="B183" s="239"/>
      <c r="C183" s="561" t="s">
        <v>781</v>
      </c>
      <c r="D183" s="423">
        <v>520.0</v>
      </c>
      <c r="E183" s="228"/>
      <c r="F183" s="760"/>
      <c r="G183" s="579"/>
      <c r="H183" s="419"/>
      <c r="I183" s="239"/>
      <c r="J183" s="685" t="s">
        <v>1117</v>
      </c>
      <c r="K183" s="420"/>
      <c r="L183" s="193">
        <v>160.0</v>
      </c>
      <c r="M183" s="377" t="s">
        <v>1466</v>
      </c>
      <c r="O183" s="778"/>
      <c r="P183" s="157"/>
      <c r="Q183" s="404"/>
      <c r="R183" s="148"/>
      <c r="S183" s="242"/>
      <c r="T183" s="242"/>
      <c r="U183" s="242"/>
      <c r="V183" s="242"/>
      <c r="W183" s="242"/>
      <c r="X183" s="242"/>
      <c r="Y183" s="148"/>
      <c r="Z183" s="148"/>
    </row>
    <row r="184">
      <c r="A184" s="660"/>
      <c r="B184" s="157"/>
      <c r="C184" s="561" t="s">
        <v>1118</v>
      </c>
      <c r="D184" s="157"/>
      <c r="E184" s="569"/>
      <c r="F184" s="760"/>
      <c r="G184" s="578"/>
      <c r="H184" s="419"/>
      <c r="I184" s="57"/>
      <c r="J184" s="685" t="s">
        <v>1119</v>
      </c>
      <c r="K184" s="420"/>
      <c r="L184" s="193"/>
      <c r="M184" s="377"/>
      <c r="O184" s="778"/>
      <c r="P184" s="157"/>
      <c r="Q184" s="404"/>
      <c r="R184" s="148"/>
      <c r="S184" s="242"/>
      <c r="T184" s="242"/>
      <c r="U184" s="242"/>
      <c r="V184" s="242"/>
      <c r="W184" s="242"/>
      <c r="X184" s="242"/>
      <c r="Y184" s="148"/>
      <c r="Z184" s="148"/>
    </row>
    <row r="185">
      <c r="A185" s="660"/>
      <c r="B185" s="157"/>
      <c r="C185" s="561" t="s">
        <v>1120</v>
      </c>
      <c r="D185" s="157"/>
      <c r="E185" s="228"/>
      <c r="F185" s="760"/>
      <c r="G185" s="578"/>
      <c r="H185" s="419"/>
      <c r="I185" s="239"/>
      <c r="J185" s="596" t="s">
        <v>1001</v>
      </c>
      <c r="K185" s="420"/>
      <c r="L185" s="193">
        <v>225.0</v>
      </c>
      <c r="M185" s="377"/>
      <c r="O185" s="778"/>
      <c r="P185" s="157"/>
      <c r="Q185" s="404"/>
      <c r="R185" s="148"/>
      <c r="S185" s="242"/>
      <c r="T185" s="242"/>
      <c r="U185" s="242"/>
      <c r="V185" s="242"/>
      <c r="W185" s="242"/>
      <c r="X185" s="242"/>
      <c r="Y185" s="148"/>
      <c r="Z185" s="148"/>
    </row>
    <row r="186">
      <c r="A186" s="660"/>
      <c r="B186" s="157"/>
      <c r="C186" s="561"/>
      <c r="D186" s="157"/>
      <c r="E186" s="570"/>
      <c r="F186" s="760"/>
      <c r="G186" s="578"/>
      <c r="H186" s="419"/>
      <c r="I186" s="239"/>
      <c r="J186" s="568"/>
      <c r="K186" s="420"/>
      <c r="L186" s="193"/>
      <c r="M186" s="374"/>
      <c r="O186" s="778"/>
      <c r="P186" s="157"/>
      <c r="Q186" s="404"/>
      <c r="R186" s="148"/>
      <c r="S186" s="242"/>
      <c r="T186" s="242"/>
      <c r="U186" s="242"/>
      <c r="V186" s="242"/>
      <c r="W186" s="242"/>
      <c r="X186" s="242"/>
      <c r="Y186" s="148"/>
      <c r="Z186" s="148"/>
    </row>
    <row r="187">
      <c r="A187" s="665"/>
      <c r="C187" s="571"/>
      <c r="D187" s="157"/>
      <c r="E187" s="570"/>
      <c r="F187" s="760"/>
      <c r="G187" s="578"/>
      <c r="H187" s="419"/>
      <c r="I187" s="239"/>
      <c r="J187" s="464" t="s">
        <v>692</v>
      </c>
      <c r="K187" s="420"/>
      <c r="L187" s="150"/>
      <c r="M187" s="377"/>
      <c r="O187" s="778"/>
      <c r="P187" s="157"/>
      <c r="Q187" s="404"/>
      <c r="R187" s="148"/>
      <c r="S187" s="242"/>
      <c r="T187" s="242"/>
      <c r="U187" s="242"/>
      <c r="V187" s="242"/>
      <c r="W187" s="242"/>
      <c r="X187" s="242"/>
      <c r="Y187" s="148"/>
      <c r="Z187" s="148"/>
    </row>
    <row r="188">
      <c r="C188" s="571"/>
      <c r="D188" s="157"/>
      <c r="E188" s="570"/>
      <c r="F188" s="760"/>
      <c r="G188" s="578"/>
      <c r="H188" s="419"/>
      <c r="I188" s="239"/>
      <c r="J188" s="464" t="s">
        <v>694</v>
      </c>
      <c r="K188" s="420"/>
      <c r="L188" s="193">
        <v>102.14</v>
      </c>
      <c r="M188" s="377" t="s">
        <v>1467</v>
      </c>
      <c r="O188" s="778"/>
      <c r="P188" s="157"/>
      <c r="Q188" s="404"/>
      <c r="R188" s="148"/>
      <c r="S188" s="242"/>
      <c r="T188" s="242"/>
      <c r="U188" s="242"/>
      <c r="V188" s="242"/>
      <c r="W188" s="242"/>
      <c r="X188" s="242"/>
      <c r="Y188" s="148"/>
      <c r="Z188" s="148"/>
    </row>
    <row r="189">
      <c r="C189" s="571"/>
      <c r="D189" s="423"/>
      <c r="E189" s="570"/>
      <c r="F189" s="758"/>
      <c r="G189" s="578"/>
      <c r="H189" s="419"/>
      <c r="I189" s="57"/>
      <c r="J189" s="105"/>
      <c r="K189" s="57"/>
      <c r="L189" s="150"/>
      <c r="M189" s="57"/>
      <c r="N189" s="57"/>
      <c r="O189" s="105"/>
      <c r="P189" s="157"/>
      <c r="Q189" s="404"/>
      <c r="R189" s="148"/>
      <c r="S189" s="242"/>
      <c r="T189" s="242"/>
      <c r="U189" s="242"/>
      <c r="V189" s="242"/>
      <c r="W189" s="242"/>
      <c r="X189" s="242"/>
      <c r="Y189" s="148"/>
      <c r="Z189" s="148"/>
    </row>
    <row r="190">
      <c r="A190" s="125" t="s">
        <v>798</v>
      </c>
      <c r="B190" s="572">
        <f>C163-B167</f>
        <v>2885.77</v>
      </c>
      <c r="D190" s="157"/>
      <c r="E190" s="570"/>
      <c r="F190" s="767"/>
      <c r="G190" s="581"/>
      <c r="H190" s="419"/>
      <c r="I190" s="239"/>
      <c r="J190" s="568"/>
      <c r="K190" s="57"/>
      <c r="L190" s="150"/>
      <c r="M190" s="57"/>
      <c r="N190" s="57"/>
      <c r="O190" s="105"/>
      <c r="P190" s="157"/>
      <c r="Q190" s="404"/>
      <c r="R190" s="148"/>
      <c r="S190" s="242"/>
      <c r="T190" s="242"/>
      <c r="U190" s="242"/>
      <c r="V190" s="242"/>
      <c r="W190" s="242"/>
      <c r="X190" s="242"/>
      <c r="Y190" s="148"/>
      <c r="Z190" s="148"/>
    </row>
    <row r="191">
      <c r="A191" s="274" t="s">
        <v>783</v>
      </c>
      <c r="B191" s="109">
        <v>2900.0</v>
      </c>
      <c r="C191" s="395"/>
      <c r="D191" s="157"/>
      <c r="E191" s="570"/>
      <c r="F191" s="767"/>
      <c r="G191" s="581"/>
      <c r="H191" s="419"/>
      <c r="I191" s="239"/>
      <c r="J191" s="568"/>
      <c r="K191" s="57"/>
      <c r="L191" s="150"/>
      <c r="M191" s="57"/>
      <c r="N191" s="57"/>
      <c r="O191" s="105"/>
      <c r="P191" s="157"/>
      <c r="Q191" s="404"/>
      <c r="R191" s="148"/>
      <c r="S191" s="242"/>
      <c r="T191" s="242"/>
      <c r="U191" s="242"/>
      <c r="V191" s="242"/>
      <c r="W191" s="242"/>
      <c r="X191" s="242"/>
      <c r="Y191" s="148"/>
      <c r="Z191" s="148"/>
    </row>
    <row r="192">
      <c r="A192" s="274" t="s">
        <v>784</v>
      </c>
      <c r="B192" s="109">
        <v>1150.0</v>
      </c>
      <c r="C192" s="395"/>
      <c r="D192" s="157"/>
      <c r="E192" s="570"/>
      <c r="F192" s="767"/>
      <c r="G192" s="581"/>
      <c r="H192" s="419"/>
      <c r="I192" s="239"/>
      <c r="J192" s="568"/>
      <c r="K192" s="57"/>
      <c r="L192" s="150"/>
      <c r="M192" s="57"/>
      <c r="N192" s="57"/>
      <c r="O192" s="105"/>
      <c r="P192" s="157"/>
      <c r="Q192" s="404"/>
      <c r="R192" s="148"/>
      <c r="S192" s="242"/>
      <c r="T192" s="242"/>
      <c r="U192" s="242"/>
      <c r="V192" s="242"/>
      <c r="W192" s="242"/>
      <c r="X192" s="242"/>
      <c r="Y192" s="148"/>
      <c r="Z192" s="148"/>
    </row>
    <row r="193">
      <c r="A193" s="274" t="s">
        <v>785</v>
      </c>
      <c r="B193" s="109">
        <v>5320.0</v>
      </c>
      <c r="C193" s="686">
        <f>SUM(B191:B193)</f>
        <v>9370</v>
      </c>
      <c r="D193" s="157"/>
      <c r="E193" s="570"/>
      <c r="F193" s="767"/>
      <c r="G193" s="581"/>
      <c r="H193" s="419"/>
      <c r="I193" s="239"/>
      <c r="J193" s="568"/>
      <c r="K193" s="57"/>
      <c r="L193" s="150"/>
      <c r="M193" s="57"/>
      <c r="N193" s="57"/>
      <c r="O193" s="105"/>
      <c r="P193" s="157"/>
      <c r="Q193" s="404"/>
      <c r="R193" s="148"/>
      <c r="S193" s="242"/>
      <c r="T193" s="242"/>
      <c r="U193" s="242"/>
      <c r="V193" s="242"/>
      <c r="W193" s="242"/>
      <c r="X193" s="242"/>
      <c r="Y193" s="148"/>
      <c r="Z193" s="148"/>
    </row>
    <row r="194">
      <c r="A194" s="402"/>
      <c r="B194" s="403"/>
      <c r="C194" s="403"/>
      <c r="D194" s="403"/>
      <c r="E194" s="574"/>
      <c r="F194" s="768"/>
      <c r="G194" s="576"/>
      <c r="H194" s="159"/>
      <c r="I194" s="159"/>
      <c r="J194" s="576"/>
      <c r="K194" s="159"/>
      <c r="L194" s="162"/>
      <c r="M194" s="402"/>
      <c r="N194" s="402"/>
      <c r="O194" s="576"/>
      <c r="P194" s="403"/>
      <c r="Q194" s="577"/>
      <c r="R194" s="148"/>
      <c r="S194" s="242"/>
      <c r="T194" s="242"/>
      <c r="U194" s="242"/>
      <c r="V194" s="242"/>
      <c r="W194" s="242"/>
      <c r="X194" s="242"/>
      <c r="Y194" s="148"/>
      <c r="Z194" s="148"/>
    </row>
    <row r="195">
      <c r="A195" s="148"/>
      <c r="B195" s="148"/>
      <c r="C195" s="148"/>
      <c r="D195" s="245"/>
      <c r="E195" s="585"/>
      <c r="F195" s="777"/>
      <c r="G195" s="243"/>
      <c r="H195" s="148"/>
      <c r="I195" s="251"/>
      <c r="J195" s="243"/>
      <c r="K195" s="148"/>
      <c r="L195" s="277"/>
      <c r="M195" s="252"/>
      <c r="N195" s="250"/>
      <c r="O195" s="323"/>
      <c r="P195" s="240"/>
      <c r="Q195" s="148"/>
      <c r="R195" s="148"/>
      <c r="S195" s="242"/>
      <c r="T195" s="242"/>
      <c r="U195" s="242"/>
      <c r="V195" s="242"/>
      <c r="W195" s="242"/>
      <c r="X195" s="242"/>
      <c r="Y195" s="148"/>
      <c r="Z195" s="148"/>
    </row>
    <row r="196">
      <c r="A196" s="169" t="s">
        <v>79</v>
      </c>
      <c r="B196" s="539"/>
      <c r="C196" s="540"/>
      <c r="D196" s="405"/>
      <c r="E196" s="541"/>
      <c r="F196" s="755"/>
      <c r="G196" s="467" t="s">
        <v>333</v>
      </c>
      <c r="H196" s="361"/>
      <c r="I196" s="57"/>
      <c r="J196" s="105"/>
      <c r="K196" s="57"/>
      <c r="L196" s="150"/>
      <c r="M196" s="239"/>
      <c r="N196" s="239"/>
      <c r="O196" s="105"/>
      <c r="P196" s="157"/>
      <c r="Q196" s="404"/>
      <c r="R196" s="148"/>
      <c r="S196" s="242"/>
      <c r="T196" s="242"/>
      <c r="U196" s="242"/>
      <c r="V196" s="242"/>
      <c r="W196" s="242"/>
      <c r="X196" s="242"/>
      <c r="Y196" s="148"/>
      <c r="Z196" s="148"/>
    </row>
    <row r="197">
      <c r="A197" s="468"/>
      <c r="B197" s="157"/>
      <c r="C197" s="466"/>
      <c r="D197" s="405"/>
      <c r="E197" s="543" t="s">
        <v>335</v>
      </c>
      <c r="F197" s="756" t="s">
        <v>237</v>
      </c>
      <c r="G197" s="412" t="s">
        <v>336</v>
      </c>
      <c r="H197" s="413" t="s">
        <v>337</v>
      </c>
      <c r="I197" s="239"/>
      <c r="J197" s="145" t="s">
        <v>60</v>
      </c>
      <c r="K197" s="57"/>
      <c r="L197" s="150"/>
      <c r="M197" s="414"/>
      <c r="N197" s="414"/>
      <c r="O197" s="395" t="s">
        <v>334</v>
      </c>
      <c r="P197" s="157"/>
      <c r="Q197" s="404"/>
      <c r="R197" s="148"/>
      <c r="S197" s="242"/>
      <c r="T197" s="242"/>
      <c r="U197" s="242"/>
      <c r="V197" s="242"/>
      <c r="W197" s="242"/>
      <c r="X197" s="242"/>
      <c r="Y197" s="148"/>
      <c r="Z197" s="148"/>
    </row>
    <row r="198">
      <c r="A198" s="470" t="s">
        <v>179</v>
      </c>
      <c r="C198" s="416">
        <f>SUM(F198:F232)</f>
        <v>5456.2</v>
      </c>
      <c r="D198" s="405"/>
      <c r="E198" s="545"/>
      <c r="F198" s="758"/>
      <c r="G198" s="578"/>
      <c r="H198" s="419"/>
      <c r="I198" s="57"/>
      <c r="K198" s="57"/>
      <c r="L198" s="150"/>
      <c r="M198" s="377" t="s">
        <v>366</v>
      </c>
      <c r="P198" s="157"/>
      <c r="Q198" s="404"/>
      <c r="R198" s="148"/>
      <c r="S198" s="242"/>
      <c r="T198" s="242"/>
      <c r="U198" s="242"/>
      <c r="V198" s="242"/>
      <c r="W198" s="242"/>
      <c r="X198" s="242"/>
      <c r="Y198" s="148"/>
      <c r="Z198" s="148"/>
    </row>
    <row r="199">
      <c r="A199" s="421" t="s">
        <v>343</v>
      </c>
      <c r="B199" s="422" t="s">
        <v>321</v>
      </c>
      <c r="C199" s="416">
        <f>SUM(P199:P232)</f>
        <v>441</v>
      </c>
      <c r="D199" s="157"/>
      <c r="E199" s="545"/>
      <c r="F199" s="758"/>
      <c r="G199" s="578"/>
      <c r="H199" s="419"/>
      <c r="I199" s="239"/>
      <c r="J199" s="471" t="s">
        <v>341</v>
      </c>
      <c r="K199" s="420"/>
      <c r="L199" s="150"/>
      <c r="M199" s="374"/>
      <c r="O199" s="769" t="s">
        <v>1468</v>
      </c>
      <c r="P199" s="679">
        <v>130.0</v>
      </c>
      <c r="Q199" s="404"/>
      <c r="R199" s="148"/>
      <c r="S199" s="242"/>
      <c r="T199" s="242"/>
      <c r="U199" s="242"/>
      <c r="V199" s="242"/>
      <c r="W199" s="242"/>
      <c r="X199" s="242"/>
      <c r="Y199" s="148"/>
      <c r="Z199" s="148"/>
    </row>
    <row r="200">
      <c r="A200" s="427" t="s">
        <v>201</v>
      </c>
      <c r="C200" s="204">
        <f>SUM(L199:L232)</f>
        <v>3655.95</v>
      </c>
      <c r="D200" s="157"/>
      <c r="E200" s="545"/>
      <c r="F200" s="758"/>
      <c r="G200" s="578"/>
      <c r="H200" s="419"/>
      <c r="I200" s="239"/>
      <c r="J200" s="472" t="s">
        <v>345</v>
      </c>
      <c r="K200" s="420"/>
      <c r="L200" s="193">
        <v>123.0</v>
      </c>
      <c r="M200" s="374"/>
      <c r="O200" s="769" t="s">
        <v>1175</v>
      </c>
      <c r="P200" s="679">
        <v>135.0</v>
      </c>
      <c r="Q200" s="404"/>
      <c r="R200" s="148"/>
      <c r="S200" s="242"/>
      <c r="T200" s="242"/>
      <c r="U200" s="242"/>
      <c r="V200" s="242"/>
      <c r="W200" s="242"/>
      <c r="X200" s="242"/>
      <c r="Y200" s="148"/>
      <c r="Z200" s="148"/>
    </row>
    <row r="201">
      <c r="A201" s="548" t="s">
        <v>761</v>
      </c>
      <c r="B201" s="549">
        <v>0.4</v>
      </c>
      <c r="C201" s="191">
        <v>176.25</v>
      </c>
      <c r="D201" s="157"/>
      <c r="E201" s="550" t="s">
        <v>695</v>
      </c>
      <c r="F201" s="758"/>
      <c r="G201" s="562"/>
      <c r="H201" s="419"/>
      <c r="I201" s="239"/>
      <c r="J201" s="433" t="s">
        <v>656</v>
      </c>
      <c r="K201" s="420"/>
      <c r="L201" s="193">
        <v>206.0</v>
      </c>
      <c r="M201" s="377" t="s">
        <v>1469</v>
      </c>
      <c r="O201" s="780" t="s">
        <v>1289</v>
      </c>
      <c r="P201" s="679">
        <v>176.0</v>
      </c>
      <c r="Q201" s="404"/>
      <c r="R201" s="148"/>
      <c r="S201" s="242"/>
      <c r="T201" s="242"/>
      <c r="U201" s="242"/>
      <c r="V201" s="242"/>
      <c r="W201" s="242"/>
      <c r="X201" s="242"/>
      <c r="Y201" s="148"/>
      <c r="Z201" s="148"/>
    </row>
    <row r="202">
      <c r="A202" s="434" t="s">
        <v>350</v>
      </c>
      <c r="C202" s="551">
        <f>C198-C200-C201</f>
        <v>1624</v>
      </c>
      <c r="D202" s="157"/>
      <c r="E202" s="552" t="s">
        <v>1470</v>
      </c>
      <c r="F202" s="781">
        <v>195.0</v>
      </c>
      <c r="G202" s="579"/>
      <c r="H202" s="419"/>
      <c r="I202" s="57"/>
      <c r="J202" s="444" t="s">
        <v>658</v>
      </c>
      <c r="K202" s="420"/>
      <c r="L202" s="193">
        <v>55.0</v>
      </c>
      <c r="M202" s="377"/>
      <c r="O202" s="769"/>
      <c r="P202" s="679"/>
      <c r="Q202" s="404"/>
      <c r="R202" s="148"/>
      <c r="S202" s="242"/>
      <c r="T202" s="242"/>
      <c r="U202" s="242"/>
      <c r="V202" s="242"/>
      <c r="W202" s="242"/>
      <c r="X202" s="242"/>
      <c r="Y202" s="148"/>
      <c r="Z202" s="148"/>
    </row>
    <row r="203">
      <c r="A203" s="554"/>
      <c r="B203" s="555"/>
      <c r="C203" s="447"/>
      <c r="D203" s="157"/>
      <c r="E203" s="192" t="s">
        <v>1471</v>
      </c>
      <c r="F203" s="758">
        <v>440.0</v>
      </c>
      <c r="G203" s="562"/>
      <c r="H203" s="419"/>
      <c r="I203" s="57"/>
      <c r="J203" s="444" t="s">
        <v>660</v>
      </c>
      <c r="K203" s="420"/>
      <c r="L203" s="193">
        <v>120.0</v>
      </c>
      <c r="M203" s="377"/>
      <c r="O203" s="778"/>
      <c r="P203" s="664"/>
      <c r="Q203" s="404"/>
      <c r="R203" s="148"/>
      <c r="S203" s="242"/>
      <c r="T203" s="242"/>
      <c r="U203" s="242"/>
      <c r="V203" s="242"/>
      <c r="W203" s="242"/>
      <c r="X203" s="242"/>
      <c r="Y203" s="148"/>
      <c r="Z203" s="148"/>
    </row>
    <row r="204">
      <c r="A204" s="556"/>
      <c r="C204" s="395"/>
      <c r="D204" s="157"/>
      <c r="E204" s="192" t="s">
        <v>1472</v>
      </c>
      <c r="F204" s="758"/>
      <c r="G204" s="579"/>
      <c r="H204" s="419"/>
      <c r="I204" s="239"/>
      <c r="J204" s="370" t="s">
        <v>662</v>
      </c>
      <c r="K204" s="420"/>
      <c r="L204" s="193"/>
      <c r="M204" s="377"/>
      <c r="O204" s="778"/>
      <c r="P204" s="664"/>
      <c r="Q204" s="404"/>
      <c r="R204" s="148"/>
      <c r="S204" s="242"/>
      <c r="T204" s="242"/>
      <c r="U204" s="242"/>
      <c r="V204" s="242"/>
      <c r="W204" s="242"/>
      <c r="X204" s="242"/>
      <c r="Y204" s="148"/>
      <c r="Z204" s="148"/>
    </row>
    <row r="205">
      <c r="A205" s="557"/>
      <c r="B205" s="109"/>
      <c r="C205" s="395"/>
      <c r="D205" s="373"/>
      <c r="E205" s="192" t="s">
        <v>1456</v>
      </c>
      <c r="F205" s="758">
        <v>60.0</v>
      </c>
      <c r="G205" s="578"/>
      <c r="H205" s="419"/>
      <c r="I205" s="239"/>
      <c r="J205" s="433" t="s">
        <v>666</v>
      </c>
      <c r="K205" s="420"/>
      <c r="L205" s="193">
        <v>70.0</v>
      </c>
      <c r="M205" s="377" t="s">
        <v>1473</v>
      </c>
      <c r="O205" s="778"/>
      <c r="P205" s="664"/>
      <c r="Q205" s="404"/>
      <c r="R205" s="148"/>
      <c r="S205" s="242"/>
      <c r="T205" s="242"/>
      <c r="U205" s="242"/>
      <c r="V205" s="242"/>
      <c r="W205" s="242"/>
      <c r="X205" s="242"/>
      <c r="Y205" s="148"/>
      <c r="Z205" s="148"/>
    </row>
    <row r="206">
      <c r="A206" s="559" t="s">
        <v>765</v>
      </c>
      <c r="B206" s="560">
        <f>SUM(D206:D232)</f>
        <v>820</v>
      </c>
      <c r="C206" s="477" t="s">
        <v>366</v>
      </c>
      <c r="D206" s="157"/>
      <c r="E206" s="192" t="s">
        <v>1474</v>
      </c>
      <c r="F206" s="758">
        <v>100.0</v>
      </c>
      <c r="G206" s="578"/>
      <c r="H206" s="419"/>
      <c r="I206" s="239"/>
      <c r="J206" s="433" t="s">
        <v>668</v>
      </c>
      <c r="K206" s="420"/>
      <c r="L206" s="150"/>
      <c r="M206" s="377"/>
      <c r="O206" s="778"/>
      <c r="P206" s="664"/>
      <c r="Q206" s="404"/>
      <c r="R206" s="148"/>
      <c r="S206" s="242"/>
      <c r="T206" s="242"/>
      <c r="U206" s="242"/>
      <c r="V206" s="242"/>
      <c r="W206" s="242"/>
      <c r="X206" s="242"/>
      <c r="Y206" s="148"/>
      <c r="Z206" s="148"/>
    </row>
    <row r="207">
      <c r="A207" s="453" t="s">
        <v>369</v>
      </c>
      <c r="C207" s="561" t="s">
        <v>766</v>
      </c>
      <c r="D207" s="423"/>
      <c r="E207" s="192" t="s">
        <v>1073</v>
      </c>
      <c r="F207" s="758">
        <v>260.0</v>
      </c>
      <c r="G207" s="578"/>
      <c r="H207" s="419"/>
      <c r="I207" s="239"/>
      <c r="J207" s="433" t="s">
        <v>670</v>
      </c>
      <c r="K207" s="458"/>
      <c r="L207" s="193">
        <v>1250.0</v>
      </c>
      <c r="M207" s="377"/>
      <c r="O207" s="778"/>
      <c r="P207" s="664"/>
      <c r="Q207" s="404"/>
      <c r="R207" s="148"/>
      <c r="S207" s="242"/>
      <c r="T207" s="242"/>
      <c r="U207" s="242"/>
      <c r="V207" s="242"/>
      <c r="W207" s="242"/>
      <c r="X207" s="242"/>
      <c r="Y207" s="148"/>
      <c r="Z207" s="148"/>
    </row>
    <row r="208">
      <c r="C208" s="561" t="s">
        <v>767</v>
      </c>
      <c r="D208" s="157"/>
      <c r="E208" s="192" t="s">
        <v>1162</v>
      </c>
      <c r="F208" s="758">
        <v>2000.0</v>
      </c>
      <c r="G208" s="578"/>
      <c r="H208" s="419"/>
      <c r="I208" s="239"/>
      <c r="J208" s="433" t="s">
        <v>217</v>
      </c>
      <c r="K208" s="458"/>
      <c r="L208" s="193">
        <v>151.0</v>
      </c>
      <c r="M208" s="377" t="s">
        <v>1475</v>
      </c>
      <c r="O208" s="778"/>
      <c r="P208" s="664"/>
      <c r="Q208" s="404"/>
      <c r="R208" s="148"/>
      <c r="S208" s="242"/>
      <c r="T208" s="242"/>
      <c r="U208" s="242"/>
      <c r="V208" s="242"/>
      <c r="W208" s="242"/>
      <c r="X208" s="242"/>
      <c r="Y208" s="148"/>
      <c r="Z208" s="148"/>
    </row>
    <row r="209">
      <c r="A209" s="57"/>
      <c r="B209" s="57"/>
      <c r="C209" s="561" t="s">
        <v>768</v>
      </c>
      <c r="D209" s="423"/>
      <c r="E209" s="192" t="s">
        <v>1476</v>
      </c>
      <c r="F209" s="758">
        <v>130.0</v>
      </c>
      <c r="G209" s="578"/>
      <c r="H209" s="419"/>
      <c r="I209" s="239"/>
      <c r="J209" s="109"/>
      <c r="K209" s="420"/>
      <c r="L209" s="193"/>
      <c r="M209" s="374"/>
      <c r="O209" s="778"/>
      <c r="P209" s="664"/>
      <c r="Q209" s="404"/>
      <c r="R209" s="148"/>
      <c r="S209" s="242"/>
      <c r="T209" s="242"/>
      <c r="U209" s="242"/>
      <c r="V209" s="242"/>
      <c r="W209" s="242"/>
      <c r="X209" s="242"/>
      <c r="Y209" s="148"/>
      <c r="Z209" s="148"/>
    </row>
    <row r="210">
      <c r="A210" s="57"/>
      <c r="B210" s="57"/>
      <c r="C210" s="561" t="s">
        <v>769</v>
      </c>
      <c r="D210" s="157"/>
      <c r="E210" s="192" t="s">
        <v>1175</v>
      </c>
      <c r="F210" s="758">
        <v>135.2</v>
      </c>
      <c r="G210" s="677" t="s">
        <v>1477</v>
      </c>
      <c r="H210" s="419"/>
      <c r="I210" s="239"/>
      <c r="J210" s="456" t="s">
        <v>672</v>
      </c>
      <c r="K210" s="420"/>
      <c r="L210" s="193">
        <v>170.95</v>
      </c>
      <c r="M210" s="377" t="s">
        <v>1478</v>
      </c>
      <c r="O210" s="778"/>
      <c r="P210" s="664"/>
      <c r="Q210" s="404"/>
      <c r="R210" s="148"/>
      <c r="S210" s="242"/>
      <c r="T210" s="242"/>
      <c r="U210" s="242"/>
      <c r="V210" s="242"/>
      <c r="W210" s="242"/>
      <c r="X210" s="242"/>
      <c r="Y210" s="148"/>
      <c r="Z210" s="148"/>
    </row>
    <row r="211">
      <c r="A211" s="57"/>
      <c r="B211" s="57"/>
      <c r="C211" s="561" t="s">
        <v>770</v>
      </c>
      <c r="D211" s="423"/>
      <c r="E211" s="192" t="s">
        <v>1289</v>
      </c>
      <c r="F211" s="758">
        <v>176.0</v>
      </c>
      <c r="G211" s="677" t="s">
        <v>1477</v>
      </c>
      <c r="H211" s="419"/>
      <c r="I211" s="57"/>
      <c r="J211" s="456" t="s">
        <v>675</v>
      </c>
      <c r="K211" s="420"/>
      <c r="L211" s="193">
        <v>500.0</v>
      </c>
      <c r="M211" s="382" t="s">
        <v>1479</v>
      </c>
      <c r="O211" s="778"/>
      <c r="P211" s="664"/>
      <c r="Q211" s="404"/>
      <c r="R211" s="148"/>
      <c r="S211" s="242"/>
      <c r="T211" s="242"/>
      <c r="U211" s="242"/>
      <c r="V211" s="242"/>
      <c r="W211" s="242"/>
      <c r="X211" s="242"/>
      <c r="Y211" s="148"/>
      <c r="Z211" s="148"/>
    </row>
    <row r="212">
      <c r="A212" s="238" t="s">
        <v>1480</v>
      </c>
      <c r="B212" s="57"/>
      <c r="C212" s="561" t="s">
        <v>793</v>
      </c>
      <c r="D212" s="423">
        <v>150.0</v>
      </c>
      <c r="E212" s="782" t="s">
        <v>1481</v>
      </c>
      <c r="F212" s="783">
        <v>1500.0</v>
      </c>
      <c r="G212" s="562"/>
      <c r="H212" s="419"/>
      <c r="I212" s="57"/>
      <c r="J212" s="456"/>
      <c r="K212" s="420"/>
      <c r="L212" s="150"/>
      <c r="M212" s="425"/>
      <c r="O212" s="778"/>
      <c r="P212" s="664"/>
      <c r="Q212" s="404"/>
      <c r="R212" s="148"/>
      <c r="S212" s="242"/>
      <c r="T212" s="242"/>
      <c r="U212" s="242"/>
      <c r="V212" s="242"/>
      <c r="W212" s="242"/>
      <c r="X212" s="242"/>
      <c r="Y212" s="148"/>
      <c r="Z212" s="148"/>
    </row>
    <row r="213">
      <c r="A213" s="239"/>
      <c r="B213" s="57"/>
      <c r="C213" s="561" t="s">
        <v>794</v>
      </c>
      <c r="D213" s="423"/>
      <c r="E213" s="192" t="s">
        <v>1318</v>
      </c>
      <c r="F213" s="758">
        <v>110.0</v>
      </c>
      <c r="G213" s="578"/>
      <c r="H213" s="419"/>
      <c r="I213" s="57"/>
      <c r="J213" s="375"/>
      <c r="K213" s="420"/>
      <c r="L213" s="150"/>
      <c r="M213" s="425"/>
      <c r="O213" s="778"/>
      <c r="P213" s="664"/>
      <c r="Q213" s="404"/>
      <c r="R213" s="148"/>
      <c r="S213" s="242"/>
      <c r="T213" s="242"/>
      <c r="U213" s="242"/>
      <c r="V213" s="242"/>
      <c r="W213" s="242"/>
      <c r="X213" s="242"/>
      <c r="Y213" s="148"/>
      <c r="Z213" s="148"/>
    </row>
    <row r="214">
      <c r="A214" s="238" t="s">
        <v>1482</v>
      </c>
      <c r="B214" s="57"/>
      <c r="C214" s="561" t="s">
        <v>18</v>
      </c>
      <c r="D214" s="423">
        <v>110.0</v>
      </c>
      <c r="E214" s="192" t="s">
        <v>862</v>
      </c>
      <c r="F214" s="758">
        <v>350.0</v>
      </c>
      <c r="G214" s="578"/>
      <c r="H214" s="419"/>
      <c r="I214" s="57"/>
      <c r="J214" s="375"/>
      <c r="K214" s="420"/>
      <c r="L214" s="193"/>
      <c r="M214" s="382"/>
      <c r="O214" s="778"/>
      <c r="P214" s="664"/>
      <c r="Q214" s="404"/>
      <c r="R214" s="148"/>
      <c r="S214" s="242"/>
      <c r="T214" s="242"/>
      <c r="U214" s="242"/>
      <c r="V214" s="242"/>
      <c r="W214" s="242"/>
      <c r="X214" s="242"/>
      <c r="Y214" s="148"/>
      <c r="Z214" s="148"/>
    </row>
    <row r="215">
      <c r="A215" s="239"/>
      <c r="B215" s="57"/>
      <c r="C215" s="563" t="s">
        <v>1115</v>
      </c>
      <c r="D215" s="423">
        <v>350.0</v>
      </c>
      <c r="E215" s="192"/>
      <c r="F215" s="758"/>
      <c r="G215" s="579"/>
      <c r="H215" s="419"/>
      <c r="I215" s="57"/>
      <c r="J215" s="452"/>
      <c r="K215" s="420"/>
      <c r="L215" s="150"/>
      <c r="M215" s="425"/>
      <c r="O215" s="778"/>
      <c r="P215" s="664"/>
      <c r="Q215" s="404"/>
      <c r="R215" s="148"/>
      <c r="S215" s="242"/>
      <c r="T215" s="242"/>
      <c r="U215" s="242"/>
      <c r="V215" s="242"/>
      <c r="W215" s="242"/>
      <c r="X215" s="242"/>
      <c r="Y215" s="148"/>
      <c r="Z215" s="148"/>
    </row>
    <row r="216">
      <c r="A216" s="238" t="s">
        <v>1483</v>
      </c>
      <c r="B216" s="57"/>
      <c r="C216" s="561" t="s">
        <v>1116</v>
      </c>
      <c r="D216" s="423">
        <v>160.0</v>
      </c>
      <c r="E216" s="192"/>
      <c r="F216" s="758"/>
      <c r="G216" s="578"/>
      <c r="H216" s="419"/>
      <c r="I216" s="57"/>
      <c r="J216" s="105"/>
      <c r="K216" s="420"/>
      <c r="L216" s="150"/>
      <c r="M216" s="425"/>
      <c r="O216" s="778"/>
      <c r="P216" s="664"/>
      <c r="Q216" s="404"/>
      <c r="R216" s="148"/>
      <c r="S216" s="242"/>
      <c r="T216" s="242"/>
      <c r="U216" s="242"/>
      <c r="V216" s="242"/>
      <c r="W216" s="242"/>
      <c r="X216" s="242"/>
      <c r="Y216" s="148"/>
      <c r="Z216" s="148"/>
    </row>
    <row r="217">
      <c r="A217" s="239"/>
      <c r="B217" s="239"/>
      <c r="C217" s="561" t="s">
        <v>775</v>
      </c>
      <c r="D217" s="423"/>
      <c r="E217" s="192"/>
      <c r="F217" s="758"/>
      <c r="G217" s="578"/>
      <c r="H217" s="419"/>
      <c r="I217" s="57"/>
      <c r="J217" s="378" t="s">
        <v>682</v>
      </c>
      <c r="K217" s="420"/>
      <c r="L217" s="193"/>
      <c r="M217" s="377"/>
      <c r="O217" s="778"/>
      <c r="P217" s="664"/>
      <c r="Q217" s="404"/>
      <c r="R217" s="148"/>
      <c r="S217" s="242"/>
      <c r="T217" s="242"/>
      <c r="U217" s="242"/>
      <c r="V217" s="242"/>
      <c r="W217" s="242"/>
      <c r="X217" s="242"/>
      <c r="Y217" s="148"/>
      <c r="Z217" s="148"/>
    </row>
    <row r="218">
      <c r="A218" s="239"/>
      <c r="B218" s="239"/>
      <c r="C218" s="561" t="s">
        <v>10</v>
      </c>
      <c r="D218" s="157"/>
      <c r="E218" s="192"/>
      <c r="F218" s="775"/>
      <c r="G218" s="581"/>
      <c r="H218" s="419"/>
      <c r="I218" s="57"/>
      <c r="J218" s="461" t="s">
        <v>684</v>
      </c>
      <c r="K218" s="420"/>
      <c r="L218" s="193"/>
      <c r="M218" s="377"/>
      <c r="O218" s="778"/>
      <c r="P218" s="664"/>
      <c r="Q218" s="404"/>
      <c r="R218" s="148"/>
      <c r="S218" s="242"/>
      <c r="T218" s="242"/>
      <c r="U218" s="242"/>
      <c r="V218" s="242"/>
      <c r="W218" s="242"/>
      <c r="X218" s="242"/>
      <c r="Y218" s="148"/>
      <c r="Z218" s="148"/>
    </row>
    <row r="219">
      <c r="A219" s="238" t="s">
        <v>1484</v>
      </c>
      <c r="B219" s="239"/>
      <c r="C219" s="561" t="s">
        <v>6</v>
      </c>
      <c r="D219" s="423">
        <v>50.0</v>
      </c>
      <c r="E219" s="206"/>
      <c r="F219" s="758"/>
      <c r="G219" s="579"/>
      <c r="H219" s="455"/>
      <c r="I219" s="57"/>
      <c r="J219" s="461" t="s">
        <v>686</v>
      </c>
      <c r="K219" s="420"/>
      <c r="L219" s="150"/>
      <c r="M219" s="374"/>
      <c r="O219" s="779"/>
      <c r="P219" s="664"/>
      <c r="Q219" s="404"/>
      <c r="R219" s="148"/>
      <c r="S219" s="242"/>
      <c r="T219" s="242"/>
      <c r="U219" s="242"/>
      <c r="V219" s="242"/>
      <c r="W219" s="242"/>
      <c r="X219" s="242"/>
      <c r="Y219" s="148"/>
      <c r="Z219" s="148"/>
    </row>
    <row r="220">
      <c r="A220" s="57"/>
      <c r="B220" s="57"/>
      <c r="C220" s="561" t="s">
        <v>779</v>
      </c>
      <c r="D220" s="423"/>
      <c r="E220" s="228"/>
      <c r="F220" s="758"/>
      <c r="G220" s="579"/>
      <c r="H220" s="455"/>
      <c r="I220" s="239"/>
      <c r="J220" s="460" t="s">
        <v>202</v>
      </c>
      <c r="K220" s="420"/>
      <c r="L220" s="193"/>
      <c r="M220" s="377"/>
      <c r="O220" s="779"/>
      <c r="P220" s="664"/>
      <c r="Q220" s="404"/>
      <c r="R220" s="148"/>
      <c r="S220" s="242"/>
      <c r="T220" s="242"/>
      <c r="U220" s="242"/>
      <c r="V220" s="242"/>
      <c r="W220" s="242"/>
      <c r="X220" s="242"/>
      <c r="Y220" s="148"/>
      <c r="Z220" s="148"/>
    </row>
    <row r="221">
      <c r="A221" s="239"/>
      <c r="B221" s="239"/>
      <c r="C221" s="561" t="s">
        <v>780</v>
      </c>
      <c r="D221" s="423"/>
      <c r="E221" s="228"/>
      <c r="F221" s="758"/>
      <c r="G221" s="579"/>
      <c r="H221" s="455"/>
      <c r="I221" s="57"/>
      <c r="J221" s="460" t="s">
        <v>274</v>
      </c>
      <c r="K221" s="420"/>
      <c r="L221" s="193"/>
      <c r="M221" s="374"/>
      <c r="O221" s="779"/>
      <c r="P221" s="664"/>
      <c r="Q221" s="404"/>
      <c r="R221" s="148"/>
      <c r="S221" s="242"/>
      <c r="T221" s="242"/>
      <c r="U221" s="242"/>
      <c r="V221" s="242"/>
      <c r="W221" s="242"/>
      <c r="X221" s="242"/>
      <c r="Y221" s="148"/>
      <c r="Z221" s="148"/>
    </row>
    <row r="222">
      <c r="A222" s="239"/>
      <c r="B222" s="239"/>
      <c r="C222" s="561" t="s">
        <v>781</v>
      </c>
      <c r="D222" s="423"/>
      <c r="E222" s="228"/>
      <c r="F222" s="760"/>
      <c r="G222" s="579"/>
      <c r="H222" s="419"/>
      <c r="I222" s="239"/>
      <c r="J222" s="685" t="s">
        <v>1117</v>
      </c>
      <c r="K222" s="420"/>
      <c r="L222" s="193">
        <v>140.0</v>
      </c>
      <c r="M222" s="377" t="s">
        <v>1485</v>
      </c>
      <c r="O222" s="778"/>
      <c r="P222" s="664"/>
      <c r="Q222" s="404"/>
      <c r="R222" s="148"/>
      <c r="S222" s="242"/>
      <c r="T222" s="242"/>
      <c r="U222" s="242"/>
      <c r="V222" s="242"/>
      <c r="W222" s="242"/>
      <c r="X222" s="242"/>
      <c r="Y222" s="148"/>
      <c r="Z222" s="148"/>
    </row>
    <row r="223">
      <c r="A223" s="239"/>
      <c r="B223" s="157"/>
      <c r="C223" s="561" t="s">
        <v>1118</v>
      </c>
      <c r="D223" s="157"/>
      <c r="E223" s="569"/>
      <c r="F223" s="760"/>
      <c r="G223" s="578"/>
      <c r="H223" s="419"/>
      <c r="I223" s="57"/>
      <c r="J223" s="685" t="s">
        <v>1119</v>
      </c>
      <c r="K223" s="420"/>
      <c r="L223" s="193"/>
      <c r="M223" s="377"/>
      <c r="O223" s="778"/>
      <c r="P223" s="664"/>
      <c r="Q223" s="404"/>
      <c r="R223" s="148"/>
      <c r="S223" s="242"/>
      <c r="T223" s="242"/>
      <c r="U223" s="242"/>
      <c r="V223" s="242"/>
      <c r="W223" s="242"/>
      <c r="X223" s="242"/>
      <c r="Y223" s="148"/>
      <c r="Z223" s="148"/>
    </row>
    <row r="224">
      <c r="A224" s="239"/>
      <c r="B224" s="157"/>
      <c r="C224" s="561" t="s">
        <v>1120</v>
      </c>
      <c r="D224" s="157"/>
      <c r="E224" s="228"/>
      <c r="F224" s="760"/>
      <c r="G224" s="578"/>
      <c r="H224" s="419"/>
      <c r="I224" s="239"/>
      <c r="J224" s="596" t="s">
        <v>1001</v>
      </c>
      <c r="K224" s="420"/>
      <c r="L224" s="193">
        <v>270.0</v>
      </c>
      <c r="M224" s="377"/>
      <c r="O224" s="778"/>
      <c r="P224" s="664"/>
      <c r="Q224" s="404"/>
      <c r="R224" s="148"/>
      <c r="S224" s="242"/>
      <c r="T224" s="242"/>
      <c r="U224" s="242"/>
      <c r="V224" s="242"/>
      <c r="W224" s="242"/>
      <c r="X224" s="242"/>
      <c r="Y224" s="148"/>
      <c r="Z224" s="148"/>
    </row>
    <row r="225">
      <c r="A225" s="239"/>
      <c r="B225" s="157"/>
      <c r="C225" s="561"/>
      <c r="D225" s="157"/>
      <c r="E225" s="570"/>
      <c r="F225" s="760"/>
      <c r="G225" s="578"/>
      <c r="H225" s="419"/>
      <c r="I225" s="239"/>
      <c r="J225" s="568"/>
      <c r="K225" s="420"/>
      <c r="L225" s="193"/>
      <c r="M225" s="374"/>
      <c r="O225" s="778"/>
      <c r="P225" s="664"/>
      <c r="Q225" s="404"/>
      <c r="R225" s="148"/>
      <c r="S225" s="242"/>
      <c r="T225" s="242"/>
      <c r="U225" s="242"/>
      <c r="V225" s="242"/>
      <c r="W225" s="242"/>
      <c r="X225" s="242"/>
      <c r="Y225" s="148"/>
      <c r="Z225" s="148"/>
    </row>
    <row r="226">
      <c r="C226" s="571"/>
      <c r="D226" s="157"/>
      <c r="E226" s="570"/>
      <c r="F226" s="760"/>
      <c r="G226" s="578"/>
      <c r="H226" s="419"/>
      <c r="I226" s="239"/>
      <c r="J226" s="464" t="s">
        <v>692</v>
      </c>
      <c r="K226" s="420"/>
      <c r="L226" s="193">
        <v>600.0</v>
      </c>
      <c r="M226" s="377"/>
      <c r="O226" s="778"/>
      <c r="P226" s="664"/>
      <c r="Q226" s="404"/>
      <c r="R226" s="148"/>
      <c r="S226" s="242"/>
      <c r="T226" s="242"/>
      <c r="U226" s="242"/>
      <c r="V226" s="242"/>
      <c r="W226" s="242"/>
      <c r="X226" s="242"/>
      <c r="Y226" s="148"/>
      <c r="Z226" s="148"/>
    </row>
    <row r="227">
      <c r="C227" s="571"/>
      <c r="D227" s="157"/>
      <c r="E227" s="570"/>
      <c r="F227" s="760"/>
      <c r="G227" s="578"/>
      <c r="H227" s="419"/>
      <c r="I227" s="239"/>
      <c r="J227" s="464" t="s">
        <v>694</v>
      </c>
      <c r="K227" s="420"/>
      <c r="L227" s="150"/>
      <c r="M227" s="377" t="s">
        <v>1486</v>
      </c>
      <c r="O227" s="778"/>
      <c r="P227" s="664"/>
      <c r="Q227" s="404"/>
      <c r="R227" s="148"/>
      <c r="S227" s="242"/>
      <c r="T227" s="242"/>
      <c r="U227" s="242"/>
      <c r="V227" s="242"/>
      <c r="W227" s="242"/>
      <c r="X227" s="242"/>
      <c r="Y227" s="148"/>
      <c r="Z227" s="148"/>
    </row>
    <row r="228">
      <c r="C228" s="571"/>
      <c r="D228" s="423"/>
      <c r="E228" s="570"/>
      <c r="F228" s="758"/>
      <c r="G228" s="578"/>
      <c r="H228" s="419"/>
      <c r="I228" s="57"/>
      <c r="J228" s="105"/>
      <c r="K228" s="57"/>
      <c r="L228" s="150"/>
      <c r="M228" s="57"/>
      <c r="N228" s="57"/>
      <c r="O228" s="105"/>
      <c r="P228" s="157"/>
      <c r="Q228" s="404"/>
      <c r="R228" s="148"/>
      <c r="S228" s="242"/>
      <c r="T228" s="242"/>
      <c r="U228" s="242"/>
      <c r="V228" s="242"/>
      <c r="W228" s="242"/>
      <c r="X228" s="242"/>
      <c r="Y228" s="148"/>
      <c r="Z228" s="148"/>
    </row>
    <row r="229">
      <c r="A229" s="125" t="s">
        <v>798</v>
      </c>
      <c r="B229" s="572">
        <f>C202-B206</f>
        <v>804</v>
      </c>
      <c r="D229" s="157"/>
      <c r="E229" s="570"/>
      <c r="F229" s="767"/>
      <c r="G229" s="581"/>
      <c r="H229" s="419"/>
      <c r="I229" s="239"/>
      <c r="J229" s="568"/>
      <c r="K229" s="57"/>
      <c r="L229" s="150"/>
      <c r="M229" s="57"/>
      <c r="N229" s="57"/>
      <c r="O229" s="105"/>
      <c r="P229" s="157"/>
      <c r="Q229" s="404"/>
      <c r="R229" s="148"/>
      <c r="S229" s="242"/>
      <c r="T229" s="242"/>
      <c r="U229" s="242"/>
      <c r="V229" s="242"/>
      <c r="W229" s="242"/>
      <c r="X229" s="242"/>
      <c r="Y229" s="148"/>
      <c r="Z229" s="148"/>
    </row>
    <row r="230">
      <c r="A230" s="274" t="s">
        <v>783</v>
      </c>
      <c r="B230" s="109">
        <v>3600.0</v>
      </c>
      <c r="C230" s="395"/>
      <c r="D230" s="157"/>
      <c r="E230" s="570"/>
      <c r="F230" s="767"/>
      <c r="G230" s="581"/>
      <c r="H230" s="419"/>
      <c r="I230" s="239"/>
      <c r="J230" s="568"/>
      <c r="K230" s="57"/>
      <c r="L230" s="150"/>
      <c r="M230" s="57"/>
      <c r="N230" s="57"/>
      <c r="O230" s="105"/>
      <c r="P230" s="157"/>
      <c r="Q230" s="404"/>
      <c r="R230" s="148"/>
      <c r="S230" s="242"/>
      <c r="T230" s="242"/>
      <c r="U230" s="242"/>
      <c r="V230" s="242"/>
      <c r="W230" s="242"/>
      <c r="X230" s="242"/>
      <c r="Y230" s="148"/>
      <c r="Z230" s="148"/>
    </row>
    <row r="231">
      <c r="A231" s="274" t="s">
        <v>784</v>
      </c>
      <c r="B231" s="109">
        <v>700.0</v>
      </c>
      <c r="C231" s="109"/>
      <c r="D231" s="157"/>
      <c r="E231" s="570"/>
      <c r="F231" s="767"/>
      <c r="G231" s="581"/>
      <c r="H231" s="419"/>
      <c r="I231" s="239"/>
      <c r="J231" s="568"/>
      <c r="K231" s="57"/>
      <c r="L231" s="150"/>
      <c r="M231" s="57"/>
      <c r="N231" s="57"/>
      <c r="O231" s="105"/>
      <c r="P231" s="157"/>
      <c r="Q231" s="404"/>
      <c r="R231" s="148"/>
      <c r="S231" s="242"/>
      <c r="T231" s="242"/>
      <c r="U231" s="242"/>
      <c r="V231" s="242"/>
      <c r="W231" s="242"/>
      <c r="X231" s="242"/>
      <c r="Y231" s="148"/>
      <c r="Z231" s="148"/>
    </row>
    <row r="232">
      <c r="A232" s="274" t="s">
        <v>785</v>
      </c>
      <c r="B232" s="109">
        <v>4800.0</v>
      </c>
      <c r="C232" s="686">
        <f>SUM(B230:B232)</f>
        <v>9100</v>
      </c>
      <c r="D232" s="157"/>
      <c r="E232" s="570"/>
      <c r="F232" s="767"/>
      <c r="G232" s="581"/>
      <c r="H232" s="419"/>
      <c r="I232" s="239"/>
      <c r="J232" s="568"/>
      <c r="K232" s="57"/>
      <c r="L232" s="150"/>
      <c r="M232" s="57"/>
      <c r="N232" s="57"/>
      <c r="O232" s="105"/>
      <c r="P232" s="157"/>
      <c r="Q232" s="404"/>
      <c r="R232" s="148"/>
      <c r="S232" s="242"/>
      <c r="T232" s="242"/>
      <c r="U232" s="242"/>
      <c r="V232" s="242"/>
      <c r="W232" s="242"/>
      <c r="X232" s="242"/>
      <c r="Y232" s="148"/>
      <c r="Z232" s="148"/>
    </row>
    <row r="233">
      <c r="A233" s="402"/>
      <c r="B233" s="403"/>
      <c r="C233" s="403"/>
      <c r="D233" s="403"/>
      <c r="E233" s="574"/>
      <c r="F233" s="768"/>
      <c r="G233" s="576"/>
      <c r="H233" s="159"/>
      <c r="I233" s="159"/>
      <c r="J233" s="576"/>
      <c r="K233" s="159"/>
      <c r="L233" s="162"/>
      <c r="M233" s="402"/>
      <c r="N233" s="402"/>
      <c r="O233" s="576"/>
      <c r="P233" s="403"/>
      <c r="Q233" s="577"/>
      <c r="R233" s="148"/>
      <c r="S233" s="242"/>
      <c r="T233" s="242"/>
      <c r="U233" s="242"/>
      <c r="V233" s="242"/>
      <c r="W233" s="242"/>
      <c r="X233" s="242"/>
      <c r="Y233" s="148"/>
      <c r="Z233" s="148"/>
    </row>
    <row r="234">
      <c r="A234" s="148"/>
      <c r="B234" s="148"/>
      <c r="C234" s="148"/>
      <c r="D234" s="245"/>
      <c r="E234" s="585"/>
      <c r="F234" s="777"/>
      <c r="G234" s="243"/>
      <c r="H234" s="148"/>
      <c r="I234" s="251"/>
      <c r="J234" s="243"/>
      <c r="K234" s="148"/>
      <c r="L234" s="277"/>
      <c r="M234" s="252"/>
      <c r="N234" s="250"/>
      <c r="O234" s="323"/>
      <c r="P234" s="240"/>
      <c r="Q234" s="148"/>
      <c r="R234" s="148"/>
      <c r="S234" s="242"/>
      <c r="T234" s="242"/>
      <c r="U234" s="242"/>
      <c r="V234" s="242"/>
      <c r="W234" s="242"/>
      <c r="X234" s="242"/>
      <c r="Y234" s="148"/>
      <c r="Z234" s="148"/>
    </row>
    <row r="235">
      <c r="A235" s="169" t="s">
        <v>85</v>
      </c>
      <c r="B235" s="539"/>
      <c r="C235" s="540"/>
      <c r="D235" s="405"/>
      <c r="E235" s="541"/>
      <c r="F235" s="755"/>
      <c r="G235" s="467" t="s">
        <v>333</v>
      </c>
      <c r="H235" s="361"/>
      <c r="I235" s="57"/>
      <c r="J235" s="105"/>
      <c r="K235" s="57"/>
      <c r="L235" s="150"/>
      <c r="M235" s="239"/>
      <c r="N235" s="239"/>
      <c r="O235" s="105"/>
      <c r="P235" s="157"/>
      <c r="Q235" s="404"/>
      <c r="R235" s="148"/>
      <c r="S235" s="242"/>
      <c r="T235" s="242"/>
      <c r="U235" s="242"/>
      <c r="V235" s="242"/>
      <c r="W235" s="242"/>
      <c r="X235" s="242"/>
      <c r="Y235" s="148"/>
      <c r="Z235" s="148"/>
    </row>
    <row r="236">
      <c r="A236" s="468"/>
      <c r="B236" s="157"/>
      <c r="C236" s="466"/>
      <c r="D236" s="405"/>
      <c r="E236" s="543" t="s">
        <v>335</v>
      </c>
      <c r="F236" s="756" t="s">
        <v>237</v>
      </c>
      <c r="G236" s="412" t="s">
        <v>336</v>
      </c>
      <c r="H236" s="413" t="s">
        <v>337</v>
      </c>
      <c r="I236" s="239"/>
      <c r="J236" s="145" t="s">
        <v>60</v>
      </c>
      <c r="K236" s="57"/>
      <c r="L236" s="150"/>
      <c r="M236" s="414"/>
      <c r="N236" s="414"/>
      <c r="O236" s="757" t="s">
        <v>334</v>
      </c>
      <c r="P236" s="157"/>
      <c r="Q236" s="404"/>
      <c r="R236" s="148"/>
      <c r="S236" s="242"/>
      <c r="T236" s="242"/>
      <c r="U236" s="242"/>
      <c r="V236" s="242"/>
      <c r="W236" s="242"/>
      <c r="X236" s="242"/>
      <c r="Y236" s="148"/>
      <c r="Z236" s="148"/>
    </row>
    <row r="237">
      <c r="A237" s="470" t="s">
        <v>179</v>
      </c>
      <c r="C237" s="416">
        <f>SUM(F237:F271)</f>
        <v>2121</v>
      </c>
      <c r="D237" s="405"/>
      <c r="E237" s="545"/>
      <c r="F237" s="758"/>
      <c r="G237" s="578"/>
      <c r="H237" s="419"/>
      <c r="I237" s="57"/>
      <c r="K237" s="57"/>
      <c r="L237" s="150"/>
      <c r="M237" s="377" t="s">
        <v>366</v>
      </c>
      <c r="P237" s="157"/>
      <c r="Q237" s="404"/>
      <c r="R237" s="148"/>
      <c r="S237" s="242"/>
      <c r="T237" s="242"/>
      <c r="U237" s="242"/>
      <c r="V237" s="242"/>
      <c r="W237" s="242"/>
      <c r="X237" s="242"/>
      <c r="Y237" s="148"/>
      <c r="Z237" s="148"/>
    </row>
    <row r="238">
      <c r="A238" s="421" t="s">
        <v>343</v>
      </c>
      <c r="B238" s="422" t="s">
        <v>321</v>
      </c>
      <c r="C238" s="416">
        <f>SUM(P238:P271)</f>
        <v>269</v>
      </c>
      <c r="D238" s="157"/>
      <c r="E238" s="545"/>
      <c r="F238" s="758"/>
      <c r="G238" s="578"/>
      <c r="H238" s="419"/>
      <c r="I238" s="239"/>
      <c r="J238" s="471" t="s">
        <v>341</v>
      </c>
      <c r="K238" s="420"/>
      <c r="L238" s="150"/>
      <c r="M238" s="374"/>
      <c r="O238" s="784" t="s">
        <v>1487</v>
      </c>
      <c r="P238" s="423">
        <v>88.0</v>
      </c>
      <c r="Q238" s="404"/>
      <c r="R238" s="148"/>
      <c r="S238" s="242"/>
      <c r="T238" s="242"/>
      <c r="U238" s="242"/>
      <c r="V238" s="242"/>
      <c r="W238" s="242"/>
      <c r="X238" s="242"/>
      <c r="Y238" s="148"/>
      <c r="Z238" s="148"/>
    </row>
    <row r="239">
      <c r="A239" s="427" t="s">
        <v>201</v>
      </c>
      <c r="C239" s="204">
        <f>SUM(L238:L271)</f>
        <v>3050</v>
      </c>
      <c r="D239" s="157"/>
      <c r="E239" s="545"/>
      <c r="F239" s="758"/>
      <c r="G239" s="578"/>
      <c r="H239" s="419"/>
      <c r="I239" s="239"/>
      <c r="J239" s="472" t="s">
        <v>345</v>
      </c>
      <c r="K239" s="420"/>
      <c r="L239" s="150"/>
      <c r="M239" s="374"/>
      <c r="O239" s="784" t="s">
        <v>1352</v>
      </c>
      <c r="P239" s="423">
        <v>98.0</v>
      </c>
      <c r="Q239" s="404"/>
      <c r="R239" s="148"/>
      <c r="S239" s="242"/>
      <c r="T239" s="242"/>
      <c r="U239" s="242"/>
      <c r="V239" s="242"/>
      <c r="W239" s="242"/>
      <c r="X239" s="242"/>
      <c r="Y239" s="148"/>
      <c r="Z239" s="148"/>
    </row>
    <row r="240">
      <c r="A240" s="548" t="s">
        <v>761</v>
      </c>
      <c r="B240" s="549">
        <v>0.4</v>
      </c>
      <c r="C240" s="191">
        <v>107.0</v>
      </c>
      <c r="D240" s="157"/>
      <c r="E240" s="550" t="s">
        <v>695</v>
      </c>
      <c r="F240" s="758"/>
      <c r="G240" s="562"/>
      <c r="H240" s="419"/>
      <c r="I240" s="239"/>
      <c r="J240" s="433" t="s">
        <v>656</v>
      </c>
      <c r="K240" s="420"/>
      <c r="L240" s="193">
        <v>158.0</v>
      </c>
      <c r="M240" s="377" t="s">
        <v>1488</v>
      </c>
      <c r="O240" s="784" t="s">
        <v>696</v>
      </c>
      <c r="P240" s="423">
        <v>83.0</v>
      </c>
      <c r="Q240" s="404"/>
      <c r="R240" s="148"/>
      <c r="S240" s="242"/>
      <c r="T240" s="242"/>
      <c r="U240" s="242"/>
      <c r="V240" s="242"/>
      <c r="W240" s="242"/>
      <c r="X240" s="242"/>
      <c r="Y240" s="148"/>
      <c r="Z240" s="148"/>
    </row>
    <row r="241">
      <c r="A241" s="434" t="s">
        <v>350</v>
      </c>
      <c r="C241" s="551">
        <f>C237-C239-C240</f>
        <v>-1036</v>
      </c>
      <c r="D241" s="157"/>
      <c r="E241" s="192" t="s">
        <v>1489</v>
      </c>
      <c r="F241" s="758">
        <v>700.0</v>
      </c>
      <c r="G241" s="579"/>
      <c r="H241" s="419"/>
      <c r="I241" s="57"/>
      <c r="J241" s="444" t="s">
        <v>658</v>
      </c>
      <c r="K241" s="420"/>
      <c r="L241" s="193">
        <v>54.0</v>
      </c>
      <c r="M241" s="377" t="s">
        <v>1490</v>
      </c>
      <c r="O241" s="785"/>
      <c r="P241" s="423"/>
      <c r="Q241" s="404"/>
      <c r="R241" s="148"/>
      <c r="S241" s="242"/>
      <c r="T241" s="242"/>
      <c r="U241" s="242"/>
      <c r="V241" s="242"/>
      <c r="W241" s="242"/>
      <c r="X241" s="242"/>
      <c r="Y241" s="148"/>
      <c r="Z241" s="148"/>
    </row>
    <row r="242">
      <c r="A242" s="554"/>
      <c r="B242" s="555"/>
      <c r="C242" s="447"/>
      <c r="D242" s="157"/>
      <c r="E242" s="192" t="s">
        <v>1318</v>
      </c>
      <c r="F242" s="758">
        <v>220.0</v>
      </c>
      <c r="G242" s="562"/>
      <c r="H242" s="419"/>
      <c r="I242" s="57"/>
      <c r="J242" s="444" t="s">
        <v>660</v>
      </c>
      <c r="K242" s="420"/>
      <c r="L242" s="193">
        <v>130.0</v>
      </c>
      <c r="M242" s="377"/>
      <c r="O242" s="785"/>
      <c r="P242" s="423"/>
      <c r="Q242" s="404"/>
      <c r="R242" s="148"/>
      <c r="S242" s="242"/>
      <c r="T242" s="242"/>
      <c r="U242" s="242"/>
      <c r="V242" s="242"/>
      <c r="W242" s="242"/>
      <c r="X242" s="242"/>
      <c r="Y242" s="148"/>
      <c r="Z242" s="148"/>
    </row>
    <row r="243">
      <c r="A243" s="556"/>
      <c r="C243" s="395"/>
      <c r="D243" s="157"/>
      <c r="E243" s="192" t="s">
        <v>1491</v>
      </c>
      <c r="F243" s="758">
        <v>605.0</v>
      </c>
      <c r="G243" s="562"/>
      <c r="H243" s="419"/>
      <c r="I243" s="239"/>
      <c r="J243" s="370" t="s">
        <v>662</v>
      </c>
      <c r="K243" s="420"/>
      <c r="L243" s="193"/>
      <c r="M243" s="374"/>
      <c r="O243" s="785"/>
      <c r="P243" s="423"/>
      <c r="Q243" s="404"/>
      <c r="R243" s="148"/>
      <c r="S243" s="242"/>
      <c r="T243" s="242"/>
      <c r="U243" s="242"/>
      <c r="V243" s="242"/>
      <c r="W243" s="242"/>
      <c r="X243" s="242"/>
      <c r="Y243" s="148"/>
      <c r="Z243" s="148"/>
    </row>
    <row r="244">
      <c r="A244" s="557"/>
      <c r="B244" s="109"/>
      <c r="C244" s="395"/>
      <c r="D244" s="373"/>
      <c r="E244" s="192" t="s">
        <v>1142</v>
      </c>
      <c r="F244" s="758">
        <v>88.0</v>
      </c>
      <c r="G244" s="558" t="s">
        <v>426</v>
      </c>
      <c r="H244" s="419"/>
      <c r="I244" s="239"/>
      <c r="J244" s="433" t="s">
        <v>666</v>
      </c>
      <c r="K244" s="420"/>
      <c r="L244" s="193">
        <v>252.0</v>
      </c>
      <c r="M244" s="377" t="s">
        <v>1492</v>
      </c>
      <c r="O244" s="785"/>
      <c r="P244" s="423"/>
      <c r="Q244" s="404"/>
      <c r="R244" s="148"/>
      <c r="S244" s="242"/>
      <c r="T244" s="242"/>
      <c r="U244" s="242"/>
      <c r="V244" s="242"/>
      <c r="W244" s="242"/>
      <c r="X244" s="242"/>
      <c r="Y244" s="148"/>
      <c r="Z244" s="148"/>
    </row>
    <row r="245">
      <c r="A245" s="559" t="s">
        <v>765</v>
      </c>
      <c r="B245" s="560">
        <f>SUM(D245:D271)</f>
        <v>710</v>
      </c>
      <c r="C245" s="477" t="s">
        <v>366</v>
      </c>
      <c r="D245" s="157"/>
      <c r="E245" s="192" t="s">
        <v>1352</v>
      </c>
      <c r="F245" s="758">
        <v>98.0</v>
      </c>
      <c r="G245" s="558" t="s">
        <v>426</v>
      </c>
      <c r="H245" s="419"/>
      <c r="I245" s="239"/>
      <c r="J245" s="433" t="s">
        <v>668</v>
      </c>
      <c r="K245" s="420"/>
      <c r="L245" s="193"/>
      <c r="M245" s="377"/>
      <c r="O245" s="785"/>
      <c r="P245" s="423"/>
      <c r="Q245" s="404"/>
      <c r="R245" s="148"/>
      <c r="S245" s="242"/>
      <c r="T245" s="242"/>
      <c r="U245" s="242"/>
      <c r="V245" s="242"/>
      <c r="W245" s="242"/>
      <c r="X245" s="242"/>
      <c r="Y245" s="148"/>
      <c r="Z245" s="148"/>
    </row>
    <row r="246">
      <c r="A246" s="453" t="s">
        <v>369</v>
      </c>
      <c r="C246" s="561" t="s">
        <v>766</v>
      </c>
      <c r="D246" s="423"/>
      <c r="E246" s="192" t="s">
        <v>1371</v>
      </c>
      <c r="F246" s="758">
        <v>350.0</v>
      </c>
      <c r="G246" s="562"/>
      <c r="H246" s="419"/>
      <c r="I246" s="239"/>
      <c r="J246" s="433" t="s">
        <v>670</v>
      </c>
      <c r="K246" s="458"/>
      <c r="L246" s="193">
        <v>1400.0</v>
      </c>
      <c r="M246" s="377" t="s">
        <v>1493</v>
      </c>
      <c r="O246" s="785"/>
      <c r="P246" s="423"/>
      <c r="Q246" s="404"/>
      <c r="R246" s="148"/>
      <c r="S246" s="242"/>
      <c r="T246" s="242"/>
      <c r="U246" s="242"/>
      <c r="V246" s="242"/>
      <c r="W246" s="242"/>
      <c r="X246" s="242"/>
      <c r="Y246" s="148"/>
      <c r="Z246" s="148"/>
    </row>
    <row r="247">
      <c r="C247" s="561" t="s">
        <v>767</v>
      </c>
      <c r="D247" s="423"/>
      <c r="E247" s="192" t="s">
        <v>1494</v>
      </c>
      <c r="F247" s="758">
        <v>60.0</v>
      </c>
      <c r="G247" s="578"/>
      <c r="H247" s="419"/>
      <c r="I247" s="239"/>
      <c r="J247" s="433" t="s">
        <v>217</v>
      </c>
      <c r="K247" s="458"/>
      <c r="L247" s="150"/>
      <c r="M247" s="377"/>
      <c r="O247" s="785"/>
      <c r="P247" s="157"/>
      <c r="Q247" s="404"/>
      <c r="R247" s="148"/>
      <c r="S247" s="242"/>
      <c r="T247" s="242"/>
      <c r="U247" s="242"/>
      <c r="V247" s="242"/>
      <c r="W247" s="242"/>
      <c r="X247" s="242"/>
      <c r="Y247" s="148"/>
      <c r="Z247" s="148"/>
    </row>
    <row r="248">
      <c r="A248" s="57"/>
      <c r="B248" s="57"/>
      <c r="C248" s="561" t="s">
        <v>768</v>
      </c>
      <c r="D248" s="423"/>
      <c r="E248" s="192"/>
      <c r="F248" s="758"/>
      <c r="G248" s="562"/>
      <c r="H248" s="419"/>
      <c r="I248" s="239"/>
      <c r="J248" s="109"/>
      <c r="K248" s="420"/>
      <c r="L248" s="193"/>
      <c r="M248" s="374"/>
      <c r="O248" s="785"/>
      <c r="P248" s="157"/>
      <c r="Q248" s="404"/>
      <c r="R248" s="148"/>
      <c r="S248" s="242"/>
      <c r="T248" s="242"/>
      <c r="U248" s="242"/>
      <c r="V248" s="242"/>
      <c r="W248" s="242"/>
      <c r="X248" s="242"/>
      <c r="Y248" s="148"/>
      <c r="Z248" s="148"/>
    </row>
    <row r="249">
      <c r="A249" s="57"/>
      <c r="B249" s="57"/>
      <c r="C249" s="561" t="s">
        <v>769</v>
      </c>
      <c r="D249" s="157"/>
      <c r="E249" s="192"/>
      <c r="F249" s="758"/>
      <c r="G249" s="562"/>
      <c r="H249" s="419"/>
      <c r="I249" s="239"/>
      <c r="J249" s="456" t="s">
        <v>672</v>
      </c>
      <c r="K249" s="420"/>
      <c r="L249" s="193">
        <v>170.0</v>
      </c>
      <c r="M249" s="377">
        <v>7.0</v>
      </c>
      <c r="O249" s="785"/>
      <c r="P249" s="157"/>
      <c r="Q249" s="404"/>
      <c r="R249" s="148"/>
      <c r="S249" s="242"/>
      <c r="T249" s="242"/>
      <c r="U249" s="242"/>
      <c r="V249" s="242"/>
      <c r="W249" s="242"/>
      <c r="X249" s="242"/>
      <c r="Y249" s="148"/>
      <c r="Z249" s="148"/>
    </row>
    <row r="250">
      <c r="A250" s="57"/>
      <c r="B250" s="57"/>
      <c r="C250" s="561" t="s">
        <v>770</v>
      </c>
      <c r="D250" s="423"/>
      <c r="E250" s="192"/>
      <c r="F250" s="758"/>
      <c r="G250" s="578"/>
      <c r="H250" s="419"/>
      <c r="I250" s="57"/>
      <c r="J250" s="456" t="s">
        <v>675</v>
      </c>
      <c r="K250" s="420"/>
      <c r="L250" s="193">
        <v>50.0</v>
      </c>
      <c r="M250" s="382" t="s">
        <v>1495</v>
      </c>
      <c r="O250" s="785"/>
      <c r="P250" s="157"/>
      <c r="Q250" s="404"/>
      <c r="R250" s="148"/>
      <c r="S250" s="242"/>
      <c r="T250" s="242"/>
      <c r="U250" s="242"/>
      <c r="V250" s="242"/>
      <c r="W250" s="242"/>
      <c r="X250" s="242"/>
      <c r="Y250" s="148"/>
      <c r="Z250" s="148"/>
    </row>
    <row r="251">
      <c r="A251" s="238" t="s">
        <v>1496</v>
      </c>
      <c r="B251" s="57"/>
      <c r="C251" s="561" t="s">
        <v>793</v>
      </c>
      <c r="D251" s="423">
        <v>80.0</v>
      </c>
      <c r="E251" s="192"/>
      <c r="F251" s="758"/>
      <c r="G251" s="562"/>
      <c r="H251" s="419"/>
      <c r="I251" s="57"/>
      <c r="J251" s="456"/>
      <c r="K251" s="420"/>
      <c r="L251" s="150"/>
      <c r="M251" s="425"/>
      <c r="O251" s="785"/>
      <c r="P251" s="157"/>
      <c r="Q251" s="404"/>
      <c r="R251" s="148"/>
      <c r="S251" s="242"/>
      <c r="T251" s="242"/>
      <c r="U251" s="242"/>
      <c r="V251" s="242"/>
      <c r="W251" s="242"/>
      <c r="X251" s="242"/>
      <c r="Y251" s="148"/>
      <c r="Z251" s="148"/>
    </row>
    <row r="252">
      <c r="A252" s="239"/>
      <c r="B252" s="57"/>
      <c r="C252" s="561" t="s">
        <v>794</v>
      </c>
      <c r="D252" s="423"/>
      <c r="E252" s="192"/>
      <c r="F252" s="758"/>
      <c r="G252" s="562"/>
      <c r="H252" s="419"/>
      <c r="I252" s="57"/>
      <c r="J252" s="375"/>
      <c r="K252" s="420"/>
      <c r="L252" s="150"/>
      <c r="M252" s="425"/>
      <c r="O252" s="785"/>
      <c r="P252" s="157"/>
      <c r="Q252" s="404"/>
      <c r="R252" s="148"/>
      <c r="S252" s="242"/>
      <c r="T252" s="242"/>
      <c r="U252" s="242"/>
      <c r="V252" s="242"/>
      <c r="W252" s="242"/>
      <c r="X252" s="242"/>
      <c r="Y252" s="148"/>
      <c r="Z252" s="148"/>
    </row>
    <row r="253">
      <c r="A253" s="238"/>
      <c r="B253" s="57"/>
      <c r="C253" s="561" t="s">
        <v>18</v>
      </c>
      <c r="D253" s="157"/>
      <c r="E253" s="192"/>
      <c r="F253" s="758"/>
      <c r="G253" s="562"/>
      <c r="H253" s="419"/>
      <c r="I253" s="57"/>
      <c r="J253" s="375"/>
      <c r="K253" s="420"/>
      <c r="L253" s="193"/>
      <c r="M253" s="382"/>
      <c r="O253" s="785"/>
      <c r="P253" s="157"/>
      <c r="Q253" s="404"/>
      <c r="R253" s="148"/>
      <c r="S253" s="242"/>
      <c r="T253" s="242"/>
      <c r="U253" s="242"/>
      <c r="V253" s="242"/>
      <c r="W253" s="242"/>
      <c r="X253" s="242"/>
      <c r="Y253" s="148"/>
      <c r="Z253" s="148"/>
    </row>
    <row r="254">
      <c r="A254" s="238"/>
      <c r="B254" s="57"/>
      <c r="C254" s="563" t="s">
        <v>1115</v>
      </c>
      <c r="D254" s="423">
        <v>400.0</v>
      </c>
      <c r="E254" s="192"/>
      <c r="F254" s="758"/>
      <c r="G254" s="579"/>
      <c r="H254" s="419"/>
      <c r="I254" s="57"/>
      <c r="J254" s="452"/>
      <c r="K254" s="420"/>
      <c r="L254" s="150"/>
      <c r="M254" s="425"/>
      <c r="O254" s="785"/>
      <c r="P254" s="157"/>
      <c r="Q254" s="404"/>
      <c r="R254" s="148"/>
      <c r="S254" s="242"/>
      <c r="T254" s="242"/>
      <c r="U254" s="242"/>
      <c r="V254" s="242"/>
      <c r="W254" s="242"/>
      <c r="X254" s="242"/>
      <c r="Y254" s="148"/>
      <c r="Z254" s="148"/>
    </row>
    <row r="255">
      <c r="A255" s="238" t="s">
        <v>1497</v>
      </c>
      <c r="B255" s="57"/>
      <c r="C255" s="561" t="s">
        <v>1116</v>
      </c>
      <c r="D255" s="423">
        <v>230.0</v>
      </c>
      <c r="E255" s="192"/>
      <c r="F255" s="758"/>
      <c r="G255" s="578"/>
      <c r="H255" s="419"/>
      <c r="I255" s="57"/>
      <c r="J255" s="105"/>
      <c r="K255" s="420"/>
      <c r="L255" s="150"/>
      <c r="M255" s="425"/>
      <c r="O255" s="785"/>
      <c r="P255" s="157"/>
      <c r="Q255" s="404"/>
      <c r="R255" s="148"/>
      <c r="S255" s="242"/>
      <c r="T255" s="242"/>
      <c r="U255" s="242"/>
      <c r="V255" s="242"/>
      <c r="W255" s="242"/>
      <c r="X255" s="242"/>
      <c r="Y255" s="148"/>
      <c r="Z255" s="148"/>
    </row>
    <row r="256">
      <c r="A256" s="239"/>
      <c r="B256" s="239"/>
      <c r="C256" s="561" t="s">
        <v>775</v>
      </c>
      <c r="D256" s="423"/>
      <c r="E256" s="228"/>
      <c r="F256" s="760"/>
      <c r="G256" s="578"/>
      <c r="H256" s="419"/>
      <c r="I256" s="57"/>
      <c r="J256" s="378" t="s">
        <v>682</v>
      </c>
      <c r="K256" s="420"/>
      <c r="L256" s="193">
        <v>396.0</v>
      </c>
      <c r="M256" s="377" t="s">
        <v>1498</v>
      </c>
      <c r="O256" s="785"/>
      <c r="P256" s="157"/>
      <c r="Q256" s="404"/>
      <c r="R256" s="148"/>
      <c r="S256" s="242"/>
      <c r="T256" s="242"/>
      <c r="U256" s="242"/>
      <c r="V256" s="242"/>
      <c r="W256" s="242"/>
      <c r="X256" s="242"/>
      <c r="Y256" s="148"/>
      <c r="Z256" s="148"/>
    </row>
    <row r="257">
      <c r="A257" s="239"/>
      <c r="B257" s="239"/>
      <c r="C257" s="561" t="s">
        <v>10</v>
      </c>
      <c r="D257" s="157"/>
      <c r="E257" s="206"/>
      <c r="F257" s="765"/>
      <c r="G257" s="581"/>
      <c r="H257" s="419"/>
      <c r="I257" s="57"/>
      <c r="J257" s="461" t="s">
        <v>684</v>
      </c>
      <c r="K257" s="420"/>
      <c r="L257" s="193"/>
      <c r="M257" s="377"/>
      <c r="O257" s="785"/>
      <c r="P257" s="157"/>
      <c r="Q257" s="404"/>
      <c r="R257" s="148"/>
      <c r="S257" s="242"/>
      <c r="T257" s="242"/>
      <c r="U257" s="242"/>
      <c r="V257" s="242"/>
      <c r="W257" s="242"/>
      <c r="X257" s="242"/>
      <c r="Y257" s="148"/>
      <c r="Z257" s="148"/>
    </row>
    <row r="258">
      <c r="A258" s="239"/>
      <c r="B258" s="239"/>
      <c r="C258" s="561" t="s">
        <v>6</v>
      </c>
      <c r="D258" s="423"/>
      <c r="E258" s="206"/>
      <c r="F258" s="760"/>
      <c r="G258" s="579"/>
      <c r="H258" s="455"/>
      <c r="I258" s="57"/>
      <c r="J258" s="461" t="s">
        <v>686</v>
      </c>
      <c r="K258" s="420"/>
      <c r="L258" s="150"/>
      <c r="M258" s="374"/>
      <c r="O258" s="786"/>
      <c r="P258" s="157"/>
      <c r="Q258" s="404"/>
      <c r="R258" s="148"/>
      <c r="S258" s="242"/>
      <c r="T258" s="242"/>
      <c r="U258" s="242"/>
      <c r="V258" s="242"/>
      <c r="W258" s="242"/>
      <c r="X258" s="242"/>
      <c r="Y258" s="148"/>
      <c r="Z258" s="148"/>
    </row>
    <row r="259">
      <c r="A259" s="57"/>
      <c r="B259" s="57"/>
      <c r="C259" s="561" t="s">
        <v>779</v>
      </c>
      <c r="D259" s="157"/>
      <c r="E259" s="228"/>
      <c r="F259" s="760"/>
      <c r="G259" s="579"/>
      <c r="H259" s="455"/>
      <c r="I259" s="239"/>
      <c r="J259" s="460" t="s">
        <v>202</v>
      </c>
      <c r="K259" s="420"/>
      <c r="L259" s="193"/>
      <c r="M259" s="377"/>
      <c r="O259" s="786"/>
      <c r="P259" s="157"/>
      <c r="Q259" s="404"/>
      <c r="R259" s="148"/>
      <c r="S259" s="242"/>
      <c r="T259" s="242"/>
      <c r="U259" s="242"/>
      <c r="V259" s="242"/>
      <c r="W259" s="242"/>
      <c r="X259" s="242"/>
      <c r="Y259" s="148"/>
      <c r="Z259" s="148"/>
    </row>
    <row r="260">
      <c r="A260" s="239"/>
      <c r="B260" s="239"/>
      <c r="C260" s="561" t="s">
        <v>780</v>
      </c>
      <c r="D260" s="157"/>
      <c r="E260" s="228"/>
      <c r="F260" s="760"/>
      <c r="G260" s="579"/>
      <c r="H260" s="455"/>
      <c r="I260" s="57"/>
      <c r="J260" s="460" t="s">
        <v>274</v>
      </c>
      <c r="K260" s="420"/>
      <c r="L260" s="193"/>
      <c r="M260" s="377"/>
      <c r="O260" s="786"/>
      <c r="P260" s="157"/>
      <c r="Q260" s="404"/>
      <c r="R260" s="148"/>
      <c r="S260" s="242"/>
      <c r="T260" s="242"/>
      <c r="U260" s="242"/>
      <c r="V260" s="242"/>
      <c r="W260" s="242"/>
      <c r="X260" s="242"/>
      <c r="Y260" s="148"/>
      <c r="Z260" s="148"/>
    </row>
    <row r="261">
      <c r="A261" s="239"/>
      <c r="B261" s="239"/>
      <c r="C261" s="561" t="s">
        <v>781</v>
      </c>
      <c r="D261" s="423"/>
      <c r="E261" s="228"/>
      <c r="F261" s="760"/>
      <c r="G261" s="579"/>
      <c r="H261" s="419"/>
      <c r="I261" s="239"/>
      <c r="J261" s="685" t="s">
        <v>1117</v>
      </c>
      <c r="K261" s="420"/>
      <c r="L261" s="193">
        <v>35.0</v>
      </c>
      <c r="M261" s="377" t="s">
        <v>1499</v>
      </c>
      <c r="O261" s="785"/>
      <c r="P261" s="157"/>
      <c r="Q261" s="404"/>
      <c r="R261" s="148"/>
      <c r="S261" s="242"/>
      <c r="T261" s="242"/>
      <c r="U261" s="242"/>
      <c r="V261" s="242"/>
      <c r="W261" s="242"/>
      <c r="X261" s="242"/>
      <c r="Y261" s="148"/>
      <c r="Z261" s="148"/>
    </row>
    <row r="262">
      <c r="A262" s="239"/>
      <c r="B262" s="157"/>
      <c r="C262" s="561" t="s">
        <v>1118</v>
      </c>
      <c r="D262" s="157"/>
      <c r="E262" s="569"/>
      <c r="F262" s="760"/>
      <c r="G262" s="578"/>
      <c r="H262" s="419"/>
      <c r="I262" s="57"/>
      <c r="J262" s="685" t="s">
        <v>1119</v>
      </c>
      <c r="K262" s="420"/>
      <c r="L262" s="193"/>
      <c r="M262" s="377"/>
      <c r="O262" s="785"/>
      <c r="P262" s="157"/>
      <c r="Q262" s="404"/>
      <c r="R262" s="148"/>
      <c r="S262" s="242"/>
      <c r="T262" s="242"/>
      <c r="U262" s="242"/>
      <c r="V262" s="242"/>
      <c r="W262" s="242"/>
      <c r="X262" s="242"/>
      <c r="Y262" s="148"/>
      <c r="Z262" s="148"/>
    </row>
    <row r="263">
      <c r="A263" s="239"/>
      <c r="B263" s="157"/>
      <c r="C263" s="561" t="s">
        <v>1120</v>
      </c>
      <c r="D263" s="157"/>
      <c r="E263" s="228"/>
      <c r="F263" s="760"/>
      <c r="G263" s="578"/>
      <c r="H263" s="419"/>
      <c r="I263" s="239"/>
      <c r="J263" s="596" t="s">
        <v>1001</v>
      </c>
      <c r="K263" s="420"/>
      <c r="L263" s="193">
        <v>360.0</v>
      </c>
      <c r="M263" s="377"/>
      <c r="O263" s="785"/>
      <c r="P263" s="157"/>
      <c r="Q263" s="404"/>
      <c r="R263" s="148"/>
      <c r="S263" s="242"/>
      <c r="T263" s="242"/>
      <c r="U263" s="242"/>
      <c r="V263" s="242"/>
      <c r="W263" s="242"/>
      <c r="X263" s="242"/>
      <c r="Y263" s="148"/>
      <c r="Z263" s="148"/>
    </row>
    <row r="264">
      <c r="A264" s="239"/>
      <c r="B264" s="157"/>
      <c r="C264" s="561"/>
      <c r="D264" s="157"/>
      <c r="E264" s="570"/>
      <c r="F264" s="760"/>
      <c r="G264" s="578"/>
      <c r="H264" s="419"/>
      <c r="I264" s="239"/>
      <c r="J264" s="568"/>
      <c r="K264" s="420"/>
      <c r="L264" s="193"/>
      <c r="M264" s="374"/>
      <c r="O264" s="785"/>
      <c r="P264" s="157"/>
      <c r="Q264" s="404"/>
      <c r="R264" s="148"/>
      <c r="S264" s="242"/>
      <c r="T264" s="242"/>
      <c r="U264" s="242"/>
      <c r="V264" s="242"/>
      <c r="W264" s="242"/>
      <c r="X264" s="242"/>
      <c r="Y264" s="148"/>
      <c r="Z264" s="148"/>
    </row>
    <row r="265">
      <c r="C265" s="571"/>
      <c r="D265" s="157"/>
      <c r="E265" s="570"/>
      <c r="F265" s="760"/>
      <c r="G265" s="578"/>
      <c r="H265" s="419"/>
      <c r="I265" s="239"/>
      <c r="J265" s="464" t="s">
        <v>692</v>
      </c>
      <c r="K265" s="420"/>
      <c r="L265" s="150"/>
      <c r="M265" s="377"/>
      <c r="O265" s="785"/>
      <c r="P265" s="157"/>
      <c r="Q265" s="404"/>
      <c r="R265" s="148"/>
      <c r="S265" s="242"/>
      <c r="T265" s="242"/>
      <c r="U265" s="242"/>
      <c r="V265" s="242"/>
      <c r="W265" s="242"/>
      <c r="X265" s="242"/>
      <c r="Y265" s="148"/>
      <c r="Z265" s="148"/>
    </row>
    <row r="266">
      <c r="C266" s="571"/>
      <c r="D266" s="157"/>
      <c r="E266" s="570"/>
      <c r="F266" s="760"/>
      <c r="G266" s="578"/>
      <c r="H266" s="419"/>
      <c r="I266" s="239"/>
      <c r="J266" s="464" t="s">
        <v>694</v>
      </c>
      <c r="K266" s="420"/>
      <c r="L266" s="193">
        <v>45.0</v>
      </c>
      <c r="M266" s="377" t="s">
        <v>1500</v>
      </c>
      <c r="O266" s="785"/>
      <c r="P266" s="157"/>
      <c r="Q266" s="404"/>
      <c r="R266" s="148"/>
      <c r="S266" s="242"/>
      <c r="T266" s="242"/>
      <c r="U266" s="242"/>
      <c r="V266" s="242"/>
      <c r="W266" s="242"/>
      <c r="X266" s="242"/>
      <c r="Y266" s="148"/>
      <c r="Z266" s="148"/>
    </row>
    <row r="267">
      <c r="C267" s="571"/>
      <c r="D267" s="423"/>
      <c r="E267" s="570"/>
      <c r="F267" s="758"/>
      <c r="G267" s="578"/>
      <c r="H267" s="419"/>
      <c r="I267" s="57"/>
      <c r="J267" s="105"/>
      <c r="K267" s="57"/>
      <c r="L267" s="150"/>
      <c r="M267" s="57"/>
      <c r="N267" s="57"/>
      <c r="O267" s="105"/>
      <c r="P267" s="157"/>
      <c r="Q267" s="404"/>
      <c r="R267" s="148"/>
      <c r="S267" s="242"/>
      <c r="T267" s="242"/>
      <c r="U267" s="242"/>
      <c r="V267" s="242"/>
      <c r="W267" s="242"/>
      <c r="X267" s="242"/>
      <c r="Y267" s="148"/>
      <c r="Z267" s="148"/>
    </row>
    <row r="268">
      <c r="A268" s="125" t="s">
        <v>798</v>
      </c>
      <c r="B268" s="572">
        <f>C241-B245</f>
        <v>-1746</v>
      </c>
      <c r="D268" s="157"/>
      <c r="E268" s="570"/>
      <c r="F268" s="767"/>
      <c r="G268" s="581"/>
      <c r="H268" s="419"/>
      <c r="I268" s="239"/>
      <c r="J268" s="568"/>
      <c r="K268" s="57"/>
      <c r="L268" s="150"/>
      <c r="M268" s="57"/>
      <c r="N268" s="57"/>
      <c r="O268" s="105"/>
      <c r="P268" s="157"/>
      <c r="Q268" s="404"/>
      <c r="R268" s="148"/>
      <c r="S268" s="242"/>
      <c r="T268" s="242"/>
      <c r="U268" s="242"/>
      <c r="V268" s="242"/>
      <c r="W268" s="242"/>
      <c r="X268" s="242"/>
      <c r="Y268" s="148"/>
      <c r="Z268" s="148"/>
    </row>
    <row r="269">
      <c r="A269" s="274" t="s">
        <v>783</v>
      </c>
      <c r="B269" s="109">
        <v>2817.0</v>
      </c>
      <c r="C269" s="395"/>
      <c r="D269" s="157"/>
      <c r="E269" s="570"/>
      <c r="F269" s="767"/>
      <c r="G269" s="581"/>
      <c r="H269" s="419"/>
      <c r="I269" s="239"/>
      <c r="J269" s="568"/>
      <c r="K269" s="57"/>
      <c r="L269" s="150"/>
      <c r="M269" s="57"/>
      <c r="N269" s="57"/>
      <c r="O269" s="105"/>
      <c r="P269" s="157"/>
      <c r="Q269" s="404"/>
      <c r="R269" s="148"/>
      <c r="S269" s="242"/>
      <c r="T269" s="242"/>
      <c r="U269" s="242"/>
      <c r="V269" s="242"/>
      <c r="W269" s="242"/>
      <c r="X269" s="242"/>
      <c r="Y269" s="148"/>
      <c r="Z269" s="148"/>
    </row>
    <row r="270">
      <c r="A270" s="274" t="s">
        <v>784</v>
      </c>
      <c r="B270" s="109">
        <v>2050.0</v>
      </c>
      <c r="C270" s="395"/>
      <c r="D270" s="157"/>
      <c r="E270" s="570"/>
      <c r="F270" s="767"/>
      <c r="G270" s="581"/>
      <c r="H270" s="419"/>
      <c r="I270" s="239"/>
      <c r="J270" s="568"/>
      <c r="K270" s="57"/>
      <c r="L270" s="150"/>
      <c r="M270" s="57"/>
      <c r="N270" s="57"/>
      <c r="O270" s="105"/>
      <c r="P270" s="157"/>
      <c r="Q270" s="404"/>
      <c r="R270" s="148"/>
      <c r="S270" s="242"/>
      <c r="T270" s="242"/>
      <c r="U270" s="242"/>
      <c r="V270" s="242"/>
      <c r="W270" s="242"/>
      <c r="X270" s="242"/>
      <c r="Y270" s="148"/>
      <c r="Z270" s="148"/>
    </row>
    <row r="271">
      <c r="A271" s="274" t="s">
        <v>785</v>
      </c>
      <c r="B271" s="109">
        <v>350.0</v>
      </c>
      <c r="C271" s="686">
        <f>SUM(B269:B271)</f>
        <v>5217</v>
      </c>
      <c r="D271" s="157"/>
      <c r="E271" s="570"/>
      <c r="F271" s="767"/>
      <c r="G271" s="581"/>
      <c r="H271" s="419"/>
      <c r="I271" s="239"/>
      <c r="J271" s="568"/>
      <c r="K271" s="57"/>
      <c r="L271" s="150"/>
      <c r="M271" s="57"/>
      <c r="N271" s="57"/>
      <c r="O271" s="105"/>
      <c r="P271" s="157"/>
      <c r="Q271" s="404"/>
      <c r="R271" s="148"/>
      <c r="S271" s="242"/>
      <c r="T271" s="242"/>
      <c r="U271" s="242"/>
      <c r="V271" s="242"/>
      <c r="W271" s="242"/>
      <c r="X271" s="242"/>
      <c r="Y271" s="148"/>
      <c r="Z271" s="148"/>
    </row>
    <row r="272">
      <c r="A272" s="402"/>
      <c r="B272" s="403"/>
      <c r="C272" s="403"/>
      <c r="D272" s="403"/>
      <c r="E272" s="574"/>
      <c r="F272" s="768"/>
      <c r="G272" s="576"/>
      <c r="H272" s="159"/>
      <c r="I272" s="159"/>
      <c r="J272" s="576"/>
      <c r="K272" s="159"/>
      <c r="L272" s="162"/>
      <c r="M272" s="402"/>
      <c r="N272" s="402"/>
      <c r="O272" s="576"/>
      <c r="P272" s="403"/>
      <c r="Q272" s="577"/>
      <c r="R272" s="148"/>
      <c r="S272" s="242"/>
      <c r="T272" s="242"/>
      <c r="U272" s="242"/>
      <c r="V272" s="242"/>
      <c r="W272" s="242"/>
      <c r="X272" s="242"/>
      <c r="Y272" s="148"/>
      <c r="Z272" s="148"/>
    </row>
    <row r="273">
      <c r="A273" s="148"/>
      <c r="B273" s="148"/>
      <c r="C273" s="148"/>
      <c r="D273" s="245"/>
      <c r="E273" s="585"/>
      <c r="F273" s="777"/>
      <c r="G273" s="243"/>
      <c r="H273" s="148"/>
      <c r="I273" s="251"/>
      <c r="J273" s="243"/>
      <c r="K273" s="148"/>
      <c r="L273" s="277"/>
      <c r="M273" s="252"/>
      <c r="N273" s="250"/>
      <c r="O273" s="323"/>
      <c r="P273" s="240"/>
      <c r="Q273" s="148"/>
      <c r="R273" s="148"/>
      <c r="S273" s="242"/>
      <c r="T273" s="242"/>
      <c r="U273" s="242"/>
      <c r="V273" s="242"/>
      <c r="W273" s="242"/>
      <c r="X273" s="242"/>
      <c r="Y273" s="148"/>
      <c r="Z273" s="148"/>
    </row>
    <row r="274">
      <c r="A274" s="169" t="s">
        <v>857</v>
      </c>
      <c r="B274" s="539"/>
      <c r="C274" s="540"/>
      <c r="D274" s="405"/>
      <c r="E274" s="541"/>
      <c r="F274" s="755"/>
      <c r="G274" s="467" t="s">
        <v>333</v>
      </c>
      <c r="H274" s="361"/>
      <c r="I274" s="57"/>
      <c r="J274" s="105"/>
      <c r="K274" s="57"/>
      <c r="L274" s="150"/>
      <c r="M274" s="239"/>
      <c r="N274" s="239"/>
      <c r="O274" s="105"/>
      <c r="P274" s="157"/>
      <c r="Q274" s="404"/>
      <c r="R274" s="148"/>
      <c r="S274" s="242"/>
      <c r="T274" s="242"/>
      <c r="U274" s="242"/>
      <c r="V274" s="242"/>
      <c r="W274" s="242"/>
      <c r="X274" s="242"/>
      <c r="Y274" s="148"/>
      <c r="Z274" s="148"/>
    </row>
    <row r="275">
      <c r="A275" s="468"/>
      <c r="B275" s="157"/>
      <c r="C275" s="466"/>
      <c r="D275" s="405"/>
      <c r="E275" s="543" t="s">
        <v>335</v>
      </c>
      <c r="F275" s="756" t="s">
        <v>237</v>
      </c>
      <c r="G275" s="412" t="s">
        <v>336</v>
      </c>
      <c r="H275" s="413" t="s">
        <v>337</v>
      </c>
      <c r="I275" s="239"/>
      <c r="J275" s="145" t="s">
        <v>60</v>
      </c>
      <c r="K275" s="57"/>
      <c r="L275" s="150"/>
      <c r="M275" s="414"/>
      <c r="N275" s="414"/>
      <c r="O275" s="105" t="s">
        <v>334</v>
      </c>
      <c r="P275" s="157"/>
      <c r="Q275" s="404"/>
      <c r="R275" s="148"/>
      <c r="S275" s="242"/>
      <c r="T275" s="242"/>
      <c r="U275" s="242"/>
      <c r="V275" s="242"/>
      <c r="W275" s="242"/>
      <c r="X275" s="242"/>
      <c r="Y275" s="148"/>
      <c r="Z275" s="148"/>
    </row>
    <row r="276">
      <c r="A276" s="470" t="s">
        <v>179</v>
      </c>
      <c r="C276" s="416">
        <f>SUM(F276:F310)</f>
        <v>0</v>
      </c>
      <c r="D276" s="405"/>
      <c r="E276" s="545"/>
      <c r="F276" s="758"/>
      <c r="G276" s="578"/>
      <c r="H276" s="419"/>
      <c r="I276" s="57"/>
      <c r="K276" s="57"/>
      <c r="L276" s="150"/>
      <c r="M276" s="377" t="s">
        <v>366</v>
      </c>
      <c r="P276" s="157"/>
      <c r="Q276" s="404"/>
      <c r="R276" s="148"/>
      <c r="S276" s="242"/>
      <c r="T276" s="242"/>
      <c r="U276" s="242"/>
      <c r="V276" s="242"/>
      <c r="W276" s="242"/>
      <c r="X276" s="242"/>
      <c r="Y276" s="148"/>
      <c r="Z276" s="148"/>
    </row>
    <row r="277">
      <c r="A277" s="421" t="s">
        <v>343</v>
      </c>
      <c r="B277" s="422" t="s">
        <v>321</v>
      </c>
      <c r="C277" s="416">
        <f>SUM(P277:P310)</f>
        <v>0</v>
      </c>
      <c r="D277" s="157"/>
      <c r="E277" s="545"/>
      <c r="F277" s="758"/>
      <c r="G277" s="578"/>
      <c r="H277" s="419"/>
      <c r="I277" s="239"/>
      <c r="J277" s="471" t="s">
        <v>341</v>
      </c>
      <c r="K277" s="420"/>
      <c r="L277" s="150"/>
      <c r="M277" s="374"/>
      <c r="O277" s="772"/>
      <c r="P277" s="423"/>
      <c r="Q277" s="404"/>
      <c r="R277" s="148"/>
      <c r="S277" s="242"/>
      <c r="T277" s="242"/>
      <c r="U277" s="242"/>
      <c r="V277" s="242"/>
      <c r="W277" s="242"/>
      <c r="X277" s="242"/>
      <c r="Y277" s="148"/>
      <c r="Z277" s="148"/>
    </row>
    <row r="278">
      <c r="A278" s="427" t="s">
        <v>201</v>
      </c>
      <c r="C278" s="204">
        <f>SUM(L277:L310)</f>
        <v>389</v>
      </c>
      <c r="D278" s="157"/>
      <c r="E278" s="545"/>
      <c r="F278" s="760"/>
      <c r="G278" s="578"/>
      <c r="H278" s="419"/>
      <c r="I278" s="239"/>
      <c r="J278" s="472" t="s">
        <v>345</v>
      </c>
      <c r="K278" s="420"/>
      <c r="L278" s="193">
        <v>29.0</v>
      </c>
      <c r="M278" s="377" t="s">
        <v>1501</v>
      </c>
      <c r="O278" s="772"/>
      <c r="P278" s="423"/>
      <c r="Q278" s="404"/>
      <c r="R278" s="148"/>
      <c r="S278" s="242"/>
      <c r="T278" s="242"/>
      <c r="U278" s="242"/>
      <c r="V278" s="242"/>
      <c r="W278" s="242"/>
      <c r="X278" s="242"/>
      <c r="Y278" s="148"/>
      <c r="Z278" s="148"/>
    </row>
    <row r="279">
      <c r="A279" s="548" t="s">
        <v>761</v>
      </c>
      <c r="B279" s="549">
        <v>0.4</v>
      </c>
      <c r="C279" s="191"/>
      <c r="D279" s="157"/>
      <c r="E279" s="550" t="s">
        <v>695</v>
      </c>
      <c r="F279" s="758"/>
      <c r="G279" s="578"/>
      <c r="H279" s="419"/>
      <c r="I279" s="239"/>
      <c r="J279" s="433" t="s">
        <v>656</v>
      </c>
      <c r="K279" s="420"/>
      <c r="L279" s="193"/>
      <c r="M279" s="377"/>
      <c r="O279" s="772"/>
      <c r="P279" s="423"/>
      <c r="Q279" s="404"/>
      <c r="R279" s="148"/>
      <c r="S279" s="242"/>
      <c r="T279" s="242"/>
      <c r="U279" s="242"/>
      <c r="V279" s="242"/>
      <c r="W279" s="242"/>
      <c r="X279" s="242"/>
      <c r="Y279" s="148"/>
      <c r="Z279" s="148"/>
    </row>
    <row r="280">
      <c r="A280" s="434" t="s">
        <v>350</v>
      </c>
      <c r="C280" s="551">
        <f>C276-C278-C279</f>
        <v>-389</v>
      </c>
      <c r="D280" s="157"/>
      <c r="E280" s="228"/>
      <c r="F280" s="760"/>
      <c r="G280" s="579"/>
      <c r="H280" s="419"/>
      <c r="I280" s="57"/>
      <c r="J280" s="444" t="s">
        <v>658</v>
      </c>
      <c r="K280" s="420"/>
      <c r="L280" s="193"/>
      <c r="M280" s="377"/>
      <c r="O280" s="772"/>
      <c r="P280" s="157"/>
      <c r="Q280" s="404"/>
      <c r="R280" s="148"/>
      <c r="S280" s="242"/>
      <c r="T280" s="242"/>
      <c r="U280" s="242"/>
      <c r="V280" s="242"/>
      <c r="W280" s="242"/>
      <c r="X280" s="242"/>
      <c r="Y280" s="148"/>
      <c r="Z280" s="148"/>
    </row>
    <row r="281">
      <c r="A281" s="554"/>
      <c r="B281" s="555"/>
      <c r="C281" s="447"/>
      <c r="D281" s="157"/>
      <c r="E281" s="228"/>
      <c r="F281" s="760"/>
      <c r="G281" s="578"/>
      <c r="H281" s="419"/>
      <c r="I281" s="57"/>
      <c r="J281" s="444" t="s">
        <v>660</v>
      </c>
      <c r="K281" s="420"/>
      <c r="L281" s="193">
        <v>135.0</v>
      </c>
      <c r="M281" s="377"/>
      <c r="O281" s="772"/>
      <c r="P281" s="157"/>
      <c r="Q281" s="404"/>
      <c r="R281" s="148"/>
      <c r="S281" s="242"/>
      <c r="T281" s="242"/>
      <c r="U281" s="242"/>
      <c r="V281" s="242"/>
      <c r="W281" s="242"/>
      <c r="X281" s="242"/>
      <c r="Y281" s="148"/>
      <c r="Z281" s="148"/>
    </row>
    <row r="282">
      <c r="A282" s="556"/>
      <c r="C282" s="395"/>
      <c r="D282" s="157"/>
      <c r="E282" s="228"/>
      <c r="F282" s="758"/>
      <c r="G282" s="579"/>
      <c r="H282" s="419"/>
      <c r="I282" s="239"/>
      <c r="J282" s="370" t="s">
        <v>662</v>
      </c>
      <c r="K282" s="420"/>
      <c r="L282" s="193"/>
      <c r="M282" s="374"/>
      <c r="O282" s="772"/>
      <c r="P282" s="157"/>
      <c r="Q282" s="404"/>
      <c r="R282" s="148"/>
      <c r="S282" s="242"/>
      <c r="T282" s="242"/>
      <c r="U282" s="242"/>
      <c r="V282" s="242"/>
      <c r="W282" s="242"/>
      <c r="X282" s="242"/>
      <c r="Y282" s="148"/>
      <c r="Z282" s="148"/>
    </row>
    <row r="283">
      <c r="A283" s="557"/>
      <c r="B283" s="109"/>
      <c r="C283" s="395"/>
      <c r="D283" s="373"/>
      <c r="E283" s="228"/>
      <c r="F283" s="760"/>
      <c r="G283" s="578"/>
      <c r="H283" s="419"/>
      <c r="I283" s="239"/>
      <c r="J283" s="433" t="s">
        <v>666</v>
      </c>
      <c r="K283" s="420"/>
      <c r="L283" s="150"/>
      <c r="M283" s="374"/>
      <c r="O283" s="772"/>
      <c r="P283" s="157"/>
      <c r="Q283" s="404"/>
      <c r="R283" s="148"/>
      <c r="S283" s="242"/>
      <c r="T283" s="242"/>
      <c r="U283" s="242"/>
      <c r="V283" s="242"/>
      <c r="W283" s="242"/>
      <c r="X283" s="242"/>
      <c r="Y283" s="148"/>
      <c r="Z283" s="148"/>
    </row>
    <row r="284">
      <c r="A284" s="559" t="s">
        <v>765</v>
      </c>
      <c r="B284" s="560">
        <f>SUM(D284:D310)</f>
        <v>206</v>
      </c>
      <c r="C284" s="477" t="s">
        <v>366</v>
      </c>
      <c r="D284" s="157"/>
      <c r="E284" s="228"/>
      <c r="F284" s="760"/>
      <c r="G284" s="578"/>
      <c r="H284" s="419"/>
      <c r="I284" s="239"/>
      <c r="J284" s="433" t="s">
        <v>668</v>
      </c>
      <c r="K284" s="420"/>
      <c r="L284" s="150"/>
      <c r="M284" s="377"/>
      <c r="O284" s="772"/>
      <c r="P284" s="157"/>
      <c r="Q284" s="404"/>
      <c r="R284" s="148"/>
      <c r="S284" s="242"/>
      <c r="T284" s="242"/>
      <c r="U284" s="242"/>
      <c r="V284" s="242"/>
      <c r="W284" s="242"/>
      <c r="X284" s="242"/>
      <c r="Y284" s="148"/>
      <c r="Z284" s="148"/>
    </row>
    <row r="285">
      <c r="A285" s="453" t="s">
        <v>369</v>
      </c>
      <c r="C285" s="561" t="s">
        <v>766</v>
      </c>
      <c r="D285" s="423"/>
      <c r="E285" s="228"/>
      <c r="F285" s="760"/>
      <c r="G285" s="578"/>
      <c r="H285" s="419"/>
      <c r="I285" s="239"/>
      <c r="J285" s="433" t="s">
        <v>670</v>
      </c>
      <c r="K285" s="458"/>
      <c r="L285" s="193"/>
      <c r="M285" s="377"/>
      <c r="O285" s="772"/>
      <c r="P285" s="157"/>
      <c r="Q285" s="404"/>
      <c r="R285" s="148"/>
      <c r="S285" s="242"/>
      <c r="T285" s="242"/>
      <c r="U285" s="242"/>
      <c r="V285" s="242"/>
      <c r="W285" s="242"/>
      <c r="X285" s="242"/>
      <c r="Y285" s="148"/>
      <c r="Z285" s="148"/>
    </row>
    <row r="286">
      <c r="C286" s="561" t="s">
        <v>767</v>
      </c>
      <c r="D286" s="157"/>
      <c r="E286" s="228"/>
      <c r="F286" s="760"/>
      <c r="G286" s="578"/>
      <c r="H286" s="419"/>
      <c r="I286" s="239"/>
      <c r="J286" s="433" t="s">
        <v>217</v>
      </c>
      <c r="K286" s="458"/>
      <c r="L286" s="150"/>
      <c r="M286" s="377"/>
      <c r="O286" s="772"/>
      <c r="P286" s="157"/>
      <c r="Q286" s="404"/>
      <c r="R286" s="148"/>
      <c r="S286" s="242"/>
      <c r="T286" s="242"/>
      <c r="U286" s="242"/>
      <c r="V286" s="242"/>
      <c r="W286" s="242"/>
      <c r="X286" s="242"/>
      <c r="Y286" s="148"/>
      <c r="Z286" s="148"/>
    </row>
    <row r="287">
      <c r="A287" s="57"/>
      <c r="B287" s="57"/>
      <c r="C287" s="561" t="s">
        <v>768</v>
      </c>
      <c r="D287" s="423"/>
      <c r="E287" s="228"/>
      <c r="F287" s="760"/>
      <c r="G287" s="578"/>
      <c r="H287" s="419"/>
      <c r="I287" s="239"/>
      <c r="J287" s="109"/>
      <c r="K287" s="420"/>
      <c r="L287" s="193"/>
      <c r="M287" s="374"/>
      <c r="O287" s="772"/>
      <c r="P287" s="157"/>
      <c r="Q287" s="404"/>
      <c r="R287" s="148"/>
      <c r="S287" s="242"/>
      <c r="T287" s="242"/>
      <c r="U287" s="242"/>
      <c r="V287" s="242"/>
      <c r="W287" s="242"/>
      <c r="X287" s="242"/>
      <c r="Y287" s="148"/>
      <c r="Z287" s="148"/>
    </row>
    <row r="288">
      <c r="A288" s="57"/>
      <c r="B288" s="57"/>
      <c r="C288" s="561" t="s">
        <v>769</v>
      </c>
      <c r="D288" s="157"/>
      <c r="E288" s="228"/>
      <c r="F288" s="760"/>
      <c r="G288" s="578"/>
      <c r="H288" s="419"/>
      <c r="I288" s="239"/>
      <c r="J288" s="456" t="s">
        <v>672</v>
      </c>
      <c r="K288" s="420"/>
      <c r="L288" s="150"/>
      <c r="M288" s="377"/>
      <c r="O288" s="772"/>
      <c r="P288" s="157"/>
      <c r="Q288" s="404"/>
      <c r="R288" s="148"/>
      <c r="S288" s="242"/>
      <c r="T288" s="242"/>
      <c r="U288" s="242"/>
      <c r="V288" s="242"/>
      <c r="W288" s="242"/>
      <c r="X288" s="242"/>
      <c r="Y288" s="148"/>
      <c r="Z288" s="148"/>
    </row>
    <row r="289">
      <c r="A289" s="57"/>
      <c r="B289" s="57"/>
      <c r="C289" s="561" t="s">
        <v>770</v>
      </c>
      <c r="D289" s="423"/>
      <c r="E289" s="228"/>
      <c r="F289" s="760"/>
      <c r="G289" s="578"/>
      <c r="H289" s="419"/>
      <c r="I289" s="57"/>
      <c r="J289" s="456" t="s">
        <v>675</v>
      </c>
      <c r="K289" s="420"/>
      <c r="L289" s="150"/>
      <c r="M289" s="382"/>
      <c r="O289" s="772"/>
      <c r="P289" s="157"/>
      <c r="Q289" s="404"/>
      <c r="R289" s="148"/>
      <c r="S289" s="242"/>
      <c r="T289" s="242"/>
      <c r="U289" s="242"/>
      <c r="V289" s="242"/>
      <c r="W289" s="242"/>
      <c r="X289" s="242"/>
      <c r="Y289" s="148"/>
      <c r="Z289" s="148"/>
    </row>
    <row r="290">
      <c r="A290" s="238" t="s">
        <v>1502</v>
      </c>
      <c r="B290" s="57"/>
      <c r="C290" s="561" t="s">
        <v>793</v>
      </c>
      <c r="D290" s="423">
        <v>52.0</v>
      </c>
      <c r="E290" s="228"/>
      <c r="F290" s="760"/>
      <c r="G290" s="579"/>
      <c r="H290" s="419"/>
      <c r="I290" s="57"/>
      <c r="J290" s="456"/>
      <c r="K290" s="420"/>
      <c r="L290" s="150"/>
      <c r="M290" s="425"/>
      <c r="O290" s="772"/>
      <c r="P290" s="157"/>
      <c r="Q290" s="404"/>
      <c r="R290" s="148"/>
      <c r="S290" s="242"/>
      <c r="T290" s="242"/>
      <c r="U290" s="242"/>
      <c r="V290" s="242"/>
      <c r="W290" s="242"/>
      <c r="X290" s="242"/>
      <c r="Y290" s="148"/>
      <c r="Z290" s="148"/>
    </row>
    <row r="291">
      <c r="A291" s="239"/>
      <c r="B291" s="57"/>
      <c r="C291" s="561" t="s">
        <v>794</v>
      </c>
      <c r="D291" s="423"/>
      <c r="E291" s="228"/>
      <c r="F291" s="760"/>
      <c r="G291" s="578"/>
      <c r="H291" s="419"/>
      <c r="I291" s="57"/>
      <c r="J291" s="375"/>
      <c r="K291" s="420"/>
      <c r="L291" s="150"/>
      <c r="M291" s="425"/>
      <c r="O291" s="772"/>
      <c r="P291" s="157"/>
      <c r="Q291" s="404"/>
      <c r="R291" s="148"/>
      <c r="S291" s="242"/>
      <c r="T291" s="242"/>
      <c r="U291" s="242"/>
      <c r="V291" s="242"/>
      <c r="W291" s="242"/>
      <c r="X291" s="242"/>
      <c r="Y291" s="148"/>
      <c r="Z291" s="148"/>
    </row>
    <row r="292">
      <c r="A292" s="239"/>
      <c r="B292" s="57"/>
      <c r="C292" s="561" t="s">
        <v>18</v>
      </c>
      <c r="D292" s="423"/>
      <c r="E292" s="228"/>
      <c r="F292" s="760"/>
      <c r="G292" s="578"/>
      <c r="H292" s="419"/>
      <c r="I292" s="57"/>
      <c r="J292" s="375"/>
      <c r="K292" s="420"/>
      <c r="L292" s="193"/>
      <c r="M292" s="382"/>
      <c r="O292" s="772"/>
      <c r="P292" s="157"/>
      <c r="Q292" s="404"/>
      <c r="R292" s="148"/>
      <c r="S292" s="242"/>
      <c r="T292" s="242"/>
      <c r="U292" s="242"/>
      <c r="V292" s="242"/>
      <c r="W292" s="242"/>
      <c r="X292" s="242"/>
      <c r="Y292" s="148"/>
      <c r="Z292" s="148"/>
    </row>
    <row r="293">
      <c r="A293" s="239"/>
      <c r="B293" s="57"/>
      <c r="C293" s="563" t="s">
        <v>1115</v>
      </c>
      <c r="D293" s="423"/>
      <c r="E293" s="228"/>
      <c r="F293" s="760"/>
      <c r="G293" s="579"/>
      <c r="H293" s="419"/>
      <c r="I293" s="57"/>
      <c r="J293" s="452"/>
      <c r="K293" s="420"/>
      <c r="L293" s="150"/>
      <c r="M293" s="425"/>
      <c r="O293" s="772"/>
      <c r="P293" s="157"/>
      <c r="Q293" s="404"/>
      <c r="R293" s="148"/>
      <c r="S293" s="242"/>
      <c r="T293" s="242"/>
      <c r="U293" s="242"/>
      <c r="V293" s="242"/>
      <c r="W293" s="242"/>
      <c r="X293" s="242"/>
      <c r="Y293" s="148"/>
      <c r="Z293" s="148"/>
    </row>
    <row r="294">
      <c r="A294" s="57"/>
      <c r="B294" s="57"/>
      <c r="C294" s="561" t="s">
        <v>1116</v>
      </c>
      <c r="D294" s="423"/>
      <c r="E294" s="228"/>
      <c r="F294" s="760"/>
      <c r="G294" s="578"/>
      <c r="H294" s="419"/>
      <c r="I294" s="57"/>
      <c r="J294" s="105"/>
      <c r="K294" s="420"/>
      <c r="L294" s="193"/>
      <c r="M294" s="425"/>
      <c r="O294" s="772"/>
      <c r="P294" s="157"/>
      <c r="Q294" s="404"/>
      <c r="R294" s="148"/>
      <c r="S294" s="242"/>
      <c r="T294" s="242"/>
      <c r="U294" s="242"/>
      <c r="V294" s="242"/>
      <c r="W294" s="242"/>
      <c r="X294" s="242"/>
      <c r="Y294" s="148"/>
      <c r="Z294" s="148"/>
    </row>
    <row r="295">
      <c r="A295" s="238" t="s">
        <v>1503</v>
      </c>
      <c r="B295" s="239"/>
      <c r="C295" s="561" t="s">
        <v>775</v>
      </c>
      <c r="D295" s="423">
        <v>154.0</v>
      </c>
      <c r="E295" s="228"/>
      <c r="F295" s="760"/>
      <c r="G295" s="578"/>
      <c r="H295" s="419"/>
      <c r="I295" s="57"/>
      <c r="J295" s="378" t="s">
        <v>682</v>
      </c>
      <c r="K295" s="420"/>
      <c r="L295" s="193">
        <v>225.0</v>
      </c>
      <c r="M295" s="377" t="s">
        <v>1504</v>
      </c>
      <c r="O295" s="772"/>
      <c r="P295" s="157"/>
      <c r="Q295" s="404"/>
      <c r="R295" s="148"/>
      <c r="S295" s="242"/>
      <c r="T295" s="242"/>
      <c r="U295" s="242"/>
      <c r="V295" s="242"/>
      <c r="W295" s="242"/>
      <c r="X295" s="242"/>
      <c r="Y295" s="148"/>
      <c r="Z295" s="148"/>
    </row>
    <row r="296">
      <c r="A296" s="239"/>
      <c r="B296" s="239"/>
      <c r="C296" s="561" t="s">
        <v>10</v>
      </c>
      <c r="D296" s="157"/>
      <c r="E296" s="206"/>
      <c r="F296" s="765"/>
      <c r="G296" s="581"/>
      <c r="H296" s="419"/>
      <c r="I296" s="57"/>
      <c r="J296" s="461" t="s">
        <v>684</v>
      </c>
      <c r="K296" s="420"/>
      <c r="L296" s="193"/>
      <c r="M296" s="377"/>
      <c r="O296" s="772"/>
      <c r="P296" s="157"/>
      <c r="Q296" s="404"/>
      <c r="R296" s="148"/>
      <c r="S296" s="242"/>
      <c r="T296" s="242"/>
      <c r="U296" s="242"/>
      <c r="V296" s="242"/>
      <c r="W296" s="242"/>
      <c r="X296" s="242"/>
      <c r="Y296" s="148"/>
      <c r="Z296" s="148"/>
    </row>
    <row r="297">
      <c r="A297" s="239"/>
      <c r="B297" s="239"/>
      <c r="C297" s="561" t="s">
        <v>6</v>
      </c>
      <c r="D297" s="157"/>
      <c r="E297" s="206"/>
      <c r="F297" s="760"/>
      <c r="G297" s="579"/>
      <c r="H297" s="455"/>
      <c r="I297" s="57"/>
      <c r="J297" s="461" t="s">
        <v>686</v>
      </c>
      <c r="K297" s="420"/>
      <c r="L297" s="150"/>
      <c r="M297" s="374"/>
      <c r="O297" s="776"/>
      <c r="P297" s="157"/>
      <c r="Q297" s="404"/>
      <c r="R297" s="148"/>
      <c r="S297" s="242"/>
      <c r="T297" s="242"/>
      <c r="U297" s="242"/>
      <c r="V297" s="242"/>
      <c r="W297" s="242"/>
      <c r="X297" s="242"/>
      <c r="Y297" s="148"/>
      <c r="Z297" s="148"/>
    </row>
    <row r="298">
      <c r="A298" s="57"/>
      <c r="B298" s="57"/>
      <c r="C298" s="561" t="s">
        <v>779</v>
      </c>
      <c r="D298" s="157"/>
      <c r="E298" s="228"/>
      <c r="F298" s="760"/>
      <c r="G298" s="579"/>
      <c r="H298" s="455"/>
      <c r="I298" s="239"/>
      <c r="J298" s="460" t="s">
        <v>202</v>
      </c>
      <c r="K298" s="420"/>
      <c r="L298" s="193"/>
      <c r="M298" s="377"/>
      <c r="O298" s="776"/>
      <c r="P298" s="157"/>
      <c r="Q298" s="404"/>
      <c r="R298" s="148"/>
      <c r="S298" s="242"/>
      <c r="T298" s="242"/>
      <c r="U298" s="242"/>
      <c r="V298" s="242"/>
      <c r="W298" s="242"/>
      <c r="X298" s="242"/>
      <c r="Y298" s="148"/>
      <c r="Z298" s="148"/>
    </row>
    <row r="299">
      <c r="A299" s="239"/>
      <c r="B299" s="239"/>
      <c r="C299" s="561" t="s">
        <v>780</v>
      </c>
      <c r="D299" s="157"/>
      <c r="E299" s="228"/>
      <c r="F299" s="760"/>
      <c r="G299" s="579"/>
      <c r="H299" s="455"/>
      <c r="I299" s="57"/>
      <c r="J299" s="460" t="s">
        <v>274</v>
      </c>
      <c r="K299" s="420"/>
      <c r="L299" s="193"/>
      <c r="M299" s="374"/>
      <c r="O299" s="776"/>
      <c r="P299" s="157"/>
      <c r="Q299" s="404"/>
      <c r="R299" s="148"/>
      <c r="S299" s="242"/>
      <c r="T299" s="242"/>
      <c r="U299" s="242"/>
      <c r="V299" s="242"/>
      <c r="W299" s="242"/>
      <c r="X299" s="242"/>
      <c r="Y299" s="148"/>
      <c r="Z299" s="148"/>
    </row>
    <row r="300">
      <c r="A300" s="239"/>
      <c r="B300" s="239"/>
      <c r="C300" s="561" t="s">
        <v>781</v>
      </c>
      <c r="D300" s="423"/>
      <c r="E300" s="228"/>
      <c r="F300" s="760"/>
      <c r="G300" s="579"/>
      <c r="H300" s="419"/>
      <c r="I300" s="239"/>
      <c r="J300" s="685" t="s">
        <v>1117</v>
      </c>
      <c r="K300" s="420"/>
      <c r="L300" s="150"/>
      <c r="M300" s="374"/>
      <c r="O300" s="772"/>
      <c r="P300" s="157"/>
      <c r="Q300" s="404"/>
      <c r="R300" s="148"/>
      <c r="S300" s="242"/>
      <c r="T300" s="242"/>
      <c r="U300" s="242"/>
      <c r="V300" s="242"/>
      <c r="W300" s="242"/>
      <c r="X300" s="242"/>
      <c r="Y300" s="148"/>
      <c r="Z300" s="148"/>
    </row>
    <row r="301">
      <c r="A301" s="239"/>
      <c r="B301" s="157"/>
      <c r="C301" s="561" t="s">
        <v>1118</v>
      </c>
      <c r="D301" s="157"/>
      <c r="E301" s="569"/>
      <c r="F301" s="760"/>
      <c r="G301" s="578"/>
      <c r="H301" s="419"/>
      <c r="I301" s="57"/>
      <c r="J301" s="685" t="s">
        <v>1119</v>
      </c>
      <c r="K301" s="420"/>
      <c r="L301" s="193"/>
      <c r="M301" s="374"/>
      <c r="O301" s="772"/>
      <c r="P301" s="157"/>
      <c r="Q301" s="404"/>
      <c r="R301" s="148"/>
      <c r="S301" s="242"/>
      <c r="T301" s="242"/>
      <c r="U301" s="242"/>
      <c r="V301" s="242"/>
      <c r="W301" s="242"/>
      <c r="X301" s="242"/>
      <c r="Y301" s="148"/>
      <c r="Z301" s="148"/>
    </row>
    <row r="302">
      <c r="A302" s="239"/>
      <c r="B302" s="157"/>
      <c r="C302" s="561" t="s">
        <v>1120</v>
      </c>
      <c r="D302" s="157"/>
      <c r="E302" s="228"/>
      <c r="F302" s="760"/>
      <c r="G302" s="578"/>
      <c r="H302" s="419"/>
      <c r="I302" s="239"/>
      <c r="J302" s="596" t="s">
        <v>1001</v>
      </c>
      <c r="K302" s="420"/>
      <c r="L302" s="193"/>
      <c r="M302" s="377"/>
      <c r="O302" s="772"/>
      <c r="P302" s="157"/>
      <c r="Q302" s="404"/>
      <c r="R302" s="148"/>
      <c r="S302" s="242"/>
      <c r="T302" s="242"/>
      <c r="U302" s="242"/>
      <c r="V302" s="242"/>
      <c r="W302" s="242"/>
      <c r="X302" s="242"/>
      <c r="Y302" s="148"/>
      <c r="Z302" s="148"/>
    </row>
    <row r="303">
      <c r="A303" s="239"/>
      <c r="B303" s="157"/>
      <c r="C303" s="561"/>
      <c r="D303" s="157"/>
      <c r="E303" s="570"/>
      <c r="F303" s="760"/>
      <c r="G303" s="578"/>
      <c r="H303" s="419"/>
      <c r="I303" s="239"/>
      <c r="J303" s="568"/>
      <c r="K303" s="420"/>
      <c r="L303" s="193"/>
      <c r="M303" s="374"/>
      <c r="O303" s="772"/>
      <c r="P303" s="157"/>
      <c r="Q303" s="404"/>
      <c r="R303" s="148"/>
      <c r="S303" s="242"/>
      <c r="T303" s="242"/>
      <c r="U303" s="242"/>
      <c r="V303" s="242"/>
      <c r="W303" s="242"/>
      <c r="X303" s="242"/>
      <c r="Y303" s="148"/>
      <c r="Z303" s="148"/>
    </row>
    <row r="304">
      <c r="C304" s="571"/>
      <c r="D304" s="157"/>
      <c r="E304" s="570"/>
      <c r="F304" s="760"/>
      <c r="G304" s="578"/>
      <c r="H304" s="419"/>
      <c r="I304" s="239"/>
      <c r="J304" s="464" t="s">
        <v>692</v>
      </c>
      <c r="K304" s="420"/>
      <c r="L304" s="150"/>
      <c r="M304" s="377"/>
      <c r="O304" s="772"/>
      <c r="P304" s="157"/>
      <c r="Q304" s="404"/>
      <c r="R304" s="148"/>
      <c r="S304" s="242"/>
      <c r="T304" s="242"/>
      <c r="U304" s="242"/>
      <c r="V304" s="242"/>
      <c r="W304" s="242"/>
      <c r="X304" s="242"/>
      <c r="Y304" s="148"/>
      <c r="Z304" s="148"/>
    </row>
    <row r="305">
      <c r="C305" s="571"/>
      <c r="D305" s="157"/>
      <c r="E305" s="570"/>
      <c r="F305" s="760"/>
      <c r="G305" s="578"/>
      <c r="H305" s="419"/>
      <c r="I305" s="239"/>
      <c r="J305" s="464" t="s">
        <v>694</v>
      </c>
      <c r="K305" s="420"/>
      <c r="L305" s="193"/>
      <c r="M305" s="374"/>
      <c r="O305" s="772"/>
      <c r="P305" s="157"/>
      <c r="Q305" s="404"/>
      <c r="R305" s="148"/>
      <c r="S305" s="242"/>
      <c r="T305" s="242"/>
      <c r="U305" s="242"/>
      <c r="V305" s="242"/>
      <c r="W305" s="242"/>
      <c r="X305" s="242"/>
      <c r="Y305" s="148"/>
      <c r="Z305" s="148"/>
    </row>
    <row r="306">
      <c r="C306" s="571"/>
      <c r="D306" s="423"/>
      <c r="E306" s="570"/>
      <c r="F306" s="758"/>
      <c r="G306" s="578"/>
      <c r="H306" s="419"/>
      <c r="I306" s="57"/>
      <c r="J306" s="105"/>
      <c r="K306" s="57"/>
      <c r="L306" s="150"/>
      <c r="M306" s="57"/>
      <c r="N306" s="57"/>
      <c r="O306" s="105"/>
      <c r="P306" s="157"/>
      <c r="Q306" s="404"/>
      <c r="R306" s="148"/>
      <c r="S306" s="242"/>
      <c r="T306" s="242"/>
      <c r="U306" s="242"/>
      <c r="V306" s="242"/>
      <c r="W306" s="242"/>
      <c r="X306" s="242"/>
      <c r="Y306" s="148"/>
      <c r="Z306" s="148"/>
    </row>
    <row r="307">
      <c r="A307" s="125" t="s">
        <v>798</v>
      </c>
      <c r="B307" s="572">
        <f>C280-B284</f>
        <v>-595</v>
      </c>
      <c r="D307" s="157"/>
      <c r="E307" s="570"/>
      <c r="F307" s="767"/>
      <c r="G307" s="581"/>
      <c r="H307" s="419"/>
      <c r="I307" s="239"/>
      <c r="J307" s="568"/>
      <c r="K307" s="57"/>
      <c r="L307" s="150"/>
      <c r="M307" s="57"/>
      <c r="N307" s="57"/>
      <c r="O307" s="105"/>
      <c r="P307" s="157"/>
      <c r="Q307" s="404"/>
      <c r="R307" s="148"/>
      <c r="S307" s="242"/>
      <c r="T307" s="242"/>
      <c r="U307" s="242"/>
      <c r="V307" s="242"/>
      <c r="W307" s="242"/>
      <c r="X307" s="242"/>
      <c r="Y307" s="148"/>
      <c r="Z307" s="148"/>
    </row>
    <row r="308">
      <c r="A308" s="274" t="s">
        <v>783</v>
      </c>
      <c r="B308" s="109"/>
      <c r="C308" s="395"/>
      <c r="D308" s="157"/>
      <c r="E308" s="570"/>
      <c r="F308" s="767"/>
      <c r="G308" s="581"/>
      <c r="H308" s="419"/>
      <c r="I308" s="239"/>
      <c r="J308" s="568"/>
      <c r="K308" s="57"/>
      <c r="L308" s="150"/>
      <c r="M308" s="57"/>
      <c r="N308" s="57"/>
      <c r="O308" s="105"/>
      <c r="P308" s="157"/>
      <c r="Q308" s="404"/>
      <c r="R308" s="148"/>
      <c r="S308" s="242"/>
      <c r="T308" s="242"/>
      <c r="U308" s="242"/>
      <c r="V308" s="242"/>
      <c r="W308" s="242"/>
      <c r="X308" s="242"/>
      <c r="Y308" s="148"/>
      <c r="Z308" s="148"/>
    </row>
    <row r="309">
      <c r="A309" s="274" t="s">
        <v>784</v>
      </c>
      <c r="B309" s="109"/>
      <c r="C309" s="395"/>
      <c r="D309" s="157"/>
      <c r="E309" s="570"/>
      <c r="F309" s="767"/>
      <c r="G309" s="581"/>
      <c r="H309" s="419"/>
      <c r="I309" s="239"/>
      <c r="J309" s="568"/>
      <c r="K309" s="57"/>
      <c r="L309" s="150"/>
      <c r="M309" s="57"/>
      <c r="N309" s="57"/>
      <c r="O309" s="105"/>
      <c r="P309" s="157"/>
      <c r="Q309" s="404"/>
      <c r="R309" s="148"/>
      <c r="S309" s="242"/>
      <c r="T309" s="242"/>
      <c r="U309" s="242"/>
      <c r="V309" s="242"/>
      <c r="W309" s="242"/>
      <c r="X309" s="242"/>
      <c r="Y309" s="148"/>
      <c r="Z309" s="148"/>
    </row>
    <row r="310">
      <c r="A310" s="274" t="s">
        <v>785</v>
      </c>
      <c r="B310" s="109"/>
      <c r="C310" s="686">
        <f>SUM(B308:B310)</f>
        <v>0</v>
      </c>
      <c r="D310" s="157"/>
      <c r="E310" s="570"/>
      <c r="F310" s="767"/>
      <c r="G310" s="581"/>
      <c r="H310" s="419"/>
      <c r="I310" s="239"/>
      <c r="J310" s="568"/>
      <c r="K310" s="57"/>
      <c r="L310" s="150"/>
      <c r="M310" s="57"/>
      <c r="N310" s="57"/>
      <c r="O310" s="105"/>
      <c r="P310" s="157"/>
      <c r="Q310" s="404"/>
      <c r="R310" s="148"/>
      <c r="S310" s="242"/>
      <c r="T310" s="242"/>
      <c r="U310" s="242"/>
      <c r="V310" s="242"/>
      <c r="W310" s="242"/>
      <c r="X310" s="242"/>
      <c r="Y310" s="148"/>
      <c r="Z310" s="148"/>
    </row>
    <row r="311">
      <c r="A311" s="402"/>
      <c r="B311" s="403"/>
      <c r="C311" s="403"/>
      <c r="D311" s="403"/>
      <c r="E311" s="574"/>
      <c r="F311" s="768"/>
      <c r="G311" s="576"/>
      <c r="H311" s="159"/>
      <c r="I311" s="159"/>
      <c r="J311" s="576"/>
      <c r="K311" s="159"/>
      <c r="L311" s="162"/>
      <c r="M311" s="402"/>
      <c r="N311" s="402"/>
      <c r="O311" s="576"/>
      <c r="P311" s="403"/>
      <c r="Q311" s="577"/>
      <c r="R311" s="148"/>
      <c r="S311" s="242"/>
      <c r="T311" s="242"/>
      <c r="U311" s="242"/>
      <c r="V311" s="242"/>
      <c r="W311" s="242"/>
      <c r="X311" s="242"/>
      <c r="Y311" s="148"/>
      <c r="Z311" s="148"/>
    </row>
    <row r="312">
      <c r="A312" s="148"/>
      <c r="B312" s="148"/>
      <c r="C312" s="148"/>
      <c r="D312" s="245"/>
      <c r="E312" s="585"/>
      <c r="F312" s="777"/>
      <c r="G312" s="243"/>
      <c r="H312" s="148"/>
      <c r="I312" s="251"/>
      <c r="J312" s="243"/>
      <c r="K312" s="148"/>
      <c r="L312" s="277"/>
      <c r="M312" s="252"/>
      <c r="N312" s="250"/>
      <c r="O312" s="323"/>
      <c r="P312" s="240"/>
      <c r="Q312" s="148"/>
      <c r="R312" s="148"/>
      <c r="S312" s="242"/>
      <c r="T312" s="242"/>
      <c r="U312" s="242"/>
      <c r="V312" s="242"/>
      <c r="W312" s="242"/>
      <c r="X312" s="242"/>
      <c r="Y312" s="148"/>
      <c r="Z312" s="148"/>
    </row>
    <row r="313">
      <c r="A313" s="169" t="s">
        <v>150</v>
      </c>
      <c r="B313" s="539"/>
      <c r="C313" s="540"/>
      <c r="D313" s="405"/>
      <c r="E313" s="541"/>
      <c r="F313" s="755"/>
      <c r="G313" s="467" t="s">
        <v>333</v>
      </c>
      <c r="H313" s="361"/>
      <c r="I313" s="57"/>
      <c r="J313" s="105"/>
      <c r="K313" s="57"/>
      <c r="L313" s="150"/>
      <c r="M313" s="239"/>
      <c r="N313" s="239"/>
      <c r="O313" s="105"/>
      <c r="P313" s="157"/>
      <c r="Q313" s="404"/>
      <c r="R313" s="148"/>
      <c r="S313" s="242"/>
      <c r="T313" s="242"/>
      <c r="U313" s="242"/>
      <c r="V313" s="242"/>
      <c r="W313" s="242"/>
      <c r="X313" s="242"/>
      <c r="Y313" s="148"/>
      <c r="Z313" s="148"/>
    </row>
    <row r="314">
      <c r="A314" s="468"/>
      <c r="B314" s="157"/>
      <c r="C314" s="466"/>
      <c r="D314" s="405"/>
      <c r="E314" s="543" t="s">
        <v>335</v>
      </c>
      <c r="F314" s="756" t="s">
        <v>237</v>
      </c>
      <c r="G314" s="412" t="s">
        <v>336</v>
      </c>
      <c r="H314" s="413" t="s">
        <v>337</v>
      </c>
      <c r="I314" s="239"/>
      <c r="J314" s="145" t="s">
        <v>60</v>
      </c>
      <c r="K314" s="57"/>
      <c r="L314" s="150"/>
      <c r="M314" s="414"/>
      <c r="N314" s="414"/>
      <c r="O314" s="395" t="s">
        <v>334</v>
      </c>
      <c r="P314" s="157"/>
      <c r="Q314" s="404"/>
      <c r="R314" s="148"/>
      <c r="S314" s="242"/>
      <c r="T314" s="242"/>
      <c r="U314" s="242"/>
      <c r="V314" s="242"/>
      <c r="W314" s="242"/>
      <c r="X314" s="242"/>
      <c r="Y314" s="148"/>
      <c r="Z314" s="148"/>
    </row>
    <row r="315">
      <c r="A315" s="470" t="s">
        <v>179</v>
      </c>
      <c r="C315" s="416">
        <f>SUM(F315:F349)</f>
        <v>9020</v>
      </c>
      <c r="D315" s="405"/>
      <c r="E315" s="545"/>
      <c r="F315" s="758"/>
      <c r="G315" s="578"/>
      <c r="H315" s="419"/>
      <c r="I315" s="57"/>
      <c r="K315" s="57"/>
      <c r="L315" s="150"/>
      <c r="M315" s="377" t="s">
        <v>366</v>
      </c>
      <c r="P315" s="157"/>
      <c r="Q315" s="404"/>
      <c r="R315" s="148"/>
      <c r="S315" s="242"/>
      <c r="T315" s="242"/>
      <c r="U315" s="242"/>
      <c r="V315" s="242"/>
      <c r="W315" s="242"/>
      <c r="X315" s="242"/>
      <c r="Y315" s="148"/>
      <c r="Z315" s="148"/>
    </row>
    <row r="316">
      <c r="A316" s="421" t="s">
        <v>343</v>
      </c>
      <c r="B316" s="422" t="s">
        <v>321</v>
      </c>
      <c r="C316" s="416">
        <f>SUM(P316:P349)</f>
        <v>2267.6</v>
      </c>
      <c r="D316" s="157"/>
      <c r="E316" s="545"/>
      <c r="F316" s="758"/>
      <c r="G316" s="578"/>
      <c r="H316" s="419"/>
      <c r="I316" s="239"/>
      <c r="J316" s="471" t="s">
        <v>341</v>
      </c>
      <c r="K316" s="420"/>
      <c r="L316" s="150"/>
      <c r="M316" s="374"/>
      <c r="O316" s="787" t="s">
        <v>1505</v>
      </c>
      <c r="P316" s="423">
        <v>67.6</v>
      </c>
      <c r="Q316" s="404"/>
      <c r="R316" s="148"/>
      <c r="S316" s="242"/>
      <c r="T316" s="242"/>
      <c r="U316" s="242"/>
      <c r="V316" s="242"/>
      <c r="W316" s="242"/>
      <c r="X316" s="242"/>
      <c r="Y316" s="148"/>
      <c r="Z316" s="148"/>
    </row>
    <row r="317">
      <c r="A317" s="427" t="s">
        <v>201</v>
      </c>
      <c r="C317" s="204">
        <f>SUM(L316:L349)</f>
        <v>2517.79</v>
      </c>
      <c r="D317" s="157"/>
      <c r="E317" s="545"/>
      <c r="F317" s="758"/>
      <c r="G317" s="578"/>
      <c r="H317" s="419"/>
      <c r="I317" s="239"/>
      <c r="J317" s="472" t="s">
        <v>345</v>
      </c>
      <c r="K317" s="420"/>
      <c r="L317" s="150"/>
      <c r="M317" s="374"/>
      <c r="O317" s="787" t="s">
        <v>1282</v>
      </c>
      <c r="P317" s="423">
        <v>2080.0</v>
      </c>
      <c r="Q317" s="404"/>
      <c r="R317" s="148"/>
      <c r="S317" s="242"/>
      <c r="T317" s="242"/>
      <c r="U317" s="242"/>
      <c r="V317" s="242"/>
      <c r="W317" s="242"/>
      <c r="X317" s="242"/>
      <c r="Y317" s="148"/>
      <c r="Z317" s="148"/>
    </row>
    <row r="318">
      <c r="A318" s="548" t="s">
        <v>761</v>
      </c>
      <c r="B318" s="549">
        <v>0.4</v>
      </c>
      <c r="C318" s="191"/>
      <c r="D318" s="157"/>
      <c r="E318" s="550" t="s">
        <v>695</v>
      </c>
      <c r="F318" s="758"/>
      <c r="G318" s="562"/>
      <c r="H318" s="419"/>
      <c r="I318" s="239"/>
      <c r="J318" s="433" t="s">
        <v>656</v>
      </c>
      <c r="K318" s="420"/>
      <c r="L318" s="193">
        <v>150.79</v>
      </c>
      <c r="M318" s="377" t="s">
        <v>1506</v>
      </c>
      <c r="O318" s="787" t="s">
        <v>1507</v>
      </c>
      <c r="P318" s="423">
        <v>120.0</v>
      </c>
      <c r="Q318" s="404"/>
      <c r="R318" s="148"/>
      <c r="S318" s="242"/>
      <c r="T318" s="242"/>
      <c r="U318" s="242"/>
      <c r="V318" s="242"/>
      <c r="W318" s="242"/>
      <c r="X318" s="242"/>
      <c r="Y318" s="148"/>
      <c r="Z318" s="148"/>
    </row>
    <row r="319">
      <c r="A319" s="434" t="s">
        <v>350</v>
      </c>
      <c r="C319" s="551">
        <f>C315-C317-C318</f>
        <v>6502.21</v>
      </c>
      <c r="D319" s="157"/>
      <c r="E319" s="192" t="s">
        <v>1318</v>
      </c>
      <c r="F319" s="758">
        <v>550.0</v>
      </c>
      <c r="G319" s="579"/>
      <c r="H319" s="419"/>
      <c r="I319" s="57"/>
      <c r="J319" s="444" t="s">
        <v>658</v>
      </c>
      <c r="K319" s="420"/>
      <c r="L319" s="193">
        <v>55.0</v>
      </c>
      <c r="M319" s="377"/>
      <c r="O319" s="788"/>
      <c r="P319" s="157"/>
      <c r="Q319" s="404"/>
      <c r="R319" s="148"/>
      <c r="S319" s="242"/>
      <c r="T319" s="242"/>
      <c r="U319" s="242"/>
      <c r="V319" s="242"/>
      <c r="W319" s="242"/>
      <c r="X319" s="242"/>
      <c r="Y319" s="148"/>
      <c r="Z319" s="148"/>
    </row>
    <row r="320">
      <c r="A320" s="554"/>
      <c r="B320" s="555"/>
      <c r="C320" s="447"/>
      <c r="D320" s="157"/>
      <c r="E320" s="192" t="s">
        <v>1508</v>
      </c>
      <c r="F320" s="789">
        <v>65.0</v>
      </c>
      <c r="G320" s="558" t="s">
        <v>426</v>
      </c>
      <c r="H320" s="419"/>
      <c r="I320" s="57"/>
      <c r="J320" s="444" t="s">
        <v>660</v>
      </c>
      <c r="K320" s="420"/>
      <c r="L320" s="193">
        <v>120.0</v>
      </c>
      <c r="M320" s="377"/>
      <c r="O320" s="788"/>
      <c r="P320" s="157"/>
      <c r="Q320" s="404"/>
      <c r="R320" s="148"/>
      <c r="S320" s="242"/>
      <c r="T320" s="242"/>
      <c r="U320" s="242"/>
      <c r="V320" s="242"/>
      <c r="W320" s="242"/>
      <c r="X320" s="242"/>
      <c r="Y320" s="148"/>
      <c r="Z320" s="148"/>
    </row>
    <row r="321">
      <c r="A321" s="556"/>
      <c r="C321" s="395"/>
      <c r="D321" s="157"/>
      <c r="E321" s="192" t="s">
        <v>1282</v>
      </c>
      <c r="F321" s="758">
        <v>2080.0</v>
      </c>
      <c r="G321" s="677" t="s">
        <v>426</v>
      </c>
      <c r="H321" s="419"/>
      <c r="I321" s="239"/>
      <c r="J321" s="370" t="s">
        <v>662</v>
      </c>
      <c r="K321" s="420"/>
      <c r="L321" s="193"/>
      <c r="M321" s="374"/>
      <c r="O321" s="788"/>
      <c r="P321" s="157"/>
      <c r="Q321" s="404"/>
      <c r="R321" s="148"/>
      <c r="S321" s="242"/>
      <c r="T321" s="242"/>
      <c r="U321" s="242"/>
      <c r="V321" s="242"/>
      <c r="W321" s="242"/>
      <c r="X321" s="242"/>
      <c r="Y321" s="148"/>
      <c r="Z321" s="148"/>
    </row>
    <row r="322">
      <c r="A322" s="557"/>
      <c r="B322" s="109"/>
      <c r="C322" s="395"/>
      <c r="D322" s="373"/>
      <c r="E322" s="192" t="s">
        <v>1173</v>
      </c>
      <c r="F322" s="758">
        <v>2080.0</v>
      </c>
      <c r="G322" s="677" t="s">
        <v>426</v>
      </c>
      <c r="H322" s="419"/>
      <c r="I322" s="239"/>
      <c r="J322" s="433" t="s">
        <v>666</v>
      </c>
      <c r="K322" s="420"/>
      <c r="L322" s="150"/>
      <c r="M322" s="374"/>
      <c r="O322" s="788"/>
      <c r="P322" s="157"/>
      <c r="Q322" s="404"/>
      <c r="R322" s="148"/>
      <c r="S322" s="242"/>
      <c r="T322" s="242"/>
      <c r="U322" s="242"/>
      <c r="V322" s="242"/>
      <c r="W322" s="242"/>
      <c r="X322" s="242"/>
      <c r="Y322" s="148"/>
      <c r="Z322" s="148"/>
    </row>
    <row r="323">
      <c r="A323" s="559" t="s">
        <v>765</v>
      </c>
      <c r="B323" s="560">
        <f>SUM(D323:D349)</f>
        <v>1077</v>
      </c>
      <c r="C323" s="477" t="s">
        <v>366</v>
      </c>
      <c r="D323" s="157"/>
      <c r="E323" s="192" t="s">
        <v>873</v>
      </c>
      <c r="F323" s="758">
        <v>260.0</v>
      </c>
      <c r="G323" s="562" t="s">
        <v>426</v>
      </c>
      <c r="H323" s="419"/>
      <c r="I323" s="239"/>
      <c r="J323" s="433" t="s">
        <v>668</v>
      </c>
      <c r="K323" s="420"/>
      <c r="L323" s="150"/>
      <c r="M323" s="377"/>
      <c r="O323" s="788"/>
      <c r="P323" s="157"/>
      <c r="Q323" s="404"/>
      <c r="R323" s="148"/>
      <c r="S323" s="242"/>
      <c r="T323" s="242"/>
      <c r="U323" s="242"/>
      <c r="V323" s="242"/>
      <c r="W323" s="242"/>
      <c r="X323" s="242"/>
      <c r="Y323" s="148"/>
      <c r="Z323" s="148"/>
    </row>
    <row r="324">
      <c r="A324" s="453" t="s">
        <v>369</v>
      </c>
      <c r="C324" s="561" t="s">
        <v>766</v>
      </c>
      <c r="D324" s="423"/>
      <c r="E324" s="192" t="s">
        <v>1509</v>
      </c>
      <c r="F324" s="758">
        <v>440.0</v>
      </c>
      <c r="G324" s="578"/>
      <c r="H324" s="419"/>
      <c r="I324" s="239"/>
      <c r="J324" s="433" t="s">
        <v>670</v>
      </c>
      <c r="K324" s="458"/>
      <c r="L324" s="193">
        <v>1250.0</v>
      </c>
      <c r="M324" s="377"/>
      <c r="O324" s="788"/>
      <c r="P324" s="157"/>
      <c r="Q324" s="404"/>
      <c r="R324" s="148"/>
      <c r="S324" s="242"/>
      <c r="T324" s="242"/>
      <c r="U324" s="242"/>
      <c r="V324" s="242"/>
      <c r="W324" s="242"/>
      <c r="X324" s="242"/>
      <c r="Y324" s="148"/>
      <c r="Z324" s="148"/>
    </row>
    <row r="325">
      <c r="C325" s="561" t="s">
        <v>767</v>
      </c>
      <c r="D325" s="423"/>
      <c r="E325" s="192" t="s">
        <v>1510</v>
      </c>
      <c r="F325" s="758">
        <v>1840.0</v>
      </c>
      <c r="G325" s="677" t="s">
        <v>426</v>
      </c>
      <c r="H325" s="419"/>
      <c r="I325" s="239"/>
      <c r="J325" s="433" t="s">
        <v>217</v>
      </c>
      <c r="K325" s="458"/>
      <c r="L325" s="150"/>
      <c r="M325" s="377"/>
      <c r="O325" s="788"/>
      <c r="P325" s="157"/>
      <c r="Q325" s="404"/>
      <c r="R325" s="148"/>
      <c r="S325" s="242"/>
      <c r="T325" s="242"/>
      <c r="U325" s="242"/>
      <c r="V325" s="242"/>
      <c r="W325" s="242"/>
      <c r="X325" s="242"/>
      <c r="Y325" s="148"/>
      <c r="Z325" s="148"/>
    </row>
    <row r="326">
      <c r="A326" s="57"/>
      <c r="B326" s="57"/>
      <c r="C326" s="561" t="s">
        <v>768</v>
      </c>
      <c r="D326" s="423"/>
      <c r="E326" s="192" t="s">
        <v>424</v>
      </c>
      <c r="F326" s="758">
        <v>265.0</v>
      </c>
      <c r="G326" s="578"/>
      <c r="H326" s="419"/>
      <c r="I326" s="239"/>
      <c r="J326" s="109"/>
      <c r="K326" s="420"/>
      <c r="L326" s="193"/>
      <c r="M326" s="374"/>
      <c r="O326" s="788"/>
      <c r="P326" s="157"/>
      <c r="Q326" s="404"/>
      <c r="R326" s="148"/>
      <c r="S326" s="242"/>
      <c r="T326" s="242"/>
      <c r="U326" s="242"/>
      <c r="V326" s="242"/>
      <c r="W326" s="242"/>
      <c r="X326" s="242"/>
      <c r="Y326" s="148"/>
      <c r="Z326" s="148"/>
    </row>
    <row r="327">
      <c r="A327" s="57"/>
      <c r="B327" s="57"/>
      <c r="C327" s="561" t="s">
        <v>769</v>
      </c>
      <c r="D327" s="157"/>
      <c r="E327" s="192" t="s">
        <v>1511</v>
      </c>
      <c r="F327" s="758">
        <v>120.0</v>
      </c>
      <c r="G327" s="562"/>
      <c r="H327" s="419"/>
      <c r="I327" s="239"/>
      <c r="J327" s="456" t="s">
        <v>672</v>
      </c>
      <c r="K327" s="420"/>
      <c r="L327" s="594"/>
      <c r="M327" s="377"/>
      <c r="O327" s="788"/>
      <c r="P327" s="157"/>
      <c r="Q327" s="404"/>
      <c r="R327" s="148"/>
      <c r="S327" s="242"/>
      <c r="T327" s="242"/>
      <c r="U327" s="242"/>
      <c r="V327" s="242"/>
      <c r="W327" s="242"/>
      <c r="X327" s="242"/>
      <c r="Y327" s="148"/>
      <c r="Z327" s="148"/>
    </row>
    <row r="328">
      <c r="A328" s="57"/>
      <c r="B328" s="57"/>
      <c r="C328" s="561" t="s">
        <v>770</v>
      </c>
      <c r="D328" s="423"/>
      <c r="E328" s="192" t="s">
        <v>417</v>
      </c>
      <c r="F328" s="758">
        <v>700.0</v>
      </c>
      <c r="G328" s="578"/>
      <c r="H328" s="419"/>
      <c r="I328" s="57"/>
      <c r="J328" s="456" t="s">
        <v>675</v>
      </c>
      <c r="K328" s="420"/>
      <c r="L328" s="193">
        <v>650.0</v>
      </c>
      <c r="M328" s="382" t="s">
        <v>1512</v>
      </c>
      <c r="O328" s="788"/>
      <c r="P328" s="157"/>
      <c r="Q328" s="404"/>
      <c r="R328" s="148"/>
      <c r="S328" s="242"/>
      <c r="T328" s="242"/>
      <c r="U328" s="242"/>
      <c r="V328" s="242"/>
      <c r="W328" s="242"/>
      <c r="X328" s="242"/>
      <c r="Y328" s="148"/>
      <c r="Z328" s="148"/>
    </row>
    <row r="329">
      <c r="A329" s="238" t="s">
        <v>1513</v>
      </c>
      <c r="B329" s="57"/>
      <c r="C329" s="561" t="s">
        <v>793</v>
      </c>
      <c r="D329" s="423">
        <v>70.0</v>
      </c>
      <c r="E329" s="192" t="s">
        <v>1514</v>
      </c>
      <c r="F329" s="758">
        <v>120.0</v>
      </c>
      <c r="G329" s="558" t="s">
        <v>426</v>
      </c>
      <c r="H329" s="419"/>
      <c r="I329" s="57"/>
      <c r="J329" s="456"/>
      <c r="K329" s="420"/>
      <c r="L329" s="150"/>
      <c r="M329" s="425"/>
      <c r="O329" s="788"/>
      <c r="P329" s="157"/>
      <c r="Q329" s="404"/>
      <c r="R329" s="148"/>
      <c r="S329" s="242"/>
      <c r="T329" s="242"/>
      <c r="U329" s="242"/>
      <c r="V329" s="242"/>
      <c r="W329" s="242"/>
      <c r="X329" s="242"/>
      <c r="Y329" s="148"/>
      <c r="Z329" s="148"/>
    </row>
    <row r="330">
      <c r="A330" s="239"/>
      <c r="B330" s="57"/>
      <c r="C330" s="561" t="s">
        <v>794</v>
      </c>
      <c r="D330" s="423"/>
      <c r="E330" s="790" t="s">
        <v>1515</v>
      </c>
      <c r="F330" s="758">
        <v>500.0</v>
      </c>
      <c r="G330" s="578"/>
      <c r="H330" s="419"/>
      <c r="I330" s="57"/>
      <c r="J330" s="375"/>
      <c r="K330" s="420"/>
      <c r="L330" s="150"/>
      <c r="M330" s="425"/>
      <c r="O330" s="788"/>
      <c r="P330" s="157"/>
      <c r="Q330" s="404"/>
      <c r="R330" s="148"/>
      <c r="S330" s="242"/>
      <c r="T330" s="242"/>
      <c r="U330" s="242"/>
      <c r="V330" s="242"/>
      <c r="W330" s="242"/>
      <c r="X330" s="242"/>
      <c r="Y330" s="148"/>
      <c r="Z330" s="148"/>
    </row>
    <row r="331">
      <c r="A331" s="239"/>
      <c r="B331" s="57"/>
      <c r="C331" s="561" t="s">
        <v>18</v>
      </c>
      <c r="D331" s="423"/>
      <c r="E331" s="192"/>
      <c r="F331" s="758"/>
      <c r="G331" s="578"/>
      <c r="H331" s="419"/>
      <c r="I331" s="57"/>
      <c r="J331" s="375"/>
      <c r="K331" s="420"/>
      <c r="L331" s="193"/>
      <c r="M331" s="382"/>
      <c r="O331" s="788"/>
      <c r="P331" s="157"/>
      <c r="Q331" s="404"/>
      <c r="R331" s="148"/>
      <c r="S331" s="242"/>
      <c r="T331" s="242"/>
      <c r="U331" s="242"/>
      <c r="V331" s="242"/>
      <c r="W331" s="242"/>
      <c r="X331" s="242"/>
      <c r="Y331" s="148"/>
      <c r="Z331" s="148"/>
    </row>
    <row r="332">
      <c r="A332" s="239"/>
      <c r="B332" s="57"/>
      <c r="C332" s="563" t="s">
        <v>1115</v>
      </c>
      <c r="D332" s="157"/>
      <c r="E332" s="228"/>
      <c r="F332" s="760"/>
      <c r="G332" s="579"/>
      <c r="H332" s="419"/>
      <c r="I332" s="57"/>
      <c r="J332" s="452"/>
      <c r="K332" s="420"/>
      <c r="L332" s="150"/>
      <c r="M332" s="425"/>
      <c r="O332" s="788"/>
      <c r="P332" s="157"/>
      <c r="Q332" s="404"/>
      <c r="R332" s="148"/>
      <c r="S332" s="242"/>
      <c r="T332" s="242"/>
      <c r="U332" s="242"/>
      <c r="V332" s="242"/>
      <c r="W332" s="242"/>
      <c r="X332" s="242"/>
      <c r="Y332" s="148"/>
      <c r="Z332" s="148"/>
    </row>
    <row r="333">
      <c r="A333" s="238" t="s">
        <v>1516</v>
      </c>
      <c r="B333" s="57"/>
      <c r="C333" s="561" t="s">
        <v>1116</v>
      </c>
      <c r="D333" s="423">
        <v>297.0</v>
      </c>
      <c r="E333" s="228"/>
      <c r="F333" s="760"/>
      <c r="G333" s="578"/>
      <c r="H333" s="419"/>
      <c r="I333" s="57"/>
      <c r="J333" s="105"/>
      <c r="K333" s="420"/>
      <c r="L333" s="193"/>
      <c r="M333" s="425"/>
      <c r="O333" s="788"/>
      <c r="P333" s="157"/>
      <c r="Q333" s="404"/>
      <c r="R333" s="148"/>
      <c r="S333" s="242"/>
      <c r="T333" s="242"/>
      <c r="U333" s="242"/>
      <c r="V333" s="242"/>
      <c r="W333" s="242"/>
      <c r="X333" s="242"/>
      <c r="Y333" s="148"/>
      <c r="Z333" s="148"/>
    </row>
    <row r="334">
      <c r="A334" s="662" t="s">
        <v>1517</v>
      </c>
      <c r="B334" s="239"/>
      <c r="C334" s="561" t="s">
        <v>775</v>
      </c>
      <c r="D334" s="423">
        <v>550.0</v>
      </c>
      <c r="E334" s="228"/>
      <c r="F334" s="760"/>
      <c r="G334" s="578"/>
      <c r="H334" s="419"/>
      <c r="I334" s="57"/>
      <c r="J334" s="378" t="s">
        <v>682</v>
      </c>
      <c r="K334" s="420"/>
      <c r="L334" s="193">
        <v>292.0</v>
      </c>
      <c r="M334" s="377" t="s">
        <v>1518</v>
      </c>
      <c r="O334" s="788"/>
      <c r="P334" s="157"/>
      <c r="Q334" s="404"/>
      <c r="R334" s="148"/>
      <c r="S334" s="242"/>
      <c r="T334" s="242"/>
      <c r="U334" s="242"/>
      <c r="V334" s="242"/>
      <c r="W334" s="242"/>
      <c r="X334" s="242"/>
      <c r="Y334" s="148"/>
      <c r="Z334" s="148"/>
    </row>
    <row r="335">
      <c r="A335" s="239"/>
      <c r="B335" s="239"/>
      <c r="C335" s="561" t="s">
        <v>10</v>
      </c>
      <c r="D335" s="157"/>
      <c r="E335" s="206"/>
      <c r="F335" s="765"/>
      <c r="G335" s="581"/>
      <c r="H335" s="419"/>
      <c r="I335" s="57"/>
      <c r="J335" s="461" t="s">
        <v>684</v>
      </c>
      <c r="K335" s="420"/>
      <c r="L335" s="193"/>
      <c r="M335" s="377"/>
      <c r="O335" s="788"/>
      <c r="P335" s="157"/>
      <c r="Q335" s="404"/>
      <c r="R335" s="148"/>
      <c r="S335" s="242"/>
      <c r="T335" s="242"/>
      <c r="U335" s="242"/>
      <c r="V335" s="242"/>
      <c r="W335" s="242"/>
      <c r="X335" s="242"/>
      <c r="Y335" s="148"/>
      <c r="Z335" s="148"/>
    </row>
    <row r="336">
      <c r="A336" s="239"/>
      <c r="B336" s="239"/>
      <c r="C336" s="561" t="s">
        <v>6</v>
      </c>
      <c r="D336" s="423"/>
      <c r="E336" s="595"/>
      <c r="F336" s="760"/>
      <c r="G336" s="579"/>
      <c r="H336" s="455"/>
      <c r="I336" s="57"/>
      <c r="J336" s="461" t="s">
        <v>686</v>
      </c>
      <c r="K336" s="420"/>
      <c r="L336" s="193"/>
      <c r="M336" s="377"/>
      <c r="O336" s="791"/>
      <c r="P336" s="157"/>
      <c r="Q336" s="404"/>
      <c r="R336" s="148"/>
      <c r="S336" s="242"/>
      <c r="T336" s="242"/>
      <c r="U336" s="242"/>
      <c r="V336" s="242"/>
      <c r="W336" s="242"/>
      <c r="X336" s="242"/>
      <c r="Y336" s="148"/>
      <c r="Z336" s="148"/>
    </row>
    <row r="337">
      <c r="A337" s="57"/>
      <c r="B337" s="57"/>
      <c r="C337" s="561" t="s">
        <v>779</v>
      </c>
      <c r="D337" s="157"/>
      <c r="E337" s="228"/>
      <c r="F337" s="760"/>
      <c r="G337" s="579"/>
      <c r="H337" s="455"/>
      <c r="I337" s="239"/>
      <c r="J337" s="460" t="s">
        <v>202</v>
      </c>
      <c r="K337" s="420"/>
      <c r="L337" s="193"/>
      <c r="M337" s="377"/>
      <c r="O337" s="791"/>
      <c r="P337" s="157"/>
      <c r="Q337" s="404"/>
      <c r="R337" s="148"/>
      <c r="S337" s="242"/>
      <c r="T337" s="242"/>
      <c r="U337" s="242"/>
      <c r="V337" s="242"/>
      <c r="W337" s="242"/>
      <c r="X337" s="242"/>
      <c r="Y337" s="148"/>
      <c r="Z337" s="148"/>
    </row>
    <row r="338">
      <c r="A338" s="239"/>
      <c r="B338" s="239"/>
      <c r="C338" s="561" t="s">
        <v>780</v>
      </c>
      <c r="D338" s="157"/>
      <c r="E338" s="228"/>
      <c r="F338" s="760"/>
      <c r="G338" s="579"/>
      <c r="H338" s="455"/>
      <c r="I338" s="57"/>
      <c r="J338" s="460" t="s">
        <v>274</v>
      </c>
      <c r="K338" s="420"/>
      <c r="L338" s="193"/>
      <c r="M338" s="374"/>
      <c r="O338" s="791"/>
      <c r="P338" s="157"/>
      <c r="Q338" s="404"/>
      <c r="R338" s="148"/>
      <c r="S338" s="242"/>
      <c r="T338" s="242"/>
      <c r="U338" s="242"/>
      <c r="V338" s="242"/>
      <c r="W338" s="242"/>
      <c r="X338" s="242"/>
      <c r="Y338" s="148"/>
      <c r="Z338" s="148"/>
    </row>
    <row r="339">
      <c r="A339" s="238" t="s">
        <v>1519</v>
      </c>
      <c r="B339" s="239"/>
      <c r="C339" s="561" t="s">
        <v>781</v>
      </c>
      <c r="D339" s="423">
        <v>160.0</v>
      </c>
      <c r="E339" s="228"/>
      <c r="F339" s="760"/>
      <c r="G339" s="579"/>
      <c r="H339" s="419"/>
      <c r="I339" s="239"/>
      <c r="J339" s="685" t="s">
        <v>1117</v>
      </c>
      <c r="K339" s="420"/>
      <c r="L339" s="150"/>
      <c r="M339" s="374"/>
      <c r="O339" s="788"/>
      <c r="P339" s="157"/>
      <c r="Q339" s="404"/>
      <c r="R339" s="148"/>
      <c r="S339" s="242"/>
      <c r="T339" s="242"/>
      <c r="U339" s="242"/>
      <c r="V339" s="242"/>
      <c r="W339" s="242"/>
      <c r="X339" s="242"/>
      <c r="Y339" s="148"/>
      <c r="Z339" s="148"/>
    </row>
    <row r="340">
      <c r="A340" s="239"/>
      <c r="B340" s="157"/>
      <c r="C340" s="561" t="s">
        <v>1118</v>
      </c>
      <c r="D340" s="157"/>
      <c r="E340" s="569"/>
      <c r="F340" s="760"/>
      <c r="G340" s="578"/>
      <c r="H340" s="419"/>
      <c r="I340" s="57"/>
      <c r="J340" s="685" t="s">
        <v>1119</v>
      </c>
      <c r="K340" s="420"/>
      <c r="L340" s="193"/>
      <c r="M340" s="377"/>
      <c r="O340" s="788"/>
      <c r="P340" s="157"/>
      <c r="Q340" s="404"/>
      <c r="R340" s="148"/>
      <c r="S340" s="242"/>
      <c r="T340" s="242"/>
      <c r="U340" s="242"/>
      <c r="V340" s="242"/>
      <c r="W340" s="242"/>
      <c r="X340" s="242"/>
      <c r="Y340" s="148"/>
      <c r="Z340" s="148"/>
    </row>
    <row r="341">
      <c r="A341" s="239"/>
      <c r="B341" s="157"/>
      <c r="C341" s="561" t="s">
        <v>1120</v>
      </c>
      <c r="D341" s="157"/>
      <c r="E341" s="228"/>
      <c r="F341" s="760"/>
      <c r="G341" s="578"/>
      <c r="H341" s="419"/>
      <c r="I341" s="239"/>
      <c r="J341" s="596" t="s">
        <v>1001</v>
      </c>
      <c r="K341" s="420"/>
      <c r="L341" s="193"/>
      <c r="M341" s="377"/>
      <c r="O341" s="788"/>
      <c r="P341" s="157"/>
      <c r="Q341" s="404"/>
      <c r="R341" s="148"/>
      <c r="S341" s="242"/>
      <c r="T341" s="242"/>
      <c r="U341" s="242"/>
      <c r="V341" s="242"/>
      <c r="W341" s="242"/>
      <c r="X341" s="242"/>
      <c r="Y341" s="148"/>
      <c r="Z341" s="148"/>
    </row>
    <row r="342">
      <c r="A342" s="239"/>
      <c r="B342" s="157"/>
      <c r="C342" s="561"/>
      <c r="D342" s="157"/>
      <c r="E342" s="570"/>
      <c r="F342" s="760"/>
      <c r="G342" s="578"/>
      <c r="H342" s="419"/>
      <c r="I342" s="239"/>
      <c r="J342" s="568"/>
      <c r="K342" s="420"/>
      <c r="L342" s="193"/>
      <c r="M342" s="374"/>
      <c r="O342" s="788"/>
      <c r="P342" s="157"/>
      <c r="Q342" s="404"/>
      <c r="R342" s="148"/>
      <c r="S342" s="242"/>
      <c r="T342" s="242"/>
      <c r="U342" s="242"/>
      <c r="V342" s="242"/>
      <c r="W342" s="242"/>
      <c r="X342" s="242"/>
      <c r="Y342" s="148"/>
      <c r="Z342" s="148"/>
    </row>
    <row r="343">
      <c r="C343" s="571"/>
      <c r="D343" s="157"/>
      <c r="E343" s="570"/>
      <c r="F343" s="760"/>
      <c r="G343" s="578"/>
      <c r="H343" s="419"/>
      <c r="I343" s="239"/>
      <c r="J343" s="464" t="s">
        <v>692</v>
      </c>
      <c r="K343" s="420"/>
      <c r="L343" s="193"/>
      <c r="M343" s="377"/>
      <c r="O343" s="788"/>
      <c r="P343" s="157"/>
      <c r="Q343" s="404"/>
      <c r="R343" s="148"/>
      <c r="S343" s="242"/>
      <c r="T343" s="242"/>
      <c r="U343" s="242"/>
      <c r="V343" s="242"/>
      <c r="W343" s="242"/>
      <c r="X343" s="242"/>
      <c r="Y343" s="148"/>
      <c r="Z343" s="148"/>
    </row>
    <row r="344">
      <c r="C344" s="571"/>
      <c r="D344" s="157"/>
      <c r="E344" s="570"/>
      <c r="F344" s="760"/>
      <c r="G344" s="578"/>
      <c r="H344" s="419"/>
      <c r="I344" s="239"/>
      <c r="J344" s="464" t="s">
        <v>694</v>
      </c>
      <c r="K344" s="420"/>
      <c r="L344" s="193"/>
      <c r="M344" s="374"/>
      <c r="O344" s="788"/>
      <c r="P344" s="157"/>
      <c r="Q344" s="404"/>
      <c r="R344" s="148"/>
      <c r="S344" s="242"/>
      <c r="T344" s="242"/>
      <c r="U344" s="242"/>
      <c r="V344" s="242"/>
      <c r="W344" s="242"/>
      <c r="X344" s="242"/>
      <c r="Y344" s="148"/>
      <c r="Z344" s="148"/>
    </row>
    <row r="345">
      <c r="C345" s="571"/>
      <c r="D345" s="423"/>
      <c r="E345" s="570"/>
      <c r="F345" s="758"/>
      <c r="G345" s="578"/>
      <c r="H345" s="419"/>
      <c r="I345" s="57"/>
      <c r="J345" s="105"/>
      <c r="K345" s="57"/>
      <c r="L345" s="150"/>
      <c r="M345" s="57"/>
      <c r="N345" s="57"/>
      <c r="O345" s="105"/>
      <c r="P345" s="157"/>
      <c r="Q345" s="404"/>
      <c r="R345" s="148"/>
      <c r="S345" s="242"/>
      <c r="T345" s="242"/>
      <c r="U345" s="242"/>
      <c r="V345" s="242"/>
      <c r="W345" s="242"/>
      <c r="X345" s="242"/>
      <c r="Y345" s="148"/>
      <c r="Z345" s="148"/>
    </row>
    <row r="346">
      <c r="A346" s="125" t="s">
        <v>798</v>
      </c>
      <c r="B346" s="572">
        <f>C319-B323</f>
        <v>5425.21</v>
      </c>
      <c r="D346" s="157"/>
      <c r="E346" s="570"/>
      <c r="F346" s="767"/>
      <c r="G346" s="581"/>
      <c r="H346" s="419"/>
      <c r="I346" s="239"/>
      <c r="J346" s="568"/>
      <c r="K346" s="57"/>
      <c r="L346" s="150"/>
      <c r="M346" s="57"/>
      <c r="N346" s="57"/>
      <c r="O346" s="105"/>
      <c r="P346" s="157"/>
      <c r="Q346" s="404"/>
      <c r="R346" s="148"/>
      <c r="S346" s="242"/>
      <c r="T346" s="242"/>
      <c r="U346" s="242"/>
      <c r="V346" s="242"/>
      <c r="W346" s="242"/>
      <c r="X346" s="242"/>
      <c r="Y346" s="148"/>
      <c r="Z346" s="148"/>
    </row>
    <row r="347">
      <c r="A347" s="274" t="s">
        <v>783</v>
      </c>
      <c r="B347" s="109">
        <v>1300.0</v>
      </c>
      <c r="C347" s="395"/>
      <c r="D347" s="157"/>
      <c r="E347" s="570"/>
      <c r="F347" s="767"/>
      <c r="G347" s="581"/>
      <c r="H347" s="419"/>
      <c r="I347" s="239"/>
      <c r="J347" s="568"/>
      <c r="K347" s="57"/>
      <c r="L347" s="150"/>
      <c r="M347" s="57"/>
      <c r="N347" s="57"/>
      <c r="O347" s="105"/>
      <c r="P347" s="157"/>
      <c r="Q347" s="404"/>
      <c r="R347" s="148"/>
      <c r="S347" s="242"/>
      <c r="T347" s="242"/>
      <c r="U347" s="242"/>
      <c r="V347" s="242"/>
      <c r="W347" s="242"/>
      <c r="X347" s="242"/>
      <c r="Y347" s="148"/>
      <c r="Z347" s="148"/>
    </row>
    <row r="348">
      <c r="A348" s="274" t="s">
        <v>784</v>
      </c>
      <c r="B348" s="109">
        <v>1200.0</v>
      </c>
      <c r="C348" s="395"/>
      <c r="D348" s="157"/>
      <c r="E348" s="570"/>
      <c r="F348" s="767"/>
      <c r="G348" s="581"/>
      <c r="H348" s="419"/>
      <c r="I348" s="239"/>
      <c r="J348" s="568"/>
      <c r="K348" s="57"/>
      <c r="L348" s="150"/>
      <c r="M348" s="57"/>
      <c r="N348" s="57"/>
      <c r="O348" s="105"/>
      <c r="P348" s="157"/>
      <c r="Q348" s="404"/>
      <c r="R348" s="148"/>
      <c r="S348" s="242"/>
      <c r="T348" s="242"/>
      <c r="U348" s="242"/>
      <c r="V348" s="242"/>
      <c r="W348" s="242"/>
      <c r="X348" s="242"/>
      <c r="Y348" s="148"/>
      <c r="Z348" s="148"/>
    </row>
    <row r="349">
      <c r="A349" s="274" t="s">
        <v>785</v>
      </c>
      <c r="B349" s="109">
        <v>2700.0</v>
      </c>
      <c r="C349" s="686">
        <f>SUM(B347:B349)</f>
        <v>5200</v>
      </c>
      <c r="D349" s="157"/>
      <c r="E349" s="570"/>
      <c r="F349" s="767"/>
      <c r="G349" s="581"/>
      <c r="H349" s="419"/>
      <c r="I349" s="239"/>
      <c r="J349" s="568"/>
      <c r="K349" s="57"/>
      <c r="L349" s="150"/>
      <c r="M349" s="57"/>
      <c r="N349" s="57"/>
      <c r="O349" s="105"/>
      <c r="P349" s="157"/>
      <c r="Q349" s="404"/>
      <c r="R349" s="148"/>
      <c r="S349" s="242"/>
      <c r="T349" s="242"/>
      <c r="U349" s="242"/>
      <c r="V349" s="242"/>
      <c r="W349" s="242"/>
      <c r="X349" s="242"/>
      <c r="Y349" s="148"/>
      <c r="Z349" s="148"/>
    </row>
    <row r="350">
      <c r="A350" s="402"/>
      <c r="B350" s="403"/>
      <c r="C350" s="403"/>
      <c r="D350" s="403"/>
      <c r="E350" s="574"/>
      <c r="F350" s="768"/>
      <c r="G350" s="576"/>
      <c r="H350" s="159"/>
      <c r="I350" s="159"/>
      <c r="J350" s="576"/>
      <c r="K350" s="159"/>
      <c r="L350" s="162"/>
      <c r="M350" s="402"/>
      <c r="N350" s="402"/>
      <c r="O350" s="576"/>
      <c r="P350" s="403"/>
      <c r="Q350" s="577"/>
      <c r="R350" s="148"/>
      <c r="S350" s="242"/>
      <c r="T350" s="242"/>
      <c r="U350" s="242"/>
      <c r="V350" s="242"/>
      <c r="W350" s="242"/>
      <c r="X350" s="242"/>
      <c r="Y350" s="148"/>
      <c r="Z350" s="148"/>
    </row>
    <row r="351">
      <c r="A351" s="148"/>
      <c r="B351" s="148"/>
      <c r="C351" s="148"/>
      <c r="D351" s="245"/>
      <c r="E351" s="585"/>
      <c r="F351" s="777"/>
      <c r="G351" s="243"/>
      <c r="H351" s="148"/>
      <c r="I351" s="251"/>
      <c r="J351" s="243"/>
      <c r="K351" s="148"/>
      <c r="L351" s="277"/>
      <c r="M351" s="252"/>
      <c r="N351" s="250"/>
      <c r="O351" s="323"/>
      <c r="P351" s="240"/>
      <c r="Q351" s="148"/>
      <c r="R351" s="148"/>
      <c r="S351" s="242"/>
      <c r="T351" s="242"/>
      <c r="U351" s="242"/>
      <c r="V351" s="242"/>
      <c r="W351" s="242"/>
      <c r="X351" s="242"/>
      <c r="Y351" s="148"/>
      <c r="Z351" s="148"/>
    </row>
    <row r="352">
      <c r="A352" s="169" t="s">
        <v>98</v>
      </c>
      <c r="B352" s="539"/>
      <c r="C352" s="540"/>
      <c r="D352" s="405"/>
      <c r="E352" s="541"/>
      <c r="F352" s="755"/>
      <c r="G352" s="467" t="s">
        <v>333</v>
      </c>
      <c r="H352" s="361"/>
      <c r="I352" s="57"/>
      <c r="J352" s="105"/>
      <c r="K352" s="57"/>
      <c r="L352" s="150"/>
      <c r="M352" s="239"/>
      <c r="N352" s="239"/>
      <c r="O352" s="105"/>
      <c r="P352" s="157"/>
      <c r="Q352" s="404"/>
      <c r="R352" s="148"/>
      <c r="S352" s="242"/>
      <c r="T352" s="242"/>
      <c r="U352" s="242"/>
      <c r="V352" s="242"/>
      <c r="W352" s="242"/>
      <c r="X352" s="242"/>
      <c r="Y352" s="148"/>
      <c r="Z352" s="148"/>
    </row>
    <row r="353">
      <c r="A353" s="468"/>
      <c r="B353" s="157"/>
      <c r="C353" s="466"/>
      <c r="D353" s="405"/>
      <c r="E353" s="543" t="s">
        <v>335</v>
      </c>
      <c r="F353" s="756" t="s">
        <v>237</v>
      </c>
      <c r="G353" s="412" t="s">
        <v>336</v>
      </c>
      <c r="H353" s="413" t="s">
        <v>337</v>
      </c>
      <c r="I353" s="239"/>
      <c r="J353" s="145" t="s">
        <v>60</v>
      </c>
      <c r="K353" s="57"/>
      <c r="L353" s="150"/>
      <c r="M353" s="414"/>
      <c r="N353" s="414"/>
      <c r="O353" s="105" t="s">
        <v>334</v>
      </c>
      <c r="P353" s="157"/>
      <c r="Q353" s="404"/>
      <c r="R353" s="148"/>
      <c r="S353" s="242"/>
      <c r="T353" s="242"/>
      <c r="U353" s="242"/>
      <c r="V353" s="242"/>
      <c r="W353" s="242"/>
      <c r="X353" s="242"/>
      <c r="Y353" s="148"/>
      <c r="Z353" s="148"/>
    </row>
    <row r="354">
      <c r="A354" s="470" t="s">
        <v>179</v>
      </c>
      <c r="C354" s="416">
        <f>SUM(F354:F388)</f>
        <v>4900</v>
      </c>
      <c r="D354" s="405"/>
      <c r="E354" s="545"/>
      <c r="F354" s="758"/>
      <c r="G354" s="578"/>
      <c r="H354" s="419"/>
      <c r="I354" s="57"/>
      <c r="K354" s="57"/>
      <c r="L354" s="150"/>
      <c r="M354" s="377" t="s">
        <v>366</v>
      </c>
      <c r="P354" s="157"/>
      <c r="Q354" s="404"/>
      <c r="R354" s="148"/>
      <c r="S354" s="242"/>
      <c r="T354" s="242"/>
      <c r="U354" s="242"/>
      <c r="V354" s="242"/>
      <c r="W354" s="242"/>
      <c r="X354" s="242"/>
      <c r="Y354" s="148"/>
      <c r="Z354" s="148"/>
    </row>
    <row r="355">
      <c r="A355" s="421" t="s">
        <v>343</v>
      </c>
      <c r="B355" s="422" t="s">
        <v>321</v>
      </c>
      <c r="C355" s="416">
        <f>SUM(P355:P388)</f>
        <v>0</v>
      </c>
      <c r="D355" s="157"/>
      <c r="E355" s="545"/>
      <c r="F355" s="758"/>
      <c r="G355" s="578"/>
      <c r="H355" s="419"/>
      <c r="I355" s="239"/>
      <c r="J355" s="471" t="s">
        <v>341</v>
      </c>
      <c r="K355" s="420"/>
      <c r="L355" s="150"/>
      <c r="M355" s="374"/>
      <c r="O355" s="770"/>
      <c r="P355" s="423"/>
      <c r="Q355" s="404"/>
      <c r="R355" s="148"/>
      <c r="S355" s="242"/>
      <c r="T355" s="242"/>
      <c r="U355" s="242"/>
      <c r="V355" s="242"/>
      <c r="W355" s="242"/>
      <c r="X355" s="242"/>
      <c r="Y355" s="148"/>
      <c r="Z355" s="148"/>
    </row>
    <row r="356">
      <c r="A356" s="427" t="s">
        <v>201</v>
      </c>
      <c r="C356" s="204">
        <f>SUM(L355:L388)</f>
        <v>2323</v>
      </c>
      <c r="D356" s="157"/>
      <c r="E356" s="545"/>
      <c r="F356" s="758"/>
      <c r="G356" s="578"/>
      <c r="H356" s="419"/>
      <c r="I356" s="239"/>
      <c r="J356" s="472" t="s">
        <v>345</v>
      </c>
      <c r="K356" s="420"/>
      <c r="L356" s="150"/>
      <c r="M356" s="374"/>
      <c r="O356" s="770"/>
      <c r="P356" s="423"/>
      <c r="Q356" s="404"/>
      <c r="R356" s="148"/>
      <c r="S356" s="242"/>
      <c r="T356" s="242"/>
      <c r="U356" s="242"/>
      <c r="V356" s="242"/>
      <c r="W356" s="242"/>
      <c r="X356" s="242"/>
      <c r="Y356" s="148"/>
      <c r="Z356" s="148"/>
    </row>
    <row r="357">
      <c r="A357" s="548" t="s">
        <v>761</v>
      </c>
      <c r="B357" s="549">
        <v>0.4</v>
      </c>
      <c r="C357" s="191"/>
      <c r="D357" s="157"/>
      <c r="E357" s="550" t="s">
        <v>695</v>
      </c>
      <c r="F357" s="758"/>
      <c r="G357" s="562"/>
      <c r="H357" s="419"/>
      <c r="I357" s="239"/>
      <c r="J357" s="433" t="s">
        <v>656</v>
      </c>
      <c r="K357" s="420"/>
      <c r="L357" s="193">
        <v>72.0</v>
      </c>
      <c r="M357" s="374"/>
      <c r="O357" s="770"/>
      <c r="P357" s="423"/>
      <c r="Q357" s="404"/>
      <c r="R357" s="148"/>
      <c r="S357" s="242"/>
      <c r="T357" s="242"/>
      <c r="U357" s="242"/>
      <c r="V357" s="242"/>
      <c r="W357" s="242"/>
      <c r="X357" s="242"/>
      <c r="Y357" s="148"/>
      <c r="Z357" s="148"/>
    </row>
    <row r="358">
      <c r="A358" s="434" t="s">
        <v>350</v>
      </c>
      <c r="C358" s="551">
        <f>C354-C356-C357</f>
        <v>2577</v>
      </c>
      <c r="D358" s="157"/>
      <c r="E358" s="192" t="s">
        <v>1511</v>
      </c>
      <c r="F358" s="758">
        <v>360.0</v>
      </c>
      <c r="G358" s="562"/>
      <c r="H358" s="419"/>
      <c r="I358" s="57"/>
      <c r="J358" s="444" t="s">
        <v>658</v>
      </c>
      <c r="K358" s="420"/>
      <c r="L358" s="193">
        <v>56.0</v>
      </c>
      <c r="M358" s="377"/>
      <c r="O358" s="772"/>
      <c r="P358" s="157"/>
      <c r="Q358" s="404"/>
      <c r="R358" s="148"/>
      <c r="S358" s="242"/>
      <c r="T358" s="242"/>
      <c r="U358" s="242"/>
      <c r="V358" s="242"/>
      <c r="W358" s="242"/>
      <c r="X358" s="242"/>
      <c r="Y358" s="148"/>
      <c r="Z358" s="148"/>
    </row>
    <row r="359">
      <c r="A359" s="554"/>
      <c r="B359" s="555"/>
      <c r="C359" s="447"/>
      <c r="D359" s="157"/>
      <c r="E359" s="192" t="s">
        <v>1461</v>
      </c>
      <c r="F359" s="758">
        <v>440.0</v>
      </c>
      <c r="G359" s="578"/>
      <c r="H359" s="419"/>
      <c r="I359" s="57"/>
      <c r="J359" s="444" t="s">
        <v>660</v>
      </c>
      <c r="K359" s="420"/>
      <c r="L359" s="193">
        <v>180.0</v>
      </c>
      <c r="M359" s="377"/>
      <c r="O359" s="772"/>
      <c r="P359" s="157"/>
      <c r="Q359" s="404"/>
      <c r="R359" s="148"/>
      <c r="S359" s="242"/>
      <c r="T359" s="242"/>
      <c r="U359" s="242"/>
      <c r="V359" s="242"/>
      <c r="W359" s="242"/>
      <c r="X359" s="242"/>
      <c r="Y359" s="148"/>
      <c r="Z359" s="148"/>
    </row>
    <row r="360">
      <c r="A360" s="556"/>
      <c r="C360" s="395"/>
      <c r="D360" s="157"/>
      <c r="E360" s="192" t="s">
        <v>1371</v>
      </c>
      <c r="F360" s="758">
        <v>500.0</v>
      </c>
      <c r="G360" s="579"/>
      <c r="H360" s="419"/>
      <c r="I360" s="239"/>
      <c r="J360" s="370" t="s">
        <v>662</v>
      </c>
      <c r="K360" s="420"/>
      <c r="L360" s="193"/>
      <c r="M360" s="377"/>
      <c r="O360" s="772"/>
      <c r="P360" s="157"/>
      <c r="Q360" s="404"/>
      <c r="R360" s="148"/>
      <c r="S360" s="242"/>
      <c r="T360" s="242"/>
      <c r="U360" s="242"/>
      <c r="V360" s="242"/>
      <c r="W360" s="242"/>
      <c r="X360" s="242"/>
      <c r="Y360" s="148"/>
      <c r="Z360" s="148"/>
    </row>
    <row r="361">
      <c r="A361" s="557"/>
      <c r="B361" s="109"/>
      <c r="C361" s="395"/>
      <c r="D361" s="373"/>
      <c r="E361" s="192" t="s">
        <v>1220</v>
      </c>
      <c r="F361" s="758">
        <v>220.0</v>
      </c>
      <c r="G361" s="562"/>
      <c r="H361" s="419"/>
      <c r="I361" s="239"/>
      <c r="J361" s="433" t="s">
        <v>666</v>
      </c>
      <c r="K361" s="420"/>
      <c r="L361" s="193">
        <v>50.0</v>
      </c>
      <c r="M361" s="377" t="s">
        <v>1520</v>
      </c>
      <c r="O361" s="772"/>
      <c r="P361" s="157"/>
      <c r="Q361" s="404"/>
      <c r="R361" s="148"/>
      <c r="S361" s="242"/>
      <c r="T361" s="242"/>
      <c r="U361" s="242"/>
      <c r="V361" s="242"/>
      <c r="W361" s="242"/>
      <c r="X361" s="242"/>
      <c r="Y361" s="148"/>
      <c r="Z361" s="148"/>
    </row>
    <row r="362">
      <c r="A362" s="559" t="s">
        <v>765</v>
      </c>
      <c r="B362" s="560">
        <f>SUM(D362:D388)</f>
        <v>1573</v>
      </c>
      <c r="C362" s="477" t="s">
        <v>366</v>
      </c>
      <c r="D362" s="157"/>
      <c r="E362" s="192" t="s">
        <v>1521</v>
      </c>
      <c r="F362" s="758">
        <v>60.0</v>
      </c>
      <c r="G362" s="578"/>
      <c r="H362" s="419"/>
      <c r="I362" s="239"/>
      <c r="J362" s="433" t="s">
        <v>668</v>
      </c>
      <c r="K362" s="420"/>
      <c r="L362" s="150"/>
      <c r="M362" s="377"/>
      <c r="O362" s="772"/>
      <c r="P362" s="157"/>
      <c r="Q362" s="404"/>
      <c r="R362" s="148"/>
      <c r="S362" s="242"/>
      <c r="T362" s="242"/>
      <c r="U362" s="242"/>
      <c r="V362" s="242"/>
      <c r="W362" s="242"/>
      <c r="X362" s="242"/>
      <c r="Y362" s="148"/>
      <c r="Z362" s="148"/>
    </row>
    <row r="363">
      <c r="A363" s="453" t="s">
        <v>369</v>
      </c>
      <c r="C363" s="561" t="s">
        <v>766</v>
      </c>
      <c r="D363" s="423"/>
      <c r="E363" s="192" t="s">
        <v>569</v>
      </c>
      <c r="F363" s="758">
        <v>500.0</v>
      </c>
      <c r="G363" s="578"/>
      <c r="H363" s="419"/>
      <c r="I363" s="239"/>
      <c r="J363" s="433" t="s">
        <v>670</v>
      </c>
      <c r="K363" s="458"/>
      <c r="L363" s="193">
        <v>1250.0</v>
      </c>
      <c r="M363" s="377"/>
      <c r="O363" s="772"/>
      <c r="P363" s="157"/>
      <c r="Q363" s="404"/>
      <c r="R363" s="148"/>
      <c r="S363" s="242"/>
      <c r="T363" s="242"/>
      <c r="U363" s="242"/>
      <c r="V363" s="242"/>
      <c r="W363" s="242"/>
      <c r="X363" s="242"/>
      <c r="Y363" s="148"/>
      <c r="Z363" s="148"/>
    </row>
    <row r="364">
      <c r="C364" s="561" t="s">
        <v>767</v>
      </c>
      <c r="D364" s="157"/>
      <c r="E364" s="192" t="s">
        <v>340</v>
      </c>
      <c r="F364" s="758">
        <v>2000.0</v>
      </c>
      <c r="G364" s="578"/>
      <c r="H364" s="419"/>
      <c r="I364" s="239"/>
      <c r="J364" s="433" t="s">
        <v>217</v>
      </c>
      <c r="K364" s="458"/>
      <c r="L364" s="150"/>
      <c r="M364" s="377"/>
      <c r="O364" s="772"/>
      <c r="P364" s="157"/>
      <c r="Q364" s="404"/>
      <c r="R364" s="148"/>
      <c r="S364" s="242"/>
      <c r="T364" s="242"/>
      <c r="U364" s="242"/>
      <c r="V364" s="242"/>
      <c r="W364" s="242"/>
      <c r="X364" s="242"/>
      <c r="Y364" s="148"/>
      <c r="Z364" s="148"/>
    </row>
    <row r="365">
      <c r="A365" s="57"/>
      <c r="B365" s="57"/>
      <c r="C365" s="561" t="s">
        <v>768</v>
      </c>
      <c r="D365" s="423"/>
      <c r="E365" s="192" t="s">
        <v>424</v>
      </c>
      <c r="F365" s="758">
        <v>320.0</v>
      </c>
      <c r="G365" s="562"/>
      <c r="H365" s="419"/>
      <c r="I365" s="239"/>
      <c r="J365" s="109"/>
      <c r="K365" s="420"/>
      <c r="L365" s="193"/>
      <c r="M365" s="374"/>
      <c r="O365" s="772"/>
      <c r="P365" s="157"/>
      <c r="Q365" s="404"/>
      <c r="R365" s="148"/>
      <c r="S365" s="242"/>
      <c r="T365" s="242"/>
      <c r="U365" s="242"/>
      <c r="V365" s="242"/>
      <c r="W365" s="242"/>
      <c r="X365" s="242"/>
      <c r="Y365" s="148"/>
      <c r="Z365" s="148"/>
    </row>
    <row r="366">
      <c r="A366" s="57"/>
      <c r="B366" s="57"/>
      <c r="C366" s="561" t="s">
        <v>769</v>
      </c>
      <c r="D366" s="157"/>
      <c r="E366" s="192" t="s">
        <v>1522</v>
      </c>
      <c r="F366" s="758">
        <v>150.0</v>
      </c>
      <c r="G366" s="578"/>
      <c r="H366" s="419"/>
      <c r="I366" s="239"/>
      <c r="J366" s="456" t="s">
        <v>672</v>
      </c>
      <c r="K366" s="420"/>
      <c r="L366" s="150"/>
      <c r="M366" s="377"/>
      <c r="O366" s="772"/>
      <c r="P366" s="157"/>
      <c r="Q366" s="404"/>
      <c r="R366" s="148"/>
      <c r="S366" s="242"/>
      <c r="T366" s="242"/>
      <c r="U366" s="242"/>
      <c r="V366" s="242"/>
      <c r="W366" s="242"/>
      <c r="X366" s="242"/>
      <c r="Y366" s="148"/>
      <c r="Z366" s="148"/>
    </row>
    <row r="367">
      <c r="A367" s="57"/>
      <c r="B367" s="57"/>
      <c r="C367" s="561" t="s">
        <v>770</v>
      </c>
      <c r="D367" s="423"/>
      <c r="E367" s="192" t="s">
        <v>862</v>
      </c>
      <c r="F367" s="758">
        <v>350.0</v>
      </c>
      <c r="G367" s="562"/>
      <c r="H367" s="419"/>
      <c r="I367" s="57"/>
      <c r="J367" s="456" t="s">
        <v>675</v>
      </c>
      <c r="K367" s="420"/>
      <c r="L367" s="150"/>
      <c r="M367" s="382"/>
      <c r="O367" s="772"/>
      <c r="P367" s="157"/>
      <c r="Q367" s="404"/>
      <c r="R367" s="148"/>
      <c r="S367" s="242"/>
      <c r="T367" s="242"/>
      <c r="U367" s="242"/>
      <c r="V367" s="242"/>
      <c r="W367" s="242"/>
      <c r="X367" s="242"/>
      <c r="Y367" s="148"/>
      <c r="Z367" s="148"/>
    </row>
    <row r="368">
      <c r="A368" s="238" t="s">
        <v>1523</v>
      </c>
      <c r="B368" s="57"/>
      <c r="C368" s="561" t="s">
        <v>793</v>
      </c>
      <c r="D368" s="423">
        <v>55.0</v>
      </c>
      <c r="E368" s="192"/>
      <c r="F368" s="758"/>
      <c r="G368" s="579"/>
      <c r="H368" s="419"/>
      <c r="I368" s="57"/>
      <c r="J368" s="456"/>
      <c r="K368" s="420"/>
      <c r="L368" s="150"/>
      <c r="M368" s="425"/>
      <c r="O368" s="772"/>
      <c r="P368" s="157"/>
      <c r="Q368" s="404"/>
      <c r="R368" s="148"/>
      <c r="S368" s="242"/>
      <c r="T368" s="242"/>
      <c r="U368" s="242"/>
      <c r="V368" s="242"/>
      <c r="W368" s="242"/>
      <c r="X368" s="242"/>
      <c r="Y368" s="148"/>
      <c r="Z368" s="148"/>
    </row>
    <row r="369">
      <c r="A369" s="239"/>
      <c r="B369" s="57"/>
      <c r="C369" s="561" t="s">
        <v>794</v>
      </c>
      <c r="D369" s="423"/>
      <c r="E369" s="228"/>
      <c r="F369" s="760"/>
      <c r="G369" s="578"/>
      <c r="H369" s="419"/>
      <c r="I369" s="57"/>
      <c r="J369" s="375"/>
      <c r="K369" s="420"/>
      <c r="L369" s="150"/>
      <c r="M369" s="425"/>
      <c r="O369" s="772"/>
      <c r="P369" s="157"/>
      <c r="Q369" s="404"/>
      <c r="R369" s="148"/>
      <c r="S369" s="242"/>
      <c r="T369" s="242"/>
      <c r="U369" s="242"/>
      <c r="V369" s="242"/>
      <c r="W369" s="242"/>
      <c r="X369" s="242"/>
      <c r="Y369" s="148"/>
      <c r="Z369" s="148"/>
    </row>
    <row r="370">
      <c r="A370" s="239"/>
      <c r="B370" s="57"/>
      <c r="C370" s="561" t="s">
        <v>18</v>
      </c>
      <c r="D370" s="423"/>
      <c r="E370" s="228"/>
      <c r="F370" s="760"/>
      <c r="G370" s="578"/>
      <c r="H370" s="419"/>
      <c r="I370" s="57"/>
      <c r="J370" s="375"/>
      <c r="K370" s="420"/>
      <c r="L370" s="193"/>
      <c r="M370" s="382"/>
      <c r="O370" s="772"/>
      <c r="P370" s="157"/>
      <c r="Q370" s="404"/>
      <c r="R370" s="148"/>
      <c r="S370" s="242"/>
      <c r="T370" s="242"/>
      <c r="U370" s="242"/>
      <c r="V370" s="242"/>
      <c r="W370" s="242"/>
      <c r="X370" s="242"/>
      <c r="Y370" s="148"/>
      <c r="Z370" s="148"/>
    </row>
    <row r="371">
      <c r="A371" s="239"/>
      <c r="B371" s="57"/>
      <c r="C371" s="563" t="s">
        <v>1115</v>
      </c>
      <c r="D371" s="157"/>
      <c r="E371" s="228"/>
      <c r="F371" s="760"/>
      <c r="G371" s="579"/>
      <c r="H371" s="419"/>
      <c r="I371" s="57"/>
      <c r="J371" s="452"/>
      <c r="K371" s="420"/>
      <c r="L371" s="150"/>
      <c r="M371" s="425"/>
      <c r="O371" s="772"/>
      <c r="P371" s="157"/>
      <c r="Q371" s="404"/>
      <c r="R371" s="148"/>
      <c r="S371" s="242"/>
      <c r="T371" s="242"/>
      <c r="U371" s="242"/>
      <c r="V371" s="242"/>
      <c r="W371" s="242"/>
      <c r="X371" s="242"/>
      <c r="Y371" s="148"/>
      <c r="Z371" s="148"/>
    </row>
    <row r="372">
      <c r="A372" s="238" t="s">
        <v>1524</v>
      </c>
      <c r="B372" s="57"/>
      <c r="C372" s="561" t="s">
        <v>1116</v>
      </c>
      <c r="D372" s="423">
        <v>100.0</v>
      </c>
      <c r="E372" s="228"/>
      <c r="F372" s="760"/>
      <c r="G372" s="578"/>
      <c r="H372" s="419"/>
      <c r="I372" s="57"/>
      <c r="J372" s="105"/>
      <c r="K372" s="420"/>
      <c r="L372" s="150"/>
      <c r="M372" s="425"/>
      <c r="O372" s="772"/>
      <c r="P372" s="157"/>
      <c r="Q372" s="404"/>
      <c r="R372" s="148"/>
      <c r="S372" s="242"/>
      <c r="T372" s="242"/>
      <c r="U372" s="242"/>
      <c r="V372" s="242"/>
      <c r="W372" s="242"/>
      <c r="X372" s="242"/>
      <c r="Y372" s="148"/>
      <c r="Z372" s="148"/>
    </row>
    <row r="373">
      <c r="A373" s="238" t="s">
        <v>1525</v>
      </c>
      <c r="B373" s="239"/>
      <c r="C373" s="561" t="s">
        <v>775</v>
      </c>
      <c r="D373" s="423">
        <v>490.0</v>
      </c>
      <c r="E373" s="228"/>
      <c r="F373" s="760"/>
      <c r="G373" s="578"/>
      <c r="H373" s="419"/>
      <c r="I373" s="57"/>
      <c r="J373" s="378" t="s">
        <v>682</v>
      </c>
      <c r="K373" s="420"/>
      <c r="L373" s="193">
        <v>135.0</v>
      </c>
      <c r="M373" s="377" t="s">
        <v>1526</v>
      </c>
      <c r="O373" s="772"/>
      <c r="P373" s="157"/>
      <c r="Q373" s="404"/>
      <c r="R373" s="148"/>
      <c r="S373" s="242"/>
      <c r="T373" s="242"/>
      <c r="U373" s="242"/>
      <c r="V373" s="242"/>
      <c r="W373" s="242"/>
      <c r="X373" s="242"/>
      <c r="Y373" s="148"/>
      <c r="Z373" s="148"/>
    </row>
    <row r="374">
      <c r="A374" s="239"/>
      <c r="B374" s="239"/>
      <c r="C374" s="561" t="s">
        <v>10</v>
      </c>
      <c r="D374" s="423">
        <v>293.0</v>
      </c>
      <c r="E374" s="206"/>
      <c r="F374" s="765"/>
      <c r="G374" s="581"/>
      <c r="H374" s="419"/>
      <c r="I374" s="57"/>
      <c r="J374" s="461" t="s">
        <v>684</v>
      </c>
      <c r="K374" s="420"/>
      <c r="L374" s="193"/>
      <c r="M374" s="377"/>
      <c r="O374" s="772"/>
      <c r="P374" s="157"/>
      <c r="Q374" s="404"/>
      <c r="R374" s="148"/>
      <c r="S374" s="242"/>
      <c r="T374" s="242"/>
      <c r="U374" s="242"/>
      <c r="V374" s="242"/>
      <c r="W374" s="242"/>
      <c r="X374" s="242"/>
      <c r="Y374" s="148"/>
      <c r="Z374" s="148"/>
    </row>
    <row r="375">
      <c r="A375" s="238" t="s">
        <v>1527</v>
      </c>
      <c r="B375" s="239"/>
      <c r="C375" s="561" t="s">
        <v>6</v>
      </c>
      <c r="D375" s="423">
        <v>257.0</v>
      </c>
      <c r="E375" s="206"/>
      <c r="F375" s="760"/>
      <c r="G375" s="579"/>
      <c r="H375" s="455"/>
      <c r="I375" s="57"/>
      <c r="J375" s="461" t="s">
        <v>686</v>
      </c>
      <c r="K375" s="420"/>
      <c r="L375" s="193">
        <v>400.0</v>
      </c>
      <c r="M375" s="377" t="s">
        <v>1528</v>
      </c>
      <c r="O375" s="776"/>
      <c r="P375" s="157"/>
      <c r="Q375" s="404"/>
      <c r="R375" s="148"/>
      <c r="S375" s="242"/>
      <c r="T375" s="242"/>
      <c r="U375" s="242"/>
      <c r="V375" s="242"/>
      <c r="W375" s="242"/>
      <c r="X375" s="242"/>
      <c r="Y375" s="148"/>
      <c r="Z375" s="148"/>
    </row>
    <row r="376">
      <c r="A376" s="57"/>
      <c r="B376" s="57"/>
      <c r="C376" s="561" t="s">
        <v>779</v>
      </c>
      <c r="D376" s="157"/>
      <c r="E376" s="228"/>
      <c r="F376" s="760"/>
      <c r="G376" s="579"/>
      <c r="H376" s="455"/>
      <c r="I376" s="239"/>
      <c r="J376" s="460" t="s">
        <v>202</v>
      </c>
      <c r="K376" s="420"/>
      <c r="L376" s="193"/>
      <c r="M376" s="377"/>
      <c r="O376" s="776"/>
      <c r="P376" s="157"/>
      <c r="Q376" s="404"/>
      <c r="R376" s="148"/>
      <c r="S376" s="242"/>
      <c r="T376" s="242"/>
      <c r="U376" s="242"/>
      <c r="V376" s="242"/>
      <c r="W376" s="242"/>
      <c r="X376" s="242"/>
      <c r="Y376" s="148"/>
      <c r="Z376" s="148"/>
    </row>
    <row r="377">
      <c r="A377" s="239"/>
      <c r="B377" s="239"/>
      <c r="C377" s="561" t="s">
        <v>780</v>
      </c>
      <c r="D377" s="157"/>
      <c r="E377" s="228"/>
      <c r="F377" s="760"/>
      <c r="G377" s="579"/>
      <c r="H377" s="455"/>
      <c r="I377" s="57"/>
      <c r="J377" s="460" t="s">
        <v>274</v>
      </c>
      <c r="K377" s="420"/>
      <c r="L377" s="193"/>
      <c r="M377" s="374"/>
      <c r="O377" s="776"/>
      <c r="P377" s="157"/>
      <c r="Q377" s="404"/>
      <c r="R377" s="148"/>
      <c r="S377" s="242"/>
      <c r="T377" s="242"/>
      <c r="U377" s="242"/>
      <c r="V377" s="242"/>
      <c r="W377" s="242"/>
      <c r="X377" s="242"/>
      <c r="Y377" s="148"/>
      <c r="Z377" s="148"/>
    </row>
    <row r="378">
      <c r="A378" s="238" t="s">
        <v>1529</v>
      </c>
      <c r="B378" s="239"/>
      <c r="C378" s="561" t="s">
        <v>781</v>
      </c>
      <c r="D378" s="423">
        <v>378.0</v>
      </c>
      <c r="E378" s="228"/>
      <c r="F378" s="760"/>
      <c r="G378" s="579"/>
      <c r="H378" s="419"/>
      <c r="I378" s="239"/>
      <c r="J378" s="685" t="s">
        <v>1117</v>
      </c>
      <c r="K378" s="420"/>
      <c r="L378" s="150"/>
      <c r="M378" s="374"/>
      <c r="O378" s="772"/>
      <c r="P378" s="157"/>
      <c r="Q378" s="404"/>
      <c r="R378" s="148"/>
      <c r="S378" s="242"/>
      <c r="T378" s="242"/>
      <c r="U378" s="242"/>
      <c r="V378" s="242"/>
      <c r="W378" s="242"/>
      <c r="X378" s="242"/>
      <c r="Y378" s="148"/>
      <c r="Z378" s="148"/>
    </row>
    <row r="379">
      <c r="A379" s="239"/>
      <c r="B379" s="157"/>
      <c r="C379" s="561" t="s">
        <v>1118</v>
      </c>
      <c r="D379" s="157"/>
      <c r="E379" s="569"/>
      <c r="F379" s="760"/>
      <c r="G379" s="578"/>
      <c r="H379" s="419"/>
      <c r="I379" s="57"/>
      <c r="J379" s="685" t="s">
        <v>1119</v>
      </c>
      <c r="K379" s="420"/>
      <c r="L379" s="193"/>
      <c r="M379" s="377"/>
      <c r="O379" s="772"/>
      <c r="P379" s="157"/>
      <c r="Q379" s="404"/>
      <c r="R379" s="148"/>
      <c r="S379" s="242"/>
      <c r="T379" s="242"/>
      <c r="U379" s="242"/>
      <c r="V379" s="242"/>
      <c r="W379" s="242"/>
      <c r="X379" s="242"/>
      <c r="Y379" s="148"/>
      <c r="Z379" s="148"/>
    </row>
    <row r="380">
      <c r="A380" s="239"/>
      <c r="B380" s="157"/>
      <c r="C380" s="561" t="s">
        <v>1120</v>
      </c>
      <c r="D380" s="157"/>
      <c r="E380" s="228"/>
      <c r="F380" s="760"/>
      <c r="G380" s="578"/>
      <c r="H380" s="419"/>
      <c r="I380" s="239"/>
      <c r="J380" s="596" t="s">
        <v>1001</v>
      </c>
      <c r="K380" s="420"/>
      <c r="L380" s="193">
        <v>180.0</v>
      </c>
      <c r="M380" s="377"/>
      <c r="O380" s="772"/>
      <c r="P380" s="157"/>
      <c r="Q380" s="404"/>
      <c r="R380" s="148"/>
      <c r="S380" s="242"/>
      <c r="T380" s="242"/>
      <c r="U380" s="242"/>
      <c r="V380" s="242"/>
      <c r="W380" s="242"/>
      <c r="X380" s="242"/>
      <c r="Y380" s="148"/>
      <c r="Z380" s="148"/>
    </row>
    <row r="381">
      <c r="A381" s="239"/>
      <c r="B381" s="157"/>
      <c r="C381" s="561"/>
      <c r="D381" s="157"/>
      <c r="E381" s="570"/>
      <c r="F381" s="760"/>
      <c r="G381" s="578"/>
      <c r="H381" s="419"/>
      <c r="I381" s="239"/>
      <c r="J381" s="568"/>
      <c r="K381" s="420"/>
      <c r="L381" s="193"/>
      <c r="M381" s="374"/>
      <c r="O381" s="772"/>
      <c r="P381" s="157"/>
      <c r="Q381" s="404"/>
      <c r="R381" s="148"/>
      <c r="S381" s="242"/>
      <c r="T381" s="242"/>
      <c r="U381" s="242"/>
      <c r="V381" s="242"/>
      <c r="W381" s="242"/>
      <c r="X381" s="242"/>
      <c r="Y381" s="148"/>
      <c r="Z381" s="148"/>
    </row>
    <row r="382">
      <c r="C382" s="571"/>
      <c r="D382" s="157"/>
      <c r="E382" s="570"/>
      <c r="F382" s="760"/>
      <c r="G382" s="578"/>
      <c r="H382" s="419"/>
      <c r="I382" s="239"/>
      <c r="J382" s="464" t="s">
        <v>692</v>
      </c>
      <c r="K382" s="420"/>
      <c r="L382" s="150"/>
      <c r="M382" s="377"/>
      <c r="O382" s="772"/>
      <c r="P382" s="157"/>
      <c r="Q382" s="404"/>
      <c r="R382" s="148"/>
      <c r="S382" s="242"/>
      <c r="T382" s="242"/>
      <c r="U382" s="242"/>
      <c r="V382" s="242"/>
      <c r="W382" s="242"/>
      <c r="X382" s="242"/>
      <c r="Y382" s="148"/>
      <c r="Z382" s="148"/>
    </row>
    <row r="383">
      <c r="C383" s="571"/>
      <c r="D383" s="157"/>
      <c r="E383" s="570"/>
      <c r="F383" s="760"/>
      <c r="G383" s="578"/>
      <c r="H383" s="419"/>
      <c r="I383" s="239"/>
      <c r="J383" s="464" t="s">
        <v>694</v>
      </c>
      <c r="K383" s="420"/>
      <c r="L383" s="193"/>
      <c r="M383" s="377"/>
      <c r="O383" s="772"/>
      <c r="P383" s="157"/>
      <c r="Q383" s="404"/>
      <c r="R383" s="148"/>
      <c r="S383" s="242"/>
      <c r="T383" s="242"/>
      <c r="U383" s="242"/>
      <c r="V383" s="242"/>
      <c r="W383" s="242"/>
      <c r="X383" s="242"/>
      <c r="Y383" s="148"/>
      <c r="Z383" s="148"/>
    </row>
    <row r="384">
      <c r="C384" s="571"/>
      <c r="D384" s="423"/>
      <c r="E384" s="570"/>
      <c r="F384" s="758"/>
      <c r="G384" s="578"/>
      <c r="H384" s="419"/>
      <c r="I384" s="57"/>
      <c r="J384" s="105"/>
      <c r="K384" s="57"/>
      <c r="L384" s="150"/>
      <c r="M384" s="57"/>
      <c r="N384" s="57"/>
      <c r="O384" s="105"/>
      <c r="P384" s="157"/>
      <c r="Q384" s="404"/>
      <c r="R384" s="148"/>
      <c r="S384" s="242"/>
      <c r="T384" s="242"/>
      <c r="U384" s="242"/>
      <c r="V384" s="242"/>
      <c r="W384" s="242"/>
      <c r="X384" s="242"/>
      <c r="Y384" s="148"/>
      <c r="Z384" s="148"/>
    </row>
    <row r="385">
      <c r="A385" s="125" t="s">
        <v>798</v>
      </c>
      <c r="B385" s="572">
        <f>C358-B362</f>
        <v>1004</v>
      </c>
      <c r="D385" s="157"/>
      <c r="E385" s="570"/>
      <c r="F385" s="767"/>
      <c r="G385" s="581"/>
      <c r="H385" s="419"/>
      <c r="I385" s="239"/>
      <c r="J385" s="568"/>
      <c r="K385" s="57"/>
      <c r="L385" s="150"/>
      <c r="M385" s="57"/>
      <c r="N385" s="57"/>
      <c r="O385" s="105"/>
      <c r="P385" s="157"/>
      <c r="Q385" s="404"/>
      <c r="R385" s="148"/>
      <c r="S385" s="242"/>
      <c r="T385" s="242"/>
      <c r="U385" s="242"/>
      <c r="V385" s="242"/>
      <c r="W385" s="242"/>
      <c r="X385" s="242"/>
      <c r="Y385" s="148"/>
      <c r="Z385" s="148"/>
    </row>
    <row r="386">
      <c r="A386" s="274" t="s">
        <v>783</v>
      </c>
      <c r="B386" s="109">
        <v>2800.0</v>
      </c>
      <c r="C386" s="395"/>
      <c r="D386" s="157"/>
      <c r="E386" s="570"/>
      <c r="F386" s="767"/>
      <c r="G386" s="581"/>
      <c r="H386" s="419"/>
      <c r="I386" s="239"/>
      <c r="J386" s="568"/>
      <c r="K386" s="57"/>
      <c r="L386" s="150"/>
      <c r="M386" s="57"/>
      <c r="N386" s="57"/>
      <c r="O386" s="105"/>
      <c r="P386" s="157"/>
      <c r="Q386" s="404"/>
      <c r="R386" s="148"/>
      <c r="S386" s="242"/>
      <c r="T386" s="242"/>
      <c r="U386" s="242"/>
      <c r="V386" s="242"/>
      <c r="W386" s="242"/>
      <c r="X386" s="242"/>
      <c r="Y386" s="148"/>
      <c r="Z386" s="148"/>
    </row>
    <row r="387">
      <c r="A387" s="274" t="s">
        <v>784</v>
      </c>
      <c r="B387" s="109">
        <v>700.0</v>
      </c>
      <c r="C387" s="395"/>
      <c r="D387" s="157"/>
      <c r="E387" s="570"/>
      <c r="F387" s="767"/>
      <c r="G387" s="581"/>
      <c r="H387" s="419"/>
      <c r="I387" s="239"/>
      <c r="J387" s="568"/>
      <c r="K387" s="57"/>
      <c r="L387" s="150"/>
      <c r="M387" s="57"/>
      <c r="N387" s="57"/>
      <c r="O387" s="105"/>
      <c r="P387" s="157"/>
      <c r="Q387" s="404"/>
      <c r="R387" s="148"/>
      <c r="S387" s="242"/>
      <c r="T387" s="242"/>
      <c r="U387" s="242"/>
      <c r="V387" s="242"/>
      <c r="W387" s="242"/>
      <c r="X387" s="242"/>
      <c r="Y387" s="148"/>
      <c r="Z387" s="148"/>
    </row>
    <row r="388">
      <c r="A388" s="274" t="s">
        <v>785</v>
      </c>
      <c r="B388" s="109">
        <v>3700.0</v>
      </c>
      <c r="C388" s="686">
        <f>SUM(B386:B388)</f>
        <v>7200</v>
      </c>
      <c r="D388" s="157"/>
      <c r="E388" s="570"/>
      <c r="F388" s="767"/>
      <c r="G388" s="581"/>
      <c r="H388" s="419"/>
      <c r="I388" s="239"/>
      <c r="J388" s="568"/>
      <c r="K388" s="57"/>
      <c r="L388" s="150"/>
      <c r="M388" s="57"/>
      <c r="N388" s="57"/>
      <c r="O388" s="105"/>
      <c r="P388" s="157"/>
      <c r="Q388" s="404"/>
      <c r="R388" s="148"/>
      <c r="S388" s="242"/>
      <c r="T388" s="242"/>
      <c r="U388" s="242"/>
      <c r="V388" s="242"/>
      <c r="W388" s="242"/>
      <c r="X388" s="242"/>
      <c r="Y388" s="148"/>
      <c r="Z388" s="148"/>
    </row>
    <row r="389">
      <c r="A389" s="402"/>
      <c r="B389" s="403"/>
      <c r="C389" s="403"/>
      <c r="D389" s="403"/>
      <c r="E389" s="574"/>
      <c r="F389" s="768"/>
      <c r="G389" s="576"/>
      <c r="H389" s="159"/>
      <c r="I389" s="159"/>
      <c r="J389" s="576"/>
      <c r="K389" s="159"/>
      <c r="L389" s="162"/>
      <c r="M389" s="402"/>
      <c r="N389" s="402"/>
      <c r="O389" s="576"/>
      <c r="P389" s="403"/>
      <c r="Q389" s="577"/>
      <c r="R389" s="148"/>
      <c r="S389" s="242"/>
      <c r="T389" s="242"/>
      <c r="U389" s="242"/>
      <c r="V389" s="242"/>
      <c r="W389" s="242"/>
      <c r="X389" s="242"/>
      <c r="Y389" s="148"/>
      <c r="Z389" s="148"/>
    </row>
    <row r="390">
      <c r="A390" s="148"/>
      <c r="B390" s="148"/>
      <c r="C390" s="148"/>
      <c r="D390" s="245"/>
      <c r="E390" s="585"/>
      <c r="F390" s="777"/>
      <c r="G390" s="243"/>
      <c r="H390" s="148"/>
      <c r="I390" s="251"/>
      <c r="J390" s="243"/>
      <c r="K390" s="148"/>
      <c r="L390" s="277"/>
      <c r="M390" s="252"/>
      <c r="N390" s="250"/>
      <c r="O390" s="323"/>
      <c r="P390" s="240"/>
      <c r="Q390" s="148"/>
      <c r="R390" s="148"/>
      <c r="S390" s="242"/>
      <c r="T390" s="242"/>
      <c r="U390" s="242"/>
      <c r="V390" s="242"/>
      <c r="W390" s="242"/>
      <c r="X390" s="242"/>
      <c r="Y390" s="148"/>
      <c r="Z390" s="148"/>
    </row>
    <row r="391">
      <c r="A391" s="169" t="s">
        <v>104</v>
      </c>
      <c r="B391" s="539"/>
      <c r="C391" s="540"/>
      <c r="D391" s="405"/>
      <c r="E391" s="541"/>
      <c r="F391" s="755"/>
      <c r="G391" s="467" t="s">
        <v>333</v>
      </c>
      <c r="H391" s="361"/>
      <c r="I391" s="57"/>
      <c r="J391" s="105"/>
      <c r="K391" s="57"/>
      <c r="L391" s="150"/>
      <c r="M391" s="239"/>
      <c r="N391" s="239"/>
      <c r="O391" s="105"/>
      <c r="P391" s="157"/>
      <c r="Q391" s="404"/>
      <c r="R391" s="148"/>
      <c r="S391" s="242"/>
      <c r="T391" s="242"/>
      <c r="U391" s="242"/>
      <c r="V391" s="242"/>
      <c r="W391" s="242"/>
      <c r="X391" s="242"/>
      <c r="Y391" s="148"/>
      <c r="Z391" s="148"/>
    </row>
    <row r="392">
      <c r="A392" s="468"/>
      <c r="B392" s="157"/>
      <c r="C392" s="466"/>
      <c r="D392" s="405"/>
      <c r="E392" s="543" t="s">
        <v>335</v>
      </c>
      <c r="F392" s="756" t="s">
        <v>237</v>
      </c>
      <c r="G392" s="412" t="s">
        <v>336</v>
      </c>
      <c r="H392" s="413" t="s">
        <v>337</v>
      </c>
      <c r="I392" s="239"/>
      <c r="J392" s="145" t="s">
        <v>60</v>
      </c>
      <c r="K392" s="57"/>
      <c r="L392" s="150"/>
      <c r="M392" s="414"/>
      <c r="N392" s="414"/>
      <c r="O392" s="105" t="s">
        <v>334</v>
      </c>
      <c r="P392" s="157"/>
      <c r="Q392" s="404"/>
      <c r="R392" s="148"/>
      <c r="S392" s="242"/>
      <c r="T392" s="242"/>
      <c r="U392" s="242"/>
      <c r="V392" s="242"/>
      <c r="W392" s="242"/>
      <c r="X392" s="242"/>
      <c r="Y392" s="148"/>
      <c r="Z392" s="148"/>
    </row>
    <row r="393">
      <c r="A393" s="470" t="s">
        <v>179</v>
      </c>
      <c r="C393" s="416">
        <f>SUM(F393:F427)</f>
        <v>2680</v>
      </c>
      <c r="D393" s="405"/>
      <c r="E393" s="545"/>
      <c r="F393" s="758"/>
      <c r="G393" s="578"/>
      <c r="H393" s="419"/>
      <c r="I393" s="57"/>
      <c r="K393" s="57"/>
      <c r="L393" s="150"/>
      <c r="M393" s="377" t="s">
        <v>366</v>
      </c>
      <c r="P393" s="157"/>
      <c r="Q393" s="404"/>
      <c r="R393" s="148"/>
      <c r="S393" s="242"/>
      <c r="T393" s="242"/>
      <c r="U393" s="242"/>
      <c r="V393" s="242"/>
      <c r="W393" s="242"/>
      <c r="X393" s="242"/>
      <c r="Y393" s="148"/>
      <c r="Z393" s="148"/>
    </row>
    <row r="394">
      <c r="A394" s="421" t="s">
        <v>343</v>
      </c>
      <c r="B394" s="422" t="s">
        <v>321</v>
      </c>
      <c r="C394" s="416">
        <f>SUM(P394:P427)</f>
        <v>0</v>
      </c>
      <c r="D394" s="157"/>
      <c r="E394" s="545"/>
      <c r="F394" s="758"/>
      <c r="G394" s="578"/>
      <c r="H394" s="419"/>
      <c r="I394" s="239"/>
      <c r="J394" s="471" t="s">
        <v>341</v>
      </c>
      <c r="K394" s="420"/>
      <c r="L394" s="150"/>
      <c r="M394" s="374"/>
      <c r="O394" s="770"/>
      <c r="P394" s="423"/>
      <c r="Q394" s="404"/>
      <c r="R394" s="148"/>
      <c r="S394" s="242"/>
      <c r="T394" s="242"/>
      <c r="U394" s="242"/>
      <c r="V394" s="242"/>
      <c r="W394" s="242"/>
      <c r="X394" s="242"/>
      <c r="Y394" s="148"/>
      <c r="Z394" s="148"/>
    </row>
    <row r="395">
      <c r="A395" s="427" t="s">
        <v>201</v>
      </c>
      <c r="C395" s="204">
        <f>SUM(L394:L427)</f>
        <v>3003</v>
      </c>
      <c r="D395" s="157"/>
      <c r="E395" s="545"/>
      <c r="F395" s="758"/>
      <c r="G395" s="578"/>
      <c r="H395" s="419"/>
      <c r="I395" s="239"/>
      <c r="J395" s="472" t="s">
        <v>345</v>
      </c>
      <c r="K395" s="420"/>
      <c r="L395" s="150"/>
      <c r="M395" s="374"/>
      <c r="O395" s="770"/>
      <c r="P395" s="423"/>
      <c r="Q395" s="404"/>
      <c r="R395" s="148"/>
      <c r="S395" s="242"/>
      <c r="T395" s="242"/>
      <c r="U395" s="242"/>
      <c r="V395" s="242"/>
      <c r="W395" s="242"/>
      <c r="X395" s="242"/>
      <c r="Y395" s="148"/>
      <c r="Z395" s="148"/>
    </row>
    <row r="396">
      <c r="A396" s="548" t="s">
        <v>761</v>
      </c>
      <c r="B396" s="549">
        <v>0.4</v>
      </c>
      <c r="C396" s="191"/>
      <c r="D396" s="157"/>
      <c r="E396" s="550" t="s">
        <v>695</v>
      </c>
      <c r="F396" s="758"/>
      <c r="G396" s="578"/>
      <c r="H396" s="419"/>
      <c r="I396" s="239"/>
      <c r="J396" s="433" t="s">
        <v>656</v>
      </c>
      <c r="K396" s="420"/>
      <c r="L396" s="598">
        <v>111.0</v>
      </c>
      <c r="M396" s="377" t="s">
        <v>1530</v>
      </c>
      <c r="O396" s="770"/>
      <c r="P396" s="423"/>
      <c r="Q396" s="404"/>
      <c r="R396" s="148"/>
      <c r="S396" s="242"/>
      <c r="T396" s="242"/>
      <c r="U396" s="242"/>
      <c r="V396" s="242"/>
      <c r="W396" s="242"/>
      <c r="X396" s="242"/>
      <c r="Y396" s="148"/>
      <c r="Z396" s="148"/>
    </row>
    <row r="397">
      <c r="A397" s="434" t="s">
        <v>350</v>
      </c>
      <c r="C397" s="551">
        <f>C393-C395-C396</f>
        <v>-323</v>
      </c>
      <c r="D397" s="157"/>
      <c r="E397" s="192" t="s">
        <v>1509</v>
      </c>
      <c r="F397" s="758">
        <v>220.0</v>
      </c>
      <c r="G397" s="579"/>
      <c r="H397" s="419"/>
      <c r="I397" s="57"/>
      <c r="J397" s="444" t="s">
        <v>658</v>
      </c>
      <c r="K397" s="420"/>
      <c r="L397" s="193"/>
      <c r="M397" s="377"/>
      <c r="O397" s="770"/>
      <c r="P397" s="423"/>
      <c r="Q397" s="404"/>
      <c r="R397" s="148"/>
      <c r="S397" s="242"/>
      <c r="T397" s="242"/>
      <c r="U397" s="242"/>
      <c r="V397" s="242"/>
      <c r="W397" s="242"/>
      <c r="X397" s="242"/>
      <c r="Y397" s="148"/>
      <c r="Z397" s="148"/>
    </row>
    <row r="398">
      <c r="A398" s="554"/>
      <c r="B398" s="555"/>
      <c r="C398" s="447"/>
      <c r="D398" s="157"/>
      <c r="E398" s="192" t="s">
        <v>1127</v>
      </c>
      <c r="F398" s="758">
        <v>165.0</v>
      </c>
      <c r="G398" s="562"/>
      <c r="H398" s="419"/>
      <c r="I398" s="57"/>
      <c r="J398" s="444" t="s">
        <v>660</v>
      </c>
      <c r="K398" s="420"/>
      <c r="L398" s="193">
        <v>180.0</v>
      </c>
      <c r="M398" s="377"/>
      <c r="O398" s="772"/>
      <c r="P398" s="157"/>
      <c r="Q398" s="404"/>
      <c r="R398" s="148"/>
      <c r="S398" s="242"/>
      <c r="T398" s="242"/>
      <c r="U398" s="242"/>
      <c r="V398" s="242"/>
      <c r="W398" s="242"/>
      <c r="X398" s="242"/>
      <c r="Y398" s="148"/>
      <c r="Z398" s="148"/>
    </row>
    <row r="399">
      <c r="A399" s="556"/>
      <c r="C399" s="395"/>
      <c r="D399" s="157"/>
      <c r="E399" s="192" t="s">
        <v>402</v>
      </c>
      <c r="F399" s="758">
        <v>750.0</v>
      </c>
      <c r="G399" s="579"/>
      <c r="H399" s="419"/>
      <c r="I399" s="239"/>
      <c r="J399" s="370" t="s">
        <v>662</v>
      </c>
      <c r="K399" s="420"/>
      <c r="L399" s="193">
        <v>80.0</v>
      </c>
      <c r="M399" s="374"/>
      <c r="O399" s="772"/>
      <c r="P399" s="157"/>
      <c r="Q399" s="404"/>
      <c r="R399" s="148"/>
      <c r="S399" s="242"/>
      <c r="T399" s="242"/>
      <c r="U399" s="242"/>
      <c r="V399" s="242"/>
      <c r="W399" s="242"/>
      <c r="X399" s="242"/>
      <c r="Y399" s="148"/>
      <c r="Z399" s="148"/>
    </row>
    <row r="400">
      <c r="A400" s="557"/>
      <c r="B400" s="109"/>
      <c r="C400" s="395"/>
      <c r="D400" s="373"/>
      <c r="E400" s="192" t="s">
        <v>1531</v>
      </c>
      <c r="F400" s="758">
        <v>220.0</v>
      </c>
      <c r="G400" s="578"/>
      <c r="H400" s="419"/>
      <c r="I400" s="239"/>
      <c r="J400" s="433" t="s">
        <v>666</v>
      </c>
      <c r="K400" s="420"/>
      <c r="L400" s="150"/>
      <c r="M400" s="374"/>
      <c r="O400" s="772"/>
      <c r="P400" s="157"/>
      <c r="Q400" s="404"/>
      <c r="R400" s="148"/>
      <c r="S400" s="242"/>
      <c r="T400" s="242"/>
      <c r="U400" s="242"/>
      <c r="V400" s="242"/>
      <c r="W400" s="242"/>
      <c r="X400" s="242"/>
      <c r="Y400" s="148"/>
      <c r="Z400" s="148"/>
    </row>
    <row r="401">
      <c r="A401" s="559" t="s">
        <v>765</v>
      </c>
      <c r="B401" s="560">
        <f>SUM(D401:D427)</f>
        <v>1810</v>
      </c>
      <c r="C401" s="477" t="s">
        <v>366</v>
      </c>
      <c r="D401" s="157"/>
      <c r="E401" s="192" t="s">
        <v>1371</v>
      </c>
      <c r="F401" s="758">
        <v>500.0</v>
      </c>
      <c r="G401" s="578"/>
      <c r="H401" s="419"/>
      <c r="I401" s="239"/>
      <c r="J401" s="433" t="s">
        <v>668</v>
      </c>
      <c r="K401" s="420"/>
      <c r="L401" s="193">
        <v>800.0</v>
      </c>
      <c r="M401" s="377" t="s">
        <v>1532</v>
      </c>
      <c r="O401" s="772"/>
      <c r="P401" s="157"/>
      <c r="Q401" s="404"/>
      <c r="R401" s="148"/>
      <c r="S401" s="242"/>
      <c r="T401" s="242"/>
      <c r="U401" s="242"/>
      <c r="V401" s="242"/>
      <c r="W401" s="242"/>
      <c r="X401" s="242"/>
      <c r="Y401" s="148"/>
      <c r="Z401" s="148"/>
    </row>
    <row r="402">
      <c r="A402" s="453" t="s">
        <v>369</v>
      </c>
      <c r="C402" s="561" t="s">
        <v>766</v>
      </c>
      <c r="D402" s="423"/>
      <c r="E402" s="192" t="s">
        <v>1511</v>
      </c>
      <c r="F402" s="758">
        <v>240.0</v>
      </c>
      <c r="G402" s="578"/>
      <c r="H402" s="419"/>
      <c r="I402" s="239"/>
      <c r="J402" s="433" t="s">
        <v>670</v>
      </c>
      <c r="K402" s="458"/>
      <c r="L402" s="193">
        <v>1250.0</v>
      </c>
      <c r="M402" s="377"/>
      <c r="O402" s="772"/>
      <c r="P402" s="157"/>
      <c r="Q402" s="404"/>
      <c r="R402" s="148"/>
      <c r="S402" s="242"/>
      <c r="T402" s="242"/>
      <c r="U402" s="242"/>
      <c r="V402" s="242"/>
      <c r="W402" s="242"/>
      <c r="X402" s="242"/>
      <c r="Y402" s="148"/>
      <c r="Z402" s="148"/>
    </row>
    <row r="403">
      <c r="C403" s="561" t="s">
        <v>767</v>
      </c>
      <c r="D403" s="423"/>
      <c r="E403" s="192" t="s">
        <v>424</v>
      </c>
      <c r="F403" s="758">
        <v>265.0</v>
      </c>
      <c r="G403" s="578"/>
      <c r="H403" s="419"/>
      <c r="I403" s="239"/>
      <c r="J403" s="433" t="s">
        <v>217</v>
      </c>
      <c r="K403" s="458"/>
      <c r="L403" s="150"/>
      <c r="M403" s="377"/>
      <c r="O403" s="772"/>
      <c r="P403" s="157"/>
      <c r="Q403" s="404"/>
      <c r="R403" s="148"/>
      <c r="S403" s="242"/>
      <c r="T403" s="242"/>
      <c r="U403" s="242"/>
      <c r="V403" s="242"/>
      <c r="W403" s="242"/>
      <c r="X403" s="242"/>
      <c r="Y403" s="148"/>
      <c r="Z403" s="148"/>
    </row>
    <row r="404">
      <c r="A404" s="57"/>
      <c r="B404" s="272" t="s">
        <v>889</v>
      </c>
      <c r="C404" s="561" t="s">
        <v>768</v>
      </c>
      <c r="D404" s="423"/>
      <c r="E404" s="192" t="s">
        <v>402</v>
      </c>
      <c r="F404" s="758">
        <v>220.0</v>
      </c>
      <c r="G404" s="578"/>
      <c r="H404" s="419"/>
      <c r="I404" s="239"/>
      <c r="J404" s="109"/>
      <c r="K404" s="420"/>
      <c r="L404" s="193"/>
      <c r="M404" s="374"/>
      <c r="O404" s="772"/>
      <c r="P404" s="157"/>
      <c r="Q404" s="404"/>
      <c r="R404" s="148"/>
      <c r="S404" s="242"/>
      <c r="T404" s="242"/>
      <c r="U404" s="242"/>
      <c r="V404" s="242"/>
      <c r="W404" s="242"/>
      <c r="X404" s="242"/>
      <c r="Y404" s="148"/>
      <c r="Z404" s="148"/>
    </row>
    <row r="405">
      <c r="A405" s="57"/>
      <c r="B405" s="57"/>
      <c r="C405" s="561" t="s">
        <v>769</v>
      </c>
      <c r="D405" s="157"/>
      <c r="E405" s="192" t="s">
        <v>1533</v>
      </c>
      <c r="F405" s="758">
        <v>100.0</v>
      </c>
      <c r="G405" s="578"/>
      <c r="H405" s="419"/>
      <c r="I405" s="239"/>
      <c r="J405" s="456" t="s">
        <v>672</v>
      </c>
      <c r="K405" s="420"/>
      <c r="L405" s="150"/>
      <c r="M405" s="377"/>
      <c r="O405" s="772"/>
      <c r="P405" s="157"/>
      <c r="Q405" s="404"/>
      <c r="R405" s="148"/>
      <c r="S405" s="242"/>
      <c r="T405" s="242"/>
      <c r="U405" s="242"/>
      <c r="V405" s="242"/>
      <c r="W405" s="242"/>
      <c r="X405" s="242"/>
      <c r="Y405" s="148"/>
      <c r="Z405" s="148"/>
    </row>
    <row r="406">
      <c r="A406" s="597"/>
      <c r="C406" s="561" t="s">
        <v>770</v>
      </c>
      <c r="D406" s="423"/>
      <c r="E406" s="192" t="s">
        <v>862</v>
      </c>
      <c r="F406" s="758"/>
      <c r="G406" s="578"/>
      <c r="H406" s="419"/>
      <c r="I406" s="57"/>
      <c r="J406" s="456" t="s">
        <v>675</v>
      </c>
      <c r="K406" s="420"/>
      <c r="L406" s="150"/>
      <c r="M406" s="382"/>
      <c r="O406" s="772"/>
      <c r="P406" s="157"/>
      <c r="Q406" s="404"/>
      <c r="R406" s="148"/>
      <c r="S406" s="242"/>
      <c r="T406" s="242"/>
      <c r="U406" s="242"/>
      <c r="V406" s="242"/>
      <c r="W406" s="242"/>
      <c r="X406" s="242"/>
      <c r="Y406" s="148"/>
      <c r="Z406" s="148"/>
    </row>
    <row r="407">
      <c r="A407" s="238" t="s">
        <v>1534</v>
      </c>
      <c r="B407" s="57"/>
      <c r="C407" s="561" t="s">
        <v>793</v>
      </c>
      <c r="D407" s="423">
        <v>90.0</v>
      </c>
      <c r="E407" s="192"/>
      <c r="F407" s="758"/>
      <c r="G407" s="562"/>
      <c r="H407" s="419"/>
      <c r="I407" s="57"/>
      <c r="J407" s="456"/>
      <c r="K407" s="420"/>
      <c r="L407" s="150"/>
      <c r="M407" s="425"/>
      <c r="O407" s="772"/>
      <c r="P407" s="157"/>
      <c r="Q407" s="404"/>
      <c r="R407" s="148"/>
      <c r="S407" s="242"/>
      <c r="T407" s="242"/>
      <c r="U407" s="242"/>
      <c r="V407" s="242"/>
      <c r="W407" s="242"/>
      <c r="X407" s="242"/>
      <c r="Y407" s="148"/>
      <c r="Z407" s="148"/>
    </row>
    <row r="408">
      <c r="A408" s="239"/>
      <c r="B408" s="57"/>
      <c r="C408" s="561" t="s">
        <v>794</v>
      </c>
      <c r="D408" s="157"/>
      <c r="E408" s="192"/>
      <c r="F408" s="758"/>
      <c r="G408" s="562"/>
      <c r="H408" s="419"/>
      <c r="I408" s="57"/>
      <c r="J408" s="375"/>
      <c r="K408" s="420"/>
      <c r="L408" s="150"/>
      <c r="M408" s="425"/>
      <c r="O408" s="772"/>
      <c r="P408" s="157"/>
      <c r="Q408" s="404"/>
      <c r="R408" s="148"/>
      <c r="S408" s="242"/>
      <c r="T408" s="242"/>
      <c r="U408" s="242"/>
      <c r="V408" s="242"/>
      <c r="W408" s="242"/>
      <c r="X408" s="242"/>
      <c r="Y408" s="148"/>
      <c r="Z408" s="148"/>
    </row>
    <row r="409">
      <c r="A409" s="238" t="s">
        <v>1535</v>
      </c>
      <c r="B409" s="57"/>
      <c r="C409" s="561" t="s">
        <v>18</v>
      </c>
      <c r="D409" s="423">
        <v>447.0</v>
      </c>
      <c r="E409" s="192"/>
      <c r="F409" s="758"/>
      <c r="G409" s="578"/>
      <c r="H409" s="419"/>
      <c r="I409" s="57"/>
      <c r="J409" s="375"/>
      <c r="K409" s="420"/>
      <c r="L409" s="193"/>
      <c r="M409" s="382"/>
      <c r="O409" s="772"/>
      <c r="P409" s="157"/>
      <c r="Q409" s="404"/>
      <c r="R409" s="148"/>
      <c r="S409" s="242"/>
      <c r="T409" s="242"/>
      <c r="U409" s="242"/>
      <c r="V409" s="242"/>
      <c r="W409" s="242"/>
      <c r="X409" s="242"/>
      <c r="Y409" s="148"/>
      <c r="Z409" s="148"/>
    </row>
    <row r="410">
      <c r="A410" s="238" t="s">
        <v>1536</v>
      </c>
      <c r="B410" s="57"/>
      <c r="C410" s="563" t="s">
        <v>1115</v>
      </c>
      <c r="D410" s="423">
        <v>1000.0</v>
      </c>
      <c r="E410" s="192"/>
      <c r="F410" s="758"/>
      <c r="G410" s="562"/>
      <c r="H410" s="419"/>
      <c r="I410" s="57"/>
      <c r="J410" s="452"/>
      <c r="K410" s="420"/>
      <c r="L410" s="150"/>
      <c r="M410" s="425"/>
      <c r="O410" s="772"/>
      <c r="P410" s="157"/>
      <c r="Q410" s="404"/>
      <c r="R410" s="148"/>
      <c r="S410" s="242"/>
      <c r="T410" s="242"/>
      <c r="U410" s="242"/>
      <c r="V410" s="242"/>
      <c r="W410" s="242"/>
      <c r="X410" s="242"/>
      <c r="Y410" s="148"/>
      <c r="Z410" s="148"/>
    </row>
    <row r="411">
      <c r="A411" s="238" t="s">
        <v>1537</v>
      </c>
      <c r="B411" s="57"/>
      <c r="C411" s="561" t="s">
        <v>1116</v>
      </c>
      <c r="D411" s="423">
        <v>23.0</v>
      </c>
      <c r="E411" s="192"/>
      <c r="F411" s="758"/>
      <c r="G411" s="562"/>
      <c r="H411" s="419"/>
      <c r="I411" s="57"/>
      <c r="J411" s="105"/>
      <c r="K411" s="420"/>
      <c r="L411" s="150"/>
      <c r="M411" s="425"/>
      <c r="O411" s="772"/>
      <c r="P411" s="157"/>
      <c r="Q411" s="404"/>
      <c r="R411" s="148"/>
      <c r="S411" s="242"/>
      <c r="T411" s="242"/>
      <c r="U411" s="242"/>
      <c r="V411" s="242"/>
      <c r="W411" s="242"/>
      <c r="X411" s="242"/>
      <c r="Y411" s="148"/>
      <c r="Z411" s="148"/>
    </row>
    <row r="412">
      <c r="A412" s="239"/>
      <c r="B412" s="239"/>
      <c r="C412" s="561" t="s">
        <v>775</v>
      </c>
      <c r="D412" s="423"/>
      <c r="E412" s="228"/>
      <c r="F412" s="760"/>
      <c r="G412" s="578"/>
      <c r="H412" s="419"/>
      <c r="I412" s="57"/>
      <c r="J412" s="378" t="s">
        <v>682</v>
      </c>
      <c r="K412" s="420"/>
      <c r="L412" s="193">
        <v>182.0</v>
      </c>
      <c r="M412" s="377" t="s">
        <v>1538</v>
      </c>
      <c r="O412" s="772"/>
      <c r="P412" s="157"/>
      <c r="Q412" s="404"/>
      <c r="R412" s="148"/>
      <c r="S412" s="242"/>
      <c r="T412" s="242"/>
      <c r="U412" s="242"/>
      <c r="V412" s="242"/>
      <c r="W412" s="242"/>
      <c r="X412" s="242"/>
      <c r="Y412" s="148"/>
      <c r="Z412" s="148"/>
    </row>
    <row r="413">
      <c r="A413" s="239"/>
      <c r="B413" s="239"/>
      <c r="C413" s="561" t="s">
        <v>10</v>
      </c>
      <c r="D413" s="157"/>
      <c r="E413" s="206"/>
      <c r="F413" s="765"/>
      <c r="G413" s="581"/>
      <c r="H413" s="419"/>
      <c r="I413" s="57"/>
      <c r="J413" s="461" t="s">
        <v>684</v>
      </c>
      <c r="K413" s="420"/>
      <c r="L413" s="193"/>
      <c r="M413" s="377"/>
      <c r="O413" s="772"/>
      <c r="P413" s="157"/>
      <c r="Q413" s="404"/>
      <c r="R413" s="148"/>
      <c r="S413" s="242"/>
      <c r="T413" s="242"/>
      <c r="U413" s="242"/>
      <c r="V413" s="242"/>
      <c r="W413" s="242"/>
      <c r="X413" s="242"/>
      <c r="Y413" s="148"/>
      <c r="Z413" s="148"/>
    </row>
    <row r="414">
      <c r="A414" s="239"/>
      <c r="B414" s="239"/>
      <c r="C414" s="561" t="s">
        <v>6</v>
      </c>
      <c r="D414" s="157"/>
      <c r="E414" s="206"/>
      <c r="F414" s="760"/>
      <c r="G414" s="579"/>
      <c r="H414" s="455"/>
      <c r="I414" s="57"/>
      <c r="J414" s="461" t="s">
        <v>686</v>
      </c>
      <c r="K414" s="420"/>
      <c r="L414" s="193">
        <v>400.0</v>
      </c>
      <c r="M414" s="374" t="s">
        <v>1539</v>
      </c>
      <c r="O414" s="776"/>
      <c r="P414" s="157"/>
      <c r="Q414" s="404"/>
      <c r="R414" s="148"/>
      <c r="S414" s="242"/>
      <c r="T414" s="242"/>
      <c r="U414" s="242"/>
      <c r="V414" s="242"/>
      <c r="W414" s="242"/>
      <c r="X414" s="242"/>
      <c r="Y414" s="148"/>
      <c r="Z414" s="148"/>
    </row>
    <row r="415">
      <c r="A415" s="209" t="s">
        <v>1540</v>
      </c>
      <c r="B415" s="57"/>
      <c r="C415" s="561" t="s">
        <v>779</v>
      </c>
      <c r="D415" s="423">
        <v>80.0</v>
      </c>
      <c r="E415" s="228"/>
      <c r="F415" s="760"/>
      <c r="G415" s="579"/>
      <c r="H415" s="455"/>
      <c r="I415" s="239"/>
      <c r="J415" s="460" t="s">
        <v>202</v>
      </c>
      <c r="K415" s="420"/>
      <c r="L415" s="193"/>
      <c r="M415" s="377"/>
      <c r="O415" s="776"/>
      <c r="P415" s="157"/>
      <c r="Q415" s="404"/>
      <c r="R415" s="148"/>
      <c r="S415" s="242"/>
      <c r="T415" s="242"/>
      <c r="U415" s="242"/>
      <c r="V415" s="242"/>
      <c r="W415" s="242"/>
      <c r="X415" s="242"/>
      <c r="Y415" s="148"/>
      <c r="Z415" s="148"/>
    </row>
    <row r="416">
      <c r="A416" s="239"/>
      <c r="B416" s="239"/>
      <c r="C416" s="561" t="s">
        <v>780</v>
      </c>
      <c r="D416" s="423"/>
      <c r="E416" s="228"/>
      <c r="F416" s="760"/>
      <c r="G416" s="579"/>
      <c r="H416" s="455"/>
      <c r="I416" s="57"/>
      <c r="J416" s="460" t="s">
        <v>274</v>
      </c>
      <c r="K416" s="420"/>
      <c r="L416" s="193"/>
      <c r="M416" s="374"/>
      <c r="O416" s="776"/>
      <c r="P416" s="157"/>
      <c r="Q416" s="404"/>
      <c r="R416" s="148"/>
      <c r="S416" s="242"/>
      <c r="T416" s="242"/>
      <c r="U416" s="242"/>
      <c r="V416" s="242"/>
      <c r="W416" s="242"/>
      <c r="X416" s="242"/>
      <c r="Y416" s="148"/>
      <c r="Z416" s="148"/>
    </row>
    <row r="417">
      <c r="A417" s="238" t="s">
        <v>1541</v>
      </c>
      <c r="B417" s="239"/>
      <c r="C417" s="561" t="s">
        <v>781</v>
      </c>
      <c r="D417" s="423">
        <v>170.0</v>
      </c>
      <c r="E417" s="228"/>
      <c r="F417" s="760"/>
      <c r="G417" s="579"/>
      <c r="H417" s="419"/>
      <c r="I417" s="239"/>
      <c r="J417" s="685" t="s">
        <v>1117</v>
      </c>
      <c r="K417" s="420"/>
      <c r="L417" s="150"/>
      <c r="M417" s="374"/>
      <c r="O417" s="772"/>
      <c r="P417" s="157"/>
      <c r="Q417" s="404"/>
      <c r="R417" s="148"/>
      <c r="S417" s="242"/>
      <c r="T417" s="242"/>
      <c r="U417" s="242"/>
      <c r="V417" s="242"/>
      <c r="W417" s="242"/>
      <c r="X417" s="242"/>
      <c r="Y417" s="148"/>
      <c r="Z417" s="148"/>
    </row>
    <row r="418">
      <c r="A418" s="239"/>
      <c r="B418" s="157"/>
      <c r="C418" s="561" t="s">
        <v>1118</v>
      </c>
      <c r="D418" s="157"/>
      <c r="E418" s="569"/>
      <c r="F418" s="760"/>
      <c r="G418" s="578"/>
      <c r="H418" s="419"/>
      <c r="I418" s="57"/>
      <c r="J418" s="685" t="s">
        <v>1119</v>
      </c>
      <c r="K418" s="420"/>
      <c r="L418" s="193"/>
      <c r="M418" s="377"/>
      <c r="O418" s="772"/>
      <c r="P418" s="157"/>
      <c r="Q418" s="404"/>
      <c r="R418" s="148"/>
      <c r="S418" s="242"/>
      <c r="T418" s="242"/>
      <c r="U418" s="242"/>
      <c r="V418" s="242"/>
      <c r="W418" s="242"/>
      <c r="X418" s="242"/>
      <c r="Y418" s="148"/>
      <c r="Z418" s="148"/>
    </row>
    <row r="419">
      <c r="A419" s="239"/>
      <c r="B419" s="157"/>
      <c r="C419" s="561" t="s">
        <v>1120</v>
      </c>
      <c r="D419" s="157"/>
      <c r="E419" s="228"/>
      <c r="F419" s="760"/>
      <c r="G419" s="578"/>
      <c r="H419" s="419"/>
      <c r="I419" s="239"/>
      <c r="J419" s="596" t="s">
        <v>1001</v>
      </c>
      <c r="K419" s="420"/>
      <c r="L419" s="193"/>
      <c r="M419" s="377"/>
      <c r="O419" s="772"/>
      <c r="P419" s="157"/>
      <c r="Q419" s="404"/>
      <c r="R419" s="148"/>
      <c r="S419" s="242"/>
      <c r="T419" s="242"/>
      <c r="U419" s="242"/>
      <c r="V419" s="242"/>
      <c r="W419" s="242"/>
      <c r="X419" s="242"/>
      <c r="Y419" s="148"/>
      <c r="Z419" s="148"/>
    </row>
    <row r="420">
      <c r="A420" s="239"/>
      <c r="B420" s="157"/>
      <c r="C420" s="561"/>
      <c r="D420" s="157"/>
      <c r="E420" s="570"/>
      <c r="F420" s="760"/>
      <c r="G420" s="578"/>
      <c r="H420" s="419"/>
      <c r="I420" s="239"/>
      <c r="J420" s="568"/>
      <c r="K420" s="420"/>
      <c r="L420" s="193"/>
      <c r="M420" s="374"/>
      <c r="O420" s="772"/>
      <c r="P420" s="157"/>
      <c r="Q420" s="404"/>
      <c r="R420" s="148"/>
      <c r="S420" s="242"/>
      <c r="T420" s="242"/>
      <c r="U420" s="242"/>
      <c r="V420" s="242"/>
      <c r="W420" s="242"/>
      <c r="X420" s="242"/>
      <c r="Y420" s="148"/>
      <c r="Z420" s="148"/>
    </row>
    <row r="421">
      <c r="C421" s="571"/>
      <c r="D421" s="157"/>
      <c r="E421" s="570"/>
      <c r="F421" s="760"/>
      <c r="G421" s="578"/>
      <c r="H421" s="419"/>
      <c r="I421" s="239"/>
      <c r="J421" s="464" t="s">
        <v>692</v>
      </c>
      <c r="K421" s="420"/>
      <c r="L421" s="150"/>
      <c r="M421" s="377"/>
      <c r="O421" s="772"/>
      <c r="P421" s="157"/>
      <c r="Q421" s="404"/>
      <c r="R421" s="148"/>
      <c r="S421" s="242"/>
      <c r="T421" s="242"/>
      <c r="U421" s="242"/>
      <c r="V421" s="242"/>
      <c r="W421" s="242"/>
      <c r="X421" s="242"/>
      <c r="Y421" s="148"/>
      <c r="Z421" s="148"/>
    </row>
    <row r="422">
      <c r="C422" s="571"/>
      <c r="D422" s="157"/>
      <c r="E422" s="570"/>
      <c r="F422" s="760"/>
      <c r="G422" s="578"/>
      <c r="H422" s="419"/>
      <c r="I422" s="239"/>
      <c r="J422" s="464" t="s">
        <v>694</v>
      </c>
      <c r="K422" s="420"/>
      <c r="L422" s="193"/>
      <c r="M422" s="374"/>
      <c r="O422" s="772"/>
      <c r="P422" s="157"/>
      <c r="Q422" s="404"/>
      <c r="R422" s="148"/>
      <c r="S422" s="242"/>
      <c r="T422" s="242"/>
      <c r="U422" s="242"/>
      <c r="V422" s="242"/>
      <c r="W422" s="242"/>
      <c r="X422" s="242"/>
      <c r="Y422" s="148"/>
      <c r="Z422" s="148"/>
    </row>
    <row r="423">
      <c r="C423" s="571"/>
      <c r="D423" s="423"/>
      <c r="E423" s="570"/>
      <c r="F423" s="758"/>
      <c r="G423" s="578"/>
      <c r="H423" s="419"/>
      <c r="I423" s="57"/>
      <c r="J423" s="105"/>
      <c r="K423" s="57"/>
      <c r="L423" s="150"/>
      <c r="M423" s="57"/>
      <c r="N423" s="57"/>
      <c r="O423" s="105"/>
      <c r="P423" s="157"/>
      <c r="Q423" s="404"/>
      <c r="R423" s="148"/>
      <c r="S423" s="242"/>
      <c r="T423" s="242"/>
      <c r="U423" s="242"/>
      <c r="V423" s="242"/>
      <c r="W423" s="242"/>
      <c r="X423" s="242"/>
      <c r="Y423" s="148"/>
      <c r="Z423" s="148"/>
    </row>
    <row r="424">
      <c r="A424" s="125" t="s">
        <v>798</v>
      </c>
      <c r="B424" s="572">
        <f>C397-B401</f>
        <v>-2133</v>
      </c>
      <c r="D424" s="157"/>
      <c r="E424" s="570"/>
      <c r="F424" s="767"/>
      <c r="G424" s="581"/>
      <c r="H424" s="419"/>
      <c r="I424" s="239"/>
      <c r="J424" s="568"/>
      <c r="K424" s="57"/>
      <c r="L424" s="150"/>
      <c r="M424" s="57"/>
      <c r="N424" s="57"/>
      <c r="O424" s="105"/>
      <c r="P424" s="157"/>
      <c r="Q424" s="404"/>
      <c r="R424" s="148"/>
      <c r="S424" s="242"/>
      <c r="T424" s="242"/>
      <c r="U424" s="242"/>
      <c r="V424" s="242"/>
      <c r="W424" s="242"/>
      <c r="X424" s="242"/>
      <c r="Y424" s="148"/>
      <c r="Z424" s="148"/>
    </row>
    <row r="425">
      <c r="A425" s="274" t="s">
        <v>783</v>
      </c>
      <c r="B425" s="109"/>
      <c r="C425" s="395"/>
      <c r="D425" s="157"/>
      <c r="E425" s="570"/>
      <c r="F425" s="767"/>
      <c r="G425" s="581"/>
      <c r="H425" s="419"/>
      <c r="I425" s="239"/>
      <c r="J425" s="568"/>
      <c r="K425" s="57"/>
      <c r="L425" s="150"/>
      <c r="M425" s="57"/>
      <c r="N425" s="57"/>
      <c r="O425" s="105"/>
      <c r="P425" s="157"/>
      <c r="Q425" s="404"/>
      <c r="R425" s="148"/>
      <c r="S425" s="242"/>
      <c r="T425" s="242"/>
      <c r="U425" s="242"/>
      <c r="V425" s="242"/>
      <c r="W425" s="242"/>
      <c r="X425" s="242"/>
      <c r="Y425" s="148"/>
      <c r="Z425" s="148"/>
    </row>
    <row r="426">
      <c r="A426" s="274" t="s">
        <v>784</v>
      </c>
      <c r="B426" s="109"/>
      <c r="C426" s="395"/>
      <c r="D426" s="157"/>
      <c r="E426" s="570"/>
      <c r="F426" s="767"/>
      <c r="G426" s="581"/>
      <c r="H426" s="419"/>
      <c r="I426" s="239"/>
      <c r="J426" s="568"/>
      <c r="K426" s="57"/>
      <c r="L426" s="150"/>
      <c r="M426" s="57"/>
      <c r="N426" s="57"/>
      <c r="O426" s="105"/>
      <c r="P426" s="157"/>
      <c r="Q426" s="404"/>
      <c r="R426" s="148"/>
      <c r="S426" s="242"/>
      <c r="T426" s="242"/>
      <c r="U426" s="242"/>
      <c r="V426" s="242"/>
      <c r="W426" s="242"/>
      <c r="X426" s="242"/>
      <c r="Y426" s="148"/>
      <c r="Z426" s="148"/>
    </row>
    <row r="427">
      <c r="A427" s="274" t="s">
        <v>785</v>
      </c>
      <c r="B427" s="109"/>
      <c r="C427" s="686">
        <f>SUM(B425:B427)</f>
        <v>0</v>
      </c>
      <c r="D427" s="157"/>
      <c r="E427" s="570"/>
      <c r="F427" s="767"/>
      <c r="G427" s="581"/>
      <c r="H427" s="419"/>
      <c r="I427" s="239"/>
      <c r="J427" s="568"/>
      <c r="K427" s="57"/>
      <c r="L427" s="150"/>
      <c r="M427" s="57"/>
      <c r="N427" s="57"/>
      <c r="O427" s="105"/>
      <c r="P427" s="157"/>
      <c r="Q427" s="404"/>
      <c r="R427" s="148"/>
      <c r="S427" s="242"/>
      <c r="T427" s="242"/>
      <c r="U427" s="242"/>
      <c r="V427" s="242"/>
      <c r="W427" s="242"/>
      <c r="X427" s="242"/>
      <c r="Y427" s="148"/>
      <c r="Z427" s="148"/>
    </row>
    <row r="428">
      <c r="A428" s="402"/>
      <c r="B428" s="403"/>
      <c r="C428" s="403"/>
      <c r="D428" s="403"/>
      <c r="E428" s="574"/>
      <c r="F428" s="768"/>
      <c r="G428" s="576"/>
      <c r="H428" s="159"/>
      <c r="I428" s="159"/>
      <c r="J428" s="576"/>
      <c r="K428" s="159"/>
      <c r="L428" s="162"/>
      <c r="M428" s="402"/>
      <c r="N428" s="402"/>
      <c r="O428" s="576"/>
      <c r="P428" s="403"/>
      <c r="Q428" s="577"/>
      <c r="R428" s="148"/>
      <c r="S428" s="242"/>
      <c r="T428" s="242"/>
      <c r="U428" s="242"/>
      <c r="V428" s="242"/>
      <c r="W428" s="242"/>
      <c r="X428" s="242"/>
      <c r="Y428" s="148"/>
      <c r="Z428" s="148"/>
    </row>
    <row r="429">
      <c r="A429" s="148"/>
      <c r="B429" s="148"/>
      <c r="C429" s="148"/>
      <c r="D429" s="245"/>
      <c r="E429" s="585"/>
      <c r="F429" s="777"/>
      <c r="G429" s="243"/>
      <c r="H429" s="148"/>
      <c r="I429" s="251"/>
      <c r="J429" s="243"/>
      <c r="K429" s="148"/>
      <c r="L429" s="277"/>
      <c r="M429" s="252"/>
      <c r="N429" s="250"/>
      <c r="O429" s="323"/>
      <c r="P429" s="240"/>
      <c r="Q429" s="148"/>
      <c r="R429" s="148"/>
      <c r="S429" s="242"/>
      <c r="T429" s="242"/>
      <c r="U429" s="242"/>
      <c r="V429" s="242"/>
      <c r="W429" s="242"/>
      <c r="X429" s="242"/>
      <c r="Y429" s="148"/>
      <c r="Z429" s="148"/>
    </row>
    <row r="430">
      <c r="A430" s="169" t="s">
        <v>109</v>
      </c>
      <c r="B430" s="539"/>
      <c r="C430" s="540"/>
      <c r="D430" s="405"/>
      <c r="E430" s="541"/>
      <c r="F430" s="755"/>
      <c r="G430" s="467" t="s">
        <v>333</v>
      </c>
      <c r="H430" s="361"/>
      <c r="I430" s="57"/>
      <c r="J430" s="105"/>
      <c r="K430" s="57"/>
      <c r="L430" s="150"/>
      <c r="M430" s="239"/>
      <c r="N430" s="239"/>
      <c r="O430" s="105"/>
      <c r="P430" s="157"/>
      <c r="Q430" s="404"/>
      <c r="R430" s="148"/>
      <c r="S430" s="242"/>
      <c r="T430" s="242"/>
      <c r="U430" s="242"/>
      <c r="V430" s="242"/>
      <c r="W430" s="242"/>
      <c r="X430" s="242"/>
      <c r="Y430" s="148"/>
      <c r="Z430" s="148"/>
    </row>
    <row r="431">
      <c r="A431" s="468"/>
      <c r="B431" s="157"/>
      <c r="C431" s="466"/>
      <c r="D431" s="405"/>
      <c r="E431" s="543" t="s">
        <v>335</v>
      </c>
      <c r="F431" s="756" t="s">
        <v>237</v>
      </c>
      <c r="G431" s="412" t="s">
        <v>336</v>
      </c>
      <c r="H431" s="413" t="s">
        <v>337</v>
      </c>
      <c r="I431" s="239"/>
      <c r="J431" s="145" t="s">
        <v>60</v>
      </c>
      <c r="K431" s="57"/>
      <c r="L431" s="150"/>
      <c r="M431" s="414"/>
      <c r="N431" s="414"/>
      <c r="O431" s="395" t="s">
        <v>334</v>
      </c>
      <c r="P431" s="157"/>
      <c r="Q431" s="404"/>
      <c r="R431" s="148"/>
      <c r="S431" s="242"/>
      <c r="T431" s="242"/>
      <c r="U431" s="242"/>
      <c r="V431" s="242"/>
      <c r="W431" s="242"/>
      <c r="X431" s="242"/>
      <c r="Y431" s="148"/>
      <c r="Z431" s="148"/>
    </row>
    <row r="432">
      <c r="A432" s="470" t="s">
        <v>179</v>
      </c>
      <c r="C432" s="416">
        <f>SUM(F432:F466)</f>
        <v>6225</v>
      </c>
      <c r="D432" s="405"/>
      <c r="E432" s="545"/>
      <c r="F432" s="758"/>
      <c r="G432" s="578"/>
      <c r="H432" s="419"/>
      <c r="I432" s="57"/>
      <c r="K432" s="57"/>
      <c r="L432" s="150"/>
      <c r="M432" s="377" t="s">
        <v>366</v>
      </c>
      <c r="P432" s="157"/>
      <c r="Q432" s="404"/>
      <c r="R432" s="148"/>
      <c r="S432" s="242"/>
      <c r="T432" s="242"/>
      <c r="U432" s="242"/>
      <c r="V432" s="242"/>
      <c r="W432" s="242"/>
      <c r="X432" s="242"/>
      <c r="Y432" s="148"/>
      <c r="Z432" s="148"/>
    </row>
    <row r="433">
      <c r="A433" s="421" t="s">
        <v>343</v>
      </c>
      <c r="B433" s="422" t="s">
        <v>321</v>
      </c>
      <c r="C433" s="416">
        <f>SUM(P433:P466)</f>
        <v>2065</v>
      </c>
      <c r="D433" s="157"/>
      <c r="E433" s="545"/>
      <c r="F433" s="758"/>
      <c r="G433" s="578"/>
      <c r="H433" s="419"/>
      <c r="I433" s="239"/>
      <c r="J433" s="471" t="s">
        <v>341</v>
      </c>
      <c r="K433" s="420"/>
      <c r="L433" s="150"/>
      <c r="M433" s="374"/>
      <c r="O433" s="770" t="s">
        <v>1162</v>
      </c>
      <c r="P433" s="423">
        <v>2000.0</v>
      </c>
      <c r="Q433" s="404"/>
      <c r="R433" s="148"/>
      <c r="S433" s="242"/>
      <c r="T433" s="242"/>
      <c r="U433" s="242"/>
      <c r="V433" s="242"/>
      <c r="W433" s="242"/>
      <c r="X433" s="242"/>
      <c r="Y433" s="148"/>
      <c r="Z433" s="148"/>
    </row>
    <row r="434">
      <c r="A434" s="427" t="s">
        <v>201</v>
      </c>
      <c r="C434" s="204">
        <f>SUM(L433:L466)</f>
        <v>1675</v>
      </c>
      <c r="D434" s="157"/>
      <c r="E434" s="545"/>
      <c r="F434" s="758"/>
      <c r="G434" s="578"/>
      <c r="H434" s="419"/>
      <c r="I434" s="239"/>
      <c r="J434" s="472" t="s">
        <v>345</v>
      </c>
      <c r="K434" s="420"/>
      <c r="L434" s="193">
        <v>35.0</v>
      </c>
      <c r="M434" s="377" t="s">
        <v>1542</v>
      </c>
      <c r="O434" s="770" t="s">
        <v>1336</v>
      </c>
      <c r="P434" s="423">
        <v>65.0</v>
      </c>
      <c r="Q434" s="404"/>
      <c r="R434" s="148"/>
      <c r="S434" s="242"/>
      <c r="T434" s="242"/>
      <c r="U434" s="242"/>
      <c r="V434" s="242"/>
      <c r="W434" s="242"/>
      <c r="X434" s="242"/>
      <c r="Y434" s="148"/>
      <c r="Z434" s="148"/>
    </row>
    <row r="435">
      <c r="A435" s="548" t="s">
        <v>761</v>
      </c>
      <c r="B435" s="549">
        <v>0.4</v>
      </c>
      <c r="C435" s="191"/>
      <c r="D435" s="157"/>
      <c r="E435" s="550" t="s">
        <v>695</v>
      </c>
      <c r="F435" s="758"/>
      <c r="G435" s="578"/>
      <c r="H435" s="419"/>
      <c r="I435" s="239"/>
      <c r="J435" s="433" t="s">
        <v>656</v>
      </c>
      <c r="K435" s="420"/>
      <c r="L435" s="598"/>
      <c r="M435" s="377"/>
      <c r="O435" s="770"/>
      <c r="P435" s="423"/>
      <c r="Q435" s="404"/>
      <c r="R435" s="148"/>
      <c r="S435" s="242"/>
      <c r="T435" s="242"/>
      <c r="U435" s="242"/>
      <c r="V435" s="242"/>
      <c r="W435" s="242"/>
      <c r="X435" s="242"/>
      <c r="Y435" s="148"/>
      <c r="Z435" s="148"/>
    </row>
    <row r="436">
      <c r="A436" s="434" t="s">
        <v>350</v>
      </c>
      <c r="C436" s="551">
        <f>C432-C434-C435</f>
        <v>4550</v>
      </c>
      <c r="D436" s="157"/>
      <c r="E436" s="192"/>
      <c r="F436" s="758"/>
      <c r="G436" s="562"/>
      <c r="H436" s="419"/>
      <c r="I436" s="57"/>
      <c r="J436" s="444" t="s">
        <v>658</v>
      </c>
      <c r="K436" s="420"/>
      <c r="L436" s="193"/>
      <c r="M436" s="377"/>
      <c r="O436" s="772"/>
      <c r="P436" s="157"/>
      <c r="Q436" s="404"/>
      <c r="R436" s="148"/>
      <c r="S436" s="242"/>
      <c r="T436" s="242"/>
      <c r="U436" s="242"/>
      <c r="V436" s="242"/>
      <c r="W436" s="242"/>
      <c r="X436" s="242"/>
      <c r="Y436" s="148"/>
      <c r="Z436" s="148"/>
    </row>
    <row r="437">
      <c r="A437" s="554"/>
      <c r="B437" s="555"/>
      <c r="C437" s="447"/>
      <c r="D437" s="157"/>
      <c r="E437" s="192" t="s">
        <v>417</v>
      </c>
      <c r="F437" s="758">
        <v>700.0</v>
      </c>
      <c r="G437" s="562"/>
      <c r="H437" s="419"/>
      <c r="I437" s="57"/>
      <c r="J437" s="444" t="s">
        <v>660</v>
      </c>
      <c r="K437" s="420"/>
      <c r="L437" s="193">
        <v>60.0</v>
      </c>
      <c r="M437" s="377"/>
      <c r="O437" s="772"/>
      <c r="P437" s="157"/>
      <c r="Q437" s="404"/>
      <c r="R437" s="148"/>
      <c r="S437" s="242"/>
      <c r="T437" s="242"/>
      <c r="U437" s="242"/>
      <c r="V437" s="242"/>
      <c r="W437" s="242"/>
      <c r="X437" s="242"/>
      <c r="Y437" s="148"/>
      <c r="Z437" s="148"/>
    </row>
    <row r="438">
      <c r="A438" s="556"/>
      <c r="C438" s="395"/>
      <c r="D438" s="157"/>
      <c r="E438" s="192" t="s">
        <v>340</v>
      </c>
      <c r="F438" s="758">
        <v>2000.0</v>
      </c>
      <c r="G438" s="558" t="s">
        <v>426</v>
      </c>
      <c r="H438" s="419"/>
      <c r="I438" s="239"/>
      <c r="J438" s="370" t="s">
        <v>662</v>
      </c>
      <c r="K438" s="420"/>
      <c r="L438" s="193"/>
      <c r="M438" s="374"/>
      <c r="O438" s="772"/>
      <c r="P438" s="157"/>
      <c r="Q438" s="404"/>
      <c r="R438" s="148"/>
      <c r="S438" s="242"/>
      <c r="T438" s="242"/>
      <c r="U438" s="242"/>
      <c r="V438" s="242"/>
      <c r="W438" s="242"/>
      <c r="X438" s="242"/>
      <c r="Y438" s="148"/>
      <c r="Z438" s="148"/>
    </row>
    <row r="439">
      <c r="A439" s="557"/>
      <c r="B439" s="109"/>
      <c r="C439" s="395"/>
      <c r="D439" s="681"/>
      <c r="E439" s="192" t="s">
        <v>569</v>
      </c>
      <c r="F439" s="758">
        <v>500.0</v>
      </c>
      <c r="G439" s="562"/>
      <c r="H439" s="419"/>
      <c r="I439" s="239"/>
      <c r="J439" s="433" t="s">
        <v>666</v>
      </c>
      <c r="K439" s="420"/>
      <c r="L439" s="150"/>
      <c r="M439" s="374"/>
      <c r="O439" s="772"/>
      <c r="P439" s="157"/>
      <c r="Q439" s="404"/>
      <c r="R439" s="148"/>
      <c r="S439" s="242"/>
      <c r="T439" s="242"/>
      <c r="U439" s="242"/>
      <c r="V439" s="242"/>
      <c r="W439" s="242"/>
      <c r="X439" s="242"/>
      <c r="Y439" s="148"/>
      <c r="Z439" s="148"/>
    </row>
    <row r="440">
      <c r="A440" s="559" t="s">
        <v>765</v>
      </c>
      <c r="B440" s="560">
        <f>SUM(D440:D466)</f>
        <v>1697</v>
      </c>
      <c r="C440" s="477" t="s">
        <v>366</v>
      </c>
      <c r="D440" s="157"/>
      <c r="E440" s="192" t="s">
        <v>1073</v>
      </c>
      <c r="F440" s="758">
        <v>260.0</v>
      </c>
      <c r="G440" s="578"/>
      <c r="H440" s="419"/>
      <c r="I440" s="239"/>
      <c r="J440" s="433" t="s">
        <v>668</v>
      </c>
      <c r="K440" s="420"/>
      <c r="L440" s="150"/>
      <c r="M440" s="377"/>
      <c r="O440" s="772"/>
      <c r="P440" s="157"/>
      <c r="Q440" s="404"/>
      <c r="R440" s="148"/>
      <c r="S440" s="242"/>
      <c r="T440" s="242"/>
      <c r="U440" s="242"/>
      <c r="V440" s="242"/>
      <c r="W440" s="242"/>
      <c r="X440" s="242"/>
      <c r="Y440" s="148"/>
      <c r="Z440" s="148"/>
    </row>
    <row r="441">
      <c r="A441" s="453" t="s">
        <v>369</v>
      </c>
      <c r="C441" s="561" t="s">
        <v>766</v>
      </c>
      <c r="D441" s="423"/>
      <c r="E441" s="192" t="s">
        <v>1336</v>
      </c>
      <c r="F441" s="758">
        <v>65.0</v>
      </c>
      <c r="G441" s="558" t="s">
        <v>426</v>
      </c>
      <c r="H441" s="419"/>
      <c r="I441" s="239"/>
      <c r="J441" s="433" t="s">
        <v>670</v>
      </c>
      <c r="K441" s="458"/>
      <c r="L441" s="193">
        <v>1250.0</v>
      </c>
      <c r="M441" s="377"/>
      <c r="O441" s="772"/>
      <c r="P441" s="157"/>
      <c r="Q441" s="404"/>
      <c r="R441" s="148"/>
      <c r="S441" s="242"/>
      <c r="T441" s="242"/>
      <c r="U441" s="242"/>
      <c r="V441" s="242"/>
      <c r="W441" s="242"/>
      <c r="X441" s="242"/>
      <c r="Y441" s="148"/>
      <c r="Z441" s="148"/>
    </row>
    <row r="442">
      <c r="C442" s="561" t="s">
        <v>767</v>
      </c>
      <c r="D442" s="423"/>
      <c r="E442" s="192" t="s">
        <v>1509</v>
      </c>
      <c r="F442" s="758">
        <v>270.0</v>
      </c>
      <c r="G442" s="578"/>
      <c r="H442" s="419"/>
      <c r="I442" s="239"/>
      <c r="J442" s="433" t="s">
        <v>217</v>
      </c>
      <c r="K442" s="458"/>
      <c r="L442" s="150"/>
      <c r="M442" s="377"/>
      <c r="O442" s="772"/>
      <c r="P442" s="157"/>
      <c r="Q442" s="404"/>
      <c r="R442" s="148"/>
      <c r="S442" s="242"/>
      <c r="T442" s="242"/>
      <c r="U442" s="242"/>
      <c r="V442" s="242"/>
      <c r="W442" s="242"/>
      <c r="X442" s="242"/>
      <c r="Y442" s="148"/>
      <c r="Z442" s="148"/>
    </row>
    <row r="443">
      <c r="A443" s="57"/>
      <c r="B443" s="57"/>
      <c r="C443" s="561" t="s">
        <v>768</v>
      </c>
      <c r="D443" s="423"/>
      <c r="E443" s="192" t="s">
        <v>696</v>
      </c>
      <c r="F443" s="758">
        <v>160.0</v>
      </c>
      <c r="G443" s="578"/>
      <c r="H443" s="419"/>
      <c r="I443" s="239"/>
      <c r="J443" s="109"/>
      <c r="K443" s="420"/>
      <c r="L443" s="193"/>
      <c r="M443" s="374"/>
      <c r="O443" s="772"/>
      <c r="P443" s="157"/>
      <c r="Q443" s="404"/>
      <c r="R443" s="148"/>
      <c r="S443" s="242"/>
      <c r="T443" s="242"/>
      <c r="U443" s="242"/>
      <c r="V443" s="242"/>
      <c r="W443" s="242"/>
      <c r="X443" s="242"/>
      <c r="Y443" s="148"/>
      <c r="Z443" s="148"/>
    </row>
    <row r="444">
      <c r="A444" s="57"/>
      <c r="B444" s="57"/>
      <c r="C444" s="561" t="s">
        <v>769</v>
      </c>
      <c r="D444" s="157"/>
      <c r="E444" s="192" t="s">
        <v>1543</v>
      </c>
      <c r="F444" s="758">
        <v>1870.0</v>
      </c>
      <c r="G444" s="578"/>
      <c r="H444" s="419"/>
      <c r="I444" s="239"/>
      <c r="J444" s="456" t="s">
        <v>672</v>
      </c>
      <c r="K444" s="420"/>
      <c r="L444" s="150"/>
      <c r="M444" s="377"/>
      <c r="O444" s="772"/>
      <c r="P444" s="157"/>
      <c r="Q444" s="404"/>
      <c r="R444" s="148"/>
      <c r="S444" s="242"/>
      <c r="T444" s="242"/>
      <c r="U444" s="242"/>
      <c r="V444" s="242"/>
      <c r="W444" s="242"/>
      <c r="X444" s="242"/>
      <c r="Y444" s="148"/>
      <c r="Z444" s="148"/>
    </row>
    <row r="445">
      <c r="A445" s="57"/>
      <c r="B445" s="57"/>
      <c r="C445" s="561" t="s">
        <v>770</v>
      </c>
      <c r="D445" s="423"/>
      <c r="E445" s="192" t="s">
        <v>854</v>
      </c>
      <c r="F445" s="758">
        <v>400.0</v>
      </c>
      <c r="G445" s="578"/>
      <c r="H445" s="419"/>
      <c r="I445" s="57"/>
      <c r="J445" s="456" t="s">
        <v>675</v>
      </c>
      <c r="K445" s="420"/>
      <c r="L445" s="150"/>
      <c r="M445" s="382"/>
      <c r="O445" s="772"/>
      <c r="P445" s="157"/>
      <c r="Q445" s="404"/>
      <c r="R445" s="148"/>
      <c r="S445" s="242"/>
      <c r="T445" s="242"/>
      <c r="U445" s="242"/>
      <c r="V445" s="242"/>
      <c r="W445" s="242"/>
      <c r="X445" s="242"/>
      <c r="Y445" s="148"/>
      <c r="Z445" s="148"/>
    </row>
    <row r="446">
      <c r="A446" s="238" t="s">
        <v>1544</v>
      </c>
      <c r="B446" s="57"/>
      <c r="C446" s="561" t="s">
        <v>793</v>
      </c>
      <c r="D446" s="423">
        <v>42.0</v>
      </c>
      <c r="E446" s="228"/>
      <c r="F446" s="760"/>
      <c r="G446" s="579"/>
      <c r="H446" s="419"/>
      <c r="I446" s="57"/>
      <c r="J446" s="456"/>
      <c r="K446" s="420"/>
      <c r="L446" s="150"/>
      <c r="M446" s="425"/>
      <c r="O446" s="772"/>
      <c r="P446" s="157"/>
      <c r="Q446" s="404"/>
      <c r="R446" s="148"/>
      <c r="S446" s="242"/>
      <c r="T446" s="242"/>
      <c r="U446" s="242"/>
      <c r="V446" s="242"/>
      <c r="W446" s="242"/>
      <c r="X446" s="242"/>
      <c r="Y446" s="148"/>
      <c r="Z446" s="148"/>
    </row>
    <row r="447">
      <c r="A447" s="239"/>
      <c r="B447" s="57"/>
      <c r="C447" s="561" t="s">
        <v>794</v>
      </c>
      <c r="D447" s="157"/>
      <c r="E447" s="228"/>
      <c r="F447" s="760"/>
      <c r="G447" s="578"/>
      <c r="H447" s="419"/>
      <c r="I447" s="57"/>
      <c r="J447" s="375"/>
      <c r="K447" s="420"/>
      <c r="L447" s="150"/>
      <c r="M447" s="425"/>
      <c r="O447" s="772"/>
      <c r="P447" s="157"/>
      <c r="Q447" s="404"/>
      <c r="R447" s="148"/>
      <c r="S447" s="242"/>
      <c r="T447" s="242"/>
      <c r="U447" s="242"/>
      <c r="V447" s="242"/>
      <c r="W447" s="242"/>
      <c r="X447" s="242"/>
      <c r="Y447" s="148"/>
      <c r="Z447" s="148"/>
    </row>
    <row r="448">
      <c r="A448" s="238" t="s">
        <v>411</v>
      </c>
      <c r="B448" s="57"/>
      <c r="C448" s="561" t="s">
        <v>18</v>
      </c>
      <c r="D448" s="792">
        <v>200.0</v>
      </c>
      <c r="E448" s="228"/>
      <c r="F448" s="760"/>
      <c r="G448" s="578"/>
      <c r="H448" s="419"/>
      <c r="I448" s="57"/>
      <c r="J448" s="375"/>
      <c r="K448" s="420"/>
      <c r="L448" s="193"/>
      <c r="M448" s="382"/>
      <c r="O448" s="772"/>
      <c r="P448" s="157"/>
      <c r="Q448" s="404"/>
      <c r="R448" s="148"/>
      <c r="S448" s="242"/>
      <c r="T448" s="242"/>
      <c r="U448" s="242"/>
      <c r="V448" s="242"/>
      <c r="W448" s="242"/>
      <c r="X448" s="242"/>
      <c r="Y448" s="148"/>
      <c r="Z448" s="148"/>
    </row>
    <row r="449">
      <c r="A449" s="209" t="s">
        <v>1545</v>
      </c>
      <c r="B449" s="57"/>
      <c r="C449" s="563" t="s">
        <v>1115</v>
      </c>
      <c r="D449" s="423">
        <v>600.0</v>
      </c>
      <c r="E449" s="228"/>
      <c r="F449" s="760"/>
      <c r="G449" s="579"/>
      <c r="H449" s="419"/>
      <c r="I449" s="57"/>
      <c r="J449" s="452"/>
      <c r="K449" s="420"/>
      <c r="L449" s="150"/>
      <c r="M449" s="425"/>
      <c r="O449" s="772"/>
      <c r="P449" s="157"/>
      <c r="Q449" s="404"/>
      <c r="R449" s="148"/>
      <c r="S449" s="242"/>
      <c r="T449" s="242"/>
      <c r="U449" s="242"/>
      <c r="V449" s="242"/>
      <c r="W449" s="242"/>
      <c r="X449" s="242"/>
      <c r="Y449" s="148"/>
      <c r="Z449" s="148"/>
    </row>
    <row r="450">
      <c r="A450" s="238" t="s">
        <v>1546</v>
      </c>
      <c r="B450" s="57"/>
      <c r="C450" s="561" t="s">
        <v>1116</v>
      </c>
      <c r="D450" s="423">
        <v>130.0</v>
      </c>
      <c r="E450" s="228"/>
      <c r="F450" s="760"/>
      <c r="G450" s="578"/>
      <c r="H450" s="419"/>
      <c r="I450" s="57"/>
      <c r="J450" s="105"/>
      <c r="K450" s="420"/>
      <c r="L450" s="150"/>
      <c r="M450" s="425"/>
      <c r="O450" s="772"/>
      <c r="P450" s="157"/>
      <c r="Q450" s="404"/>
      <c r="R450" s="148"/>
      <c r="S450" s="242"/>
      <c r="T450" s="242"/>
      <c r="U450" s="242"/>
      <c r="V450" s="242"/>
      <c r="W450" s="242"/>
      <c r="X450" s="242"/>
      <c r="Y450" s="148"/>
      <c r="Z450" s="148"/>
    </row>
    <row r="451">
      <c r="A451" s="238" t="s">
        <v>1547</v>
      </c>
      <c r="B451" s="239"/>
      <c r="C451" s="561" t="s">
        <v>775</v>
      </c>
      <c r="D451" s="423">
        <v>350.0</v>
      </c>
      <c r="E451" s="192"/>
      <c r="F451" s="760"/>
      <c r="G451" s="578"/>
      <c r="H451" s="419"/>
      <c r="I451" s="57"/>
      <c r="J451" s="378" t="s">
        <v>682</v>
      </c>
      <c r="K451" s="420"/>
      <c r="L451" s="193">
        <v>330.0</v>
      </c>
      <c r="M451" s="377" t="s">
        <v>1548</v>
      </c>
      <c r="O451" s="772"/>
      <c r="P451" s="157"/>
      <c r="Q451" s="404"/>
      <c r="R451" s="148"/>
      <c r="S451" s="242"/>
      <c r="T451" s="242"/>
      <c r="U451" s="242"/>
      <c r="V451" s="242"/>
      <c r="W451" s="242"/>
      <c r="X451" s="242"/>
      <c r="Y451" s="148"/>
      <c r="Z451" s="148"/>
    </row>
    <row r="452">
      <c r="A452" s="238"/>
      <c r="B452" s="239"/>
      <c r="C452" s="561" t="s">
        <v>10</v>
      </c>
      <c r="D452" s="423"/>
      <c r="E452" s="206"/>
      <c r="F452" s="765"/>
      <c r="G452" s="581"/>
      <c r="H452" s="419"/>
      <c r="I452" s="57"/>
      <c r="J452" s="461" t="s">
        <v>684</v>
      </c>
      <c r="K452" s="420"/>
      <c r="L452" s="193"/>
      <c r="M452" s="377"/>
      <c r="O452" s="772"/>
      <c r="P452" s="157"/>
      <c r="Q452" s="404"/>
      <c r="R452" s="148"/>
      <c r="S452" s="242"/>
      <c r="T452" s="242"/>
      <c r="U452" s="242"/>
      <c r="V452" s="242"/>
      <c r="W452" s="242"/>
      <c r="X452" s="242"/>
      <c r="Y452" s="148"/>
      <c r="Z452" s="148"/>
    </row>
    <row r="453">
      <c r="A453" s="238" t="s">
        <v>1549</v>
      </c>
      <c r="B453" s="239"/>
      <c r="C453" s="561" t="s">
        <v>6</v>
      </c>
      <c r="D453" s="423">
        <v>245.0</v>
      </c>
      <c r="E453" s="206"/>
      <c r="F453" s="760"/>
      <c r="G453" s="579"/>
      <c r="H453" s="455"/>
      <c r="I453" s="57"/>
      <c r="J453" s="461" t="s">
        <v>686</v>
      </c>
      <c r="K453" s="420"/>
      <c r="L453" s="150"/>
      <c r="M453" s="374"/>
      <c r="O453" s="776"/>
      <c r="P453" s="157"/>
      <c r="Q453" s="404"/>
      <c r="R453" s="148"/>
      <c r="S453" s="242"/>
      <c r="T453" s="242"/>
      <c r="U453" s="242"/>
      <c r="V453" s="242"/>
      <c r="W453" s="242"/>
      <c r="X453" s="242"/>
      <c r="Y453" s="148"/>
      <c r="Z453" s="148"/>
    </row>
    <row r="454">
      <c r="A454" s="57"/>
      <c r="B454" s="57"/>
      <c r="C454" s="561" t="s">
        <v>779</v>
      </c>
      <c r="D454" s="157"/>
      <c r="E454" s="228"/>
      <c r="F454" s="760"/>
      <c r="G454" s="579"/>
      <c r="H454" s="455"/>
      <c r="I454" s="239"/>
      <c r="J454" s="460" t="s">
        <v>202</v>
      </c>
      <c r="K454" s="420"/>
      <c r="L454" s="193"/>
      <c r="M454" s="377"/>
      <c r="O454" s="776"/>
      <c r="P454" s="157"/>
      <c r="Q454" s="404"/>
      <c r="R454" s="148"/>
      <c r="S454" s="242"/>
      <c r="T454" s="242"/>
      <c r="U454" s="242"/>
      <c r="V454" s="242"/>
      <c r="W454" s="242"/>
      <c r="X454" s="242"/>
      <c r="Y454" s="148"/>
      <c r="Z454" s="148"/>
    </row>
    <row r="455">
      <c r="A455" s="239"/>
      <c r="B455" s="239"/>
      <c r="C455" s="561" t="s">
        <v>780</v>
      </c>
      <c r="D455" s="423"/>
      <c r="E455" s="228"/>
      <c r="F455" s="760"/>
      <c r="G455" s="579"/>
      <c r="H455" s="455"/>
      <c r="I455" s="57"/>
      <c r="J455" s="460" t="s">
        <v>274</v>
      </c>
      <c r="K455" s="420"/>
      <c r="L455" s="193"/>
      <c r="M455" s="374"/>
      <c r="O455" s="776"/>
      <c r="P455" s="157"/>
      <c r="Q455" s="404"/>
      <c r="R455" s="148"/>
      <c r="S455" s="242"/>
      <c r="T455" s="242"/>
      <c r="U455" s="242"/>
      <c r="V455" s="242"/>
      <c r="W455" s="242"/>
      <c r="X455" s="242"/>
      <c r="Y455" s="148"/>
      <c r="Z455" s="148"/>
    </row>
    <row r="456">
      <c r="A456" s="215"/>
      <c r="B456" s="239"/>
      <c r="C456" s="561" t="s">
        <v>781</v>
      </c>
      <c r="D456" s="423"/>
      <c r="E456" s="192"/>
      <c r="F456" s="760"/>
      <c r="G456" s="579"/>
      <c r="H456" s="419"/>
      <c r="I456" s="239"/>
      <c r="J456" s="685" t="s">
        <v>1117</v>
      </c>
      <c r="K456" s="420"/>
      <c r="L456" s="150"/>
      <c r="M456" s="374"/>
      <c r="O456" s="772"/>
      <c r="P456" s="157"/>
      <c r="Q456" s="404"/>
      <c r="R456" s="148"/>
      <c r="S456" s="242"/>
      <c r="T456" s="242"/>
      <c r="U456" s="242"/>
      <c r="V456" s="242"/>
      <c r="W456" s="242"/>
      <c r="X456" s="242"/>
      <c r="Y456" s="148"/>
      <c r="Z456" s="148"/>
    </row>
    <row r="457">
      <c r="A457" s="238" t="s">
        <v>1550</v>
      </c>
      <c r="B457" s="157"/>
      <c r="C457" s="561" t="s">
        <v>1118</v>
      </c>
      <c r="D457" s="423">
        <v>130.0</v>
      </c>
      <c r="E457" s="569"/>
      <c r="F457" s="760"/>
      <c r="G457" s="578"/>
      <c r="H457" s="419"/>
      <c r="I457" s="57"/>
      <c r="J457" s="685" t="s">
        <v>1119</v>
      </c>
      <c r="K457" s="420"/>
      <c r="L457" s="193"/>
      <c r="M457" s="377"/>
      <c r="O457" s="772"/>
      <c r="P457" s="157"/>
      <c r="Q457" s="404"/>
      <c r="R457" s="148"/>
      <c r="S457" s="242"/>
      <c r="T457" s="242"/>
      <c r="U457" s="242"/>
      <c r="V457" s="242"/>
      <c r="W457" s="242"/>
      <c r="X457" s="242"/>
      <c r="Y457" s="148"/>
      <c r="Z457" s="148"/>
    </row>
    <row r="458">
      <c r="A458" s="239"/>
      <c r="B458" s="157"/>
      <c r="C458" s="561" t="s">
        <v>1120</v>
      </c>
      <c r="D458" s="157"/>
      <c r="E458" s="228"/>
      <c r="F458" s="760"/>
      <c r="G458" s="578"/>
      <c r="H458" s="419"/>
      <c r="I458" s="239"/>
      <c r="J458" s="596" t="s">
        <v>1001</v>
      </c>
      <c r="K458" s="420"/>
      <c r="L458" s="193"/>
      <c r="M458" s="377"/>
      <c r="O458" s="772"/>
      <c r="P458" s="157"/>
      <c r="Q458" s="404"/>
      <c r="R458" s="148"/>
      <c r="S458" s="242"/>
      <c r="T458" s="242"/>
      <c r="U458" s="242"/>
      <c r="V458" s="242"/>
      <c r="W458" s="242"/>
      <c r="X458" s="242"/>
      <c r="Y458" s="148"/>
      <c r="Z458" s="148"/>
    </row>
    <row r="459">
      <c r="A459" s="239"/>
      <c r="B459" s="157"/>
      <c r="C459" s="561"/>
      <c r="D459" s="157"/>
      <c r="E459" s="570"/>
      <c r="F459" s="760"/>
      <c r="G459" s="578"/>
      <c r="H459" s="419"/>
      <c r="I459" s="239"/>
      <c r="J459" s="568"/>
      <c r="K459" s="420"/>
      <c r="L459" s="193"/>
      <c r="M459" s="374"/>
      <c r="O459" s="772"/>
      <c r="P459" s="157"/>
      <c r="Q459" s="404"/>
      <c r="R459" s="148"/>
      <c r="S459" s="242"/>
      <c r="T459" s="242"/>
      <c r="U459" s="242"/>
      <c r="V459" s="242"/>
      <c r="W459" s="242"/>
      <c r="X459" s="242"/>
      <c r="Y459" s="148"/>
      <c r="Z459" s="148"/>
    </row>
    <row r="460">
      <c r="C460" s="571"/>
      <c r="D460" s="157"/>
      <c r="E460" s="570"/>
      <c r="F460" s="760"/>
      <c r="G460" s="578"/>
      <c r="H460" s="419"/>
      <c r="I460" s="239"/>
      <c r="J460" s="464" t="s">
        <v>692</v>
      </c>
      <c r="K460" s="420"/>
      <c r="L460" s="150"/>
      <c r="M460" s="377"/>
      <c r="O460" s="772"/>
      <c r="P460" s="157"/>
      <c r="Q460" s="404"/>
      <c r="R460" s="148"/>
      <c r="S460" s="242"/>
      <c r="T460" s="242"/>
      <c r="U460" s="242"/>
      <c r="V460" s="242"/>
      <c r="W460" s="242"/>
      <c r="X460" s="242"/>
      <c r="Y460" s="148"/>
      <c r="Z460" s="148"/>
    </row>
    <row r="461">
      <c r="C461" s="571"/>
      <c r="D461" s="157"/>
      <c r="E461" s="570"/>
      <c r="F461" s="760"/>
      <c r="G461" s="578"/>
      <c r="H461" s="419"/>
      <c r="I461" s="239"/>
      <c r="J461" s="464" t="s">
        <v>694</v>
      </c>
      <c r="K461" s="420"/>
      <c r="L461" s="150"/>
      <c r="M461" s="374"/>
      <c r="O461" s="772"/>
      <c r="P461" s="157"/>
      <c r="Q461" s="404"/>
      <c r="R461" s="148"/>
      <c r="S461" s="242"/>
      <c r="T461" s="242"/>
      <c r="U461" s="242"/>
      <c r="V461" s="242"/>
      <c r="W461" s="242"/>
      <c r="X461" s="242"/>
      <c r="Y461" s="148"/>
      <c r="Z461" s="148"/>
    </row>
    <row r="462">
      <c r="C462" s="571"/>
      <c r="D462" s="423"/>
      <c r="E462" s="570"/>
      <c r="F462" s="758"/>
      <c r="G462" s="578"/>
      <c r="H462" s="419"/>
      <c r="I462" s="57"/>
      <c r="J462" s="105"/>
      <c r="K462" s="57"/>
      <c r="L462" s="150"/>
      <c r="M462" s="57"/>
      <c r="N462" s="57"/>
      <c r="O462" s="105"/>
      <c r="P462" s="157"/>
      <c r="Q462" s="404"/>
      <c r="R462" s="148"/>
      <c r="S462" s="242"/>
      <c r="T462" s="242"/>
      <c r="U462" s="242"/>
      <c r="V462" s="242"/>
      <c r="W462" s="242"/>
      <c r="X462" s="242"/>
      <c r="Y462" s="148"/>
      <c r="Z462" s="148"/>
    </row>
    <row r="463">
      <c r="A463" s="125" t="s">
        <v>798</v>
      </c>
      <c r="B463" s="572">
        <f>C436-B440</f>
        <v>2853</v>
      </c>
      <c r="D463" s="157"/>
      <c r="E463" s="570"/>
      <c r="F463" s="767"/>
      <c r="G463" s="581"/>
      <c r="H463" s="419"/>
      <c r="I463" s="239"/>
      <c r="J463" s="568"/>
      <c r="K463" s="57"/>
      <c r="L463" s="150"/>
      <c r="M463" s="57"/>
      <c r="N463" s="57"/>
      <c r="O463" s="105"/>
      <c r="P463" s="157"/>
      <c r="Q463" s="404"/>
      <c r="R463" s="148"/>
      <c r="S463" s="242"/>
      <c r="T463" s="242"/>
      <c r="U463" s="242"/>
      <c r="V463" s="242"/>
      <c r="W463" s="242"/>
      <c r="X463" s="242"/>
      <c r="Y463" s="148"/>
      <c r="Z463" s="148"/>
    </row>
    <row r="464">
      <c r="A464" s="274" t="s">
        <v>783</v>
      </c>
      <c r="B464" s="109">
        <v>2350.0</v>
      </c>
      <c r="C464" s="395"/>
      <c r="D464" s="157"/>
      <c r="E464" s="570"/>
      <c r="F464" s="767"/>
      <c r="G464" s="581"/>
      <c r="H464" s="419"/>
      <c r="I464" s="239"/>
      <c r="J464" s="568"/>
      <c r="K464" s="57"/>
      <c r="L464" s="150"/>
      <c r="M464" s="57"/>
      <c r="N464" s="57"/>
      <c r="O464" s="105"/>
      <c r="P464" s="157"/>
      <c r="Q464" s="404"/>
      <c r="R464" s="148"/>
      <c r="S464" s="242"/>
      <c r="T464" s="242"/>
      <c r="U464" s="242"/>
      <c r="V464" s="242"/>
      <c r="W464" s="242"/>
      <c r="X464" s="242"/>
      <c r="Y464" s="148"/>
      <c r="Z464" s="148"/>
    </row>
    <row r="465">
      <c r="A465" s="274" t="s">
        <v>784</v>
      </c>
      <c r="B465" s="109">
        <v>1000.0</v>
      </c>
      <c r="C465" s="395"/>
      <c r="D465" s="157"/>
      <c r="E465" s="570"/>
      <c r="F465" s="767"/>
      <c r="G465" s="581"/>
      <c r="H465" s="419"/>
      <c r="I465" s="239"/>
      <c r="J465" s="568"/>
      <c r="K465" s="57"/>
      <c r="L465" s="150"/>
      <c r="M465" s="57"/>
      <c r="N465" s="57"/>
      <c r="O465" s="105"/>
      <c r="P465" s="157"/>
      <c r="Q465" s="404"/>
      <c r="R465" s="148"/>
      <c r="S465" s="242"/>
      <c r="T465" s="242"/>
      <c r="U465" s="242"/>
      <c r="V465" s="242"/>
      <c r="W465" s="242"/>
      <c r="X465" s="242"/>
      <c r="Y465" s="148"/>
      <c r="Z465" s="148"/>
    </row>
    <row r="466">
      <c r="A466" s="274" t="s">
        <v>785</v>
      </c>
      <c r="B466" s="109">
        <v>3200.0</v>
      </c>
      <c r="C466" s="686">
        <f>SUM(B464:B466)</f>
        <v>6550</v>
      </c>
      <c r="D466" s="157"/>
      <c r="E466" s="570"/>
      <c r="F466" s="767"/>
      <c r="G466" s="581"/>
      <c r="H466" s="419"/>
      <c r="I466" s="239"/>
      <c r="J466" s="568"/>
      <c r="K466" s="57"/>
      <c r="L466" s="150"/>
      <c r="M466" s="57"/>
      <c r="N466" s="57"/>
      <c r="O466" s="105"/>
      <c r="P466" s="157"/>
      <c r="Q466" s="404"/>
      <c r="R466" s="148"/>
      <c r="S466" s="242"/>
      <c r="T466" s="242"/>
      <c r="U466" s="242"/>
      <c r="V466" s="242"/>
      <c r="W466" s="242"/>
      <c r="X466" s="242"/>
      <c r="Y466" s="148"/>
      <c r="Z466" s="148"/>
    </row>
    <row r="467">
      <c r="A467" s="402"/>
      <c r="B467" s="403"/>
      <c r="C467" s="403"/>
      <c r="D467" s="403"/>
      <c r="E467" s="574"/>
      <c r="F467" s="768"/>
      <c r="G467" s="576"/>
      <c r="H467" s="159"/>
      <c r="I467" s="159"/>
      <c r="J467" s="576"/>
      <c r="K467" s="159"/>
      <c r="L467" s="162"/>
      <c r="M467" s="402"/>
      <c r="N467" s="402"/>
      <c r="O467" s="576"/>
      <c r="P467" s="403"/>
      <c r="Q467" s="577"/>
      <c r="R467" s="148"/>
      <c r="S467" s="242"/>
      <c r="T467" s="242"/>
      <c r="U467" s="242"/>
      <c r="V467" s="242"/>
      <c r="W467" s="242"/>
      <c r="X467" s="242"/>
      <c r="Y467" s="148"/>
      <c r="Z467" s="148"/>
    </row>
    <row r="468">
      <c r="A468" s="148"/>
      <c r="B468" s="148"/>
      <c r="C468" s="148"/>
      <c r="D468" s="245"/>
      <c r="E468" s="585"/>
      <c r="F468" s="777"/>
      <c r="G468" s="243"/>
      <c r="H468" s="148"/>
      <c r="I468" s="251"/>
      <c r="J468" s="243"/>
      <c r="K468" s="148"/>
      <c r="L468" s="277"/>
      <c r="M468" s="252"/>
      <c r="N468" s="250"/>
      <c r="O468" s="323"/>
      <c r="P468" s="240"/>
      <c r="Q468" s="148"/>
      <c r="R468" s="148"/>
      <c r="S468" s="242"/>
      <c r="T468" s="242"/>
      <c r="U468" s="242"/>
      <c r="V468" s="242"/>
      <c r="W468" s="242"/>
      <c r="X468" s="242"/>
      <c r="Y468" s="148"/>
      <c r="Z468" s="148"/>
    </row>
    <row r="469">
      <c r="A469" s="601" t="s">
        <v>911</v>
      </c>
      <c r="B469" s="361"/>
      <c r="C469" s="602" t="s">
        <v>912</v>
      </c>
      <c r="D469" s="601" t="s">
        <v>913</v>
      </c>
      <c r="E469" s="361"/>
      <c r="F469" s="793"/>
      <c r="G469" s="243"/>
      <c r="H469" s="243"/>
      <c r="I469" s="243"/>
      <c r="J469" s="243"/>
      <c r="K469" s="243"/>
      <c r="L469" s="277"/>
      <c r="M469" s="425"/>
      <c r="N469" s="604"/>
      <c r="O469" s="323"/>
      <c r="P469" s="317"/>
      <c r="Q469" s="243"/>
      <c r="R469" s="243"/>
      <c r="S469" s="317"/>
      <c r="T469" s="317"/>
      <c r="U469" s="317"/>
      <c r="V469" s="317"/>
      <c r="W469" s="317"/>
      <c r="X469" s="317"/>
      <c r="Y469" s="243"/>
      <c r="Z469" s="243"/>
    </row>
    <row r="470">
      <c r="A470" s="605" t="s">
        <v>341</v>
      </c>
      <c r="B470" s="606">
        <f t="shared" ref="B470:B479" si="1">SUM(L4,L43,L82,L121,L160,L199,L238,L277,L316,L355,L394,L433)</f>
        <v>0</v>
      </c>
      <c r="C470" s="109"/>
      <c r="D470" s="607" t="s">
        <v>766</v>
      </c>
      <c r="E470" s="608">
        <f>SUM(D12,D51,D90,D129,D168,D207,D246,D285,D324,D363,D402,D441)</f>
        <v>0</v>
      </c>
      <c r="F470" s="794"/>
      <c r="G470" s="243"/>
      <c r="H470" s="243"/>
      <c r="I470" s="243"/>
      <c r="J470" s="243"/>
      <c r="K470" s="243"/>
      <c r="L470" s="277"/>
      <c r="M470" s="425"/>
      <c r="N470" s="604"/>
      <c r="O470" s="323"/>
      <c r="P470" s="317"/>
      <c r="Q470" s="243"/>
      <c r="R470" s="243"/>
      <c r="S470" s="317"/>
      <c r="T470" s="317"/>
      <c r="U470" s="317"/>
      <c r="V470" s="317"/>
      <c r="W470" s="317"/>
      <c r="X470" s="317"/>
      <c r="Y470" s="243"/>
      <c r="Z470" s="243"/>
    </row>
    <row r="471">
      <c r="A471" s="610" t="s">
        <v>345</v>
      </c>
      <c r="B471" s="611">
        <f t="shared" si="1"/>
        <v>1002.91</v>
      </c>
      <c r="C471" s="538"/>
      <c r="D471" s="607" t="s">
        <v>767</v>
      </c>
      <c r="E471" s="608">
        <f t="shared" ref="E471:E473" si="2">SUM(D442,D403,D364,D325,D286,D247,D208,D169,D130,D91,D52,D13)</f>
        <v>0</v>
      </c>
      <c r="F471" s="795"/>
      <c r="G471" s="243"/>
      <c r="H471" s="243"/>
      <c r="I471" s="243"/>
      <c r="J471" s="243"/>
      <c r="K471" s="243"/>
      <c r="L471" s="277"/>
      <c r="M471" s="425"/>
      <c r="N471" s="604"/>
      <c r="O471" s="323"/>
      <c r="P471" s="317"/>
      <c r="Q471" s="243"/>
      <c r="R471" s="243"/>
      <c r="S471" s="317"/>
      <c r="T471" s="317"/>
      <c r="U471" s="317"/>
      <c r="V471" s="317"/>
      <c r="W471" s="317"/>
      <c r="X471" s="317"/>
      <c r="Y471" s="243"/>
      <c r="Z471" s="243"/>
    </row>
    <row r="472">
      <c r="A472" s="613" t="s">
        <v>656</v>
      </c>
      <c r="B472" s="611">
        <f t="shared" si="1"/>
        <v>1346.22</v>
      </c>
      <c r="C472" s="614"/>
      <c r="D472" s="607" t="s">
        <v>768</v>
      </c>
      <c r="E472" s="608">
        <f t="shared" si="2"/>
        <v>0</v>
      </c>
      <c r="F472" s="795"/>
      <c r="G472" s="243"/>
      <c r="H472" s="243"/>
      <c r="I472" s="243"/>
      <c r="J472" s="243"/>
      <c r="K472" s="243"/>
      <c r="L472" s="277"/>
      <c r="M472" s="425"/>
      <c r="N472" s="604"/>
      <c r="O472" s="323"/>
      <c r="P472" s="317"/>
      <c r="Q472" s="243"/>
      <c r="R472" s="243"/>
      <c r="S472" s="317"/>
      <c r="T472" s="317"/>
      <c r="U472" s="317"/>
      <c r="V472" s="317"/>
      <c r="W472" s="317"/>
      <c r="X472" s="317"/>
      <c r="Y472" s="243"/>
      <c r="Z472" s="243"/>
    </row>
    <row r="473">
      <c r="A473" s="615" t="s">
        <v>658</v>
      </c>
      <c r="B473" s="611">
        <f t="shared" si="1"/>
        <v>407.9</v>
      </c>
      <c r="C473" s="400"/>
      <c r="D473" s="607" t="s">
        <v>769</v>
      </c>
      <c r="E473" s="608">
        <f t="shared" si="2"/>
        <v>0</v>
      </c>
      <c r="F473" s="795"/>
      <c r="G473" s="243"/>
      <c r="H473" s="243"/>
      <c r="I473" s="243"/>
      <c r="J473" s="243"/>
      <c r="K473" s="243"/>
      <c r="L473" s="277"/>
      <c r="M473" s="425"/>
      <c r="N473" s="604"/>
      <c r="O473" s="323"/>
      <c r="P473" s="317"/>
      <c r="Q473" s="243"/>
      <c r="R473" s="243"/>
      <c r="S473" s="317"/>
      <c r="T473" s="317"/>
      <c r="U473" s="317"/>
      <c r="V473" s="317"/>
      <c r="W473" s="317"/>
      <c r="X473" s="317"/>
      <c r="Y473" s="243"/>
      <c r="Z473" s="243"/>
    </row>
    <row r="474">
      <c r="A474" s="615" t="s">
        <v>660</v>
      </c>
      <c r="B474" s="611">
        <f t="shared" si="1"/>
        <v>1725</v>
      </c>
      <c r="C474" s="400"/>
      <c r="D474" s="607" t="s">
        <v>770</v>
      </c>
      <c r="E474" s="608">
        <f>SUM(D16,D55,D94,D133,D172,D211,D250,D289,D328,D367,D406,D445)</f>
        <v>0</v>
      </c>
      <c r="F474" s="795"/>
      <c r="G474" s="243"/>
      <c r="H474" s="243"/>
      <c r="I474" s="243"/>
      <c r="J474" s="243"/>
      <c r="K474" s="243"/>
      <c r="L474" s="277"/>
      <c r="M474" s="425"/>
      <c r="N474" s="604"/>
      <c r="O474" s="323"/>
      <c r="P474" s="317"/>
      <c r="Q474" s="243"/>
      <c r="R474" s="243"/>
      <c r="S474" s="317"/>
      <c r="T474" s="317"/>
      <c r="U474" s="317"/>
      <c r="V474" s="317"/>
      <c r="W474" s="317"/>
      <c r="X474" s="317"/>
      <c r="Y474" s="243"/>
      <c r="Z474" s="243"/>
    </row>
    <row r="475">
      <c r="A475" s="616" t="s">
        <v>662</v>
      </c>
      <c r="B475" s="611">
        <f t="shared" si="1"/>
        <v>315</v>
      </c>
      <c r="C475" s="400"/>
      <c r="D475" s="617" t="s">
        <v>793</v>
      </c>
      <c r="E475" s="608">
        <f>SUM(D446,D407,D368,D329,D290,D251,D212,D173,D134,D95,D56,D17)</f>
        <v>1134</v>
      </c>
      <c r="F475" s="796"/>
      <c r="G475" s="243"/>
      <c r="H475" s="243"/>
      <c r="I475" s="243"/>
      <c r="J475" s="243"/>
      <c r="K475" s="243"/>
      <c r="L475" s="277"/>
      <c r="M475" s="425"/>
      <c r="N475" s="604"/>
      <c r="O475" s="323"/>
      <c r="P475" s="317"/>
      <c r="Q475" s="243"/>
      <c r="R475" s="243"/>
      <c r="S475" s="317"/>
      <c r="T475" s="317"/>
      <c r="U475" s="317"/>
      <c r="V475" s="317"/>
      <c r="W475" s="317"/>
      <c r="X475" s="317"/>
      <c r="Y475" s="243"/>
      <c r="Z475" s="243"/>
    </row>
    <row r="476">
      <c r="A476" s="613" t="s">
        <v>666</v>
      </c>
      <c r="B476" s="611">
        <f t="shared" si="1"/>
        <v>372</v>
      </c>
      <c r="C476" s="400"/>
      <c r="D476" s="617" t="s">
        <v>794</v>
      </c>
      <c r="E476" s="608">
        <f>SUM(D18,D57,D96,D135,D174,D213,D252,D291,D330,D369,D408,D447)</f>
        <v>0</v>
      </c>
      <c r="F476" s="795"/>
      <c r="G476" s="243"/>
      <c r="H476" s="243"/>
      <c r="I476" s="243"/>
      <c r="J476" s="243"/>
      <c r="K476" s="243"/>
      <c r="L476" s="277"/>
      <c r="M476" s="425"/>
      <c r="N476" s="604"/>
      <c r="O476" s="323"/>
      <c r="P476" s="317"/>
      <c r="Q476" s="243"/>
      <c r="R476" s="243"/>
      <c r="S476" s="317"/>
      <c r="T476" s="317"/>
      <c r="U476" s="317"/>
      <c r="V476" s="317"/>
      <c r="W476" s="317"/>
      <c r="X476" s="317"/>
      <c r="Y476" s="243"/>
      <c r="Z476" s="243"/>
    </row>
    <row r="477">
      <c r="A477" s="613" t="s">
        <v>668</v>
      </c>
      <c r="B477" s="611">
        <f t="shared" si="1"/>
        <v>800</v>
      </c>
      <c r="C477" s="400"/>
      <c r="D477" s="607" t="s">
        <v>18</v>
      </c>
      <c r="E477" s="608">
        <f t="shared" ref="E477:E480" si="3">SUM(D448,D409,D370,D331,D292,D253,D214,D175,D136,D97,D58,D19)</f>
        <v>2712</v>
      </c>
      <c r="F477" s="795"/>
      <c r="G477" s="243"/>
      <c r="H477" s="243"/>
      <c r="I477" s="243"/>
      <c r="J477" s="243"/>
      <c r="K477" s="243"/>
      <c r="L477" s="277"/>
      <c r="M477" s="425"/>
      <c r="N477" s="604"/>
      <c r="O477" s="323"/>
      <c r="P477" s="317"/>
      <c r="Q477" s="243"/>
      <c r="R477" s="243"/>
      <c r="S477" s="317"/>
      <c r="T477" s="317"/>
      <c r="U477" s="317"/>
      <c r="V477" s="317"/>
      <c r="W477" s="317"/>
      <c r="X477" s="317"/>
      <c r="Y477" s="243"/>
      <c r="Z477" s="243"/>
    </row>
    <row r="478">
      <c r="A478" s="613" t="s">
        <v>670</v>
      </c>
      <c r="B478" s="611">
        <f t="shared" si="1"/>
        <v>13900</v>
      </c>
      <c r="C478" s="619"/>
      <c r="D478" s="617" t="s">
        <v>1115</v>
      </c>
      <c r="E478" s="608">
        <f t="shared" si="3"/>
        <v>3550</v>
      </c>
      <c r="F478" s="795"/>
      <c r="G478" s="243"/>
      <c r="H478" s="243"/>
      <c r="I478" s="243"/>
      <c r="J478" s="243"/>
      <c r="K478" s="243"/>
      <c r="L478" s="277"/>
      <c r="M478" s="425"/>
      <c r="N478" s="604"/>
      <c r="O478" s="323"/>
      <c r="P478" s="317"/>
      <c r="Q478" s="243"/>
      <c r="R478" s="243"/>
      <c r="S478" s="317"/>
      <c r="T478" s="317"/>
      <c r="U478" s="317"/>
      <c r="V478" s="317"/>
      <c r="W478" s="317"/>
      <c r="X478" s="317"/>
      <c r="Y478" s="243"/>
      <c r="Z478" s="243"/>
    </row>
    <row r="479">
      <c r="A479" s="613" t="s">
        <v>217</v>
      </c>
      <c r="B479" s="611">
        <f t="shared" si="1"/>
        <v>151</v>
      </c>
      <c r="C479" s="400"/>
      <c r="D479" s="607" t="s">
        <v>1116</v>
      </c>
      <c r="E479" s="608">
        <f t="shared" si="3"/>
        <v>1400</v>
      </c>
      <c r="F479" s="795"/>
      <c r="G479" s="243"/>
      <c r="H479" s="243"/>
      <c r="I479" s="243"/>
      <c r="J479" s="243"/>
      <c r="K479" s="243"/>
      <c r="L479" s="277"/>
      <c r="M479" s="425"/>
      <c r="N479" s="604"/>
      <c r="O479" s="323"/>
      <c r="P479" s="317"/>
      <c r="Q479" s="243"/>
      <c r="R479" s="243"/>
      <c r="S479" s="317"/>
      <c r="T479" s="317"/>
      <c r="U479" s="317"/>
      <c r="V479" s="317"/>
      <c r="W479" s="317"/>
      <c r="X479" s="317"/>
      <c r="Y479" s="243"/>
      <c r="Z479" s="243"/>
    </row>
    <row r="480">
      <c r="A480" s="620" t="s">
        <v>672</v>
      </c>
      <c r="B480" s="611">
        <f>SUM(L444,L405,L366,L327,L288,L249,L210,L171,L132,L93,L54,L15)</f>
        <v>340.95</v>
      </c>
      <c r="C480" s="400"/>
      <c r="D480" s="607" t="s">
        <v>775</v>
      </c>
      <c r="E480" s="608">
        <f t="shared" si="3"/>
        <v>2764</v>
      </c>
      <c r="F480" s="795"/>
      <c r="G480" s="243"/>
      <c r="H480" s="243"/>
      <c r="I480" s="243"/>
      <c r="J480" s="243"/>
      <c r="K480" s="243"/>
      <c r="L480" s="277"/>
      <c r="M480" s="425"/>
      <c r="N480" s="604"/>
      <c r="O480" s="323"/>
      <c r="P480" s="317"/>
      <c r="Q480" s="243"/>
      <c r="R480" s="243"/>
      <c r="S480" s="317"/>
      <c r="T480" s="317"/>
      <c r="U480" s="317"/>
      <c r="V480" s="317"/>
      <c r="W480" s="317"/>
      <c r="X480" s="317"/>
      <c r="Y480" s="243"/>
      <c r="Z480" s="243"/>
    </row>
    <row r="481">
      <c r="A481" s="620" t="s">
        <v>675</v>
      </c>
      <c r="B481" s="611">
        <f>SUM(L445,L406,L367,L328,L328,L289,L250,L211,L172,L133,L94,L55,L16)</f>
        <v>1850</v>
      </c>
      <c r="C481" s="400"/>
      <c r="D481" s="607" t="s">
        <v>10</v>
      </c>
      <c r="E481" s="608">
        <f t="shared" ref="E481:E482" si="4">SUM(D23,D62,D101,D140,D179,D218,D257,D296,D335,D374,D413,D452)</f>
        <v>293</v>
      </c>
      <c r="F481" s="795"/>
      <c r="G481" s="243"/>
      <c r="H481" s="243"/>
      <c r="I481" s="243"/>
      <c r="J481" s="243"/>
      <c r="K481" s="243"/>
      <c r="L481" s="277"/>
      <c r="M481" s="425"/>
      <c r="N481" s="604"/>
      <c r="O481" s="323"/>
      <c r="P481" s="317"/>
      <c r="Q481" s="243"/>
      <c r="R481" s="243"/>
      <c r="S481" s="317"/>
      <c r="T481" s="317"/>
      <c r="U481" s="317"/>
      <c r="V481" s="317"/>
      <c r="W481" s="317"/>
      <c r="X481" s="317"/>
      <c r="Y481" s="243"/>
      <c r="Z481" s="243"/>
    </row>
    <row r="482">
      <c r="A482" s="621" t="s">
        <v>682</v>
      </c>
      <c r="B482" s="611">
        <f>SUM(L22,L61,L100,L139,L178,L217,L256,L295,L334,L373,L412,L451)</f>
        <v>1625</v>
      </c>
      <c r="C482" s="400"/>
      <c r="D482" s="607" t="s">
        <v>6</v>
      </c>
      <c r="E482" s="608">
        <f t="shared" si="4"/>
        <v>1692</v>
      </c>
      <c r="F482" s="795"/>
      <c r="G482" s="243"/>
      <c r="H482" s="243"/>
      <c r="I482" s="243"/>
      <c r="J482" s="243"/>
      <c r="K482" s="243"/>
      <c r="L482" s="277"/>
      <c r="M482" s="425"/>
      <c r="N482" s="622"/>
      <c r="O482" s="323"/>
      <c r="P482" s="317"/>
      <c r="Q482" s="243"/>
      <c r="R482" s="243"/>
      <c r="S482" s="317"/>
      <c r="T482" s="317"/>
      <c r="U482" s="317"/>
      <c r="V482" s="317"/>
      <c r="W482" s="317"/>
      <c r="X482" s="317"/>
      <c r="Y482" s="243"/>
      <c r="Z482" s="243"/>
    </row>
    <row r="483">
      <c r="A483" s="623" t="s">
        <v>684</v>
      </c>
      <c r="B483" s="611">
        <f>SUM(L452,L413,L374,L335,L296,L257,L218,L179,L140,L101,L62,L23)</f>
        <v>0</v>
      </c>
      <c r="C483" s="400"/>
      <c r="D483" s="607" t="s">
        <v>779</v>
      </c>
      <c r="E483" s="608">
        <f t="shared" ref="E483:E487" si="5">SUM(D454,D415,D376,D337,D298,D259,D220,D181,D142,D103,D64,D25)</f>
        <v>80</v>
      </c>
      <c r="F483" s="777"/>
      <c r="G483" s="243"/>
      <c r="H483" s="243"/>
      <c r="I483" s="243"/>
      <c r="J483" s="243"/>
      <c r="K483" s="243"/>
      <c r="L483" s="277"/>
      <c r="M483" s="425"/>
      <c r="N483" s="622"/>
      <c r="O483" s="323"/>
      <c r="P483" s="317"/>
      <c r="Q483" s="243"/>
      <c r="R483" s="243"/>
      <c r="S483" s="317"/>
      <c r="T483" s="317"/>
      <c r="U483" s="317"/>
      <c r="V483" s="317"/>
      <c r="W483" s="317"/>
      <c r="X483" s="317"/>
      <c r="Y483" s="243"/>
      <c r="Z483" s="243"/>
    </row>
    <row r="484">
      <c r="A484" s="623" t="s">
        <v>686</v>
      </c>
      <c r="B484" s="611">
        <f>SUM(L24,L63,L102,L141,L180,L219,L258,L297,L336,L375,L414,L453)</f>
        <v>800</v>
      </c>
      <c r="C484" s="400"/>
      <c r="D484" s="607" t="s">
        <v>780</v>
      </c>
      <c r="E484" s="608">
        <f t="shared" si="5"/>
        <v>0</v>
      </c>
      <c r="F484" s="777"/>
      <c r="G484" s="243"/>
      <c r="H484" s="243"/>
      <c r="I484" s="243"/>
      <c r="J484" s="243"/>
      <c r="K484" s="243"/>
      <c r="L484" s="277"/>
      <c r="M484" s="425"/>
      <c r="N484" s="604"/>
      <c r="O484" s="323"/>
      <c r="P484" s="317"/>
      <c r="Q484" s="243"/>
      <c r="R484" s="243"/>
      <c r="S484" s="317"/>
      <c r="T484" s="317"/>
      <c r="U484" s="317"/>
      <c r="V484" s="317"/>
      <c r="W484" s="317"/>
      <c r="X484" s="317"/>
      <c r="Y484" s="243"/>
      <c r="Z484" s="243"/>
    </row>
    <row r="485">
      <c r="A485" s="624" t="s">
        <v>202</v>
      </c>
      <c r="B485" s="611">
        <f t="shared" ref="B485:B486" si="6">SUM(L454,L415,L376,L337,L298,L259,L220,L181,L142,L103,L64,L25)</f>
        <v>0</v>
      </c>
      <c r="C485" s="400"/>
      <c r="D485" s="607" t="s">
        <v>781</v>
      </c>
      <c r="E485" s="608">
        <f t="shared" si="5"/>
        <v>1878</v>
      </c>
      <c r="F485" s="777"/>
      <c r="G485" s="243"/>
      <c r="H485" s="243"/>
      <c r="I485" s="243"/>
      <c r="J485" s="243"/>
      <c r="K485" s="243"/>
      <c r="L485" s="277"/>
      <c r="M485" s="425"/>
      <c r="N485" s="604"/>
      <c r="O485" s="323"/>
      <c r="P485" s="317"/>
      <c r="Q485" s="243"/>
      <c r="R485" s="243"/>
      <c r="S485" s="317"/>
      <c r="T485" s="317"/>
      <c r="U485" s="317"/>
      <c r="V485" s="317"/>
      <c r="W485" s="317"/>
      <c r="X485" s="317"/>
      <c r="Y485" s="243"/>
      <c r="Z485" s="243"/>
    </row>
    <row r="486">
      <c r="A486" s="624" t="s">
        <v>274</v>
      </c>
      <c r="B486" s="611">
        <f t="shared" si="6"/>
        <v>0</v>
      </c>
      <c r="C486" s="400"/>
      <c r="D486" s="607" t="s">
        <v>1118</v>
      </c>
      <c r="E486" s="608">
        <f t="shared" si="5"/>
        <v>360</v>
      </c>
      <c r="F486" s="777"/>
      <c r="G486" s="243"/>
      <c r="H486" s="243"/>
      <c r="I486" s="243"/>
      <c r="J486" s="243"/>
      <c r="K486" s="243"/>
      <c r="L486" s="277"/>
      <c r="M486" s="425"/>
      <c r="N486" s="604"/>
      <c r="O486" s="323"/>
      <c r="P486" s="317"/>
      <c r="Q486" s="243"/>
      <c r="R486" s="243"/>
      <c r="S486" s="317"/>
      <c r="T486" s="317"/>
      <c r="U486" s="317"/>
      <c r="V486" s="317"/>
      <c r="W486" s="317"/>
      <c r="X486" s="317"/>
      <c r="Y486" s="243"/>
      <c r="Z486" s="243"/>
    </row>
    <row r="487">
      <c r="A487" s="621" t="s">
        <v>1121</v>
      </c>
      <c r="B487" s="611">
        <f>SUM(L456,L457,L417,L418,L378,L379,L339,L340,L300,L301,L261,L262,L222,L223,L183,L184,L144,L145,L105,L106,L66,L67,L27,L28)</f>
        <v>682</v>
      </c>
      <c r="C487" s="400"/>
      <c r="D487" s="607" t="s">
        <v>1551</v>
      </c>
      <c r="E487" s="608">
        <f t="shared" si="5"/>
        <v>916</v>
      </c>
      <c r="F487" s="777"/>
      <c r="G487" s="243"/>
      <c r="H487" s="243"/>
      <c r="I487" s="243"/>
      <c r="J487" s="243"/>
      <c r="K487" s="243"/>
      <c r="L487" s="277"/>
      <c r="M487" s="425"/>
      <c r="N487" s="604"/>
      <c r="O487" s="323"/>
      <c r="P487" s="317"/>
      <c r="Q487" s="243"/>
      <c r="R487" s="243"/>
      <c r="S487" s="317"/>
      <c r="T487" s="317"/>
      <c r="U487" s="317"/>
      <c r="V487" s="317"/>
      <c r="W487" s="317"/>
      <c r="X487" s="317"/>
      <c r="Y487" s="243"/>
      <c r="Z487" s="243"/>
    </row>
    <row r="488">
      <c r="A488" s="627" t="s">
        <v>381</v>
      </c>
      <c r="B488" s="611">
        <f t="shared" ref="B488:B489" si="7">SUM(L28,L67,L106,L145,L184,L223,L262,L301,L340,L379,L418,L457)</f>
        <v>147</v>
      </c>
      <c r="C488" s="400"/>
      <c r="D488" s="628"/>
      <c r="E488" s="626"/>
      <c r="F488" s="777"/>
      <c r="G488" s="243"/>
      <c r="H488" s="243"/>
      <c r="I488" s="243"/>
      <c r="J488" s="243"/>
      <c r="K488" s="243"/>
      <c r="L488" s="277"/>
      <c r="M488" s="425"/>
      <c r="N488" s="604"/>
      <c r="O488" s="323"/>
      <c r="P488" s="317"/>
      <c r="Q488" s="243"/>
      <c r="R488" s="243"/>
      <c r="S488" s="317"/>
      <c r="T488" s="317"/>
      <c r="U488" s="317"/>
      <c r="V488" s="317"/>
      <c r="W488" s="317"/>
      <c r="X488" s="317"/>
      <c r="Y488" s="243"/>
      <c r="Z488" s="243"/>
    </row>
    <row r="489">
      <c r="A489" s="629" t="s">
        <v>914</v>
      </c>
      <c r="B489" s="611">
        <f t="shared" si="7"/>
        <v>2575</v>
      </c>
      <c r="C489" s="400"/>
      <c r="D489" s="628"/>
      <c r="E489" s="626"/>
      <c r="F489" s="777"/>
      <c r="G489" s="243"/>
      <c r="H489" s="243"/>
      <c r="I489" s="243"/>
      <c r="J489" s="243"/>
      <c r="K489" s="243"/>
      <c r="L489" s="277"/>
      <c r="M489" s="425"/>
      <c r="N489" s="604"/>
      <c r="O489" s="323"/>
      <c r="P489" s="317"/>
      <c r="Q489" s="243"/>
      <c r="R489" s="243"/>
      <c r="S489" s="317"/>
      <c r="T489" s="317"/>
      <c r="U489" s="317"/>
      <c r="V489" s="317"/>
      <c r="W489" s="317"/>
      <c r="X489" s="317"/>
      <c r="Y489" s="243"/>
      <c r="Z489" s="243"/>
    </row>
    <row r="490">
      <c r="A490" s="630" t="s">
        <v>692</v>
      </c>
      <c r="B490" s="611">
        <f>SUM(L460,L421,L382,L343,L304,L265,L226,L187,L148,L109,L70,L31)</f>
        <v>638</v>
      </c>
      <c r="D490" s="628"/>
      <c r="E490" s="626"/>
      <c r="F490" s="777"/>
      <c r="G490" s="243"/>
      <c r="H490" s="243"/>
      <c r="I490" s="243"/>
      <c r="J490" s="243"/>
      <c r="K490" s="243"/>
      <c r="L490" s="277"/>
      <c r="M490" s="425"/>
      <c r="N490" s="604"/>
      <c r="O490" s="323"/>
      <c r="P490" s="317"/>
      <c r="Q490" s="243"/>
      <c r="R490" s="243"/>
      <c r="S490" s="317"/>
      <c r="T490" s="317"/>
      <c r="U490" s="317"/>
      <c r="V490" s="317"/>
      <c r="W490" s="317"/>
      <c r="X490" s="317"/>
      <c r="Y490" s="243"/>
      <c r="Z490" s="243"/>
    </row>
    <row r="491">
      <c r="A491" s="631" t="s">
        <v>915</v>
      </c>
      <c r="B491" s="632">
        <f>SUM(C6,C45,C84,C123,C162,C201,C240,C279,C318,C357,C396,C435)</f>
        <v>3288.25</v>
      </c>
      <c r="D491" s="628"/>
      <c r="E491" s="626"/>
      <c r="F491" s="777"/>
      <c r="G491" s="243"/>
      <c r="H491" s="243"/>
      <c r="I491" s="243"/>
      <c r="J491" s="243"/>
      <c r="K491" s="243"/>
      <c r="L491" s="277"/>
      <c r="M491" s="425"/>
      <c r="N491" s="604"/>
      <c r="O491" s="323"/>
      <c r="P491" s="317"/>
      <c r="Q491" s="243"/>
      <c r="R491" s="243"/>
      <c r="S491" s="317"/>
      <c r="T491" s="317"/>
      <c r="U491" s="317"/>
      <c r="V491" s="317"/>
      <c r="W491" s="317"/>
      <c r="X491" s="317"/>
      <c r="Y491" s="243"/>
      <c r="Z491" s="243"/>
    </row>
    <row r="492">
      <c r="A492" s="633" t="s">
        <v>916</v>
      </c>
      <c r="B492" s="332">
        <f>SUM(B470:B491)</f>
        <v>31966.23</v>
      </c>
      <c r="C492" s="634">
        <f>SUM(C433,C394,C355,C316,C277,C238,C199,C160,C121,C82,C43,C4)</f>
        <v>12678.6</v>
      </c>
      <c r="D492" s="524" t="s">
        <v>916</v>
      </c>
      <c r="E492" s="635">
        <f>SUM(E470:E491)</f>
        <v>16779</v>
      </c>
      <c r="F492" s="777"/>
      <c r="G492" s="243"/>
      <c r="H492" s="243"/>
      <c r="I492" s="243"/>
      <c r="J492" s="243"/>
      <c r="K492" s="243"/>
      <c r="L492" s="277"/>
      <c r="M492" s="425"/>
      <c r="N492" s="604"/>
      <c r="O492" s="323"/>
      <c r="P492" s="317"/>
      <c r="Q492" s="243"/>
      <c r="R492" s="243"/>
      <c r="S492" s="317"/>
      <c r="T492" s="317"/>
      <c r="U492" s="317"/>
      <c r="V492" s="317"/>
      <c r="W492" s="317"/>
      <c r="X492" s="317"/>
      <c r="Y492" s="243"/>
      <c r="Z492" s="243"/>
    </row>
    <row r="493">
      <c r="A493" s="377"/>
      <c r="B493" s="243"/>
      <c r="C493" s="243"/>
      <c r="D493" s="243"/>
      <c r="E493" s="585"/>
      <c r="F493" s="777"/>
      <c r="G493" s="243"/>
      <c r="H493" s="243"/>
      <c r="I493" s="243"/>
      <c r="J493" s="243"/>
      <c r="K493" s="243"/>
      <c r="L493" s="277"/>
      <c r="M493" s="425"/>
      <c r="N493" s="604"/>
      <c r="O493" s="323"/>
      <c r="P493" s="317"/>
      <c r="Q493" s="243"/>
      <c r="R493" s="243"/>
      <c r="S493" s="317"/>
      <c r="T493" s="317"/>
      <c r="U493" s="317"/>
      <c r="V493" s="317"/>
      <c r="W493" s="317"/>
      <c r="X493" s="317"/>
      <c r="Y493" s="243"/>
      <c r="Z493" s="243"/>
    </row>
    <row r="494">
      <c r="A494" s="636" t="s">
        <v>917</v>
      </c>
      <c r="B494" s="319"/>
      <c r="C494" s="319"/>
      <c r="D494" s="319"/>
      <c r="E494" s="319"/>
      <c r="F494" s="319"/>
      <c r="G494" s="319"/>
      <c r="H494" s="319"/>
      <c r="I494" s="319"/>
      <c r="J494" s="319"/>
      <c r="K494" s="319"/>
      <c r="L494" s="319"/>
      <c r="M494" s="319"/>
      <c r="N494" s="26"/>
      <c r="O494" s="323"/>
      <c r="P494" s="317"/>
      <c r="Q494" s="243"/>
      <c r="R494" s="243"/>
      <c r="S494" s="317"/>
      <c r="T494" s="317"/>
      <c r="U494" s="317"/>
      <c r="V494" s="317"/>
      <c r="W494" s="317"/>
      <c r="X494" s="317"/>
      <c r="Y494" s="243"/>
      <c r="Z494" s="243"/>
    </row>
    <row r="495">
      <c r="A495" s="637" t="s">
        <v>1552</v>
      </c>
      <c r="B495" s="638" t="s">
        <v>919</v>
      </c>
      <c r="C495" s="638" t="s">
        <v>920</v>
      </c>
      <c r="D495" s="638" t="s">
        <v>921</v>
      </c>
      <c r="E495" s="639" t="s">
        <v>922</v>
      </c>
      <c r="F495" s="797" t="s">
        <v>923</v>
      </c>
      <c r="G495" s="638" t="s">
        <v>924</v>
      </c>
      <c r="J495" s="639" t="s">
        <v>925</v>
      </c>
      <c r="L495" s="641" t="s">
        <v>926</v>
      </c>
      <c r="M495" s="638" t="s">
        <v>1114</v>
      </c>
      <c r="N495" s="642" t="s">
        <v>928</v>
      </c>
      <c r="O495" s="643" t="s">
        <v>929</v>
      </c>
      <c r="P495" s="317"/>
      <c r="Q495" s="243"/>
      <c r="R495" s="243"/>
      <c r="S495" s="317"/>
      <c r="T495" s="317"/>
      <c r="U495" s="317"/>
      <c r="V495" s="317"/>
      <c r="W495" s="317"/>
      <c r="X495" s="317"/>
      <c r="Y495" s="243"/>
      <c r="Z495" s="243"/>
    </row>
    <row r="496">
      <c r="A496" s="644">
        <f>SUM(C5,C44,C83,C122,C161,C200,C239,C278,C317,C356,C395,C434,B491)</f>
        <v>31316.37</v>
      </c>
      <c r="B496" s="645">
        <f>SUM(C3,C42,C81,C120,C159,C198,C237,C276,C315,C354,C393,C432)</f>
        <v>59762.2</v>
      </c>
      <c r="C496" s="645">
        <f>SUM(L461,L422,L383,L344,L305,L266,L227,L188,L149,L110,L71,L32)</f>
        <v>147.14</v>
      </c>
      <c r="D496" s="645">
        <f>SUM(B11,B50,B89,B128,B167,B206,B245,B284,B323,B362,B401,B440)</f>
        <v>16779</v>
      </c>
      <c r="E496" s="645">
        <f>B496-A496-C496</f>
        <v>28298.69</v>
      </c>
      <c r="F496" s="798">
        <f>B496-A496-C496-D496</f>
        <v>11519.69</v>
      </c>
      <c r="G496" s="647">
        <f>AVERAGE(C3,C42,C81,C120,C159,C198,C237,C276,C315,C354,C393,C432)</f>
        <v>4980.183333</v>
      </c>
      <c r="H496" s="648"/>
      <c r="I496" s="648"/>
      <c r="J496" s="647">
        <f>AVERAGE(C436,C397,C358,C319,C280,C241,C202,C163,C124,C85,C46,C7)</f>
        <v>2370.485833</v>
      </c>
      <c r="K496" s="648"/>
      <c r="L496" s="647">
        <f>AVERAGE(B463,B424,B385,B346,B307,B268,B229,B190,B151,B112,B73,B34)</f>
        <v>972.2358333</v>
      </c>
      <c r="M496" s="649">
        <f>AVERAGE(C434,C395,C356,C317,C278,C239,C200,C161,C122,C83,C44,C5)</f>
        <v>2335.676667</v>
      </c>
      <c r="N496" s="650">
        <f>AVERAGE(B11,B50,B89,B128,B167,B245,B284,B323,B362,B401,B440,B206)</f>
        <v>1398.25</v>
      </c>
      <c r="O496" s="687">
        <f>SUM(B464:B466)</f>
        <v>6550</v>
      </c>
      <c r="P496" s="317"/>
      <c r="Q496" s="243"/>
      <c r="R496" s="243"/>
      <c r="S496" s="317"/>
      <c r="T496" s="317"/>
      <c r="U496" s="317"/>
      <c r="V496" s="317"/>
      <c r="W496" s="317"/>
      <c r="X496" s="317"/>
      <c r="Y496" s="243"/>
      <c r="Z496" s="243"/>
    </row>
    <row r="497">
      <c r="A497" s="243"/>
      <c r="B497" s="243"/>
      <c r="C497" s="243"/>
      <c r="D497" s="652"/>
      <c r="E497" s="246"/>
      <c r="F497" s="777"/>
      <c r="G497" s="243"/>
      <c r="H497" s="243"/>
      <c r="I497" s="243"/>
      <c r="J497" s="243"/>
      <c r="K497" s="243"/>
      <c r="L497" s="277"/>
      <c r="M497" s="425"/>
      <c r="N497" s="604"/>
      <c r="O497" s="323"/>
      <c r="P497" s="317"/>
      <c r="Q497" s="243"/>
      <c r="R497" s="243"/>
      <c r="S497" s="317"/>
      <c r="T497" s="317"/>
      <c r="U497" s="317"/>
      <c r="V497" s="317"/>
      <c r="W497" s="317"/>
      <c r="X497" s="317"/>
      <c r="Y497" s="243"/>
      <c r="Z497" s="243"/>
    </row>
    <row r="498">
      <c r="F498" s="777"/>
      <c r="G498" s="243"/>
      <c r="H498" s="148"/>
      <c r="I498" s="251"/>
      <c r="J498" s="243"/>
      <c r="K498" s="148"/>
      <c r="L498" s="277"/>
      <c r="M498" s="252"/>
      <c r="N498" s="250"/>
      <c r="O498" s="323"/>
      <c r="P498" s="240"/>
      <c r="Q498" s="148"/>
      <c r="R498" s="148"/>
      <c r="S498" s="242"/>
      <c r="T498" s="242"/>
      <c r="U498" s="242"/>
      <c r="V498" s="242"/>
      <c r="W498" s="242"/>
      <c r="X498" s="242"/>
      <c r="Y498" s="148"/>
      <c r="Z498" s="148"/>
    </row>
    <row r="499">
      <c r="A499" s="333"/>
      <c r="B499" s="333"/>
      <c r="C499" s="333"/>
      <c r="D499" s="333"/>
      <c r="E499" s="333"/>
      <c r="F499" s="799"/>
      <c r="G499" s="243"/>
      <c r="H499" s="148"/>
      <c r="I499" s="251"/>
      <c r="J499" s="243"/>
      <c r="K499" s="148"/>
      <c r="L499" s="277"/>
      <c r="M499" s="252"/>
      <c r="N499" s="250"/>
      <c r="O499" s="323"/>
      <c r="P499" s="240"/>
      <c r="Q499" s="148"/>
      <c r="R499" s="148"/>
      <c r="S499" s="242"/>
      <c r="T499" s="242"/>
      <c r="U499" s="242"/>
      <c r="V499" s="242"/>
      <c r="W499" s="242"/>
      <c r="X499" s="242"/>
      <c r="Y499" s="148"/>
      <c r="Z499" s="148"/>
    </row>
    <row r="500">
      <c r="A500" s="688" t="s">
        <v>930</v>
      </c>
      <c r="F500" s="799"/>
      <c r="G500" s="243"/>
      <c r="H500" s="148"/>
      <c r="I500" s="251"/>
      <c r="J500" s="243"/>
      <c r="K500" s="148"/>
      <c r="L500" s="277"/>
      <c r="M500" s="252"/>
      <c r="N500" s="250"/>
      <c r="O500" s="323"/>
      <c r="P500" s="240"/>
      <c r="Q500" s="148"/>
      <c r="R500" s="148"/>
      <c r="S500" s="242"/>
      <c r="T500" s="242"/>
      <c r="U500" s="242"/>
      <c r="V500" s="242"/>
      <c r="W500" s="242"/>
      <c r="X500" s="242"/>
      <c r="Y500" s="148"/>
      <c r="Z500" s="148"/>
    </row>
    <row r="501">
      <c r="A501" s="333"/>
      <c r="B501" s="333"/>
      <c r="C501" s="333"/>
      <c r="D501" s="333"/>
      <c r="E501" s="333"/>
      <c r="F501" s="799"/>
      <c r="G501" s="243"/>
      <c r="H501" s="148"/>
      <c r="I501" s="251"/>
      <c r="J501" s="243"/>
      <c r="K501" s="148"/>
      <c r="L501" s="277"/>
      <c r="M501" s="252"/>
      <c r="N501" s="250"/>
      <c r="O501" s="323"/>
      <c r="P501" s="240"/>
      <c r="Q501" s="148"/>
      <c r="R501" s="148"/>
      <c r="S501" s="242"/>
      <c r="T501" s="242"/>
      <c r="U501" s="242"/>
      <c r="V501" s="242"/>
      <c r="W501" s="242"/>
      <c r="X501" s="242"/>
      <c r="Y501" s="148"/>
      <c r="Z501" s="148"/>
    </row>
    <row r="502">
      <c r="A502" s="333"/>
      <c r="B502" s="333"/>
      <c r="C502" s="333"/>
      <c r="D502" s="333"/>
      <c r="E502" s="333"/>
      <c r="F502" s="799"/>
      <c r="G502" s="243"/>
      <c r="H502" s="148"/>
      <c r="I502" s="251"/>
      <c r="J502" s="243"/>
      <c r="K502" s="148"/>
      <c r="L502" s="277"/>
      <c r="M502" s="252"/>
      <c r="N502" s="250"/>
      <c r="O502" s="323"/>
      <c r="P502" s="240"/>
      <c r="Q502" s="148"/>
      <c r="R502" s="148"/>
      <c r="S502" s="242"/>
      <c r="T502" s="242"/>
      <c r="U502" s="242"/>
      <c r="V502" s="242"/>
      <c r="W502" s="242"/>
      <c r="X502" s="242"/>
      <c r="Y502" s="148"/>
      <c r="Z502" s="148"/>
    </row>
    <row r="503">
      <c r="A503" s="333"/>
      <c r="B503" s="333"/>
      <c r="C503" s="333"/>
      <c r="D503" s="333"/>
      <c r="E503" s="333"/>
      <c r="F503" s="799"/>
      <c r="G503" s="243"/>
      <c r="H503" s="148"/>
      <c r="I503" s="251"/>
      <c r="J503" s="243"/>
      <c r="K503" s="148"/>
      <c r="L503" s="277"/>
      <c r="M503" s="252"/>
      <c r="N503" s="250"/>
      <c r="O503" s="323"/>
      <c r="P503" s="240"/>
      <c r="Q503" s="148"/>
      <c r="R503" s="148"/>
      <c r="S503" s="242"/>
      <c r="T503" s="242"/>
      <c r="U503" s="242"/>
      <c r="V503" s="242"/>
      <c r="W503" s="242"/>
      <c r="X503" s="242"/>
      <c r="Y503" s="148"/>
      <c r="Z503" s="148"/>
    </row>
    <row r="504">
      <c r="A504" s="333"/>
      <c r="B504" s="333"/>
      <c r="C504" s="333"/>
      <c r="D504" s="333"/>
      <c r="E504" s="333"/>
      <c r="F504" s="799"/>
      <c r="G504" s="243"/>
      <c r="H504" s="148"/>
      <c r="I504" s="251"/>
      <c r="J504" s="243"/>
      <c r="K504" s="148"/>
      <c r="L504" s="277"/>
      <c r="M504" s="252"/>
      <c r="N504" s="250"/>
      <c r="O504" s="323"/>
      <c r="P504" s="240"/>
      <c r="Q504" s="148"/>
      <c r="R504" s="148"/>
      <c r="S504" s="242"/>
      <c r="T504" s="242"/>
      <c r="U504" s="242"/>
      <c r="V504" s="242"/>
      <c r="W504" s="242"/>
      <c r="X504" s="242"/>
      <c r="Y504" s="148"/>
      <c r="Z504" s="148"/>
    </row>
    <row r="505">
      <c r="A505" s="333" t="s">
        <v>1124</v>
      </c>
      <c r="E505" s="333"/>
      <c r="F505" s="799"/>
      <c r="G505" s="243"/>
      <c r="H505" s="148"/>
      <c r="I505" s="251"/>
      <c r="J505" s="243"/>
      <c r="K505" s="148"/>
      <c r="L505" s="277"/>
      <c r="M505" s="252"/>
      <c r="N505" s="250"/>
      <c r="O505" s="323"/>
      <c r="P505" s="240"/>
      <c r="Q505" s="148"/>
      <c r="R505" s="148"/>
      <c r="S505" s="242"/>
      <c r="T505" s="242"/>
      <c r="U505" s="242"/>
      <c r="V505" s="242"/>
      <c r="W505" s="242"/>
      <c r="X505" s="242"/>
      <c r="Y505" s="148"/>
      <c r="Z505" s="148"/>
    </row>
    <row r="506">
      <c r="A506" s="333"/>
      <c r="B506" s="333"/>
      <c r="C506" s="333"/>
      <c r="D506" s="333"/>
      <c r="E506" s="333"/>
      <c r="F506" s="799"/>
      <c r="G506" s="243"/>
      <c r="H506" s="148"/>
      <c r="I506" s="251"/>
      <c r="J506" s="243"/>
      <c r="K506" s="148"/>
      <c r="L506" s="277"/>
      <c r="M506" s="252"/>
      <c r="N506" s="250"/>
      <c r="O506" s="323"/>
      <c r="P506" s="240"/>
      <c r="Q506" s="148"/>
      <c r="R506" s="148"/>
      <c r="S506" s="242"/>
      <c r="T506" s="242"/>
      <c r="U506" s="242"/>
      <c r="V506" s="242"/>
      <c r="W506" s="242"/>
      <c r="X506" s="242"/>
      <c r="Y506" s="148"/>
      <c r="Z506" s="148"/>
    </row>
    <row r="507">
      <c r="A507" s="333"/>
      <c r="B507" s="333"/>
      <c r="C507" s="333"/>
      <c r="D507" s="333"/>
      <c r="E507" s="333"/>
      <c r="F507" s="799"/>
      <c r="G507" s="243"/>
      <c r="H507" s="148"/>
      <c r="I507" s="251"/>
      <c r="J507" s="243"/>
      <c r="K507" s="148"/>
      <c r="L507" s="277"/>
      <c r="M507" s="252"/>
      <c r="N507" s="250"/>
      <c r="O507" s="323"/>
      <c r="P507" s="240"/>
      <c r="Q507" s="148"/>
      <c r="R507" s="148"/>
      <c r="S507" s="242"/>
      <c r="T507" s="242"/>
      <c r="U507" s="242"/>
      <c r="V507" s="242"/>
      <c r="W507" s="242"/>
      <c r="X507" s="242"/>
      <c r="Y507" s="148"/>
      <c r="Z507" s="148"/>
    </row>
    <row r="508">
      <c r="A508" s="333"/>
      <c r="B508" s="333"/>
      <c r="C508" s="333"/>
      <c r="D508" s="333"/>
      <c r="E508" s="333"/>
      <c r="F508" s="799"/>
      <c r="G508" s="243"/>
      <c r="H508" s="148"/>
      <c r="I508" s="251"/>
      <c r="J508" s="243"/>
      <c r="K508" s="148"/>
      <c r="L508" s="277"/>
      <c r="M508" s="252"/>
      <c r="N508" s="250"/>
      <c r="O508" s="323"/>
      <c r="P508" s="240"/>
      <c r="Q508" s="148"/>
      <c r="R508" s="148"/>
      <c r="S508" s="242"/>
      <c r="T508" s="242"/>
      <c r="U508" s="242"/>
      <c r="V508" s="242"/>
      <c r="W508" s="242"/>
      <c r="X508" s="242"/>
      <c r="Y508" s="148"/>
      <c r="Z508" s="148"/>
    </row>
    <row r="509">
      <c r="A509" s="333"/>
      <c r="B509" s="333"/>
      <c r="C509" s="333"/>
      <c r="D509" s="333"/>
      <c r="E509" s="333"/>
      <c r="F509" s="799"/>
      <c r="G509" s="243"/>
      <c r="H509" s="148"/>
      <c r="I509" s="251"/>
      <c r="J509" s="243"/>
      <c r="K509" s="148"/>
      <c r="L509" s="277"/>
      <c r="M509" s="252"/>
      <c r="N509" s="250"/>
      <c r="O509" s="323"/>
      <c r="P509" s="240"/>
      <c r="Q509" s="148"/>
      <c r="R509" s="148"/>
      <c r="S509" s="242"/>
      <c r="T509" s="242"/>
      <c r="U509" s="242"/>
      <c r="V509" s="242"/>
      <c r="W509" s="242"/>
      <c r="X509" s="242"/>
      <c r="Y509" s="148"/>
      <c r="Z509" s="148"/>
    </row>
    <row r="510">
      <c r="A510" s="333"/>
      <c r="B510" s="333"/>
      <c r="C510" s="333"/>
      <c r="D510" s="333"/>
      <c r="E510" s="333"/>
      <c r="F510" s="799"/>
      <c r="G510" s="243"/>
      <c r="H510" s="148"/>
      <c r="I510" s="251"/>
      <c r="J510" s="243"/>
      <c r="K510" s="148"/>
      <c r="L510" s="277"/>
      <c r="M510" s="252"/>
      <c r="N510" s="250"/>
      <c r="O510" s="323"/>
      <c r="P510" s="240"/>
      <c r="Q510" s="148"/>
      <c r="R510" s="148"/>
      <c r="S510" s="242"/>
      <c r="T510" s="242"/>
      <c r="U510" s="242"/>
      <c r="V510" s="242"/>
      <c r="W510" s="242"/>
      <c r="X510" s="242"/>
      <c r="Y510" s="148"/>
      <c r="Z510" s="148"/>
    </row>
    <row r="511">
      <c r="A511" s="333"/>
      <c r="B511" s="333"/>
      <c r="C511" s="333"/>
      <c r="D511" s="333"/>
      <c r="E511" s="333"/>
      <c r="F511" s="799"/>
      <c r="G511" s="243"/>
      <c r="H511" s="148"/>
      <c r="I511" s="251"/>
      <c r="J511" s="243"/>
      <c r="K511" s="148"/>
      <c r="L511" s="277"/>
      <c r="M511" s="252"/>
      <c r="N511" s="250"/>
      <c r="O511" s="323"/>
      <c r="P511" s="240"/>
      <c r="Q511" s="148"/>
      <c r="R511" s="148"/>
      <c r="S511" s="242"/>
      <c r="T511" s="242"/>
      <c r="U511" s="242"/>
      <c r="V511" s="242"/>
      <c r="W511" s="242"/>
      <c r="X511" s="242"/>
      <c r="Y511" s="148"/>
      <c r="Z511" s="148"/>
    </row>
    <row r="512">
      <c r="A512" s="333"/>
      <c r="B512" s="333"/>
      <c r="C512" s="333"/>
      <c r="D512" s="333"/>
      <c r="E512" s="333"/>
      <c r="F512" s="799"/>
      <c r="G512" s="243"/>
      <c r="H512" s="148"/>
      <c r="I512" s="251"/>
      <c r="J512" s="243"/>
      <c r="K512" s="148"/>
      <c r="L512" s="277"/>
      <c r="M512" s="252"/>
      <c r="N512" s="250"/>
      <c r="O512" s="323"/>
      <c r="P512" s="240"/>
      <c r="Q512" s="148"/>
      <c r="R512" s="148"/>
      <c r="S512" s="242"/>
      <c r="T512" s="242"/>
      <c r="U512" s="242"/>
      <c r="V512" s="242"/>
      <c r="W512" s="242"/>
      <c r="X512" s="242"/>
      <c r="Y512" s="148"/>
      <c r="Z512" s="148"/>
    </row>
    <row r="513">
      <c r="A513" s="333"/>
      <c r="B513" s="333"/>
      <c r="C513" s="333"/>
      <c r="D513" s="333"/>
      <c r="E513" s="333"/>
      <c r="F513" s="799"/>
      <c r="G513" s="243"/>
      <c r="H513" s="148"/>
      <c r="I513" s="251"/>
      <c r="J513" s="243"/>
      <c r="K513" s="148"/>
      <c r="L513" s="277"/>
      <c r="M513" s="252"/>
      <c r="N513" s="250"/>
      <c r="O513" s="323"/>
      <c r="P513" s="240"/>
      <c r="Q513" s="148"/>
      <c r="R513" s="148"/>
      <c r="S513" s="242"/>
      <c r="T513" s="242"/>
      <c r="U513" s="242"/>
      <c r="V513" s="242"/>
      <c r="W513" s="242"/>
      <c r="X513" s="242"/>
      <c r="Y513" s="148"/>
      <c r="Z513" s="148"/>
    </row>
  </sheetData>
  <mergeCells count="466">
    <mergeCell ref="M238:N238"/>
    <mergeCell ref="M239:N239"/>
    <mergeCell ref="M240:N240"/>
    <mergeCell ref="M237:N237"/>
    <mergeCell ref="M241:N241"/>
    <mergeCell ref="M242:N242"/>
    <mergeCell ref="M244:N244"/>
    <mergeCell ref="M245:N245"/>
    <mergeCell ref="M248:N248"/>
    <mergeCell ref="M249:N249"/>
    <mergeCell ref="M252:N252"/>
    <mergeCell ref="M253:N253"/>
    <mergeCell ref="M254:N254"/>
    <mergeCell ref="M255:N255"/>
    <mergeCell ref="M256:N256"/>
    <mergeCell ref="M257:N257"/>
    <mergeCell ref="M258:N258"/>
    <mergeCell ref="M259:N259"/>
    <mergeCell ref="M260:N260"/>
    <mergeCell ref="M261:N261"/>
    <mergeCell ref="M262:N262"/>
    <mergeCell ref="M263:N263"/>
    <mergeCell ref="M264:N264"/>
    <mergeCell ref="M265:N265"/>
    <mergeCell ref="A282:B282"/>
    <mergeCell ref="M282:N282"/>
    <mergeCell ref="A285:B286"/>
    <mergeCell ref="M285:N285"/>
    <mergeCell ref="M286:N286"/>
    <mergeCell ref="M266:N266"/>
    <mergeCell ref="G274:H274"/>
    <mergeCell ref="J275:J276"/>
    <mergeCell ref="O275:O276"/>
    <mergeCell ref="A276:B276"/>
    <mergeCell ref="A278:B278"/>
    <mergeCell ref="A280:B280"/>
    <mergeCell ref="M289:N289"/>
    <mergeCell ref="M290:N290"/>
    <mergeCell ref="M277:N277"/>
    <mergeCell ref="M278:N278"/>
    <mergeCell ref="M279:N279"/>
    <mergeCell ref="M276:N276"/>
    <mergeCell ref="M280:N280"/>
    <mergeCell ref="M281:N281"/>
    <mergeCell ref="M283:N283"/>
    <mergeCell ref="M284:N284"/>
    <mergeCell ref="M287:N287"/>
    <mergeCell ref="M288:N288"/>
    <mergeCell ref="M291:N291"/>
    <mergeCell ref="M292:N292"/>
    <mergeCell ref="M293:N293"/>
    <mergeCell ref="M294:N294"/>
    <mergeCell ref="M295:N295"/>
    <mergeCell ref="M296:N296"/>
    <mergeCell ref="M297:N297"/>
    <mergeCell ref="M298:N298"/>
    <mergeCell ref="M299:N299"/>
    <mergeCell ref="M300:N300"/>
    <mergeCell ref="M301:N301"/>
    <mergeCell ref="M302:N302"/>
    <mergeCell ref="M303:N303"/>
    <mergeCell ref="M304:N304"/>
    <mergeCell ref="A321:B321"/>
    <mergeCell ref="M321:N321"/>
    <mergeCell ref="A324:B325"/>
    <mergeCell ref="M324:N324"/>
    <mergeCell ref="M325:N325"/>
    <mergeCell ref="M305:N305"/>
    <mergeCell ref="G313:H313"/>
    <mergeCell ref="J314:J315"/>
    <mergeCell ref="O314:O315"/>
    <mergeCell ref="A315:B315"/>
    <mergeCell ref="A317:B317"/>
    <mergeCell ref="A319:B319"/>
    <mergeCell ref="M328:N328"/>
    <mergeCell ref="M329:N329"/>
    <mergeCell ref="M330:N330"/>
    <mergeCell ref="M331:N331"/>
    <mergeCell ref="M332:N332"/>
    <mergeCell ref="M333:N333"/>
    <mergeCell ref="M334:N334"/>
    <mergeCell ref="M335:N335"/>
    <mergeCell ref="M336:N336"/>
    <mergeCell ref="M337:N337"/>
    <mergeCell ref="M338:N338"/>
    <mergeCell ref="M339:N339"/>
    <mergeCell ref="M340:N340"/>
    <mergeCell ref="M341:N341"/>
    <mergeCell ref="M354:N354"/>
    <mergeCell ref="M355:N355"/>
    <mergeCell ref="A358:B358"/>
    <mergeCell ref="M358:N358"/>
    <mergeCell ref="A360:B360"/>
    <mergeCell ref="M360:N360"/>
    <mergeCell ref="A363:B364"/>
    <mergeCell ref="M363:N363"/>
    <mergeCell ref="M364:N364"/>
    <mergeCell ref="M342:N342"/>
    <mergeCell ref="M343:N343"/>
    <mergeCell ref="M344:N344"/>
    <mergeCell ref="G352:H352"/>
    <mergeCell ref="J353:J354"/>
    <mergeCell ref="A354:B354"/>
    <mergeCell ref="A356:B356"/>
    <mergeCell ref="O353:O354"/>
    <mergeCell ref="M356:N356"/>
    <mergeCell ref="M357:N357"/>
    <mergeCell ref="M359:N359"/>
    <mergeCell ref="M361:N361"/>
    <mergeCell ref="M362:N362"/>
    <mergeCell ref="M365:N365"/>
    <mergeCell ref="M366:N366"/>
    <mergeCell ref="M367:N367"/>
    <mergeCell ref="M368:N368"/>
    <mergeCell ref="M369:N369"/>
    <mergeCell ref="M370:N370"/>
    <mergeCell ref="M371:N371"/>
    <mergeCell ref="M372:N372"/>
    <mergeCell ref="M373:N373"/>
    <mergeCell ref="M374:N374"/>
    <mergeCell ref="M375:N375"/>
    <mergeCell ref="M376:N376"/>
    <mergeCell ref="M377:N377"/>
    <mergeCell ref="M378:N378"/>
    <mergeCell ref="M379:N379"/>
    <mergeCell ref="A434:B434"/>
    <mergeCell ref="A436:B436"/>
    <mergeCell ref="A438:B438"/>
    <mergeCell ref="A441:B442"/>
    <mergeCell ref="A469:B469"/>
    <mergeCell ref="D469:E469"/>
    <mergeCell ref="J431:J432"/>
    <mergeCell ref="O431:O432"/>
    <mergeCell ref="A432:B432"/>
    <mergeCell ref="M432:N432"/>
    <mergeCell ref="M433:N433"/>
    <mergeCell ref="M434:N434"/>
    <mergeCell ref="M435:N435"/>
    <mergeCell ref="M436:N436"/>
    <mergeCell ref="M437:N437"/>
    <mergeCell ref="M438:N438"/>
    <mergeCell ref="M439:N439"/>
    <mergeCell ref="M440:N440"/>
    <mergeCell ref="M441:N441"/>
    <mergeCell ref="M442:N442"/>
    <mergeCell ref="M443:N443"/>
    <mergeCell ref="M444:N444"/>
    <mergeCell ref="M445:N445"/>
    <mergeCell ref="M446:N446"/>
    <mergeCell ref="M447:N447"/>
    <mergeCell ref="M448:N448"/>
    <mergeCell ref="M449:N449"/>
    <mergeCell ref="M450:N450"/>
    <mergeCell ref="M451:N451"/>
    <mergeCell ref="M452:N452"/>
    <mergeCell ref="M453:N453"/>
    <mergeCell ref="M454:N454"/>
    <mergeCell ref="M455:N455"/>
    <mergeCell ref="M456:N456"/>
    <mergeCell ref="G495:I495"/>
    <mergeCell ref="G496:I496"/>
    <mergeCell ref="J496:K496"/>
    <mergeCell ref="A500:E500"/>
    <mergeCell ref="A505:D505"/>
    <mergeCell ref="M457:N457"/>
    <mergeCell ref="M458:N458"/>
    <mergeCell ref="M459:N459"/>
    <mergeCell ref="M460:N460"/>
    <mergeCell ref="M461:N461"/>
    <mergeCell ref="A494:N494"/>
    <mergeCell ref="J495:K495"/>
    <mergeCell ref="O392:O393"/>
    <mergeCell ref="M393:N393"/>
    <mergeCell ref="M394:N394"/>
    <mergeCell ref="M396:N396"/>
    <mergeCell ref="M398:N398"/>
    <mergeCell ref="M400:N400"/>
    <mergeCell ref="M401:N401"/>
    <mergeCell ref="M380:N380"/>
    <mergeCell ref="M381:N381"/>
    <mergeCell ref="M382:N382"/>
    <mergeCell ref="M383:N383"/>
    <mergeCell ref="G391:H391"/>
    <mergeCell ref="J392:J393"/>
    <mergeCell ref="A393:B393"/>
    <mergeCell ref="A406:B406"/>
    <mergeCell ref="M406:N406"/>
    <mergeCell ref="A395:B395"/>
    <mergeCell ref="M395:N395"/>
    <mergeCell ref="A397:B397"/>
    <mergeCell ref="M397:N397"/>
    <mergeCell ref="A399:B399"/>
    <mergeCell ref="M399:N399"/>
    <mergeCell ref="A402:B403"/>
    <mergeCell ref="M402:N402"/>
    <mergeCell ref="M403:N403"/>
    <mergeCell ref="M404:N404"/>
    <mergeCell ref="M405:N405"/>
    <mergeCell ref="M407:N407"/>
    <mergeCell ref="M408:N408"/>
    <mergeCell ref="M409:N409"/>
    <mergeCell ref="M410:N410"/>
    <mergeCell ref="M411:N411"/>
    <mergeCell ref="M412:N412"/>
    <mergeCell ref="M413:N413"/>
    <mergeCell ref="M414:N414"/>
    <mergeCell ref="M415:N415"/>
    <mergeCell ref="M416:N416"/>
    <mergeCell ref="M417:N417"/>
    <mergeCell ref="M418:N418"/>
    <mergeCell ref="M419:N419"/>
    <mergeCell ref="M420:N420"/>
    <mergeCell ref="M421:N421"/>
    <mergeCell ref="M422:N422"/>
    <mergeCell ref="G430:H430"/>
    <mergeCell ref="M5:N5"/>
    <mergeCell ref="M6:N6"/>
    <mergeCell ref="A9:B9"/>
    <mergeCell ref="M9:N9"/>
    <mergeCell ref="A12:B13"/>
    <mergeCell ref="M12:N12"/>
    <mergeCell ref="M13:N13"/>
    <mergeCell ref="G1:H1"/>
    <mergeCell ref="J2:J3"/>
    <mergeCell ref="O2:O3"/>
    <mergeCell ref="A3:B3"/>
    <mergeCell ref="M3:N3"/>
    <mergeCell ref="A5:B5"/>
    <mergeCell ref="A7:B7"/>
    <mergeCell ref="M4:N4"/>
    <mergeCell ref="M7:N7"/>
    <mergeCell ref="M8:N8"/>
    <mergeCell ref="M10:N10"/>
    <mergeCell ref="M11:N11"/>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O41:O42"/>
    <mergeCell ref="M44:N44"/>
    <mergeCell ref="A46:B46"/>
    <mergeCell ref="M46:N46"/>
    <mergeCell ref="A48:B48"/>
    <mergeCell ref="M48:N48"/>
    <mergeCell ref="A51:B52"/>
    <mergeCell ref="M51:N51"/>
    <mergeCell ref="M52:N52"/>
    <mergeCell ref="M30:N30"/>
    <mergeCell ref="M31:N31"/>
    <mergeCell ref="M32:N32"/>
    <mergeCell ref="G40:H40"/>
    <mergeCell ref="J41:J42"/>
    <mergeCell ref="A42:B42"/>
    <mergeCell ref="A44:B44"/>
    <mergeCell ref="M42:N42"/>
    <mergeCell ref="M43:N43"/>
    <mergeCell ref="M45:N45"/>
    <mergeCell ref="M47:N47"/>
    <mergeCell ref="M49:N49"/>
    <mergeCell ref="M50:N50"/>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O80:O81"/>
    <mergeCell ref="M81:N81"/>
    <mergeCell ref="M82:N82"/>
    <mergeCell ref="M84:N84"/>
    <mergeCell ref="M86:N86"/>
    <mergeCell ref="M88:N88"/>
    <mergeCell ref="M89:N89"/>
    <mergeCell ref="M68:N68"/>
    <mergeCell ref="M69:N69"/>
    <mergeCell ref="M70:N70"/>
    <mergeCell ref="M71:N71"/>
    <mergeCell ref="G79:H79"/>
    <mergeCell ref="J80:J81"/>
    <mergeCell ref="A81:B81"/>
    <mergeCell ref="A83:B83"/>
    <mergeCell ref="M83:N83"/>
    <mergeCell ref="A85:B85"/>
    <mergeCell ref="M85:N85"/>
    <mergeCell ref="A87:B87"/>
    <mergeCell ref="M87:N87"/>
    <mergeCell ref="A90:B91"/>
    <mergeCell ref="M90:N90"/>
    <mergeCell ref="M91:N91"/>
    <mergeCell ref="M92:N92"/>
    <mergeCell ref="M93:N93"/>
    <mergeCell ref="M94:N94"/>
    <mergeCell ref="M95:N95"/>
    <mergeCell ref="M96:N96"/>
    <mergeCell ref="M97:N97"/>
    <mergeCell ref="M98:N98"/>
    <mergeCell ref="M99:N99"/>
    <mergeCell ref="M100:N100"/>
    <mergeCell ref="M101:N101"/>
    <mergeCell ref="M102:N102"/>
    <mergeCell ref="M103:N103"/>
    <mergeCell ref="M104:N104"/>
    <mergeCell ref="M105:N105"/>
    <mergeCell ref="M106:N106"/>
    <mergeCell ref="M107:N107"/>
    <mergeCell ref="M108:N108"/>
    <mergeCell ref="M109:N109"/>
    <mergeCell ref="M110:N110"/>
    <mergeCell ref="A126:B126"/>
    <mergeCell ref="M126:N126"/>
    <mergeCell ref="A129:B130"/>
    <mergeCell ref="M129:N129"/>
    <mergeCell ref="M130:N130"/>
    <mergeCell ref="G118:H118"/>
    <mergeCell ref="J119:J120"/>
    <mergeCell ref="O119:O120"/>
    <mergeCell ref="A120:B120"/>
    <mergeCell ref="M120:N120"/>
    <mergeCell ref="A122:B122"/>
    <mergeCell ref="A124:B124"/>
    <mergeCell ref="M133:N133"/>
    <mergeCell ref="M134:N134"/>
    <mergeCell ref="M122:N122"/>
    <mergeCell ref="M123:N123"/>
    <mergeCell ref="M121:N121"/>
    <mergeCell ref="M124:N124"/>
    <mergeCell ref="M125:N125"/>
    <mergeCell ref="M127:N127"/>
    <mergeCell ref="M128:N128"/>
    <mergeCell ref="M131:N131"/>
    <mergeCell ref="M132:N132"/>
    <mergeCell ref="M135:N135"/>
    <mergeCell ref="M136:N136"/>
    <mergeCell ref="M137:N137"/>
    <mergeCell ref="M138:N138"/>
    <mergeCell ref="M139:N139"/>
    <mergeCell ref="M140:N140"/>
    <mergeCell ref="M141:N141"/>
    <mergeCell ref="M142:N142"/>
    <mergeCell ref="M143:N143"/>
    <mergeCell ref="M144:N144"/>
    <mergeCell ref="M145:N145"/>
    <mergeCell ref="M146:N146"/>
    <mergeCell ref="M147:N147"/>
    <mergeCell ref="M148:N148"/>
    <mergeCell ref="A165:B165"/>
    <mergeCell ref="M165:N165"/>
    <mergeCell ref="A168:B169"/>
    <mergeCell ref="M168:N168"/>
    <mergeCell ref="M169:N169"/>
    <mergeCell ref="M149:N149"/>
    <mergeCell ref="G157:H157"/>
    <mergeCell ref="J158:J159"/>
    <mergeCell ref="O158:O159"/>
    <mergeCell ref="A159:B159"/>
    <mergeCell ref="A161:B161"/>
    <mergeCell ref="A163:B163"/>
    <mergeCell ref="M172:N172"/>
    <mergeCell ref="M173:N173"/>
    <mergeCell ref="M160:N160"/>
    <mergeCell ref="M161:N161"/>
    <mergeCell ref="M162:N162"/>
    <mergeCell ref="M159:N159"/>
    <mergeCell ref="M163:N163"/>
    <mergeCell ref="M164:N164"/>
    <mergeCell ref="M166:N166"/>
    <mergeCell ref="M167:N167"/>
    <mergeCell ref="M170:N170"/>
    <mergeCell ref="M171:N171"/>
    <mergeCell ref="M174:N174"/>
    <mergeCell ref="M175:N175"/>
    <mergeCell ref="M176:N176"/>
    <mergeCell ref="M177:N177"/>
    <mergeCell ref="M178:N178"/>
    <mergeCell ref="M179:N179"/>
    <mergeCell ref="M180:N180"/>
    <mergeCell ref="M181:N181"/>
    <mergeCell ref="M182:N182"/>
    <mergeCell ref="M183:N183"/>
    <mergeCell ref="M184:N184"/>
    <mergeCell ref="M185:N185"/>
    <mergeCell ref="M186:N186"/>
    <mergeCell ref="M187:N187"/>
    <mergeCell ref="A204:B204"/>
    <mergeCell ref="M204:N204"/>
    <mergeCell ref="A207:B208"/>
    <mergeCell ref="M207:N207"/>
    <mergeCell ref="M208:N208"/>
    <mergeCell ref="M188:N188"/>
    <mergeCell ref="G196:H196"/>
    <mergeCell ref="J197:J198"/>
    <mergeCell ref="O197:O198"/>
    <mergeCell ref="A198:B198"/>
    <mergeCell ref="A200:B200"/>
    <mergeCell ref="A202:B202"/>
    <mergeCell ref="M211:N211"/>
    <mergeCell ref="M212:N212"/>
    <mergeCell ref="M199:N199"/>
    <mergeCell ref="M200:N200"/>
    <mergeCell ref="M201:N201"/>
    <mergeCell ref="M198:N198"/>
    <mergeCell ref="M202:N202"/>
    <mergeCell ref="M203:N203"/>
    <mergeCell ref="M205:N205"/>
    <mergeCell ref="M206:N206"/>
    <mergeCell ref="M209:N209"/>
    <mergeCell ref="M210:N210"/>
    <mergeCell ref="M213:N213"/>
    <mergeCell ref="M214:N214"/>
    <mergeCell ref="M215:N215"/>
    <mergeCell ref="M216:N216"/>
    <mergeCell ref="M217:N217"/>
    <mergeCell ref="M218:N218"/>
    <mergeCell ref="M219:N219"/>
    <mergeCell ref="M220:N220"/>
    <mergeCell ref="M221:N221"/>
    <mergeCell ref="M222:N222"/>
    <mergeCell ref="M223:N223"/>
    <mergeCell ref="M224:N224"/>
    <mergeCell ref="M225:N225"/>
    <mergeCell ref="M226:N226"/>
    <mergeCell ref="A243:B243"/>
    <mergeCell ref="M243:N243"/>
    <mergeCell ref="A246:B247"/>
    <mergeCell ref="M246:N246"/>
    <mergeCell ref="M247:N247"/>
    <mergeCell ref="M227:N227"/>
    <mergeCell ref="G235:H235"/>
    <mergeCell ref="J236:J237"/>
    <mergeCell ref="O236:O237"/>
    <mergeCell ref="A237:B237"/>
    <mergeCell ref="A239:B239"/>
    <mergeCell ref="A241:B241"/>
    <mergeCell ref="M250:N250"/>
    <mergeCell ref="M251:N251"/>
    <mergeCell ref="M316:N316"/>
    <mergeCell ref="M317:N317"/>
    <mergeCell ref="M318:N318"/>
    <mergeCell ref="M315:N315"/>
    <mergeCell ref="M319:N319"/>
    <mergeCell ref="M320:N320"/>
    <mergeCell ref="M322:N322"/>
    <mergeCell ref="M323:N323"/>
    <mergeCell ref="M326:N326"/>
    <mergeCell ref="M327:N327"/>
  </mergeCells>
  <conditionalFormatting sqref="B18:B19 B43 B45 B47 B49:B50 B53:B65 B67:B80 B82 B84 B92:B119 B121 B123 B125 B127:B128 B131:B158 B160 B162 B164 B166:B167 B170:B197 B199 B201 B203 B205:B206 B209:B236 B238 B240 B242 B244:B245 B248:B275 B277 B279 B281 B283:B284 B287:B314 B316 B318 B320 B322:B323 B326:B353 B355 B357 B359 B361:B362 B365:B392 B394 B396 B398 B400:B401 B404:B405 B407:B431 B433 B435 B437 B439:B440 B443:B468 B470:B493 B496:B497">
    <cfRule type="notContainsBlanks" dxfId="0" priority="1">
      <formula>LEN(TRIM(B18))&gt;0</formula>
    </cfRule>
  </conditionalFormatting>
  <conditionalFormatting sqref="P1:P11 P25:P50 P64:P77 P79:P89 P103:P116 P118:P128 P142:P155 P157:P167 P181:P194 P196:P206 P220:P233 P235:P245 P259:P272 P274:P284 P298:P311 P313:P323 P337:P350 P352:P362 P376:P389 P391:P401 P415:P428 P430:P440 P454:P467">
    <cfRule type="notContainsBlanks" dxfId="0" priority="2">
      <formula>LEN(TRIM(P1))&gt;0</formula>
    </cfRule>
  </conditionalFormatting>
  <conditionalFormatting sqref="D1:D468 D488:D493 D496:D497">
    <cfRule type="notContainsBlanks" dxfId="0" priority="3">
      <formula>LEN(TRIM(D1))&gt;0</formula>
    </cfRule>
  </conditionalFormatting>
  <printOptions gridLines="1" horizontalCentered="1"/>
  <pageMargins bottom="0.75" footer="0.0" header="0.0" left="0.7" right="0.7" top="0.75"/>
  <pageSetup fitToHeight="0" paperSize="9" cellComments="atEnd" orientation="landscape" pageOrder="overThenDown"/>
  <drawing r:id="rId2"/>
  <legacyDrawing r:id="rId3"/>
</worksheet>
</file>